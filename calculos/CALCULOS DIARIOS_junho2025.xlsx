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cursor\calculos\"/>
    </mc:Choice>
  </mc:AlternateContent>
  <xr:revisionPtr revIDLastSave="0" documentId="13_ncr:1_{E8745774-E6B6-4105-8E27-2C19F538D988}" xr6:coauthVersionLast="47" xr6:coauthVersionMax="47" xr10:uidLastSave="{00000000-0000-0000-0000-000000000000}"/>
  <bookViews>
    <workbookView xWindow="28680" yWindow="-120" windowWidth="29040" windowHeight="15720" tabRatio="762" firstSheet="2" activeTab="2" xr2:uid="{00000000-000D-0000-FFFF-FFFF00000000}"/>
  </bookViews>
  <sheets>
    <sheet name="VALORES ANTIGOS" sheetId="65" state="hidden" r:id="rId1"/>
    <sheet name="Plan1" sheetId="66" state="hidden" r:id="rId2"/>
    <sheet name="novos valores maio 2025" sheetId="67" r:id="rId3"/>
    <sheet name="Planilha1" sheetId="69" r:id="rId4"/>
    <sheet name="Plan3" sheetId="68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a">#REF!</definedName>
    <definedName name="\p">#REF!</definedName>
    <definedName name="_______xlnm.Print_Titles">#N/A</definedName>
    <definedName name="_______xlnm_Print_Titles">NA()</definedName>
    <definedName name="______xlnm._FilterDatabase">"#ref!"</definedName>
    <definedName name="______xlnm.Print_Titles">#N/A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#N/A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#N/A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#N/A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#N/A</definedName>
    <definedName name="__xlnm__FilterDatabase">"#ref!"</definedName>
    <definedName name="__xlnm_Print_Titles">NA()</definedName>
    <definedName name="_xlnm._FilterDatabase">#REF!</definedName>
    <definedName name="_TAB3688">#REF!</definedName>
    <definedName name="a">#REF!</definedName>
    <definedName name="abr">#REF!</definedName>
    <definedName name="abril">#REF!</definedName>
    <definedName name="ACRESCENTAR">[1]EMPENHOS!#REF!</definedName>
    <definedName name="AGOSTO">[2]EMPENHOS!#REF!</definedName>
    <definedName name="AI">#REF!</definedName>
    <definedName name="AII">#REF!</definedName>
    <definedName name="AK">#REF!</definedName>
    <definedName name="AL">#REF!</definedName>
    <definedName name="AMPLIAR">#REF!</definedName>
    <definedName name="APONT">[3]APONTAMENTO!$D$1:$CG$65536</definedName>
    <definedName name="ATESTE">[4]ATESTE!$G$1:$O$65536</definedName>
    <definedName name="ATNF">#REF!</definedName>
    <definedName name="BDADOS">#REF!</definedName>
    <definedName name="bianca">#REF!</definedName>
    <definedName name="BP">#REF!</definedName>
    <definedName name="Cadeirante">'[18]VALORES TABELA'!$B$4</definedName>
    <definedName name="Cadeirantee">'[18]VALORES TABELA'!$B$9</definedName>
    <definedName name="CALC">#REF!</definedName>
    <definedName name="calc10">'[5]ATESTE-LIQ'!#REF!</definedName>
    <definedName name="CALCDEZ">[6]ATESTE!$Z$1:$AB$65536</definedName>
    <definedName name="CALCULO">#REF!</definedName>
    <definedName name="Cálculos">'[7]CALC AMPLIAR'!$B$1:$G$65536</definedName>
    <definedName name="CAPS">#REF!</definedName>
    <definedName name="capso">#REF!</definedName>
    <definedName name="carla">#REF!</definedName>
    <definedName name="CINT">#REF!</definedName>
    <definedName name="CLIM">#REF!</definedName>
    <definedName name="clout">#REF!</definedName>
    <definedName name="CLSET">#REF!</definedName>
    <definedName name="CLSETE">#REF!</definedName>
    <definedName name="cocertar2015">#REF!</definedName>
    <definedName name="cont2015">#REF!</definedName>
    <definedName name="CONTN2">#REF!</definedName>
    <definedName name="contno">#REF!</definedName>
    <definedName name="contra">#REF!</definedName>
    <definedName name="CPF">#REF!</definedName>
    <definedName name="Crechee">'[18]VALORES TABELA'!$B$5</definedName>
    <definedName name="CRIANCA_KM">[8]PF!$AR$1000:$AW$1013</definedName>
    <definedName name="CTRN">#REF!</definedName>
    <definedName name="D">#REF!</definedName>
    <definedName name="dados">#REF!</definedName>
    <definedName name="DDD">#REF!</definedName>
    <definedName name="DFG">#REF!</definedName>
    <definedName name="DIFER">#REF!</definedName>
    <definedName name="DIIS">[1]EMPENHOS!#REF!</definedName>
    <definedName name="DIV">[1]EMPENHOS!#REF!</definedName>
    <definedName name="DIV_AGO_SET">[2]EMPENHOS!#REF!</definedName>
    <definedName name="DIV_SET_OUT">[2]EMPENHOS!#REF!</definedName>
    <definedName name="dres">#REF!</definedName>
    <definedName name="DRET">[9]RENOVAÇÕES1!$D$1:$AO$65536</definedName>
    <definedName name="emp">#REF!</definedName>
    <definedName name="EMPE">#REF!</definedName>
    <definedName name="empen">#REF!</definedName>
    <definedName name="EMPENHO">#REF!</definedName>
    <definedName name="empenho15">#REF!</definedName>
    <definedName name="eom">#REF!</definedName>
    <definedName name="Especiall">'[18]VALORES TABELA'!$B$6</definedName>
    <definedName name="ETH">#REF!</definedName>
    <definedName name="Excel_BuiltIn__FilterDatabase">#REF!</definedName>
    <definedName name="Excel_BuiltIn_Print_Titles">NA()</definedName>
    <definedName name="fegue">#REF!</definedName>
    <definedName name="fer">#REF!</definedName>
    <definedName name="FEVEREIRO">#REF!</definedName>
    <definedName name="FIN">[10]APONTAMENTO!$C$1:$BZ$65536</definedName>
    <definedName name="Fixo">'[18]VALORES TABELA'!$B$3</definedName>
    <definedName name="GAGA">#REF!</definedName>
    <definedName name="GFG">#REF!</definedName>
    <definedName name="GHJJGJ">#REF!</definedName>
    <definedName name="IA">#REF!</definedName>
    <definedName name="IMRPRIMIR">#REF!</definedName>
    <definedName name="info">[11]DADOS!$B$1840:$Q$3787</definedName>
    <definedName name="iniab">#REF!</definedName>
    <definedName name="IRRENDA">#REF!</definedName>
    <definedName name="ITAQ">#REF!</definedName>
    <definedName name="ITAQUERA">#REF!</definedName>
    <definedName name="JURI">[12]Plan3!$A$1:$U$65536</definedName>
    <definedName name="juridica">#REF!</definedName>
    <definedName name="km">'[18]VALORES TABELA'!$B$7</definedName>
    <definedName name="LIQUID">[6]ATESTE!$A$1:$G$65536</definedName>
    <definedName name="LIQUIDA">#REF!</definedName>
    <definedName name="LIQUIDAÇÃO">[10]APONTAMENTO!$CP$1:$DI$65536</definedName>
    <definedName name="LIST">#REF!</definedName>
    <definedName name="marc">#REF!</definedName>
    <definedName name="MARÇO">#REF!</definedName>
    <definedName name="MINUTA">#REF!</definedName>
    <definedName name="na">#REF!</definedName>
    <definedName name="nfis">#REF!</definedName>
    <definedName name="nfisc">#REF!</definedName>
    <definedName name="NLIQ">#REF!</definedName>
    <definedName name="NOV">#REF!</definedName>
    <definedName name="novaju">#REF!</definedName>
    <definedName name="NOVEMBRO">#REF!</definedName>
    <definedName name="novo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>#REF!</definedName>
    <definedName name="OUT">[2]EMPENHOS!#REF!</definedName>
    <definedName name="OUTUBRO">#REF!</definedName>
    <definedName name="P">#REF!</definedName>
    <definedName name="PAGTO">#REF!</definedName>
    <definedName name="PAVALOR">#REF!</definedName>
    <definedName name="Percapita">'[18]VALORES TABELA'!$B$2</definedName>
    <definedName name="pjota">#REF!</definedName>
    <definedName name="pju">#REF!</definedName>
    <definedName name="pp">#REF!</definedName>
    <definedName name="Q">#REF!</definedName>
    <definedName name="QUADRO1">#REF!</definedName>
    <definedName name="QUADRO2">#REF!</definedName>
    <definedName name="QUADRO3">#REF!</definedName>
    <definedName name="REF">[12]Plan2!$A$1:$C$65536</definedName>
    <definedName name="regular">'[18]VALORES TABELA'!$B$8</definedName>
    <definedName name="reno">#REF!</definedName>
    <definedName name="RENOVA">#REF!</definedName>
    <definedName name="RENOVÇ">#REF!</definedName>
    <definedName name="reser">'[13]Plan1 (2)'!#REF!</definedName>
    <definedName name="RESERVA">[14]RENOVAÇÕES!$A$1:$AE$65536</definedName>
    <definedName name="rmar">[15]Plan4!#REF!</definedName>
    <definedName name="S">#REF!</definedName>
    <definedName name="SALDOSOF">#REF!</definedName>
    <definedName name="sam">#REF!</definedName>
    <definedName name="SET_OUT_NOV">#REF!</definedName>
    <definedName name="SETEMBRO">[1]EMPENHOS!#REF!</definedName>
    <definedName name="TABC4826">#REF!</definedName>
    <definedName name="TABVEIC">#REF!</definedName>
    <definedName name="TESTE1">[16]Plan1!$A$1:$B$2</definedName>
    <definedName name="thiago">#REF!</definedName>
    <definedName name="_xlnm.Print_Titles">LISTA PARA [17]CONF!$A$1:$IV$1</definedName>
    <definedName name="VAEMP">#REF!</definedName>
    <definedName name="valor">#REF!</definedName>
    <definedName name="VAL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67" l="1"/>
  <c r="E24" i="67"/>
  <c r="AJ25" i="67"/>
  <c r="AJ26" i="67"/>
  <c r="AJ27" i="67"/>
  <c r="AJ28" i="67"/>
  <c r="AJ29" i="67"/>
  <c r="AJ30" i="67"/>
  <c r="AJ31" i="67"/>
  <c r="AJ32" i="67"/>
  <c r="AJ33" i="67"/>
  <c r="AJ34" i="67"/>
  <c r="AJ35" i="67"/>
  <c r="AJ36" i="67"/>
  <c r="AJ37" i="67"/>
  <c r="AJ38" i="67"/>
  <c r="AJ39" i="67"/>
  <c r="AJ40" i="67"/>
  <c r="AJ41" i="67"/>
  <c r="AJ42" i="67"/>
  <c r="AJ43" i="67"/>
  <c r="AJ44" i="67"/>
  <c r="AJ45" i="67"/>
  <c r="AJ46" i="67"/>
  <c r="AJ47" i="67"/>
  <c r="AJ48" i="67"/>
  <c r="AJ49" i="67"/>
  <c r="AJ50" i="67"/>
  <c r="AJ51" i="67"/>
  <c r="AJ52" i="67"/>
  <c r="AJ53" i="67"/>
  <c r="J53" i="67"/>
  <c r="J52" i="67"/>
  <c r="J51" i="67"/>
  <c r="J50" i="67"/>
  <c r="J49" i="67"/>
  <c r="J48" i="67"/>
  <c r="J47" i="67"/>
  <c r="J46" i="67"/>
  <c r="J45" i="67"/>
  <c r="J44" i="67"/>
  <c r="J43" i="67"/>
  <c r="J42" i="67"/>
  <c r="J41" i="67"/>
  <c r="J40" i="67"/>
  <c r="J39" i="67"/>
  <c r="J38" i="67"/>
  <c r="J37" i="67"/>
  <c r="J36" i="67"/>
  <c r="J35" i="67"/>
  <c r="J34" i="67"/>
  <c r="J33" i="67"/>
  <c r="J32" i="67"/>
  <c r="J31" i="67"/>
  <c r="J30" i="67"/>
  <c r="J29" i="67"/>
  <c r="J28" i="67"/>
  <c r="J27" i="67"/>
  <c r="J26" i="67"/>
  <c r="J25" i="67"/>
  <c r="J24" i="67"/>
  <c r="L25" i="67"/>
  <c r="L26" i="67" s="1"/>
  <c r="L27" i="67" s="1"/>
  <c r="L28" i="67" s="1"/>
  <c r="L29" i="67" s="1"/>
  <c r="L30" i="67" s="1"/>
  <c r="L31" i="67" s="1"/>
  <c r="L32" i="67" s="1"/>
  <c r="L33" i="67" s="1"/>
  <c r="L34" i="67" s="1"/>
  <c r="L35" i="67" s="1"/>
  <c r="L36" i="67" s="1"/>
  <c r="L37" i="67" s="1"/>
  <c r="L38" i="67" s="1"/>
  <c r="L39" i="67" s="1"/>
  <c r="L40" i="67" s="1"/>
  <c r="L41" i="67" s="1"/>
  <c r="L42" i="67" s="1"/>
  <c r="L43" i="67" s="1"/>
  <c r="L44" i="67" s="1"/>
  <c r="L45" i="67" s="1"/>
  <c r="L46" i="67" s="1"/>
  <c r="L47" i="67" s="1"/>
  <c r="L48" i="67" s="1"/>
  <c r="L49" i="67" s="1"/>
  <c r="L50" i="67" s="1"/>
  <c r="L51" i="67" s="1"/>
  <c r="L52" i="67" s="1"/>
  <c r="L53" i="67" s="1"/>
  <c r="AB53" i="67"/>
  <c r="Y53" i="67"/>
  <c r="AB52" i="67"/>
  <c r="Y52" i="67"/>
  <c r="AB51" i="67"/>
  <c r="Y51" i="67"/>
  <c r="AB50" i="67"/>
  <c r="Y50" i="67"/>
  <c r="AB49" i="67"/>
  <c r="Y49" i="67"/>
  <c r="AB48" i="67"/>
  <c r="Y48" i="67"/>
  <c r="AB47" i="67"/>
  <c r="Y47" i="67"/>
  <c r="AB46" i="67"/>
  <c r="Y46" i="67"/>
  <c r="AB45" i="67"/>
  <c r="Y45" i="67"/>
  <c r="AB44" i="67"/>
  <c r="Y44" i="67"/>
  <c r="AB43" i="67"/>
  <c r="Y43" i="67"/>
  <c r="AB42" i="67"/>
  <c r="Y42" i="67"/>
  <c r="AB41" i="67"/>
  <c r="Y41" i="67"/>
  <c r="AB40" i="67"/>
  <c r="Y40" i="67"/>
  <c r="AB39" i="67"/>
  <c r="Y39" i="67"/>
  <c r="AB38" i="67"/>
  <c r="Y38" i="67"/>
  <c r="AB37" i="67"/>
  <c r="Y37" i="67"/>
  <c r="AB36" i="67"/>
  <c r="Y36" i="67"/>
  <c r="AB35" i="67"/>
  <c r="Y35" i="67"/>
  <c r="AB34" i="67"/>
  <c r="Y34" i="67"/>
  <c r="AB33" i="67"/>
  <c r="Y33" i="67"/>
  <c r="AB32" i="67"/>
  <c r="Y32" i="67"/>
  <c r="AB31" i="67"/>
  <c r="Y31" i="67"/>
  <c r="AB30" i="67"/>
  <c r="Y30" i="67"/>
  <c r="AB29" i="67"/>
  <c r="Y29" i="67"/>
  <c r="AB28" i="67"/>
  <c r="Y28" i="67"/>
  <c r="AB27" i="67"/>
  <c r="Y27" i="67"/>
  <c r="AB26" i="67"/>
  <c r="Y26" i="67"/>
  <c r="AB25" i="67"/>
  <c r="Y25" i="67"/>
  <c r="AB24" i="67"/>
  <c r="Y24" i="67"/>
  <c r="AT53" i="67"/>
  <c r="AQ53" i="67"/>
  <c r="AT52" i="67"/>
  <c r="AQ52" i="67"/>
  <c r="AT51" i="67"/>
  <c r="AQ51" i="67"/>
  <c r="AT50" i="67"/>
  <c r="AQ50" i="67"/>
  <c r="AT49" i="67"/>
  <c r="AQ49" i="67"/>
  <c r="AT48" i="67"/>
  <c r="AQ48" i="67"/>
  <c r="AT47" i="67"/>
  <c r="AQ47" i="67"/>
  <c r="AT46" i="67"/>
  <c r="AQ46" i="67"/>
  <c r="AT45" i="67"/>
  <c r="AQ45" i="67"/>
  <c r="AT44" i="67"/>
  <c r="AQ44" i="67"/>
  <c r="AT43" i="67"/>
  <c r="AQ43" i="67"/>
  <c r="AT42" i="67"/>
  <c r="AQ42" i="67"/>
  <c r="AT41" i="67"/>
  <c r="AQ41" i="67"/>
  <c r="AT40" i="67"/>
  <c r="AQ40" i="67"/>
  <c r="AT39" i="67"/>
  <c r="AQ39" i="67"/>
  <c r="AT38" i="67"/>
  <c r="AQ38" i="67"/>
  <c r="AT37" i="67"/>
  <c r="AQ37" i="67"/>
  <c r="AT36" i="67"/>
  <c r="AQ36" i="67"/>
  <c r="AT35" i="67"/>
  <c r="AQ35" i="67"/>
  <c r="AT34" i="67"/>
  <c r="AQ34" i="67"/>
  <c r="AT33" i="67"/>
  <c r="AQ33" i="67"/>
  <c r="AT32" i="67"/>
  <c r="AQ32" i="67"/>
  <c r="AT31" i="67"/>
  <c r="AQ31" i="67"/>
  <c r="AT30" i="67"/>
  <c r="AQ30" i="67"/>
  <c r="AT29" i="67"/>
  <c r="AQ29" i="67"/>
  <c r="AT28" i="67"/>
  <c r="AQ28" i="67"/>
  <c r="AT27" i="67"/>
  <c r="AQ27" i="67"/>
  <c r="AT26" i="67"/>
  <c r="AQ26" i="67"/>
  <c r="AT25" i="67"/>
  <c r="AQ25" i="67"/>
  <c r="AT24" i="67"/>
  <c r="AQ24" i="67"/>
  <c r="BE24" i="67"/>
  <c r="BB24" i="67"/>
  <c r="BL53" i="67"/>
  <c r="BI53" i="67"/>
  <c r="BL52" i="67"/>
  <c r="BI52" i="67"/>
  <c r="BL51" i="67"/>
  <c r="BI51" i="67"/>
  <c r="BL50" i="67"/>
  <c r="BI50" i="67"/>
  <c r="BL49" i="67"/>
  <c r="BI49" i="67"/>
  <c r="BL48" i="67"/>
  <c r="BI48" i="67"/>
  <c r="BL47" i="67"/>
  <c r="BI47" i="67"/>
  <c r="BL46" i="67"/>
  <c r="BI46" i="67"/>
  <c r="BL45" i="67"/>
  <c r="BI45" i="67"/>
  <c r="BL44" i="67"/>
  <c r="BI44" i="67"/>
  <c r="BL43" i="67"/>
  <c r="BI43" i="67"/>
  <c r="BL42" i="67"/>
  <c r="BI42" i="67"/>
  <c r="BL41" i="67"/>
  <c r="BI41" i="67"/>
  <c r="BL40" i="67"/>
  <c r="BI40" i="67"/>
  <c r="BL39" i="67"/>
  <c r="BI39" i="67"/>
  <c r="BL38" i="67"/>
  <c r="BI38" i="67"/>
  <c r="BL37" i="67"/>
  <c r="BI37" i="67"/>
  <c r="BL36" i="67"/>
  <c r="BI36" i="67"/>
  <c r="BL35" i="67"/>
  <c r="BI35" i="67"/>
  <c r="BL34" i="67"/>
  <c r="BI34" i="67"/>
  <c r="BL33" i="67"/>
  <c r="BI33" i="67"/>
  <c r="BL32" i="67"/>
  <c r="BI32" i="67"/>
  <c r="BL31" i="67"/>
  <c r="BI31" i="67"/>
  <c r="BL30" i="67"/>
  <c r="BI30" i="67"/>
  <c r="BL29" i="67"/>
  <c r="BI29" i="67"/>
  <c r="BL28" i="67"/>
  <c r="BI28" i="67"/>
  <c r="BL27" i="67"/>
  <c r="BI27" i="67"/>
  <c r="BL26" i="67"/>
  <c r="BI26" i="67"/>
  <c r="BL25" i="67"/>
  <c r="BI25" i="67"/>
  <c r="BI24" i="67"/>
  <c r="BL24" i="67"/>
  <c r="AZ58" i="67"/>
  <c r="AZ57" i="67"/>
  <c r="AZ56" i="67"/>
  <c r="AH58" i="67"/>
  <c r="AH57" i="67"/>
  <c r="AH56" i="67"/>
  <c r="P58" i="67"/>
  <c r="P57" i="67"/>
  <c r="P56" i="67"/>
  <c r="D58" i="67"/>
  <c r="D57" i="67"/>
  <c r="D56" i="67"/>
  <c r="R24" i="67"/>
  <c r="R25" i="67" s="1"/>
  <c r="R26" i="67" s="1"/>
  <c r="R27" i="67" s="1"/>
  <c r="R28" i="67" s="1"/>
  <c r="R29" i="67" s="1"/>
  <c r="R30" i="67" s="1"/>
  <c r="R31" i="67" s="1"/>
  <c r="R32" i="67" s="1"/>
  <c r="R33" i="67" s="1"/>
  <c r="R34" i="67" s="1"/>
  <c r="R35" i="67" s="1"/>
  <c r="R36" i="67" s="1"/>
  <c r="R37" i="67" s="1"/>
  <c r="R38" i="67" s="1"/>
  <c r="R39" i="67" s="1"/>
  <c r="R40" i="67" s="1"/>
  <c r="R41" i="67" s="1"/>
  <c r="R42" i="67" s="1"/>
  <c r="R43" i="67" s="1"/>
  <c r="R44" i="67" s="1"/>
  <c r="R45" i="67" s="1"/>
  <c r="R46" i="67" s="1"/>
  <c r="R47" i="67" s="1"/>
  <c r="R48" i="67" s="1"/>
  <c r="R49" i="67" s="1"/>
  <c r="R50" i="67" s="1"/>
  <c r="R51" i="67" s="1"/>
  <c r="R52" i="67" s="1"/>
  <c r="R53" i="67" s="1"/>
  <c r="AJ24" i="67"/>
  <c r="AK53" i="67" l="1"/>
  <c r="S53" i="67"/>
  <c r="S38" i="67"/>
  <c r="S37" i="67"/>
  <c r="S24" i="67"/>
  <c r="S25" i="67"/>
  <c r="S43" i="67"/>
  <c r="S26" i="67"/>
  <c r="S44" i="67"/>
  <c r="S31" i="67"/>
  <c r="S49" i="67"/>
  <c r="S32" i="67"/>
  <c r="S50" i="67"/>
  <c r="S30" i="67"/>
  <c r="S36" i="67"/>
  <c r="S42" i="67"/>
  <c r="S48" i="67"/>
  <c r="S27" i="67"/>
  <c r="S33" i="67"/>
  <c r="S39" i="67"/>
  <c r="S45" i="67"/>
  <c r="S51" i="67"/>
  <c r="S28" i="67"/>
  <c r="S34" i="67"/>
  <c r="S40" i="67"/>
  <c r="S46" i="67"/>
  <c r="S52" i="67"/>
  <c r="S29" i="67"/>
  <c r="S35" i="67"/>
  <c r="S41" i="67"/>
  <c r="S47" i="67"/>
  <c r="AK41" i="67"/>
  <c r="AK31" i="67"/>
  <c r="AK44" i="67"/>
  <c r="AK32" i="67"/>
  <c r="AK51" i="67"/>
  <c r="AK39" i="67"/>
  <c r="AK29" i="67"/>
  <c r="AK50" i="67"/>
  <c r="AK38" i="67"/>
  <c r="AK27" i="67"/>
  <c r="AK47" i="67"/>
  <c r="AK35" i="67"/>
  <c r="AK26" i="67"/>
  <c r="AK45" i="67"/>
  <c r="AK33" i="67"/>
  <c r="AK25" i="67"/>
  <c r="AK48" i="67"/>
  <c r="AK42" i="67"/>
  <c r="AK36" i="67"/>
  <c r="AK30" i="67"/>
  <c r="AK52" i="67"/>
  <c r="AK46" i="67"/>
  <c r="AK40" i="67"/>
  <c r="AK34" i="67"/>
  <c r="AK28" i="67"/>
  <c r="AK49" i="67"/>
  <c r="AK43" i="67"/>
  <c r="AK37" i="67"/>
  <c r="AK24" i="67"/>
  <c r="BF24" i="67"/>
  <c r="BC24" i="67"/>
  <c r="BB25" i="67"/>
  <c r="AX24" i="67"/>
  <c r="BB26" i="67" l="1"/>
  <c r="BC25" i="67"/>
  <c r="BB27" i="67" l="1"/>
  <c r="BC26" i="67"/>
  <c r="BB28" i="67" l="1"/>
  <c r="BC27" i="67"/>
  <c r="BB29" i="67" l="1"/>
  <c r="BC28" i="67"/>
  <c r="BB30" i="67" l="1"/>
  <c r="BC29" i="67"/>
  <c r="BB31" i="67" l="1"/>
  <c r="BC30" i="67"/>
  <c r="BB32" i="67" l="1"/>
  <c r="BC31" i="67"/>
  <c r="BB33" i="67" l="1"/>
  <c r="BC32" i="67"/>
  <c r="BB34" i="67" l="1"/>
  <c r="BC33" i="67"/>
  <c r="BB35" i="67" l="1"/>
  <c r="BC34" i="67"/>
  <c r="BB36" i="67" l="1"/>
  <c r="BC35" i="67"/>
  <c r="BB37" i="67" l="1"/>
  <c r="BC36" i="67"/>
  <c r="BB38" i="67" l="1"/>
  <c r="BC37" i="67"/>
  <c r="BB39" i="67" l="1"/>
  <c r="BC38" i="67"/>
  <c r="BB40" i="67" l="1"/>
  <c r="BC39" i="67"/>
  <c r="BB41" i="67" l="1"/>
  <c r="BC40" i="67"/>
  <c r="BB42" i="67" l="1"/>
  <c r="BC41" i="67"/>
  <c r="BB43" i="67" l="1"/>
  <c r="BC42" i="67"/>
  <c r="BB44" i="67" l="1"/>
  <c r="BC43" i="67"/>
  <c r="BB45" i="67" l="1"/>
  <c r="BC44" i="67"/>
  <c r="BB46" i="67" l="1"/>
  <c r="BC45" i="67"/>
  <c r="BB47" i="67" l="1"/>
  <c r="BC46" i="67"/>
  <c r="BB48" i="67" l="1"/>
  <c r="BC47" i="67"/>
  <c r="BB49" i="67" l="1"/>
  <c r="BC48" i="67"/>
  <c r="BB50" i="67" l="1"/>
  <c r="BC49" i="67"/>
  <c r="BB51" i="67" l="1"/>
  <c r="BC50" i="67"/>
  <c r="BB52" i="67" l="1"/>
  <c r="BC51" i="67"/>
  <c r="BB53" i="67" l="1"/>
  <c r="BC53" i="67" s="1"/>
  <c r="BC52" i="67"/>
  <c r="BE25" i="67" l="1"/>
  <c r="BF25" i="67" s="1"/>
  <c r="BN25" i="67"/>
  <c r="BN26" i="67" s="1"/>
  <c r="BN27" i="67" s="1"/>
  <c r="BN28" i="67" s="1"/>
  <c r="BN29" i="67" s="1"/>
  <c r="BN30" i="67" s="1"/>
  <c r="BN31" i="67" s="1"/>
  <c r="BN32" i="67" s="1"/>
  <c r="BN33" i="67" s="1"/>
  <c r="BN34" i="67" s="1"/>
  <c r="BN35" i="67" s="1"/>
  <c r="BN36" i="67" s="1"/>
  <c r="BN37" i="67" s="1"/>
  <c r="BN38" i="67" s="1"/>
  <c r="BN39" i="67" s="1"/>
  <c r="BN40" i="67" s="1"/>
  <c r="BN41" i="67" s="1"/>
  <c r="BN42" i="67" s="1"/>
  <c r="BN43" i="67" s="1"/>
  <c r="BN44" i="67" s="1"/>
  <c r="BN45" i="67" s="1"/>
  <c r="BN46" i="67" s="1"/>
  <c r="BN47" i="67" s="1"/>
  <c r="BN48" i="67" s="1"/>
  <c r="BN49" i="67" s="1"/>
  <c r="BN50" i="67" s="1"/>
  <c r="BN51" i="67" s="1"/>
  <c r="BN52" i="67" s="1"/>
  <c r="BN53" i="67" s="1"/>
  <c r="AH65" i="67"/>
  <c r="O66" i="67"/>
  <c r="P65" i="67"/>
  <c r="AM24" i="67"/>
  <c r="AN24" i="67" s="1"/>
  <c r="U24" i="67"/>
  <c r="F24" i="67"/>
  <c r="G24" i="67" s="1"/>
  <c r="F25" i="67" l="1"/>
  <c r="G25" i="67" s="1"/>
  <c r="V24" i="67"/>
  <c r="AG24" i="67"/>
  <c r="U25" i="67"/>
  <c r="AM25" i="67"/>
  <c r="AN25" i="67" s="1"/>
  <c r="AY25" i="67"/>
  <c r="AY24" i="67"/>
  <c r="BE26" i="67"/>
  <c r="BF26" i="67" s="1"/>
  <c r="AX25" i="67"/>
  <c r="AV25" i="67"/>
  <c r="AD25" i="67"/>
  <c r="AD26" i="67" s="1"/>
  <c r="F26" i="67" l="1"/>
  <c r="G26" i="67" s="1"/>
  <c r="V25" i="67"/>
  <c r="AG25" i="67"/>
  <c r="AV26" i="67"/>
  <c r="AV27" i="67" s="1"/>
  <c r="AZ24" i="67"/>
  <c r="AZ25" i="67"/>
  <c r="U26" i="67"/>
  <c r="AM26" i="67"/>
  <c r="AN26" i="67" s="1"/>
  <c r="AY26" i="67"/>
  <c r="BE27" i="67"/>
  <c r="BF27" i="67" s="1"/>
  <c r="AX26" i="67"/>
  <c r="AD27" i="67"/>
  <c r="AH67" i="67"/>
  <c r="P67" i="67"/>
  <c r="O67" i="67"/>
  <c r="C66" i="67"/>
  <c r="D65" i="67"/>
  <c r="N25" i="67" s="1"/>
  <c r="F27" i="67" l="1"/>
  <c r="G27" i="67" s="1"/>
  <c r="AF25" i="67"/>
  <c r="N24" i="67"/>
  <c r="V26" i="67"/>
  <c r="N26" i="67"/>
  <c r="AF24" i="67"/>
  <c r="AG26" i="67"/>
  <c r="AF26" i="67"/>
  <c r="AZ26" i="67"/>
  <c r="U27" i="67"/>
  <c r="AY27" i="67"/>
  <c r="AM27" i="67"/>
  <c r="AN27" i="67" s="1"/>
  <c r="BE28" i="67"/>
  <c r="BF28" i="67" s="1"/>
  <c r="AX27" i="67"/>
  <c r="AV28" i="67"/>
  <c r="AD28" i="67"/>
  <c r="AG67" i="67"/>
  <c r="AG66" i="67"/>
  <c r="D67" i="67"/>
  <c r="B26" i="67" s="1"/>
  <c r="C67" i="67"/>
  <c r="U31" i="65"/>
  <c r="E8" i="65"/>
  <c r="F34" i="66"/>
  <c r="E34" i="66"/>
  <c r="F17" i="66"/>
  <c r="E17" i="66"/>
  <c r="K10" i="65"/>
  <c r="M10" i="65" s="1"/>
  <c r="L6" i="65"/>
  <c r="V38" i="65"/>
  <c r="B24" i="67" l="1"/>
  <c r="B25" i="67"/>
  <c r="F28" i="67"/>
  <c r="G28" i="67" s="1"/>
  <c r="B27" i="67"/>
  <c r="V27" i="67"/>
  <c r="N27" i="67"/>
  <c r="AG27" i="67"/>
  <c r="AF27" i="67"/>
  <c r="AZ27" i="67"/>
  <c r="U28" i="67"/>
  <c r="N28" i="67" s="1"/>
  <c r="AY28" i="67"/>
  <c r="AM28" i="67"/>
  <c r="AN28" i="67" s="1"/>
  <c r="BE29" i="67"/>
  <c r="BF29" i="67" s="1"/>
  <c r="AX28" i="67"/>
  <c r="F19" i="66"/>
  <c r="AV29" i="67"/>
  <c r="AD29" i="67"/>
  <c r="F36" i="66"/>
  <c r="I105" i="65"/>
  <c r="G110" i="65"/>
  <c r="F29" i="67" l="1"/>
  <c r="G29" i="67" s="1"/>
  <c r="B28" i="67"/>
  <c r="O28" i="67"/>
  <c r="P28" i="67" s="1"/>
  <c r="V28" i="67"/>
  <c r="AG28" i="67"/>
  <c r="AF28" i="67"/>
  <c r="AZ28" i="67"/>
  <c r="U29" i="67"/>
  <c r="N29" i="67" s="1"/>
  <c r="AM29" i="67"/>
  <c r="AN29" i="67" s="1"/>
  <c r="AY29" i="67"/>
  <c r="BE30" i="67"/>
  <c r="BF30" i="67" s="1"/>
  <c r="AX29" i="67"/>
  <c r="E40" i="66"/>
  <c r="E41" i="66" s="1"/>
  <c r="AH26" i="67"/>
  <c r="O25" i="67"/>
  <c r="P25" i="67" s="1"/>
  <c r="O26" i="67"/>
  <c r="P26" i="67" s="1"/>
  <c r="O24" i="67"/>
  <c r="P24" i="67" s="1"/>
  <c r="AH24" i="67"/>
  <c r="O27" i="67"/>
  <c r="P27" i="67" s="1"/>
  <c r="AV30" i="67"/>
  <c r="AD30" i="67"/>
  <c r="C24" i="67"/>
  <c r="D24" i="67" s="1"/>
  <c r="C25" i="67"/>
  <c r="D25" i="67" s="1"/>
  <c r="I107" i="65"/>
  <c r="I106" i="65"/>
  <c r="F30" i="67" l="1"/>
  <c r="G30" i="67" s="1"/>
  <c r="B29" i="67"/>
  <c r="O29" i="67"/>
  <c r="P29" i="67" s="1"/>
  <c r="V29" i="67"/>
  <c r="AG29" i="67"/>
  <c r="AF29" i="67"/>
  <c r="AZ29" i="67"/>
  <c r="AY30" i="67"/>
  <c r="U30" i="67"/>
  <c r="N30" i="67" s="1"/>
  <c r="AM30" i="67"/>
  <c r="AN30" i="67" s="1"/>
  <c r="BE31" i="67"/>
  <c r="BF31" i="67" s="1"/>
  <c r="AX30" i="67"/>
  <c r="AH25" i="67"/>
  <c r="AV31" i="67"/>
  <c r="AD31" i="67"/>
  <c r="K8" i="65"/>
  <c r="K6" i="65"/>
  <c r="M6" i="65" s="1"/>
  <c r="K92" i="65"/>
  <c r="U72" i="65"/>
  <c r="X71" i="65"/>
  <c r="V71" i="65"/>
  <c r="R71" i="65" s="1"/>
  <c r="K71" i="65"/>
  <c r="X70" i="65"/>
  <c r="V70" i="65"/>
  <c r="R70" i="65" s="1"/>
  <c r="C70" i="65"/>
  <c r="B70" i="65"/>
  <c r="X69" i="65"/>
  <c r="V69" i="65"/>
  <c r="R69" i="65" s="1"/>
  <c r="X68" i="65"/>
  <c r="V68" i="65"/>
  <c r="R68" i="65" s="1"/>
  <c r="X67" i="65"/>
  <c r="V67" i="65"/>
  <c r="R67" i="65" s="1"/>
  <c r="X66" i="65"/>
  <c r="V66" i="65"/>
  <c r="R66" i="65" s="1"/>
  <c r="X65" i="65"/>
  <c r="V65" i="65"/>
  <c r="R65" i="65" s="1"/>
  <c r="X64" i="65"/>
  <c r="V64" i="65"/>
  <c r="R64" i="65" s="1"/>
  <c r="X63" i="65"/>
  <c r="V63" i="65"/>
  <c r="R63" i="65" s="1"/>
  <c r="K63" i="65"/>
  <c r="X62" i="65"/>
  <c r="K62" i="65"/>
  <c r="C62" i="65"/>
  <c r="B62" i="65"/>
  <c r="X61" i="65"/>
  <c r="K61" i="65"/>
  <c r="X60" i="65"/>
  <c r="K60" i="65"/>
  <c r="X59" i="65"/>
  <c r="V59" i="65"/>
  <c r="V60" i="65" s="1"/>
  <c r="U51" i="65"/>
  <c r="X50" i="65"/>
  <c r="V50" i="65"/>
  <c r="R50" i="65" s="1"/>
  <c r="S50" i="65" s="1"/>
  <c r="H50" i="65"/>
  <c r="X49" i="65"/>
  <c r="V49" i="65"/>
  <c r="R49" i="65" s="1"/>
  <c r="G49" i="65"/>
  <c r="H49" i="65" s="1"/>
  <c r="X48" i="65"/>
  <c r="V48" i="65"/>
  <c r="R48" i="65" s="1"/>
  <c r="H48" i="65"/>
  <c r="C48" i="65"/>
  <c r="X47" i="65"/>
  <c r="V47" i="65"/>
  <c r="R47" i="65" s="1"/>
  <c r="S47" i="65" s="1"/>
  <c r="X46" i="65"/>
  <c r="V46" i="65"/>
  <c r="R46" i="65" s="1"/>
  <c r="X45" i="65"/>
  <c r="X44" i="65"/>
  <c r="X43" i="65"/>
  <c r="X42" i="65"/>
  <c r="X41" i="65"/>
  <c r="F41" i="65"/>
  <c r="X40" i="65"/>
  <c r="F40" i="65"/>
  <c r="X39" i="65"/>
  <c r="F39" i="65"/>
  <c r="X38" i="65"/>
  <c r="V39" i="65"/>
  <c r="F38" i="65"/>
  <c r="B38" i="65"/>
  <c r="B48" i="65" s="1"/>
  <c r="C36" i="65"/>
  <c r="X30" i="65"/>
  <c r="G30" i="65"/>
  <c r="C30" i="65"/>
  <c r="B30" i="65"/>
  <c r="X29" i="65"/>
  <c r="H29" i="65"/>
  <c r="X28" i="65"/>
  <c r="X27" i="65"/>
  <c r="X26" i="65"/>
  <c r="X25" i="65"/>
  <c r="X24" i="65"/>
  <c r="X23" i="65"/>
  <c r="H23" i="65"/>
  <c r="X22" i="65"/>
  <c r="G22" i="65"/>
  <c r="H22" i="65" s="1"/>
  <c r="C22" i="65"/>
  <c r="B22" i="65"/>
  <c r="X21" i="65"/>
  <c r="H21" i="65"/>
  <c r="F25" i="65" s="1"/>
  <c r="X20" i="65"/>
  <c r="X19" i="65"/>
  <c r="X18" i="65"/>
  <c r="V18" i="65"/>
  <c r="R18" i="65" s="1"/>
  <c r="D11" i="65"/>
  <c r="E11" i="65" s="1"/>
  <c r="C7" i="65"/>
  <c r="E7" i="65" s="1"/>
  <c r="F31" i="67" l="1"/>
  <c r="G31" i="67" s="1"/>
  <c r="B30" i="67"/>
  <c r="O30" i="67"/>
  <c r="P30" i="67" s="1"/>
  <c r="V30" i="67"/>
  <c r="AG30" i="67"/>
  <c r="AF30" i="67"/>
  <c r="AH29" i="67"/>
  <c r="AZ30" i="67"/>
  <c r="U31" i="67"/>
  <c r="N31" i="67" s="1"/>
  <c r="AM31" i="67"/>
  <c r="AN31" i="67" s="1"/>
  <c r="AY31" i="67"/>
  <c r="BE32" i="67"/>
  <c r="BF32" i="67" s="1"/>
  <c r="AX31" i="67"/>
  <c r="AH28" i="67"/>
  <c r="AH27" i="67"/>
  <c r="AV32" i="67"/>
  <c r="AD32" i="67"/>
  <c r="C26" i="67"/>
  <c r="D26" i="67" s="1"/>
  <c r="X31" i="65"/>
  <c r="T68" i="65"/>
  <c r="H30" i="65"/>
  <c r="X72" i="65"/>
  <c r="G41" i="65"/>
  <c r="F43" i="65"/>
  <c r="R38" i="65"/>
  <c r="S38" i="65" s="1"/>
  <c r="R59" i="65"/>
  <c r="S59" i="65" s="1"/>
  <c r="B47" i="65"/>
  <c r="G25" i="65"/>
  <c r="H24" i="65" s="1"/>
  <c r="K66" i="65"/>
  <c r="M74" i="65" s="1"/>
  <c r="T63" i="65"/>
  <c r="T66" i="65"/>
  <c r="E12" i="65"/>
  <c r="H13" i="65" s="1"/>
  <c r="X51" i="65"/>
  <c r="F32" i="65"/>
  <c r="S18" i="65"/>
  <c r="T18" i="65"/>
  <c r="V19" i="65"/>
  <c r="V40" i="65"/>
  <c r="R39" i="65"/>
  <c r="T46" i="65"/>
  <c r="S46" i="65"/>
  <c r="S48" i="65"/>
  <c r="T48" i="65"/>
  <c r="S49" i="65"/>
  <c r="T49" i="65"/>
  <c r="V61" i="65"/>
  <c r="R60" i="65"/>
  <c r="S69" i="65"/>
  <c r="T69" i="65"/>
  <c r="S70" i="65"/>
  <c r="T70" i="65"/>
  <c r="T64" i="65"/>
  <c r="S64" i="65"/>
  <c r="T67" i="65"/>
  <c r="S67" i="65"/>
  <c r="S71" i="65"/>
  <c r="T71" i="65"/>
  <c r="S65" i="65"/>
  <c r="T65" i="65"/>
  <c r="F52" i="65"/>
  <c r="S63" i="65"/>
  <c r="S66" i="65"/>
  <c r="S68" i="65"/>
  <c r="G52" i="65"/>
  <c r="G32" i="65"/>
  <c r="T47" i="65"/>
  <c r="Y47" i="65" s="1"/>
  <c r="T50" i="65"/>
  <c r="Y50" i="65" s="1"/>
  <c r="C31" i="67" l="1"/>
  <c r="F32" i="67"/>
  <c r="G32" i="67" s="1"/>
  <c r="B31" i="67"/>
  <c r="O31" i="67"/>
  <c r="P31" i="67" s="1"/>
  <c r="V31" i="67"/>
  <c r="AH30" i="67"/>
  <c r="AG31" i="67"/>
  <c r="AF31" i="67"/>
  <c r="AZ31" i="67"/>
  <c r="U32" i="67"/>
  <c r="N32" i="67" s="1"/>
  <c r="AM32" i="67"/>
  <c r="AN32" i="67" s="1"/>
  <c r="AY32" i="67"/>
  <c r="BE33" i="67"/>
  <c r="BF33" i="67" s="1"/>
  <c r="AX32" i="67"/>
  <c r="H32" i="65"/>
  <c r="H33" i="65" s="1"/>
  <c r="AV33" i="67"/>
  <c r="AD33" i="67"/>
  <c r="C29" i="67"/>
  <c r="D29" i="67" s="1"/>
  <c r="C30" i="67"/>
  <c r="D30" i="67" s="1"/>
  <c r="C28" i="67"/>
  <c r="D28" i="67" s="1"/>
  <c r="C27" i="67"/>
  <c r="D27" i="67" s="1"/>
  <c r="Y68" i="65"/>
  <c r="T59" i="65"/>
  <c r="Y59" i="65" s="1"/>
  <c r="Y63" i="65"/>
  <c r="K74" i="65"/>
  <c r="T38" i="65"/>
  <c r="Y38" i="65" s="1"/>
  <c r="Y18" i="65"/>
  <c r="Y65" i="65"/>
  <c r="Y66" i="65"/>
  <c r="R19" i="65"/>
  <c r="V20" i="65"/>
  <c r="Y71" i="65"/>
  <c r="Y48" i="65"/>
  <c r="Y67" i="65"/>
  <c r="Y46" i="65"/>
  <c r="Y70" i="65"/>
  <c r="S60" i="65"/>
  <c r="T60" i="65"/>
  <c r="T39" i="65"/>
  <c r="S39" i="65"/>
  <c r="H51" i="65"/>
  <c r="Y64" i="65"/>
  <c r="Y69" i="65"/>
  <c r="Y49" i="65"/>
  <c r="R61" i="65"/>
  <c r="V62" i="65"/>
  <c r="R62" i="65" s="1"/>
  <c r="V41" i="65"/>
  <c r="R40" i="65"/>
  <c r="D31" i="67" l="1"/>
  <c r="F33" i="67"/>
  <c r="G33" i="67" s="1"/>
  <c r="B32" i="67"/>
  <c r="C32" i="67"/>
  <c r="O32" i="67"/>
  <c r="P32" i="67" s="1"/>
  <c r="V32" i="67"/>
  <c r="AH31" i="67"/>
  <c r="AG32" i="67"/>
  <c r="AF32" i="67"/>
  <c r="AZ32" i="67"/>
  <c r="U33" i="67"/>
  <c r="N33" i="67" s="1"/>
  <c r="AY33" i="67"/>
  <c r="AM33" i="67"/>
  <c r="AN33" i="67" s="1"/>
  <c r="BE34" i="67"/>
  <c r="BF34" i="67" s="1"/>
  <c r="AX33" i="67"/>
  <c r="AV34" i="67"/>
  <c r="AD34" i="67"/>
  <c r="R20" i="65"/>
  <c r="V21" i="65"/>
  <c r="S19" i="65"/>
  <c r="T19" i="65"/>
  <c r="R41" i="65"/>
  <c r="V42" i="65"/>
  <c r="T40" i="65"/>
  <c r="S40" i="65"/>
  <c r="Y39" i="65"/>
  <c r="T61" i="65"/>
  <c r="S61" i="65"/>
  <c r="Y60" i="65"/>
  <c r="S62" i="65"/>
  <c r="T62" i="65"/>
  <c r="D32" i="67" l="1"/>
  <c r="F34" i="67"/>
  <c r="G34" i="67" s="1"/>
  <c r="B33" i="67"/>
  <c r="C33" i="67"/>
  <c r="O33" i="67"/>
  <c r="P33" i="67" s="1"/>
  <c r="V33" i="67"/>
  <c r="AH32" i="67"/>
  <c r="AG33" i="67"/>
  <c r="AF33" i="67"/>
  <c r="AZ33" i="67"/>
  <c r="U34" i="67"/>
  <c r="AM34" i="67"/>
  <c r="AN34" i="67" s="1"/>
  <c r="AY34" i="67"/>
  <c r="BE35" i="67"/>
  <c r="BF35" i="67" s="1"/>
  <c r="AX34" i="67"/>
  <c r="AV35" i="67"/>
  <c r="AD35" i="67"/>
  <c r="R21" i="65"/>
  <c r="T21" i="65" s="1"/>
  <c r="V22" i="65"/>
  <c r="Y19" i="65"/>
  <c r="Y62" i="65"/>
  <c r="Y40" i="65"/>
  <c r="Y61" i="65"/>
  <c r="T20" i="65"/>
  <c r="S20" i="65"/>
  <c r="S41" i="65"/>
  <c r="T41" i="65"/>
  <c r="R42" i="65"/>
  <c r="V43" i="65"/>
  <c r="D33" i="67" l="1"/>
  <c r="F35" i="67"/>
  <c r="G35" i="67" s="1"/>
  <c r="B34" i="67"/>
  <c r="C34" i="67"/>
  <c r="V34" i="67"/>
  <c r="N34" i="67"/>
  <c r="AH33" i="67"/>
  <c r="AG34" i="67"/>
  <c r="AF34" i="67"/>
  <c r="AZ34" i="67"/>
  <c r="U35" i="67"/>
  <c r="N35" i="67" s="1"/>
  <c r="O34" i="67"/>
  <c r="AM35" i="67"/>
  <c r="AN35" i="67" s="1"/>
  <c r="AY35" i="67"/>
  <c r="BE36" i="67"/>
  <c r="BF36" i="67" s="1"/>
  <c r="AX35" i="67"/>
  <c r="AV36" i="67"/>
  <c r="AD36" i="67"/>
  <c r="R22" i="65"/>
  <c r="V23" i="65"/>
  <c r="S21" i="65"/>
  <c r="Y21" i="65" s="1"/>
  <c r="Y72" i="65"/>
  <c r="Y20" i="65"/>
  <c r="Y41" i="65"/>
  <c r="S42" i="65"/>
  <c r="T42" i="65"/>
  <c r="R43" i="65"/>
  <c r="V44" i="65"/>
  <c r="D34" i="67" l="1"/>
  <c r="F36" i="67"/>
  <c r="G36" i="67" s="1"/>
  <c r="B35" i="67"/>
  <c r="C35" i="67"/>
  <c r="P34" i="67"/>
  <c r="O35" i="67"/>
  <c r="P35" i="67" s="1"/>
  <c r="V35" i="67"/>
  <c r="AH34" i="67"/>
  <c r="AG35" i="67"/>
  <c r="AF35" i="67"/>
  <c r="AZ35" i="67"/>
  <c r="U36" i="67"/>
  <c r="AM36" i="67"/>
  <c r="AN36" i="67" s="1"/>
  <c r="AY36" i="67"/>
  <c r="BE37" i="67"/>
  <c r="BF37" i="67" s="1"/>
  <c r="AX36" i="67"/>
  <c r="AV37" i="67"/>
  <c r="AD37" i="67"/>
  <c r="T22" i="65"/>
  <c r="S22" i="65"/>
  <c r="R23" i="65"/>
  <c r="V24" i="65"/>
  <c r="Y42" i="65"/>
  <c r="T43" i="65"/>
  <c r="S43" i="65"/>
  <c r="R44" i="65"/>
  <c r="V45" i="65"/>
  <c r="R45" i="65" s="1"/>
  <c r="D35" i="67" l="1"/>
  <c r="F37" i="67"/>
  <c r="G37" i="67" s="1"/>
  <c r="B36" i="67"/>
  <c r="C36" i="67"/>
  <c r="V36" i="67"/>
  <c r="N36" i="67"/>
  <c r="AH35" i="67"/>
  <c r="AG36" i="67"/>
  <c r="AF36" i="67"/>
  <c r="AZ36" i="67"/>
  <c r="U37" i="67"/>
  <c r="N37" i="67" s="1"/>
  <c r="O36" i="67"/>
  <c r="AM37" i="67"/>
  <c r="AN37" i="67" s="1"/>
  <c r="AY37" i="67"/>
  <c r="BE38" i="67"/>
  <c r="BF38" i="67" s="1"/>
  <c r="AX37" i="67"/>
  <c r="AV38" i="67"/>
  <c r="AD38" i="67"/>
  <c r="T23" i="65"/>
  <c r="S23" i="65"/>
  <c r="R24" i="65"/>
  <c r="V25" i="65"/>
  <c r="Y22" i="65"/>
  <c r="Y43" i="65"/>
  <c r="T45" i="65"/>
  <c r="S45" i="65"/>
  <c r="S44" i="65"/>
  <c r="T44" i="65"/>
  <c r="D36" i="67" l="1"/>
  <c r="F38" i="67"/>
  <c r="G38" i="67" s="1"/>
  <c r="B37" i="67"/>
  <c r="C37" i="67"/>
  <c r="D37" i="67" s="1"/>
  <c r="P36" i="67"/>
  <c r="O37" i="67"/>
  <c r="P37" i="67" s="1"/>
  <c r="V37" i="67"/>
  <c r="AH36" i="67"/>
  <c r="AG37" i="67"/>
  <c r="AF37" i="67"/>
  <c r="AZ37" i="67"/>
  <c r="U38" i="67"/>
  <c r="N38" i="67" s="1"/>
  <c r="AM38" i="67"/>
  <c r="AN38" i="67" s="1"/>
  <c r="AY38" i="67"/>
  <c r="BE39" i="67"/>
  <c r="BF39" i="67" s="1"/>
  <c r="AX38" i="67"/>
  <c r="AV39" i="67"/>
  <c r="AD39" i="67"/>
  <c r="S24" i="65"/>
  <c r="T24" i="65"/>
  <c r="Y23" i="65"/>
  <c r="R25" i="65"/>
  <c r="V26" i="65"/>
  <c r="Y44" i="65"/>
  <c r="Y45" i="65"/>
  <c r="F39" i="67" l="1"/>
  <c r="G39" i="67" s="1"/>
  <c r="B38" i="67"/>
  <c r="C38" i="67"/>
  <c r="O38" i="67"/>
  <c r="P38" i="67" s="1"/>
  <c r="V38" i="67"/>
  <c r="AG38" i="67"/>
  <c r="AF38" i="67"/>
  <c r="AH37" i="67"/>
  <c r="AZ38" i="67"/>
  <c r="U39" i="67"/>
  <c r="N39" i="67" s="1"/>
  <c r="AM39" i="67"/>
  <c r="AN39" i="67" s="1"/>
  <c r="AY39" i="67"/>
  <c r="BE40" i="67"/>
  <c r="BF40" i="67" s="1"/>
  <c r="AX39" i="67"/>
  <c r="AV40" i="67"/>
  <c r="AD40" i="67"/>
  <c r="Y24" i="65"/>
  <c r="R26" i="65"/>
  <c r="V27" i="65"/>
  <c r="T25" i="65"/>
  <c r="S25" i="65"/>
  <c r="Y51" i="65"/>
  <c r="D38" i="67" l="1"/>
  <c r="F40" i="67"/>
  <c r="G40" i="67" s="1"/>
  <c r="B39" i="67"/>
  <c r="C39" i="67"/>
  <c r="D39" i="67" s="1"/>
  <c r="O39" i="67"/>
  <c r="P39" i="67" s="1"/>
  <c r="V39" i="67"/>
  <c r="AH38" i="67"/>
  <c r="AG39" i="67"/>
  <c r="AF39" i="67"/>
  <c r="AZ39" i="67"/>
  <c r="U40" i="67"/>
  <c r="AM40" i="67"/>
  <c r="AN40" i="67" s="1"/>
  <c r="AY40" i="67"/>
  <c r="BE41" i="67"/>
  <c r="BF41" i="67" s="1"/>
  <c r="AX40" i="67"/>
  <c r="AV41" i="67"/>
  <c r="AD41" i="67"/>
  <c r="S26" i="65"/>
  <c r="T26" i="65"/>
  <c r="R27" i="65"/>
  <c r="V28" i="65"/>
  <c r="Y25" i="65"/>
  <c r="F41" i="67" l="1"/>
  <c r="G41" i="67" s="1"/>
  <c r="B40" i="67"/>
  <c r="C40" i="67"/>
  <c r="V40" i="67"/>
  <c r="N40" i="67"/>
  <c r="AH39" i="67"/>
  <c r="AG40" i="67"/>
  <c r="AF40" i="67"/>
  <c r="AZ40" i="67"/>
  <c r="AY41" i="67"/>
  <c r="U41" i="67"/>
  <c r="O40" i="67"/>
  <c r="AM41" i="67"/>
  <c r="AN41" i="67" s="1"/>
  <c r="BE42" i="67"/>
  <c r="BF42" i="67" s="1"/>
  <c r="AX41" i="67"/>
  <c r="AV42" i="67"/>
  <c r="AD42" i="67"/>
  <c r="Y26" i="65"/>
  <c r="S27" i="65"/>
  <c r="T27" i="65"/>
  <c r="R28" i="65"/>
  <c r="V29" i="65"/>
  <c r="P40" i="67" l="1"/>
  <c r="D40" i="67"/>
  <c r="F42" i="67"/>
  <c r="G42" i="67" s="1"/>
  <c r="B41" i="67"/>
  <c r="C41" i="67"/>
  <c r="AH40" i="67"/>
  <c r="V41" i="67"/>
  <c r="N41" i="67"/>
  <c r="AG41" i="67"/>
  <c r="AF41" i="67"/>
  <c r="AZ41" i="67"/>
  <c r="U42" i="67"/>
  <c r="N42" i="67" s="1"/>
  <c r="O41" i="67"/>
  <c r="AM42" i="67"/>
  <c r="AN42" i="67" s="1"/>
  <c r="AY42" i="67"/>
  <c r="BE43" i="67"/>
  <c r="BF43" i="67" s="1"/>
  <c r="AX42" i="67"/>
  <c r="AV43" i="67"/>
  <c r="AD43" i="67"/>
  <c r="Y27" i="65"/>
  <c r="S28" i="65"/>
  <c r="T28" i="65"/>
  <c r="R29" i="65"/>
  <c r="V30" i="65"/>
  <c r="R30" i="65" s="1"/>
  <c r="D41" i="67" l="1"/>
  <c r="F43" i="67"/>
  <c r="G43" i="67" s="1"/>
  <c r="B42" i="67"/>
  <c r="C42" i="67"/>
  <c r="P41" i="67"/>
  <c r="O42" i="67"/>
  <c r="P42" i="67" s="1"/>
  <c r="V42" i="67"/>
  <c r="AH41" i="67"/>
  <c r="AG42" i="67"/>
  <c r="AF42" i="67"/>
  <c r="AZ42" i="67"/>
  <c r="U43" i="67"/>
  <c r="N43" i="67" s="1"/>
  <c r="AM43" i="67"/>
  <c r="AN43" i="67" s="1"/>
  <c r="AY43" i="67"/>
  <c r="BE44" i="67"/>
  <c r="BF44" i="67" s="1"/>
  <c r="AX43" i="67"/>
  <c r="AV44" i="67"/>
  <c r="AD44" i="67"/>
  <c r="Y28" i="65"/>
  <c r="T29" i="65"/>
  <c r="S29" i="65"/>
  <c r="S30" i="65"/>
  <c r="T30" i="65"/>
  <c r="D42" i="67" l="1"/>
  <c r="F44" i="67"/>
  <c r="G44" i="67" s="1"/>
  <c r="B43" i="67"/>
  <c r="C43" i="67"/>
  <c r="D43" i="67" s="1"/>
  <c r="O43" i="67"/>
  <c r="P43" i="67" s="1"/>
  <c r="V43" i="67"/>
  <c r="AH42" i="67"/>
  <c r="AG43" i="67"/>
  <c r="AF43" i="67"/>
  <c r="AZ43" i="67"/>
  <c r="U44" i="67"/>
  <c r="N44" i="67" s="1"/>
  <c r="AY44" i="67"/>
  <c r="AM44" i="67"/>
  <c r="AN44" i="67" s="1"/>
  <c r="BE45" i="67"/>
  <c r="BF45" i="67" s="1"/>
  <c r="AX44" i="67"/>
  <c r="AV45" i="67"/>
  <c r="AD45" i="67"/>
  <c r="Y30" i="65"/>
  <c r="Y29" i="65"/>
  <c r="F45" i="67" l="1"/>
  <c r="G45" i="67" s="1"/>
  <c r="B44" i="67"/>
  <c r="C44" i="67"/>
  <c r="O44" i="67"/>
  <c r="P44" i="67" s="1"/>
  <c r="V44" i="67"/>
  <c r="AH43" i="67"/>
  <c r="AG44" i="67"/>
  <c r="AF44" i="67"/>
  <c r="AZ44" i="67"/>
  <c r="U45" i="67"/>
  <c r="N45" i="67" s="1"/>
  <c r="AM45" i="67"/>
  <c r="AN45" i="67" s="1"/>
  <c r="AY45" i="67"/>
  <c r="BE46" i="67"/>
  <c r="BF46" i="67" s="1"/>
  <c r="AX45" i="67"/>
  <c r="AV46" i="67"/>
  <c r="AD46" i="67"/>
  <c r="Y31" i="65"/>
  <c r="Y33" i="65" s="1"/>
  <c r="D44" i="67" l="1"/>
  <c r="F46" i="67"/>
  <c r="G46" i="67" s="1"/>
  <c r="B45" i="67"/>
  <c r="C45" i="67"/>
  <c r="O45" i="67"/>
  <c r="P45" i="67" s="1"/>
  <c r="V45" i="67"/>
  <c r="AH44" i="67"/>
  <c r="AG45" i="67"/>
  <c r="AF45" i="67"/>
  <c r="AZ45" i="67"/>
  <c r="U46" i="67"/>
  <c r="N46" i="67" s="1"/>
  <c r="AM46" i="67"/>
  <c r="AN46" i="67" s="1"/>
  <c r="AY46" i="67"/>
  <c r="BE47" i="67"/>
  <c r="BF47" i="67" s="1"/>
  <c r="AX46" i="67"/>
  <c r="AV47" i="67"/>
  <c r="AD47" i="67"/>
  <c r="D45" i="67" l="1"/>
  <c r="F47" i="67"/>
  <c r="G47" i="67" s="1"/>
  <c r="B46" i="67"/>
  <c r="C46" i="67"/>
  <c r="D46" i="67" s="1"/>
  <c r="O46" i="67"/>
  <c r="P46" i="67" s="1"/>
  <c r="V46" i="67"/>
  <c r="AG46" i="67"/>
  <c r="AF46" i="67"/>
  <c r="AH45" i="67"/>
  <c r="AZ46" i="67"/>
  <c r="U47" i="67"/>
  <c r="N47" i="67" s="1"/>
  <c r="AM47" i="67"/>
  <c r="AN47" i="67" s="1"/>
  <c r="AY47" i="67"/>
  <c r="BE48" i="67"/>
  <c r="BF48" i="67" s="1"/>
  <c r="AX47" i="67"/>
  <c r="AV48" i="67"/>
  <c r="AD48" i="67"/>
  <c r="F48" i="67" l="1"/>
  <c r="G48" i="67" s="1"/>
  <c r="B47" i="67"/>
  <c r="C47" i="67"/>
  <c r="O47" i="67"/>
  <c r="P47" i="67" s="1"/>
  <c r="V47" i="67"/>
  <c r="AH46" i="67"/>
  <c r="AG47" i="67"/>
  <c r="AF47" i="67"/>
  <c r="AZ47" i="67"/>
  <c r="U48" i="67"/>
  <c r="N48" i="67" s="1"/>
  <c r="AM48" i="67"/>
  <c r="AN48" i="67" s="1"/>
  <c r="AY48" i="67"/>
  <c r="BE49" i="67"/>
  <c r="BF49" i="67" s="1"/>
  <c r="AX48" i="67"/>
  <c r="AV49" i="67"/>
  <c r="AD49" i="67"/>
  <c r="D47" i="67" l="1"/>
  <c r="F49" i="67"/>
  <c r="G49" i="67" s="1"/>
  <c r="B48" i="67"/>
  <c r="C48" i="67"/>
  <c r="D48" i="67" s="1"/>
  <c r="O48" i="67"/>
  <c r="P48" i="67" s="1"/>
  <c r="V48" i="67"/>
  <c r="AH47" i="67"/>
  <c r="AG48" i="67"/>
  <c r="AF48" i="67"/>
  <c r="AZ48" i="67"/>
  <c r="U49" i="67"/>
  <c r="N49" i="67" s="1"/>
  <c r="AM49" i="67"/>
  <c r="AN49" i="67" s="1"/>
  <c r="AY49" i="67"/>
  <c r="BE50" i="67"/>
  <c r="BF50" i="67" s="1"/>
  <c r="AX49" i="67"/>
  <c r="AV50" i="67"/>
  <c r="AD50" i="67"/>
  <c r="F50" i="67" l="1"/>
  <c r="G50" i="67" s="1"/>
  <c r="B49" i="67"/>
  <c r="C49" i="67"/>
  <c r="O49" i="67"/>
  <c r="P49" i="67" s="1"/>
  <c r="V49" i="67"/>
  <c r="AH48" i="67"/>
  <c r="AG49" i="67"/>
  <c r="AF49" i="67"/>
  <c r="AZ49" i="67"/>
  <c r="U50" i="67"/>
  <c r="AY50" i="67"/>
  <c r="AM50" i="67"/>
  <c r="AN50" i="67" s="1"/>
  <c r="BE51" i="67"/>
  <c r="BF51" i="67" s="1"/>
  <c r="AX50" i="67"/>
  <c r="AV51" i="67"/>
  <c r="AD51" i="67"/>
  <c r="D49" i="67" l="1"/>
  <c r="F51" i="67"/>
  <c r="G51" i="67" s="1"/>
  <c r="B50" i="67"/>
  <c r="C50" i="67"/>
  <c r="V50" i="67"/>
  <c r="N50" i="67"/>
  <c r="AH49" i="67"/>
  <c r="AG50" i="67"/>
  <c r="AF50" i="67"/>
  <c r="AZ50" i="67"/>
  <c r="AY51" i="67"/>
  <c r="U51" i="67"/>
  <c r="N51" i="67" s="1"/>
  <c r="O50" i="67"/>
  <c r="AM51" i="67"/>
  <c r="AN51" i="67" s="1"/>
  <c r="BE52" i="67"/>
  <c r="BF52" i="67" s="1"/>
  <c r="AX51" i="67"/>
  <c r="AV52" i="67"/>
  <c r="AD52" i="67"/>
  <c r="D50" i="67" l="1"/>
  <c r="F52" i="67"/>
  <c r="G52" i="67" s="1"/>
  <c r="B51" i="67"/>
  <c r="C51" i="67"/>
  <c r="P50" i="67"/>
  <c r="O51" i="67"/>
  <c r="P51" i="67" s="1"/>
  <c r="V51" i="67"/>
  <c r="AH50" i="67"/>
  <c r="AG51" i="67"/>
  <c r="AF51" i="67"/>
  <c r="AZ51" i="67"/>
  <c r="U52" i="67"/>
  <c r="N52" i="67" s="1"/>
  <c r="AM52" i="67"/>
  <c r="AN52" i="67" s="1"/>
  <c r="AY52" i="67"/>
  <c r="BE53" i="67"/>
  <c r="BF53" i="67" s="1"/>
  <c r="AX52" i="67"/>
  <c r="AV53" i="67"/>
  <c r="AD53" i="67"/>
  <c r="D51" i="67" l="1"/>
  <c r="F53" i="67"/>
  <c r="G53" i="67" s="1"/>
  <c r="B52" i="67"/>
  <c r="C52" i="67"/>
  <c r="O52" i="67"/>
  <c r="P52" i="67" s="1"/>
  <c r="V52" i="67"/>
  <c r="AH51" i="67"/>
  <c r="AG52" i="67"/>
  <c r="AF52" i="67"/>
  <c r="AZ52" i="67"/>
  <c r="AY53" i="67"/>
  <c r="U53" i="67"/>
  <c r="N53" i="67" s="1"/>
  <c r="AM53" i="67"/>
  <c r="AN53" i="67" s="1"/>
  <c r="BE55" i="67"/>
  <c r="BB55" i="67"/>
  <c r="AX53" i="67"/>
  <c r="AX55" i="67" s="1"/>
  <c r="D52" i="67" l="1"/>
  <c r="F55" i="67"/>
  <c r="B53" i="67"/>
  <c r="B55" i="67" s="1"/>
  <c r="C53" i="67"/>
  <c r="AH52" i="67"/>
  <c r="O53" i="67"/>
  <c r="P53" i="67" s="1"/>
  <c r="V53" i="67"/>
  <c r="AG53" i="67"/>
  <c r="AG55" i="67" s="1"/>
  <c r="AF53" i="67"/>
  <c r="AZ53" i="67"/>
  <c r="AZ55" i="67" s="1"/>
  <c r="AZ59" i="67" s="1"/>
  <c r="U55" i="67"/>
  <c r="AM55" i="67"/>
  <c r="AY55" i="67"/>
  <c r="D53" i="67" l="1"/>
  <c r="D55" i="67" s="1"/>
  <c r="D59" i="67" s="1"/>
  <c r="O55" i="67"/>
  <c r="N55" i="67"/>
  <c r="AF55" i="67"/>
  <c r="AH53" i="67"/>
  <c r="AH55" i="67" s="1"/>
  <c r="AH59" i="67" s="1"/>
  <c r="P55" i="67"/>
  <c r="P59" i="67" s="1"/>
  <c r="C55" i="67"/>
</calcChain>
</file>

<file path=xl/sharedStrings.xml><?xml version="1.0" encoding="utf-8"?>
<sst xmlns="http://schemas.openxmlformats.org/spreadsheetml/2006/main" count="594" uniqueCount="180">
  <si>
    <t>VALOR</t>
  </si>
  <si>
    <t>KM ADICIONAL</t>
  </si>
  <si>
    <t>CAD</t>
  </si>
  <si>
    <t>TOTAL</t>
  </si>
  <si>
    <t>qtd</t>
  </si>
  <si>
    <t>não cad</t>
  </si>
  <si>
    <t>dias</t>
  </si>
  <si>
    <t>valor</t>
  </si>
  <si>
    <t>TEG REGULAR</t>
  </si>
  <si>
    <t>FIXO</t>
  </si>
  <si>
    <t>PER CAPITA</t>
  </si>
  <si>
    <t>ATÉ 15</t>
  </si>
  <si>
    <t>cad</t>
  </si>
  <si>
    <t>creche</t>
  </si>
  <si>
    <t>17 OU MAIS</t>
  </si>
  <si>
    <t>total</t>
  </si>
  <si>
    <t>ACESSIVEL</t>
  </si>
  <si>
    <t>3 OU MAIS</t>
  </si>
  <si>
    <t>TEG ESPECIAL</t>
  </si>
  <si>
    <t>TEG CRECHE</t>
  </si>
  <si>
    <t>ATE 9</t>
  </si>
  <si>
    <t>11 OU MAIS</t>
  </si>
  <si>
    <t>DIAS</t>
  </si>
  <si>
    <t>NÃO CAD</t>
  </si>
  <si>
    <t>qtd após regra</t>
  </si>
  <si>
    <t>fixo/veiculo</t>
  </si>
  <si>
    <t>regra para adaptado = quantidade de cadeirantes é superior a 3, receberá o fixo do adaptado + o número total de não cad</t>
  </si>
  <si>
    <t>CONTINUA</t>
  </si>
  <si>
    <t>SALDO</t>
  </si>
  <si>
    <t>continua</t>
  </si>
  <si>
    <t>Por criança</t>
  </si>
  <si>
    <t>DIAS MÊS</t>
  </si>
  <si>
    <t>Regular</t>
  </si>
  <si>
    <t>Cadeirante</t>
  </si>
  <si>
    <t>Novos valores:</t>
  </si>
  <si>
    <t>dd</t>
  </si>
  <si>
    <t>fixo</t>
  </si>
  <si>
    <t>saldo</t>
  </si>
  <si>
    <t>entrada 
criança</t>
  </si>
  <si>
    <t>qtde 
ccs</t>
  </si>
  <si>
    <t>dia</t>
  </si>
  <si>
    <t>falta</t>
  </si>
  <si>
    <t>FORMULA NÃO CADEIRANTE</t>
  </si>
  <si>
    <t>QTDE</t>
  </si>
  <si>
    <t>N.CAD</t>
  </si>
  <si>
    <t>KM</t>
  </si>
  <si>
    <t>A.CONT</t>
  </si>
  <si>
    <t>VL.AT.CONT</t>
  </si>
  <si>
    <t>TOT N CAD</t>
  </si>
  <si>
    <t>FORMULA CADEIRANTE</t>
  </si>
  <si>
    <t>TOT CAD</t>
  </si>
  <si>
    <t>TOT REC</t>
  </si>
  <si>
    <t>FORMULA ESPECIAL</t>
  </si>
  <si>
    <t>n cad</t>
  </si>
  <si>
    <t>continuo</t>
  </si>
  <si>
    <t>FORMULA TEG CRECHE</t>
  </si>
  <si>
    <t>contínua</t>
  </si>
  <si>
    <t>ativ contínua</t>
  </si>
  <si>
    <t>ajuste posit</t>
  </si>
  <si>
    <t>333,82/1947,98</t>
  </si>
  <si>
    <t>CRECHE</t>
  </si>
  <si>
    <t>Total</t>
  </si>
  <si>
    <t>faltas</t>
  </si>
  <si>
    <t>valor desconto</t>
  </si>
  <si>
    <t>integral</t>
  </si>
  <si>
    <t>valor total</t>
  </si>
  <si>
    <t>FALTAS</t>
  </si>
  <si>
    <t>NÃO CAD REG</t>
  </si>
  <si>
    <t>QTD</t>
  </si>
  <si>
    <t>CADEIRANTE</t>
  </si>
  <si>
    <t>INTEGRAL 01</t>
  </si>
  <si>
    <t>especial</t>
  </si>
  <si>
    <t>crédito</t>
  </si>
  <si>
    <t>salario mês</t>
  </si>
  <si>
    <t>proventos</t>
  </si>
  <si>
    <t>descontos</t>
  </si>
  <si>
    <t>sal subst</t>
  </si>
  <si>
    <t>adiant quinzenal</t>
  </si>
  <si>
    <t>mensalidade unimed</t>
  </si>
  <si>
    <t>inss</t>
  </si>
  <si>
    <t>irrf</t>
  </si>
  <si>
    <t>líquido</t>
  </si>
  <si>
    <t>credito</t>
  </si>
  <si>
    <t>diferença</t>
  </si>
  <si>
    <t>valor para cada um</t>
  </si>
  <si>
    <t>cadeirante</t>
  </si>
  <si>
    <t>Valor referente á atividade contínua</t>
  </si>
  <si>
    <t>Descrição</t>
  </si>
  <si>
    <t>Atual</t>
  </si>
  <si>
    <t>Percapita</t>
  </si>
  <si>
    <t>Fixo</t>
  </si>
  <si>
    <t>Crechee</t>
  </si>
  <si>
    <t>Especiall</t>
  </si>
  <si>
    <t>Km</t>
  </si>
  <si>
    <t>2,5% Regular</t>
  </si>
  <si>
    <t>2,5% Cadeirantee</t>
  </si>
  <si>
    <t>Fixo Acessível</t>
  </si>
  <si>
    <t>VALOR POR DIA</t>
  </si>
  <si>
    <t>Percapta</t>
  </si>
  <si>
    <t>peercapta</t>
  </si>
  <si>
    <t>Creche</t>
  </si>
  <si>
    <t>=</t>
  </si>
  <si>
    <t>&gt;=</t>
  </si>
  <si>
    <t>Movimetacao Crianças</t>
  </si>
  <si>
    <t>Período/ Crianças</t>
  </si>
  <si>
    <t>Data</t>
  </si>
  <si>
    <t>Adaptado</t>
  </si>
  <si>
    <t>Especial</t>
  </si>
  <si>
    <t>PER CAPITA REG</t>
  </si>
  <si>
    <t>PER CAPITA ACES</t>
  </si>
  <si>
    <t>Acessível</t>
  </si>
  <si>
    <t>Qtde dias</t>
  </si>
  <si>
    <t>ValorKM ou Cont</t>
  </si>
  <si>
    <t>Valor Km</t>
  </si>
  <si>
    <t>Valor Continua</t>
  </si>
  <si>
    <t>Acessivel</t>
  </si>
  <si>
    <t>Integal</t>
  </si>
  <si>
    <t>1/2 Periodo</t>
  </si>
  <si>
    <t>Faltas - Qtde Alunos</t>
  </si>
  <si>
    <t>Ponderado</t>
  </si>
  <si>
    <t>Ausencia dia (1/0)</t>
  </si>
  <si>
    <t>calculo entrada 
criança</t>
  </si>
  <si>
    <t>Ponderacao enrada criancas</t>
  </si>
  <si>
    <t>2025/0002604</t>
  </si>
  <si>
    <t>01/04/2026</t>
  </si>
  <si>
    <t>30/04/2026</t>
  </si>
  <si>
    <t>COOTRELUZ COOP DE TRANS DE PAS E ESC LUZ</t>
  </si>
  <si>
    <t>EMEI</t>
  </si>
  <si>
    <t>6020.2025/0002604-6</t>
  </si>
  <si>
    <t>C</t>
  </si>
  <si>
    <t>EMEF</t>
  </si>
  <si>
    <t>EMEE</t>
  </si>
  <si>
    <t>CEI</t>
  </si>
  <si>
    <t>CCA</t>
  </si>
  <si>
    <t>CRMC</t>
  </si>
  <si>
    <t>OS</t>
  </si>
  <si>
    <t>DRE</t>
  </si>
  <si>
    <t>CONTRATO</t>
  </si>
  <si>
    <t>PLACA</t>
  </si>
  <si>
    <t>PERÍODO</t>
  </si>
  <si>
    <t>EMPRESA</t>
  </si>
  <si>
    <t>NOME CONDUTOR</t>
  </si>
  <si>
    <t>TIPO DE VEÍCULO (NORMAL, ADAPTADO)</t>
  </si>
  <si>
    <t>TIPO DE ATENDIMENTO</t>
  </si>
  <si>
    <t>TOTAL CONT REG</t>
  </si>
  <si>
    <t>TOTAL CONT CAD</t>
  </si>
  <si>
    <t>SEI</t>
  </si>
  <si>
    <t>Tipo Optante</t>
  </si>
  <si>
    <t>FALTAS - APONTAR AS DATAS</t>
  </si>
  <si>
    <t>OBSERVAÇÕES ALUNO PRESENCIAL COLUNAS FINAIS</t>
  </si>
  <si>
    <t>Ajuste positivo</t>
  </si>
  <si>
    <t>Ajuste negativo</t>
  </si>
  <si>
    <t>Desconto faltas</t>
  </si>
  <si>
    <t>TOTAL ALUNOS N CAD(30 DIAS)</t>
  </si>
  <si>
    <t>TOTAL ALUNOS N CAD(MENOS DE 30 DIAS)</t>
  </si>
  <si>
    <t>TOTAL ALUNOS ATIV.COMPL. N CAD</t>
  </si>
  <si>
    <t>TOTAL ALUNOS CAD (30 DIAS)</t>
  </si>
  <si>
    <t>TOTAL ALUNOS CAD (MENOS DE 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</si>
  <si>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</si>
  <si>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</si>
  <si>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</si>
  <si>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</si>
  <si>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</si>
  <si>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</si>
  <si>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</si>
  <si>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 xml:space="preserve">Valor km adicional
</t>
  </si>
  <si>
    <t>Outros apontamentos</t>
  </si>
  <si>
    <t>VALOR ATESTE</t>
  </si>
  <si>
    <t>Multa Contratual</t>
  </si>
  <si>
    <t>CÁLCULO</t>
  </si>
  <si>
    <t>N CAD presencial</t>
  </si>
  <si>
    <t xml:space="preserve">CAD </t>
  </si>
  <si>
    <t>AT. COMPL. N CAD</t>
  </si>
  <si>
    <t>AT. COMPL. CAD</t>
  </si>
  <si>
    <t>MP</t>
  </si>
  <si>
    <t>026.371-00</t>
  </si>
  <si>
    <t>2025/0002604-005A</t>
  </si>
  <si>
    <t>FFN4023</t>
  </si>
  <si>
    <t>ELIANE DE MACEDO LIMA</t>
  </si>
  <si>
    <t>ADAPTADO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</si>
</sst>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_(&quot;R$ &quot;* #,##0.00_);_(&quot;R$ &quot;* \(#,##0.00\);_(&quot;R$ &quot;* &quot;-&quot;??_);_(@_)"/>
    <numFmt numFmtId="171" formatCode="_([$€-2]* #,##0.00_);_([$€-2]* \(#,##0.00\);_([$€-2]* &quot;-&quot;??_)"/>
    <numFmt numFmtId="172" formatCode="_-* #,##0_-;\-* #,##0_-;_-* &quot;-&quot;??_-;_-@_-"/>
    <numFmt numFmtId="173" formatCode="&quot;R$&quot;#,##0.00"/>
    <numFmt numFmtId="174" formatCode="#,##0_ ;\-#,##0\ "/>
    <numFmt numFmtId="175" formatCode="00"/>
    <numFmt numFmtId="176" formatCode="##&quot;- &quot;#\.###\.###\-#"/>
    <numFmt numFmtId="177" formatCode="d/m/yy;@"/>
  </numFmts>
  <fonts count="5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20"/>
      <name val="Arial"/>
      <family val="2"/>
    </font>
    <font>
      <sz val="24"/>
      <name val="Arial"/>
      <family val="2"/>
    </font>
    <font>
      <sz val="9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12"/>
      <color theme="1"/>
      <name val="Arial"/>
      <family val="2"/>
    </font>
    <font>
      <sz val="13"/>
      <name val="Arial"/>
      <family val="2"/>
    </font>
    <font>
      <sz val="11"/>
      <color theme="0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.5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rgb="FFFF0000"/>
        <bgColor indexed="41"/>
      </patternFill>
    </fill>
    <fill>
      <patternFill patternType="solid">
        <fgColor rgb="FFFF0000"/>
        <bgColor indexed="27"/>
      </patternFill>
    </fill>
    <fill>
      <patternFill patternType="solid">
        <fgColor rgb="FFFF0000"/>
        <bgColor indexed="21"/>
      </patternFill>
    </fill>
    <fill>
      <patternFill patternType="solid">
        <fgColor rgb="FFFF000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31"/>
      </patternFill>
    </fill>
  </fills>
  <borders count="9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07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166" fontId="25" fillId="0" borderId="0" applyFill="0" applyBorder="0" applyAlignment="0" applyProtection="0"/>
    <xf numFmtId="166" fontId="25" fillId="0" borderId="0" applyFill="0" applyBorder="0" applyAlignment="0" applyProtection="0"/>
    <xf numFmtId="166" fontId="25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9" fillId="0" borderId="0"/>
    <xf numFmtId="0" fontId="18" fillId="0" borderId="0">
      <alignment vertical="top"/>
    </xf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8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8" fillId="0" borderId="0">
      <alignment vertical="top"/>
    </xf>
    <xf numFmtId="0" fontId="20" fillId="0" borderId="0"/>
    <xf numFmtId="0" fontId="25" fillId="23" borderId="7" applyNumberFormat="0" applyAlignment="0" applyProtection="0"/>
    <xf numFmtId="0" fontId="25" fillId="23" borderId="7" applyNumberFormat="0" applyAlignment="0" applyProtection="0"/>
    <xf numFmtId="0" fontId="21" fillId="20" borderId="8" applyNumberFormat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9" fontId="25" fillId="0" borderId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0" fontId="24" fillId="0" borderId="0" applyNumberFormat="0" applyFill="0" applyBorder="0" applyAlignment="0" applyProtection="0"/>
    <xf numFmtId="0" fontId="7" fillId="25" borderId="0" applyNumberFormat="0" applyBorder="0" applyAlignment="0" applyProtection="0"/>
    <xf numFmtId="0" fontId="26" fillId="0" borderId="12" applyProtection="0"/>
    <xf numFmtId="0" fontId="27" fillId="0" borderId="0"/>
    <xf numFmtId="0" fontId="19" fillId="0" borderId="0"/>
    <xf numFmtId="0" fontId="19" fillId="0" borderId="0"/>
    <xf numFmtId="0" fontId="22" fillId="0" borderId="0"/>
    <xf numFmtId="168" fontId="19" fillId="0" borderId="0" applyBorder="0" applyProtection="0"/>
    <xf numFmtId="168" fontId="19" fillId="0" borderId="0" applyBorder="0" applyProtection="0"/>
    <xf numFmtId="0" fontId="11" fillId="26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7" fillId="27" borderId="0" applyNumberFormat="0" applyBorder="0" applyAlignment="0" applyProtection="0"/>
    <xf numFmtId="0" fontId="25" fillId="0" borderId="0"/>
    <xf numFmtId="0" fontId="20" fillId="28" borderId="9" applyNumberFormat="0" applyFont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4" fillId="0" borderId="0"/>
    <xf numFmtId="0" fontId="28" fillId="0" borderId="0"/>
    <xf numFmtId="0" fontId="29" fillId="0" borderId="0"/>
    <xf numFmtId="0" fontId="30" fillId="0" borderId="0"/>
    <xf numFmtId="171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" fillId="0" borderId="0"/>
    <xf numFmtId="0" fontId="3" fillId="0" borderId="0"/>
    <xf numFmtId="0" fontId="20" fillId="0" borderId="0"/>
    <xf numFmtId="0" fontId="30" fillId="0" borderId="0"/>
    <xf numFmtId="9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0" fontId="26" fillId="0" borderId="12" applyProtection="0"/>
    <xf numFmtId="0" fontId="3" fillId="0" borderId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6" fillId="0" borderId="12" applyProtection="0"/>
    <xf numFmtId="43" fontId="25" fillId="0" borderId="0" applyFont="0" applyFill="0" applyBorder="0" applyAlignment="0" applyProtection="0"/>
    <xf numFmtId="0" fontId="3" fillId="0" borderId="0"/>
    <xf numFmtId="0" fontId="18" fillId="0" borderId="0">
      <alignment vertical="top"/>
    </xf>
    <xf numFmtId="0" fontId="3" fillId="0" borderId="0"/>
    <xf numFmtId="0" fontId="3" fillId="0" borderId="0"/>
    <xf numFmtId="0" fontId="3" fillId="0" borderId="0"/>
    <xf numFmtId="165" fontId="25" fillId="0" borderId="0" applyFont="0" applyFill="0" applyBorder="0" applyAlignment="0" applyProtection="0"/>
    <xf numFmtId="0" fontId="3" fillId="0" borderId="0"/>
    <xf numFmtId="0" fontId="5" fillId="0" borderId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0" fontId="30" fillId="0" borderId="0"/>
    <xf numFmtId="0" fontId="26" fillId="0" borderId="12" applyProtection="0"/>
    <xf numFmtId="0" fontId="25" fillId="0" borderId="0"/>
    <xf numFmtId="9" fontId="25" fillId="0" borderId="0" applyFill="0" applyBorder="0" applyAlignment="0" applyProtection="0"/>
    <xf numFmtId="164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39" fillId="0" borderId="0"/>
  </cellStyleXfs>
  <cellXfs count="39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4" borderId="0" xfId="0" applyFill="1"/>
    <xf numFmtId="16" fontId="0" fillId="0" borderId="0" xfId="0" applyNumberFormat="1"/>
    <xf numFmtId="0" fontId="0" fillId="0" borderId="16" xfId="0" applyBorder="1"/>
    <xf numFmtId="0" fontId="33" fillId="0" borderId="0" xfId="0" applyFont="1" applyAlignment="1">
      <alignment vertical="center" wrapText="1"/>
    </xf>
    <xf numFmtId="43" fontId="0" fillId="0" borderId="0" xfId="0" applyNumberFormat="1"/>
    <xf numFmtId="0" fontId="32" fillId="0" borderId="13" xfId="0" applyFont="1" applyBorder="1"/>
    <xf numFmtId="0" fontId="31" fillId="0" borderId="20" xfId="0" applyFont="1" applyBorder="1" applyAlignment="1">
      <alignment horizontal="center"/>
    </xf>
    <xf numFmtId="0" fontId="0" fillId="0" borderId="20" xfId="0" applyBorder="1"/>
    <xf numFmtId="0" fontId="0" fillId="0" borderId="14" xfId="0" applyBorder="1"/>
    <xf numFmtId="0" fontId="32" fillId="0" borderId="21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44" fontId="0" fillId="0" borderId="0" xfId="203" applyNumberFormat="1" applyFont="1" applyBorder="1"/>
    <xf numFmtId="0" fontId="0" fillId="0" borderId="24" xfId="0" applyBorder="1"/>
    <xf numFmtId="0" fontId="32" fillId="0" borderId="25" xfId="0" applyFont="1" applyBorder="1"/>
    <xf numFmtId="0" fontId="32" fillId="0" borderId="0" xfId="0" applyFont="1"/>
    <xf numFmtId="0" fontId="32" fillId="0" borderId="27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32" fillId="0" borderId="34" xfId="0" applyFont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21" xfId="0" applyBorder="1"/>
    <xf numFmtId="44" fontId="31" fillId="0" borderId="37" xfId="203" applyNumberFormat="1" applyFont="1" applyFill="1" applyBorder="1"/>
    <xf numFmtId="0" fontId="31" fillId="0" borderId="38" xfId="0" applyFont="1" applyBorder="1"/>
    <xf numFmtId="0" fontId="32" fillId="0" borderId="23" xfId="0" applyFont="1" applyBorder="1"/>
    <xf numFmtId="44" fontId="31" fillId="0" borderId="10" xfId="203" applyNumberFormat="1" applyFont="1" applyFill="1" applyBorder="1"/>
    <xf numFmtId="0" fontId="0" fillId="0" borderId="39" xfId="0" applyBorder="1"/>
    <xf numFmtId="0" fontId="32" fillId="0" borderId="40" xfId="0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4" fontId="0" fillId="0" borderId="20" xfId="203" applyNumberFormat="1" applyFont="1" applyBorder="1"/>
    <xf numFmtId="44" fontId="0" fillId="0" borderId="14" xfId="203" applyNumberFormat="1" applyFont="1" applyBorder="1"/>
    <xf numFmtId="44" fontId="0" fillId="0" borderId="22" xfId="203" applyNumberFormat="1" applyFont="1" applyBorder="1"/>
    <xf numFmtId="0" fontId="31" fillId="0" borderId="0" xfId="0" applyFont="1"/>
    <xf numFmtId="0" fontId="0" fillId="0" borderId="27" xfId="0" applyBorder="1"/>
    <xf numFmtId="44" fontId="0" fillId="0" borderId="28" xfId="203" applyNumberFormat="1" applyFont="1" applyBorder="1"/>
    <xf numFmtId="44" fontId="0" fillId="0" borderId="44" xfId="203" applyNumberFormat="1" applyFont="1" applyBorder="1"/>
    <xf numFmtId="0" fontId="0" fillId="0" borderId="28" xfId="0" applyBorder="1"/>
    <xf numFmtId="9" fontId="0" fillId="0" borderId="0" xfId="0" applyNumberFormat="1"/>
    <xf numFmtId="0" fontId="0" fillId="0" borderId="15" xfId="0" applyBorder="1"/>
    <xf numFmtId="0" fontId="32" fillId="0" borderId="15" xfId="0" applyFont="1" applyBorder="1"/>
    <xf numFmtId="0" fontId="32" fillId="0" borderId="11" xfId="0" applyFont="1" applyBorder="1"/>
    <xf numFmtId="0" fontId="32" fillId="0" borderId="46" xfId="0" applyFont="1" applyBorder="1"/>
    <xf numFmtId="0" fontId="32" fillId="0" borderId="34" xfId="0" applyFont="1" applyBorder="1" applyAlignment="1">
      <alignment horizontal="right"/>
    </xf>
    <xf numFmtId="0" fontId="32" fillId="0" borderId="34" xfId="0" applyFont="1" applyBorder="1"/>
    <xf numFmtId="4" fontId="32" fillId="0" borderId="34" xfId="0" applyNumberFormat="1" applyFont="1" applyBorder="1" applyAlignment="1">
      <alignment horizontal="right"/>
    </xf>
    <xf numFmtId="43" fontId="32" fillId="0" borderId="34" xfId="124" applyNumberFormat="1" applyFont="1" applyBorder="1" applyAlignment="1">
      <alignment horizontal="right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4" fontId="0" fillId="0" borderId="15" xfId="203" applyNumberFormat="1" applyFont="1" applyBorder="1"/>
    <xf numFmtId="172" fontId="0" fillId="24" borderId="15" xfId="124" applyNumberFormat="1" applyFont="1" applyFill="1" applyBorder="1"/>
    <xf numFmtId="172" fontId="31" fillId="0" borderId="15" xfId="124" applyNumberFormat="1" applyFont="1" applyBorder="1"/>
    <xf numFmtId="172" fontId="0" fillId="0" borderId="15" xfId="124" applyNumberFormat="1" applyFont="1" applyBorder="1"/>
    <xf numFmtId="0" fontId="32" fillId="31" borderId="15" xfId="0" applyFont="1" applyFill="1" applyBorder="1"/>
    <xf numFmtId="0" fontId="32" fillId="0" borderId="46" xfId="0" applyFont="1" applyBorder="1" applyAlignment="1">
      <alignment horizontal="left"/>
    </xf>
    <xf numFmtId="0" fontId="32" fillId="0" borderId="15" xfId="0" applyFont="1" applyBorder="1" applyAlignment="1">
      <alignment horizontal="left"/>
    </xf>
    <xf numFmtId="44" fontId="34" fillId="0" borderId="47" xfId="203" applyNumberFormat="1" applyFont="1" applyFill="1" applyBorder="1" applyAlignment="1">
      <alignment horizontal="left"/>
    </xf>
    <xf numFmtId="0" fontId="31" fillId="0" borderId="48" xfId="0" applyFont="1" applyBorder="1"/>
    <xf numFmtId="0" fontId="34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43" fontId="0" fillId="0" borderId="28" xfId="124" applyNumberFormat="1" applyFont="1" applyBorder="1"/>
    <xf numFmtId="43" fontId="0" fillId="0" borderId="29" xfId="124" applyNumberFormat="1" applyFont="1" applyBorder="1"/>
    <xf numFmtId="0" fontId="32" fillId="29" borderId="15" xfId="0" applyFont="1" applyFill="1" applyBorder="1"/>
    <xf numFmtId="0" fontId="31" fillId="0" borderId="46" xfId="0" applyFont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44" fontId="0" fillId="0" borderId="15" xfId="0" applyNumberFormat="1" applyBorder="1"/>
    <xf numFmtId="43" fontId="0" fillId="0" borderId="15" xfId="124" applyNumberFormat="1" applyFont="1" applyFill="1" applyBorder="1"/>
    <xf numFmtId="43" fontId="0" fillId="0" borderId="49" xfId="124" applyNumberFormat="1" applyFont="1" applyFill="1" applyBorder="1"/>
    <xf numFmtId="43" fontId="32" fillId="0" borderId="23" xfId="124" applyNumberFormat="1" applyFont="1" applyFill="1" applyBorder="1" applyAlignment="1">
      <alignment horizontal="left"/>
    </xf>
    <xf numFmtId="43" fontId="0" fillId="0" borderId="0" xfId="124" applyNumberFormat="1" applyFont="1"/>
    <xf numFmtId="0" fontId="32" fillId="24" borderId="15" xfId="0" applyFont="1" applyFill="1" applyBorder="1"/>
    <xf numFmtId="43" fontId="32" fillId="0" borderId="15" xfId="0" applyNumberFormat="1" applyFont="1" applyBorder="1" applyAlignment="1">
      <alignment horizontal="left"/>
    </xf>
    <xf numFmtId="172" fontId="0" fillId="0" borderId="15" xfId="0" applyNumberFormat="1" applyBorder="1"/>
    <xf numFmtId="9" fontId="0" fillId="0" borderId="0" xfId="166" applyFont="1"/>
    <xf numFmtId="43" fontId="32" fillId="0" borderId="0" xfId="124" applyNumberFormat="1" applyFont="1" applyBorder="1" applyAlignment="1">
      <alignment horizontal="left"/>
    </xf>
    <xf numFmtId="0" fontId="32" fillId="30" borderId="15" xfId="0" applyFont="1" applyFill="1" applyBorder="1"/>
    <xf numFmtId="43" fontId="32" fillId="0" borderId="34" xfId="124" applyNumberFormat="1" applyFont="1" applyBorder="1" applyAlignment="1">
      <alignment horizontal="left"/>
    </xf>
    <xf numFmtId="4" fontId="0" fillId="0" borderId="15" xfId="0" applyNumberFormat="1" applyBorder="1"/>
    <xf numFmtId="4" fontId="0" fillId="32" borderId="15" xfId="0" applyNumberFormat="1" applyFill="1" applyBorder="1"/>
    <xf numFmtId="0" fontId="0" fillId="24" borderId="15" xfId="0" applyFill="1" applyBorder="1"/>
    <xf numFmtId="0" fontId="0" fillId="0" borderId="15" xfId="0" applyBorder="1" applyAlignment="1">
      <alignment horizontal="left"/>
    </xf>
    <xf numFmtId="0" fontId="0" fillId="30" borderId="15" xfId="0" applyFill="1" applyBorder="1"/>
    <xf numFmtId="14" fontId="0" fillId="0" borderId="15" xfId="0" applyNumberFormat="1" applyBorder="1"/>
    <xf numFmtId="4" fontId="0" fillId="32" borderId="0" xfId="0" applyNumberFormat="1" applyFill="1"/>
    <xf numFmtId="4" fontId="0" fillId="0" borderId="16" xfId="0" applyNumberFormat="1" applyBorder="1"/>
    <xf numFmtId="4" fontId="0" fillId="34" borderId="16" xfId="0" applyNumberFormat="1" applyFill="1" applyBorder="1"/>
    <xf numFmtId="4" fontId="0" fillId="33" borderId="16" xfId="0" applyNumberFormat="1" applyFill="1" applyBorder="1"/>
    <xf numFmtId="17" fontId="0" fillId="0" borderId="0" xfId="0" applyNumberFormat="1"/>
    <xf numFmtId="4" fontId="32" fillId="0" borderId="0" xfId="0" applyNumberFormat="1" applyFont="1" applyAlignment="1">
      <alignment horizontal="right"/>
    </xf>
    <xf numFmtId="173" fontId="0" fillId="0" borderId="16" xfId="0" applyNumberFormat="1" applyBorder="1"/>
    <xf numFmtId="164" fontId="0" fillId="0" borderId="16" xfId="0" applyNumberFormat="1" applyBorder="1"/>
    <xf numFmtId="0" fontId="2" fillId="0" borderId="0" xfId="204"/>
    <xf numFmtId="0" fontId="0" fillId="0" borderId="16" xfId="0" applyBorder="1" applyAlignment="1">
      <alignment horizontal="center" vertical="center"/>
    </xf>
    <xf numFmtId="172" fontId="0" fillId="0" borderId="16" xfId="124" applyNumberFormat="1" applyFont="1" applyBorder="1"/>
    <xf numFmtId="0" fontId="32" fillId="31" borderId="16" xfId="0" applyFont="1" applyFill="1" applyBorder="1"/>
    <xf numFmtId="0" fontId="32" fillId="29" borderId="16" xfId="0" applyFont="1" applyFill="1" applyBorder="1"/>
    <xf numFmtId="0" fontId="0" fillId="30" borderId="16" xfId="0" applyFill="1" applyBorder="1"/>
    <xf numFmtId="0" fontId="35" fillId="35" borderId="16" xfId="0" applyFont="1" applyFill="1" applyBorder="1" applyAlignment="1">
      <alignment horizontal="center" vertical="center"/>
    </xf>
    <xf numFmtId="164" fontId="0" fillId="0" borderId="0" xfId="0" applyNumberFormat="1"/>
    <xf numFmtId="44" fontId="2" fillId="0" borderId="0" xfId="204" applyNumberFormat="1"/>
    <xf numFmtId="0" fontId="0" fillId="0" borderId="16" xfId="0" applyBorder="1" applyAlignment="1">
      <alignment wrapText="1"/>
    </xf>
    <xf numFmtId="164" fontId="0" fillId="37" borderId="16" xfId="0" applyNumberFormat="1" applyFill="1" applyBorder="1"/>
    <xf numFmtId="164" fontId="32" fillId="0" borderId="46" xfId="203" applyFont="1" applyBorder="1" applyAlignment="1">
      <alignment horizontal="left"/>
    </xf>
    <xf numFmtId="164" fontId="32" fillId="0" borderId="34" xfId="203" applyFont="1" applyBorder="1" applyAlignment="1">
      <alignment horizontal="left"/>
    </xf>
    <xf numFmtId="164" fontId="2" fillId="0" borderId="34" xfId="203" applyFont="1" applyBorder="1"/>
    <xf numFmtId="164" fontId="0" fillId="36" borderId="16" xfId="203" applyFont="1" applyFill="1" applyBorder="1" applyAlignment="1">
      <alignment horizontal="center" vertical="center"/>
    </xf>
    <xf numFmtId="0" fontId="37" fillId="30" borderId="0" xfId="0" applyFont="1" applyFill="1" applyAlignment="1">
      <alignment vertical="center"/>
    </xf>
    <xf numFmtId="0" fontId="0" fillId="38" borderId="0" xfId="0" applyFill="1"/>
    <xf numFmtId="0" fontId="0" fillId="38" borderId="34" xfId="0" applyFill="1" applyBorder="1"/>
    <xf numFmtId="0" fontId="0" fillId="38" borderId="55" xfId="0" applyFill="1" applyBorder="1"/>
    <xf numFmtId="0" fontId="0" fillId="24" borderId="45" xfId="0" applyFill="1" applyBorder="1"/>
    <xf numFmtId="0" fontId="0" fillId="38" borderId="45" xfId="0" applyFill="1" applyBorder="1"/>
    <xf numFmtId="172" fontId="0" fillId="39" borderId="16" xfId="124" applyNumberFormat="1" applyFont="1" applyFill="1" applyBorder="1"/>
    <xf numFmtId="172" fontId="0" fillId="38" borderId="16" xfId="124" applyNumberFormat="1" applyFont="1" applyFill="1" applyBorder="1"/>
    <xf numFmtId="0" fontId="0" fillId="38" borderId="16" xfId="0" applyFill="1" applyBorder="1" applyAlignment="1">
      <alignment horizontal="center" vertical="center" wrapText="1"/>
    </xf>
    <xf numFmtId="43" fontId="0" fillId="38" borderId="16" xfId="124" applyNumberFormat="1" applyFont="1" applyFill="1" applyBorder="1"/>
    <xf numFmtId="164" fontId="0" fillId="38" borderId="16" xfId="0" applyNumberFormat="1" applyFill="1" applyBorder="1"/>
    <xf numFmtId="0" fontId="0" fillId="40" borderId="16" xfId="0" applyFill="1" applyBorder="1" applyAlignment="1">
      <alignment horizontal="center" vertical="center" wrapText="1"/>
    </xf>
    <xf numFmtId="0" fontId="0" fillId="38" borderId="56" xfId="0" applyFill="1" applyBorder="1"/>
    <xf numFmtId="0" fontId="0" fillId="38" borderId="45" xfId="0" quotePrefix="1" applyFill="1" applyBorder="1"/>
    <xf numFmtId="0" fontId="1" fillId="38" borderId="11" xfId="204" applyFont="1" applyFill="1" applyBorder="1" applyAlignment="1">
      <alignment horizontal="center"/>
    </xf>
    <xf numFmtId="0" fontId="0" fillId="38" borderId="16" xfId="0" applyFill="1" applyBorder="1" applyAlignment="1">
      <alignment horizontal="center" vertical="center"/>
    </xf>
    <xf numFmtId="0" fontId="2" fillId="38" borderId="0" xfId="204" applyFill="1"/>
    <xf numFmtId="0" fontId="1" fillId="38" borderId="16" xfId="204" applyFont="1" applyFill="1" applyBorder="1" applyAlignment="1">
      <alignment wrapText="1"/>
    </xf>
    <xf numFmtId="0" fontId="2" fillId="38" borderId="46" xfId="204" applyFill="1" applyBorder="1"/>
    <xf numFmtId="164" fontId="0" fillId="38" borderId="16" xfId="203" applyFont="1" applyFill="1" applyBorder="1"/>
    <xf numFmtId="44" fontId="0" fillId="38" borderId="16" xfId="203" applyNumberFormat="1" applyFont="1" applyFill="1" applyBorder="1"/>
    <xf numFmtId="0" fontId="0" fillId="38" borderId="51" xfId="0" applyFill="1" applyBorder="1"/>
    <xf numFmtId="0" fontId="0" fillId="38" borderId="52" xfId="0" applyFill="1" applyBorder="1"/>
    <xf numFmtId="44" fontId="0" fillId="38" borderId="53" xfId="0" applyNumberFormat="1" applyFill="1" applyBorder="1"/>
    <xf numFmtId="0" fontId="0" fillId="38" borderId="49" xfId="0" applyFill="1" applyBorder="1"/>
    <xf numFmtId="0" fontId="0" fillId="38" borderId="50" xfId="0" applyFill="1" applyBorder="1"/>
    <xf numFmtId="44" fontId="0" fillId="38" borderId="11" xfId="0" applyNumberFormat="1" applyFill="1" applyBorder="1"/>
    <xf numFmtId="0" fontId="0" fillId="38" borderId="50" xfId="0" applyFill="1" applyBorder="1" applyAlignment="1">
      <alignment horizontal="left" vertical="center"/>
    </xf>
    <xf numFmtId="172" fontId="0" fillId="38" borderId="0" xfId="124" applyNumberFormat="1" applyFont="1" applyFill="1" applyBorder="1"/>
    <xf numFmtId="0" fontId="0" fillId="38" borderId="54" xfId="0" applyFill="1" applyBorder="1"/>
    <xf numFmtId="0" fontId="0" fillId="38" borderId="54" xfId="0" applyFill="1" applyBorder="1" applyAlignment="1">
      <alignment horizontal="center" vertical="center"/>
    </xf>
    <xf numFmtId="0" fontId="0" fillId="38" borderId="56" xfId="0" applyFill="1" applyBorder="1" applyAlignment="1">
      <alignment horizontal="center" vertical="center"/>
    </xf>
    <xf numFmtId="0" fontId="0" fillId="38" borderId="53" xfId="0" applyFill="1" applyBorder="1"/>
    <xf numFmtId="0" fontId="0" fillId="38" borderId="52" xfId="0" applyFill="1" applyBorder="1" applyAlignment="1">
      <alignment wrapText="1"/>
    </xf>
    <xf numFmtId="0" fontId="2" fillId="38" borderId="47" xfId="204" applyFill="1" applyBorder="1"/>
    <xf numFmtId="0" fontId="2" fillId="38" borderId="10" xfId="204" applyFill="1" applyBorder="1"/>
    <xf numFmtId="0" fontId="2" fillId="38" borderId="52" xfId="204" applyFill="1" applyBorder="1"/>
    <xf numFmtId="0" fontId="2" fillId="38" borderId="45" xfId="204" applyFill="1" applyBorder="1"/>
    <xf numFmtId="0" fontId="2" fillId="38" borderId="51" xfId="204" applyFill="1" applyBorder="1"/>
    <xf numFmtId="0" fontId="2" fillId="38" borderId="53" xfId="204" applyFill="1" applyBorder="1"/>
    <xf numFmtId="0" fontId="0" fillId="38" borderId="55" xfId="0" quotePrefix="1" applyFill="1" applyBorder="1"/>
    <xf numFmtId="0" fontId="2" fillId="38" borderId="54" xfId="204" applyFill="1" applyBorder="1"/>
    <xf numFmtId="0" fontId="2" fillId="38" borderId="55" xfId="204" applyFill="1" applyBorder="1"/>
    <xf numFmtId="0" fontId="2" fillId="38" borderId="56" xfId="204" applyFill="1" applyBorder="1"/>
    <xf numFmtId="0" fontId="2" fillId="38" borderId="34" xfId="204" applyFill="1" applyBorder="1"/>
    <xf numFmtId="164" fontId="0" fillId="41" borderId="34" xfId="0" applyNumberFormat="1" applyFill="1" applyBorder="1"/>
    <xf numFmtId="1" fontId="0" fillId="42" borderId="16" xfId="205" applyNumberFormat="1" applyFont="1" applyFill="1" applyBorder="1" applyAlignment="1"/>
    <xf numFmtId="1" fontId="0" fillId="39" borderId="16" xfId="205" applyNumberFormat="1" applyFont="1" applyFill="1" applyBorder="1" applyAlignment="1"/>
    <xf numFmtId="172" fontId="0" fillId="43" borderId="16" xfId="124" applyNumberFormat="1" applyFont="1" applyFill="1" applyBorder="1"/>
    <xf numFmtId="0" fontId="0" fillId="43" borderId="16" xfId="0" applyFill="1" applyBorder="1" applyAlignment="1">
      <alignment horizontal="center" vertical="center" wrapText="1"/>
    </xf>
    <xf numFmtId="0" fontId="2" fillId="40" borderId="0" xfId="204" applyFill="1"/>
    <xf numFmtId="0" fontId="0" fillId="40" borderId="52" xfId="0" applyFill="1" applyBorder="1" applyAlignment="1">
      <alignment wrapText="1"/>
    </xf>
    <xf numFmtId="0" fontId="0" fillId="40" borderId="0" xfId="0" applyFill="1"/>
    <xf numFmtId="0" fontId="0" fillId="40" borderId="45" xfId="0" applyFill="1" applyBorder="1"/>
    <xf numFmtId="0" fontId="0" fillId="40" borderId="51" xfId="0" applyFill="1" applyBorder="1"/>
    <xf numFmtId="0" fontId="0" fillId="40" borderId="53" xfId="0" applyFill="1" applyBorder="1"/>
    <xf numFmtId="0" fontId="0" fillId="40" borderId="51" xfId="0" applyFill="1" applyBorder="1" applyAlignment="1">
      <alignment horizontal="center"/>
    </xf>
    <xf numFmtId="0" fontId="0" fillId="40" borderId="52" xfId="0" applyFill="1" applyBorder="1" applyAlignment="1">
      <alignment horizontal="center"/>
    </xf>
    <xf numFmtId="0" fontId="0" fillId="40" borderId="54" xfId="0" applyFill="1" applyBorder="1"/>
    <xf numFmtId="0" fontId="0" fillId="40" borderId="55" xfId="0" applyFill="1" applyBorder="1"/>
    <xf numFmtId="0" fontId="0" fillId="40" borderId="55" xfId="0" quotePrefix="1" applyFill="1" applyBorder="1"/>
    <xf numFmtId="0" fontId="0" fillId="40" borderId="54" xfId="0" applyFill="1" applyBorder="1" applyAlignment="1">
      <alignment horizontal="center" vertical="center"/>
    </xf>
    <xf numFmtId="0" fontId="0" fillId="40" borderId="56" xfId="0" applyFill="1" applyBorder="1" applyAlignment="1">
      <alignment horizontal="center" vertical="center"/>
    </xf>
    <xf numFmtId="0" fontId="0" fillId="40" borderId="34" xfId="0" applyFill="1" applyBorder="1"/>
    <xf numFmtId="0" fontId="0" fillId="40" borderId="56" xfId="0" applyFill="1" applyBorder="1"/>
    <xf numFmtId="0" fontId="0" fillId="40" borderId="34" xfId="0" quotePrefix="1" applyFill="1" applyBorder="1"/>
    <xf numFmtId="172" fontId="0" fillId="40" borderId="16" xfId="124" applyNumberFormat="1" applyFont="1" applyFill="1" applyBorder="1"/>
    <xf numFmtId="164" fontId="0" fillId="40" borderId="16" xfId="0" applyNumberFormat="1" applyFill="1" applyBorder="1"/>
    <xf numFmtId="43" fontId="0" fillId="40" borderId="16" xfId="124" applyNumberFormat="1" applyFont="1" applyFill="1" applyBorder="1"/>
    <xf numFmtId="0" fontId="0" fillId="40" borderId="16" xfId="0" applyFill="1" applyBorder="1" applyAlignment="1">
      <alignment horizontal="center" vertical="center"/>
    </xf>
    <xf numFmtId="164" fontId="0" fillId="40" borderId="16" xfId="203" applyFont="1" applyFill="1" applyBorder="1"/>
    <xf numFmtId="44" fontId="0" fillId="40" borderId="16" xfId="203" applyNumberFormat="1" applyFont="1" applyFill="1" applyBorder="1"/>
    <xf numFmtId="0" fontId="0" fillId="40" borderId="52" xfId="0" applyFill="1" applyBorder="1"/>
    <xf numFmtId="44" fontId="0" fillId="40" borderId="53" xfId="0" applyNumberFormat="1" applyFill="1" applyBorder="1"/>
    <xf numFmtId="0" fontId="0" fillId="40" borderId="49" xfId="0" applyFill="1" applyBorder="1"/>
    <xf numFmtId="0" fontId="0" fillId="40" borderId="50" xfId="0" applyFill="1" applyBorder="1"/>
    <xf numFmtId="44" fontId="0" fillId="40" borderId="11" xfId="0" applyNumberFormat="1" applyFill="1" applyBorder="1"/>
    <xf numFmtId="0" fontId="0" fillId="40" borderId="50" xfId="0" applyFill="1" applyBorder="1" applyAlignment="1">
      <alignment horizontal="left" vertical="center"/>
    </xf>
    <xf numFmtId="0" fontId="1" fillId="38" borderId="34" xfId="204" applyFont="1" applyFill="1" applyBorder="1" applyAlignment="1">
      <alignment horizontal="center"/>
    </xf>
    <xf numFmtId="0" fontId="2" fillId="40" borderId="51" xfId="204" applyFill="1" applyBorder="1"/>
    <xf numFmtId="0" fontId="2" fillId="40" borderId="52" xfId="204" applyFill="1" applyBorder="1"/>
    <xf numFmtId="0" fontId="2" fillId="40" borderId="54" xfId="204" applyFill="1" applyBorder="1"/>
    <xf numFmtId="0" fontId="2" fillId="40" borderId="56" xfId="204" applyFill="1" applyBorder="1"/>
    <xf numFmtId="0" fontId="2" fillId="40" borderId="45" xfId="204" applyFill="1" applyBorder="1"/>
    <xf numFmtId="0" fontId="0" fillId="40" borderId="16" xfId="0" applyFill="1" applyBorder="1"/>
    <xf numFmtId="0" fontId="0" fillId="40" borderId="11" xfId="0" applyFill="1" applyBorder="1"/>
    <xf numFmtId="0" fontId="0" fillId="41" borderId="16" xfId="0" applyFill="1" applyBorder="1"/>
    <xf numFmtId="172" fontId="0" fillId="41" borderId="16" xfId="124" applyNumberFormat="1" applyFont="1" applyFill="1" applyBorder="1"/>
    <xf numFmtId="0" fontId="0" fillId="24" borderId="55" xfId="0" applyFill="1" applyBorder="1"/>
    <xf numFmtId="174" fontId="0" fillId="42" borderId="16" xfId="205" applyNumberFormat="1" applyFont="1" applyFill="1" applyBorder="1"/>
    <xf numFmtId="0" fontId="1" fillId="36" borderId="49" xfId="204" applyFont="1" applyFill="1" applyBorder="1" applyAlignment="1">
      <alignment horizontal="center"/>
    </xf>
    <xf numFmtId="0" fontId="1" fillId="36" borderId="50" xfId="204" applyFont="1" applyFill="1" applyBorder="1" applyAlignment="1">
      <alignment horizontal="center"/>
    </xf>
    <xf numFmtId="0" fontId="1" fillId="36" borderId="11" xfId="204" applyFont="1" applyFill="1" applyBorder="1" applyAlignment="1">
      <alignment horizontal="center"/>
    </xf>
    <xf numFmtId="0" fontId="1" fillId="24" borderId="49" xfId="204" applyFont="1" applyFill="1" applyBorder="1" applyAlignment="1">
      <alignment horizontal="center"/>
    </xf>
    <xf numFmtId="0" fontId="1" fillId="24" borderId="50" xfId="204" applyFont="1" applyFill="1" applyBorder="1" applyAlignment="1">
      <alignment horizontal="center"/>
    </xf>
    <xf numFmtId="0" fontId="0" fillId="39" borderId="49" xfId="0" applyFill="1" applyBorder="1" applyAlignment="1">
      <alignment horizontal="center" vertical="center" wrapText="1"/>
    </xf>
    <xf numFmtId="0" fontId="0" fillId="39" borderId="50" xfId="0" applyFill="1" applyBorder="1" applyAlignment="1">
      <alignment horizontal="center" vertical="center" wrapText="1"/>
    </xf>
    <xf numFmtId="0" fontId="0" fillId="39" borderId="11" xfId="0" applyFill="1" applyBorder="1" applyAlignment="1">
      <alignment horizontal="center" vertical="center" wrapText="1"/>
    </xf>
    <xf numFmtId="0" fontId="0" fillId="40" borderId="47" xfId="0" applyFill="1" applyBorder="1" applyAlignment="1">
      <alignment horizontal="center" vertical="center"/>
    </xf>
    <xf numFmtId="0" fontId="0" fillId="40" borderId="46" xfId="0" applyFill="1" applyBorder="1" applyAlignment="1">
      <alignment horizontal="center" vertical="center"/>
    </xf>
    <xf numFmtId="0" fontId="0" fillId="43" borderId="47" xfId="0" applyFill="1" applyBorder="1" applyAlignment="1">
      <alignment horizontal="center" vertical="center" wrapText="1"/>
    </xf>
    <xf numFmtId="0" fontId="0" fillId="43" borderId="46" xfId="0" applyFill="1" applyBorder="1" applyAlignment="1">
      <alignment horizontal="center" vertical="center" wrapText="1"/>
    </xf>
    <xf numFmtId="0" fontId="1" fillId="42" borderId="49" xfId="204" applyFont="1" applyFill="1" applyBorder="1" applyAlignment="1">
      <alignment horizontal="center"/>
    </xf>
    <xf numFmtId="0" fontId="1" fillId="42" borderId="50" xfId="204" applyFont="1" applyFill="1" applyBorder="1" applyAlignment="1">
      <alignment horizontal="center"/>
    </xf>
    <xf numFmtId="0" fontId="1" fillId="42" borderId="11" xfId="204" applyFont="1" applyFill="1" applyBorder="1" applyAlignment="1">
      <alignment horizontal="center"/>
    </xf>
    <xf numFmtId="0" fontId="1" fillId="39" borderId="49" xfId="204" applyFont="1" applyFill="1" applyBorder="1" applyAlignment="1">
      <alignment horizontal="center"/>
    </xf>
    <xf numFmtId="0" fontId="1" fillId="39" borderId="50" xfId="204" applyFont="1" applyFill="1" applyBorder="1" applyAlignment="1">
      <alignment horizontal="center"/>
    </xf>
    <xf numFmtId="0" fontId="1" fillId="39" borderId="11" xfId="204" applyFont="1" applyFill="1" applyBorder="1" applyAlignment="1">
      <alignment horizontal="center"/>
    </xf>
    <xf numFmtId="0" fontId="1" fillId="42" borderId="49" xfId="204" applyFont="1" applyFill="1" applyBorder="1" applyAlignment="1">
      <alignment horizontal="center" vertical="center"/>
    </xf>
    <xf numFmtId="0" fontId="1" fillId="42" borderId="50" xfId="204" applyFont="1" applyFill="1" applyBorder="1" applyAlignment="1">
      <alignment horizontal="center" vertical="center"/>
    </xf>
    <xf numFmtId="0" fontId="1" fillId="42" borderId="11" xfId="204" applyFont="1" applyFill="1" applyBorder="1" applyAlignment="1">
      <alignment horizontal="center" vertical="center"/>
    </xf>
    <xf numFmtId="0" fontId="0" fillId="42" borderId="49" xfId="0" applyFill="1" applyBorder="1" applyAlignment="1">
      <alignment horizontal="center" vertical="center" wrapText="1"/>
    </xf>
    <xf numFmtId="0" fontId="0" fillId="42" borderId="50" xfId="0" applyFill="1" applyBorder="1" applyAlignment="1">
      <alignment horizontal="center" vertical="center" wrapText="1"/>
    </xf>
    <xf numFmtId="0" fontId="0" fillId="42" borderId="11" xfId="0" applyFill="1" applyBorder="1" applyAlignment="1">
      <alignment horizontal="center" vertical="center" wrapText="1"/>
    </xf>
    <xf numFmtId="0" fontId="0" fillId="40" borderId="10" xfId="0" applyFill="1" applyBorder="1" applyAlignment="1">
      <alignment horizontal="center" vertical="center"/>
    </xf>
    <xf numFmtId="0" fontId="1" fillId="24" borderId="11" xfId="204" applyFont="1" applyFill="1" applyBorder="1" applyAlignment="1">
      <alignment horizontal="center"/>
    </xf>
    <xf numFmtId="0" fontId="1" fillId="24" borderId="56" xfId="204" applyFont="1" applyFill="1" applyBorder="1" applyAlignment="1">
      <alignment horizontal="center"/>
    </xf>
    <xf numFmtId="0" fontId="1" fillId="24" borderId="45" xfId="204" applyFont="1" applyFill="1" applyBorder="1" applyAlignment="1">
      <alignment horizontal="center"/>
    </xf>
    <xf numFmtId="0" fontId="1" fillId="24" borderId="34" xfId="204" applyFont="1" applyFill="1" applyBorder="1" applyAlignment="1">
      <alignment horizontal="center"/>
    </xf>
    <xf numFmtId="0" fontId="1" fillId="42" borderId="45" xfId="204" applyFont="1" applyFill="1" applyBorder="1" applyAlignment="1">
      <alignment horizontal="center" vertical="center"/>
    </xf>
    <xf numFmtId="0" fontId="1" fillId="42" borderId="34" xfId="204" applyFont="1" applyFill="1" applyBorder="1" applyAlignment="1">
      <alignment horizontal="center" vertical="center"/>
    </xf>
    <xf numFmtId="0" fontId="36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40" borderId="51" xfId="0" applyFont="1" applyFill="1" applyBorder="1" applyAlignment="1">
      <alignment horizontal="center"/>
    </xf>
    <xf numFmtId="0" fontId="36" fillId="40" borderId="52" xfId="0" applyFont="1" applyFill="1" applyBorder="1" applyAlignment="1">
      <alignment horizontal="center"/>
    </xf>
    <xf numFmtId="0" fontId="36" fillId="40" borderId="53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31" fillId="24" borderId="31" xfId="0" applyFont="1" applyFill="1" applyBorder="1" applyAlignment="1">
      <alignment horizontal="center"/>
    </xf>
    <xf numFmtId="0" fontId="31" fillId="24" borderId="32" xfId="0" applyFont="1" applyFill="1" applyBorder="1" applyAlignment="1">
      <alignment horizontal="center"/>
    </xf>
    <xf numFmtId="0" fontId="31" fillId="24" borderId="33" xfId="0" applyFont="1" applyFill="1" applyBorder="1" applyAlignment="1">
      <alignment horizontal="center"/>
    </xf>
    <xf numFmtId="43" fontId="34" fillId="0" borderId="26" xfId="0" applyNumberFormat="1" applyFont="1" applyBorder="1" applyAlignment="1">
      <alignment horizontal="center" vertical="center"/>
    </xf>
    <xf numFmtId="43" fontId="34" fillId="0" borderId="30" xfId="0" applyNumberFormat="1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31" fillId="24" borderId="17" xfId="0" applyFont="1" applyFill="1" applyBorder="1" applyAlignment="1">
      <alignment horizontal="center"/>
    </xf>
    <xf numFmtId="0" fontId="31" fillId="24" borderId="18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44" fontId="31" fillId="0" borderId="26" xfId="203" applyNumberFormat="1" applyFont="1" applyFill="1" applyBorder="1" applyAlignment="1">
      <alignment horizontal="center" vertical="center"/>
    </xf>
    <xf numFmtId="44" fontId="31" fillId="0" borderId="30" xfId="203" applyNumberFormat="1" applyFont="1" applyFill="1" applyBorder="1" applyAlignment="1">
      <alignment horizontal="center" vertical="center"/>
    </xf>
    <xf numFmtId="0" fontId="0" fillId="44" borderId="0" xfId="0" applyFill="1"/>
    <xf numFmtId="172" fontId="38" fillId="44" borderId="47" xfId="193" applyNumberFormat="1" applyFont="1" applyFill="1" applyBorder="1" applyAlignment="1" applyProtection="1">
      <alignment horizontal="center" vertical="center" wrapText="1"/>
    </xf>
    <xf numFmtId="175" fontId="38" fillId="44" borderId="47" xfId="0" applyNumberFormat="1" applyFont="1" applyFill="1" applyBorder="1" applyAlignment="1">
      <alignment horizontal="center" vertical="center"/>
    </xf>
    <xf numFmtId="4" fontId="38" fillId="44" borderId="47" xfId="0" applyNumberFormat="1" applyFont="1" applyFill="1" applyBorder="1" applyAlignment="1">
      <alignment horizontal="center" vertical="center"/>
    </xf>
    <xf numFmtId="14" fontId="38" fillId="44" borderId="47" xfId="206" applyNumberFormat="1" applyFont="1" applyFill="1" applyBorder="1" applyAlignment="1">
      <alignment horizontal="center" vertical="center" wrapText="1"/>
    </xf>
    <xf numFmtId="176" fontId="40" fillId="44" borderId="10" xfId="0" applyNumberFormat="1" applyFont="1" applyFill="1" applyBorder="1" applyAlignment="1">
      <alignment vertical="center" wrapText="1"/>
    </xf>
    <xf numFmtId="14" fontId="40" fillId="44" borderId="10" xfId="0" applyNumberFormat="1" applyFont="1" applyFill="1" applyBorder="1" applyAlignment="1">
      <alignment horizontal="left" vertical="center"/>
    </xf>
    <xf numFmtId="0" fontId="38" fillId="45" borderId="57" xfId="0" applyFont="1" applyFill="1" applyBorder="1" applyAlignment="1">
      <alignment horizontal="center" vertical="center"/>
    </xf>
    <xf numFmtId="0" fontId="38" fillId="46" borderId="57" xfId="0" applyFont="1" applyFill="1" applyBorder="1" applyAlignment="1">
      <alignment horizontal="center" vertical="center"/>
    </xf>
    <xf numFmtId="0" fontId="41" fillId="44" borderId="21" xfId="107" applyFont="1" applyFill="1" applyBorder="1" applyAlignment="1">
      <alignment horizontal="center" vertical="center"/>
    </xf>
    <xf numFmtId="2" fontId="42" fillId="44" borderId="0" xfId="0" applyNumberFormat="1" applyFont="1" applyFill="1" applyAlignment="1" applyProtection="1">
      <alignment horizontal="center" vertical="center"/>
      <protection locked="0"/>
    </xf>
    <xf numFmtId="4" fontId="43" fillId="44" borderId="0" xfId="0" applyNumberFormat="1" applyFont="1" applyFill="1" applyAlignment="1">
      <alignment horizontal="center" vertical="center"/>
    </xf>
    <xf numFmtId="2" fontId="38" fillId="44" borderId="0" xfId="0" applyNumberFormat="1" applyFont="1" applyFill="1" applyAlignment="1" applyProtection="1">
      <alignment horizontal="center" vertical="center"/>
      <protection locked="0"/>
    </xf>
    <xf numFmtId="0" fontId="44" fillId="44" borderId="58" xfId="0" applyFont="1" applyFill="1" applyBorder="1" applyAlignment="1" applyProtection="1">
      <alignment horizontal="center" vertical="center"/>
      <protection locked="0"/>
    </xf>
    <xf numFmtId="0" fontId="44" fillId="44" borderId="59" xfId="0" applyFont="1" applyFill="1" applyBorder="1" applyAlignment="1" applyProtection="1">
      <alignment horizontal="center" vertical="center"/>
      <protection locked="0"/>
    </xf>
    <xf numFmtId="14" fontId="0" fillId="44" borderId="47" xfId="0" quotePrefix="1" applyNumberFormat="1" applyFill="1" applyBorder="1" applyAlignment="1" applyProtection="1">
      <alignment vertical="top"/>
      <protection locked="0"/>
    </xf>
    <xf numFmtId="49" fontId="38" fillId="44" borderId="47" xfId="0" applyNumberFormat="1" applyFont="1" applyFill="1" applyBorder="1" applyAlignment="1" applyProtection="1">
      <alignment vertical="top" wrapText="1"/>
      <protection locked="0"/>
    </xf>
    <xf numFmtId="49" fontId="38" fillId="44" borderId="60" xfId="0" applyNumberFormat="1" applyFont="1" applyFill="1" applyBorder="1" applyAlignment="1" applyProtection="1">
      <alignment vertical="center" wrapText="1"/>
      <protection locked="0"/>
    </xf>
    <xf numFmtId="1" fontId="41" fillId="44" borderId="61" xfId="0" applyNumberFormat="1" applyFont="1" applyFill="1" applyBorder="1" applyAlignment="1">
      <alignment horizontal="center"/>
    </xf>
    <xf numFmtId="1" fontId="45" fillId="44" borderId="61" xfId="0" applyNumberFormat="1" applyFont="1" applyFill="1" applyBorder="1" applyAlignment="1">
      <alignment horizontal="center"/>
    </xf>
    <xf numFmtId="4" fontId="46" fillId="44" borderId="62" xfId="107" applyNumberFormat="1" applyFont="1" applyFill="1" applyBorder="1" applyAlignment="1">
      <alignment horizontal="center" vertical="center"/>
    </xf>
    <xf numFmtId="4" fontId="0" fillId="47" borderId="57" xfId="0" applyNumberFormat="1" applyFill="1" applyBorder="1" applyAlignment="1">
      <alignment horizontal="center"/>
    </xf>
    <xf numFmtId="4" fontId="41" fillId="44" borderId="61" xfId="107" applyNumberFormat="1" applyFont="1" applyFill="1" applyBorder="1" applyAlignment="1">
      <alignment horizontal="center"/>
    </xf>
    <xf numFmtId="4" fontId="41" fillId="44" borderId="63" xfId="107" applyNumberFormat="1" applyFont="1" applyFill="1" applyBorder="1" applyAlignment="1">
      <alignment horizontal="center"/>
    </xf>
    <xf numFmtId="4" fontId="41" fillId="44" borderId="64" xfId="107" applyNumberFormat="1" applyFont="1" applyFill="1" applyBorder="1" applyAlignment="1">
      <alignment horizontal="center" vertical="center"/>
    </xf>
    <xf numFmtId="4" fontId="0" fillId="44" borderId="63" xfId="0" applyNumberFormat="1" applyFill="1" applyBorder="1" applyAlignment="1">
      <alignment horizontal="center" vertical="center"/>
    </xf>
    <xf numFmtId="4" fontId="35" fillId="48" borderId="65" xfId="0" applyNumberFormat="1" applyFont="1" applyFill="1" applyBorder="1" applyAlignment="1">
      <alignment horizontal="center" vertical="center"/>
    </xf>
    <xf numFmtId="4" fontId="41" fillId="44" borderId="66" xfId="107" applyNumberFormat="1" applyFont="1" applyFill="1" applyBorder="1" applyAlignment="1" applyProtection="1">
      <alignment horizontal="center" vertical="center"/>
      <protection locked="0"/>
    </xf>
    <xf numFmtId="4" fontId="38" fillId="44" borderId="65" xfId="0" applyNumberFormat="1" applyFont="1" applyFill="1" applyBorder="1" applyAlignment="1">
      <alignment vertical="center"/>
    </xf>
    <xf numFmtId="4" fontId="38" fillId="44" borderId="16" xfId="107" applyNumberFormat="1" applyFont="1" applyFill="1" applyBorder="1" applyAlignment="1" applyProtection="1">
      <alignment vertical="center"/>
      <protection locked="0"/>
    </xf>
    <xf numFmtId="0" fontId="38" fillId="44" borderId="16" xfId="107" applyFont="1" applyFill="1" applyBorder="1" applyAlignment="1" applyProtection="1">
      <alignment horizontal="center" vertical="center"/>
      <protection locked="0"/>
    </xf>
    <xf numFmtId="4" fontId="38" fillId="44" borderId="10" xfId="107" applyNumberFormat="1" applyFont="1" applyFill="1" applyBorder="1" applyAlignment="1" applyProtection="1">
      <alignment horizontal="center" vertical="center"/>
      <protection locked="0"/>
    </xf>
    <xf numFmtId="0" fontId="0" fillId="44" borderId="0" xfId="0" applyFill="1" applyAlignment="1" applyProtection="1">
      <alignment horizontal="center" vertical="center"/>
      <protection locked="0"/>
    </xf>
    <xf numFmtId="4" fontId="0" fillId="44" borderId="67" xfId="0" applyNumberFormat="1" applyFill="1" applyBorder="1" applyAlignment="1">
      <alignment horizontal="center" vertical="center"/>
    </xf>
    <xf numFmtId="0" fontId="42" fillId="44" borderId="0" xfId="0" applyFont="1" applyFill="1" applyAlignment="1" applyProtection="1">
      <alignment horizontal="center" vertical="center"/>
      <protection locked="0"/>
    </xf>
    <xf numFmtId="4" fontId="47" fillId="44" borderId="68" xfId="206" applyNumberFormat="1" applyFont="1" applyFill="1" applyBorder="1" applyAlignment="1">
      <alignment horizontal="center" vertical="center" wrapText="1"/>
    </xf>
    <xf numFmtId="172" fontId="47" fillId="44" borderId="10" xfId="193" applyNumberFormat="1" applyFont="1" applyFill="1" applyBorder="1" applyAlignment="1" applyProtection="1">
      <alignment horizontal="center" vertical="center" wrapText="1"/>
    </xf>
    <xf numFmtId="175" fontId="38" fillId="44" borderId="10" xfId="0" applyNumberFormat="1" applyFont="1" applyFill="1" applyBorder="1" applyAlignment="1">
      <alignment horizontal="center" vertical="center"/>
    </xf>
    <xf numFmtId="4" fontId="47" fillId="44" borderId="10" xfId="0" applyNumberFormat="1" applyFont="1" applyFill="1" applyBorder="1" applyAlignment="1">
      <alignment horizontal="center" vertical="center"/>
    </xf>
    <xf numFmtId="14" fontId="47" fillId="44" borderId="10" xfId="0" applyNumberFormat="1" applyFont="1" applyFill="1" applyBorder="1" applyAlignment="1">
      <alignment horizontal="center" vertical="center" wrapText="1"/>
    </xf>
    <xf numFmtId="176" fontId="48" fillId="44" borderId="10" xfId="0" applyNumberFormat="1" applyFont="1" applyFill="1" applyBorder="1" applyAlignment="1">
      <alignment vertical="center" wrapText="1"/>
    </xf>
    <xf numFmtId="0" fontId="38" fillId="45" borderId="69" xfId="0" applyFont="1" applyFill="1" applyBorder="1" applyAlignment="1">
      <alignment horizontal="center" vertical="center"/>
    </xf>
    <xf numFmtId="0" fontId="0" fillId="44" borderId="10" xfId="0" applyFill="1" applyBorder="1" applyAlignment="1" applyProtection="1">
      <alignment vertical="top"/>
      <protection locked="0"/>
    </xf>
    <xf numFmtId="49" fontId="38" fillId="44" borderId="10" xfId="0" applyNumberFormat="1" applyFont="1" applyFill="1" applyBorder="1" applyAlignment="1" applyProtection="1">
      <alignment vertical="top" wrapText="1"/>
      <protection locked="0"/>
    </xf>
    <xf numFmtId="4" fontId="0" fillId="44" borderId="55" xfId="0" applyNumberFormat="1" applyFill="1" applyBorder="1" applyAlignment="1">
      <alignment horizontal="center" vertical="center"/>
    </xf>
    <xf numFmtId="4" fontId="0" fillId="44" borderId="70" xfId="0" applyNumberFormat="1" applyFill="1" applyBorder="1" applyAlignment="1">
      <alignment vertical="center"/>
    </xf>
    <xf numFmtId="4" fontId="0" fillId="44" borderId="70" xfId="0" applyNumberFormat="1" applyFill="1" applyBorder="1" applyAlignment="1">
      <alignment horizontal="center" vertical="center"/>
    </xf>
    <xf numFmtId="4" fontId="41" fillId="44" borderId="70" xfId="107" applyNumberFormat="1" applyFont="1" applyFill="1" applyBorder="1" applyAlignment="1">
      <alignment horizontal="center" vertical="center"/>
    </xf>
    <xf numFmtId="4" fontId="35" fillId="48" borderId="71" xfId="0" applyNumberFormat="1" applyFont="1" applyFill="1" applyBorder="1" applyAlignment="1">
      <alignment vertical="center"/>
    </xf>
    <xf numFmtId="4" fontId="41" fillId="44" borderId="54" xfId="107" applyNumberFormat="1" applyFont="1" applyFill="1" applyBorder="1" applyAlignment="1" applyProtection="1">
      <alignment horizontal="center" vertical="center"/>
      <protection locked="0"/>
    </xf>
    <xf numFmtId="4" fontId="38" fillId="44" borderId="71" xfId="0" applyNumberFormat="1" applyFont="1" applyFill="1" applyBorder="1" applyAlignment="1">
      <alignment vertical="center"/>
    </xf>
    <xf numFmtId="175" fontId="47" fillId="44" borderId="10" xfId="0" applyNumberFormat="1" applyFont="1" applyFill="1" applyBorder="1" applyAlignment="1">
      <alignment horizontal="center" vertical="center"/>
    </xf>
    <xf numFmtId="14" fontId="47" fillId="44" borderId="10" xfId="206" applyNumberFormat="1" applyFont="1" applyFill="1" applyBorder="1" applyAlignment="1">
      <alignment horizontal="center" vertical="center" wrapText="1"/>
    </xf>
    <xf numFmtId="0" fontId="38" fillId="49" borderId="69" xfId="0" applyFont="1" applyFill="1" applyBorder="1" applyAlignment="1">
      <alignment horizontal="center" vertical="center"/>
    </xf>
    <xf numFmtId="4" fontId="41" fillId="44" borderId="72" xfId="107" applyNumberFormat="1" applyFont="1" applyFill="1" applyBorder="1" applyAlignment="1">
      <alignment horizontal="center" vertical="center"/>
    </xf>
    <xf numFmtId="4" fontId="49" fillId="44" borderId="70" xfId="107" applyNumberFormat="1" applyFont="1" applyFill="1" applyBorder="1" applyAlignment="1">
      <alignment horizontal="center" vertical="center"/>
    </xf>
    <xf numFmtId="4" fontId="41" fillId="44" borderId="54" xfId="107" applyNumberFormat="1" applyFont="1" applyFill="1" applyBorder="1" applyAlignment="1">
      <alignment horizontal="center" vertical="center"/>
    </xf>
    <xf numFmtId="4" fontId="38" fillId="44" borderId="71" xfId="0" applyNumberFormat="1" applyFont="1" applyFill="1" applyBorder="1" applyAlignment="1">
      <alignment horizontal="center" vertical="center"/>
    </xf>
    <xf numFmtId="0" fontId="38" fillId="44" borderId="0" xfId="0" applyFont="1" applyFill="1" applyAlignment="1" applyProtection="1">
      <alignment horizontal="center" vertical="center"/>
      <protection locked="0"/>
    </xf>
    <xf numFmtId="4" fontId="43" fillId="44" borderId="73" xfId="206" applyNumberFormat="1" applyFont="1" applyFill="1" applyBorder="1" applyAlignment="1">
      <alignment horizontal="center" vertical="center" wrapText="1"/>
    </xf>
    <xf numFmtId="172" fontId="47" fillId="44" borderId="46" xfId="193" applyNumberFormat="1" applyFont="1" applyFill="1" applyBorder="1" applyAlignment="1" applyProtection="1">
      <alignment horizontal="center" vertical="center" wrapText="1"/>
    </xf>
    <xf numFmtId="175" fontId="47" fillId="44" borderId="46" xfId="0" applyNumberFormat="1" applyFont="1" applyFill="1" applyBorder="1" applyAlignment="1">
      <alignment horizontal="center" vertical="center"/>
    </xf>
    <xf numFmtId="4" fontId="47" fillId="44" borderId="46" xfId="0" applyNumberFormat="1" applyFont="1" applyFill="1" applyBorder="1" applyAlignment="1">
      <alignment horizontal="center" vertical="center"/>
    </xf>
    <xf numFmtId="14" fontId="43" fillId="44" borderId="46" xfId="206" applyNumberFormat="1" applyFont="1" applyFill="1" applyBorder="1" applyAlignment="1">
      <alignment horizontal="center" vertical="center" wrapText="1"/>
    </xf>
    <xf numFmtId="176" fontId="48" fillId="44" borderId="46" xfId="0" applyNumberFormat="1" applyFont="1" applyFill="1" applyBorder="1" applyAlignment="1">
      <alignment vertical="center" wrapText="1"/>
    </xf>
    <xf numFmtId="14" fontId="40" fillId="44" borderId="46" xfId="0" applyNumberFormat="1" applyFont="1" applyFill="1" applyBorder="1" applyAlignment="1">
      <alignment horizontal="left" vertical="center"/>
    </xf>
    <xf numFmtId="0" fontId="42" fillId="49" borderId="69" xfId="0" applyFont="1" applyFill="1" applyBorder="1" applyAlignment="1">
      <alignment horizontal="center" vertical="center"/>
    </xf>
    <xf numFmtId="0" fontId="0" fillId="44" borderId="46" xfId="0" applyFill="1" applyBorder="1" applyAlignment="1" applyProtection="1">
      <alignment vertical="top"/>
      <protection locked="0"/>
    </xf>
    <xf numFmtId="49" fontId="38" fillId="44" borderId="46" xfId="0" applyNumberFormat="1" applyFont="1" applyFill="1" applyBorder="1" applyAlignment="1" applyProtection="1">
      <alignment vertical="top" wrapText="1"/>
      <protection locked="0"/>
    </xf>
    <xf numFmtId="4" fontId="0" fillId="44" borderId="74" xfId="0" applyNumberFormat="1" applyFill="1" applyBorder="1" applyAlignment="1">
      <alignment horizontal="center" vertical="center"/>
    </xf>
    <xf numFmtId="4" fontId="50" fillId="44" borderId="57" xfId="0" applyNumberFormat="1" applyFont="1" applyFill="1" applyBorder="1" applyAlignment="1">
      <alignment horizontal="center" vertical="center"/>
    </xf>
    <xf numFmtId="1" fontId="49" fillId="44" borderId="61" xfId="0" applyNumberFormat="1" applyFont="1" applyFill="1" applyBorder="1" applyAlignment="1">
      <alignment horizontal="center"/>
    </xf>
    <xf numFmtId="4" fontId="49" fillId="44" borderId="63" xfId="107" applyNumberFormat="1" applyFont="1" applyFill="1" applyBorder="1" applyAlignment="1">
      <alignment horizontal="center" vertical="center"/>
    </xf>
    <xf numFmtId="4" fontId="50" fillId="47" borderId="57" xfId="0" applyNumberFormat="1" applyFont="1" applyFill="1" applyBorder="1" applyAlignment="1">
      <alignment horizontal="center"/>
    </xf>
    <xf numFmtId="4" fontId="49" fillId="44" borderId="61" xfId="107" applyNumberFormat="1" applyFont="1" applyFill="1" applyBorder="1" applyAlignment="1">
      <alignment horizontal="center"/>
    </xf>
    <xf numFmtId="4" fontId="49" fillId="44" borderId="63" xfId="107" applyNumberFormat="1" applyFont="1" applyFill="1" applyBorder="1" applyAlignment="1">
      <alignment horizontal="center"/>
    </xf>
    <xf numFmtId="4" fontId="49" fillId="44" borderId="75" xfId="107" applyNumberFormat="1" applyFont="1" applyFill="1" applyBorder="1" applyAlignment="1">
      <alignment horizontal="center" vertical="center"/>
    </xf>
    <xf numFmtId="4" fontId="35" fillId="48" borderId="76" xfId="0" applyNumberFormat="1" applyFont="1" applyFill="1" applyBorder="1" applyAlignment="1">
      <alignment horizontal="center" vertical="center"/>
    </xf>
    <xf numFmtId="4" fontId="49" fillId="44" borderId="77" xfId="107" applyNumberFormat="1" applyFont="1" applyFill="1" applyBorder="1" applyAlignment="1" applyProtection="1">
      <alignment horizontal="center" vertical="center"/>
      <protection locked="0"/>
    </xf>
    <xf numFmtId="4" fontId="42" fillId="44" borderId="75" xfId="0" applyNumberFormat="1" applyFont="1" applyFill="1" applyBorder="1" applyAlignment="1">
      <alignment horizontal="center" vertical="center"/>
    </xf>
    <xf numFmtId="4" fontId="42" fillId="44" borderId="78" xfId="107" applyNumberFormat="1" applyFont="1" applyFill="1" applyBorder="1" applyAlignment="1" applyProtection="1">
      <alignment horizontal="center" vertical="center"/>
      <protection locked="0"/>
    </xf>
    <xf numFmtId="4" fontId="42" fillId="44" borderId="79" xfId="107" applyNumberFormat="1" applyFont="1" applyFill="1" applyBorder="1" applyAlignment="1" applyProtection="1">
      <alignment horizontal="center" vertical="center"/>
      <protection locked="0"/>
    </xf>
    <xf numFmtId="1" fontId="0" fillId="20" borderId="61" xfId="0" applyNumberFormat="1" applyFill="1" applyBorder="1" applyAlignment="1">
      <alignment horizontal="center" vertical="center" wrapText="1"/>
    </xf>
    <xf numFmtId="49" fontId="0" fillId="20" borderId="61" xfId="206" applyNumberFormat="1" applyFont="1" applyFill="1" applyBorder="1" applyAlignment="1">
      <alignment vertical="center"/>
    </xf>
    <xf numFmtId="49" fontId="51" fillId="20" borderId="61" xfId="206" applyNumberFormat="1" applyFont="1" applyFill="1" applyBorder="1" applyAlignment="1">
      <alignment horizontal="center" vertical="center"/>
    </xf>
    <xf numFmtId="49" fontId="38" fillId="20" borderId="61" xfId="206" applyNumberFormat="1" applyFont="1" applyFill="1" applyBorder="1" applyAlignment="1">
      <alignment horizontal="center" vertical="center" wrapText="1"/>
    </xf>
    <xf numFmtId="49" fontId="38" fillId="20" borderId="80" xfId="206" applyNumberFormat="1" applyFont="1" applyFill="1" applyBorder="1" applyAlignment="1">
      <alignment horizontal="center" vertical="center" wrapText="1"/>
    </xf>
    <xf numFmtId="49" fontId="52" fillId="20" borderId="80" xfId="206" applyNumberFormat="1" applyFont="1" applyFill="1" applyBorder="1" applyAlignment="1">
      <alignment horizontal="center" vertical="center" wrapText="1"/>
    </xf>
    <xf numFmtId="49" fontId="41" fillId="20" borderId="81" xfId="206" applyNumberFormat="1" applyFont="1" applyFill="1" applyBorder="1" applyAlignment="1">
      <alignment horizontal="center" vertical="center" wrapText="1"/>
    </xf>
    <xf numFmtId="177" fontId="53" fillId="24" borderId="82" xfId="0" applyNumberFormat="1" applyFont="1" applyFill="1" applyBorder="1" applyAlignment="1">
      <alignment horizontal="center" vertical="center"/>
    </xf>
    <xf numFmtId="177" fontId="53" fillId="24" borderId="83" xfId="0" applyNumberFormat="1" applyFont="1" applyFill="1" applyBorder="1" applyAlignment="1">
      <alignment horizontal="center" vertical="center"/>
    </xf>
    <xf numFmtId="177" fontId="53" fillId="24" borderId="84" xfId="0" applyNumberFormat="1" applyFont="1" applyFill="1" applyBorder="1" applyAlignment="1">
      <alignment horizontal="center" vertical="center"/>
    </xf>
    <xf numFmtId="177" fontId="53" fillId="24" borderId="61" xfId="0" applyNumberFormat="1" applyFont="1" applyFill="1" applyBorder="1" applyAlignment="1">
      <alignment horizontal="center" vertical="center"/>
    </xf>
    <xf numFmtId="177" fontId="0" fillId="20" borderId="85" xfId="0" applyNumberFormat="1" applyFill="1" applyBorder="1" applyAlignment="1">
      <alignment horizontal="center" vertical="center" wrapText="1"/>
    </xf>
    <xf numFmtId="177" fontId="0" fillId="50" borderId="62" xfId="0" applyNumberFormat="1" applyFill="1" applyBorder="1" applyAlignment="1">
      <alignment horizontal="center" vertical="center" wrapText="1"/>
    </xf>
    <xf numFmtId="1" fontId="0" fillId="20" borderId="62" xfId="0" applyNumberFormat="1" applyFill="1" applyBorder="1" applyAlignment="1">
      <alignment horizontal="center" vertical="center" wrapText="1"/>
    </xf>
    <xf numFmtId="1" fontId="0" fillId="20" borderId="81" xfId="0" applyNumberFormat="1" applyFill="1" applyBorder="1" applyAlignment="1">
      <alignment horizontal="center" vertical="center" wrapText="1"/>
    </xf>
    <xf numFmtId="177" fontId="41" fillId="51" borderId="62" xfId="107" applyNumberFormat="1" applyFont="1" applyFill="1" applyBorder="1" applyAlignment="1">
      <alignment horizontal="center" vertical="center" wrapText="1"/>
    </xf>
    <xf numFmtId="177" fontId="41" fillId="52" borderId="62" xfId="107" applyNumberFormat="1" applyFont="1" applyFill="1" applyBorder="1" applyAlignment="1">
      <alignment horizontal="center" vertical="center" wrapText="1"/>
    </xf>
    <xf numFmtId="177" fontId="54" fillId="20" borderId="62" xfId="0" applyNumberFormat="1" applyFont="1" applyFill="1" applyBorder="1" applyAlignment="1">
      <alignment horizontal="center" vertical="center" wrapText="1"/>
    </xf>
    <xf numFmtId="177" fontId="0" fillId="20" borderId="62" xfId="0" applyNumberFormat="1" applyFill="1" applyBorder="1" applyAlignment="1">
      <alignment horizontal="center" vertical="center" wrapText="1"/>
    </xf>
    <xf numFmtId="1" fontId="0" fillId="20" borderId="86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77" fontId="0" fillId="20" borderId="86" xfId="109" applyNumberFormat="1" applyFont="1" applyFill="1" applyBorder="1" applyAlignment="1">
      <alignment horizontal="center" vertical="center" wrapText="1"/>
    </xf>
    <xf numFmtId="1" fontId="0" fillId="20" borderId="69" xfId="0" applyNumberFormat="1" applyFill="1" applyBorder="1" applyAlignment="1">
      <alignment horizontal="center" vertical="center"/>
    </xf>
    <xf numFmtId="1" fontId="0" fillId="20" borderId="61" xfId="0" applyNumberFormat="1" applyFill="1" applyBorder="1" applyAlignment="1">
      <alignment horizontal="center" vertical="center"/>
    </xf>
    <xf numFmtId="1" fontId="0" fillId="20" borderId="80" xfId="0" applyNumberFormat="1" applyFill="1" applyBorder="1" applyAlignment="1">
      <alignment horizontal="center" vertical="center"/>
    </xf>
    <xf numFmtId="0" fontId="41" fillId="0" borderId="62" xfId="0" applyFont="1" applyBorder="1" applyAlignment="1">
      <alignment vertical="center"/>
    </xf>
    <xf numFmtId="0" fontId="41" fillId="0" borderId="0" xfId="107" applyFont="1" applyAlignment="1" applyProtection="1">
      <alignment horizontal="center" vertical="center"/>
      <protection locked="0"/>
    </xf>
    <xf numFmtId="1" fontId="41" fillId="37" borderId="61" xfId="107" applyNumberFormat="1" applyFont="1" applyFill="1" applyBorder="1" applyAlignment="1" applyProtection="1">
      <alignment horizontal="center" vertical="center"/>
      <protection locked="0"/>
    </xf>
    <xf numFmtId="177" fontId="50" fillId="0" borderId="0" xfId="0" applyNumberFormat="1" applyFont="1" applyAlignment="1">
      <alignment horizontal="center" vertical="center"/>
    </xf>
    <xf numFmtId="1" fontId="0" fillId="53" borderId="62" xfId="0" applyNumberFormat="1" applyFill="1" applyBorder="1" applyAlignment="1">
      <alignment horizontal="center" vertical="center" wrapText="1"/>
    </xf>
    <xf numFmtId="1" fontId="0" fillId="53" borderId="81" xfId="0" applyNumberFormat="1" applyFill="1" applyBorder="1" applyAlignment="1">
      <alignment horizontal="center" vertical="center" wrapText="1"/>
    </xf>
    <xf numFmtId="1" fontId="0" fillId="20" borderId="87" xfId="0" applyNumberFormat="1" applyFill="1" applyBorder="1" applyAlignment="1">
      <alignment horizontal="center" vertical="center" wrapText="1"/>
    </xf>
    <xf numFmtId="14" fontId="0" fillId="53" borderId="81" xfId="0" applyNumberFormat="1" applyFill="1" applyBorder="1" applyAlignment="1">
      <alignment horizontal="center" vertical="center" wrapText="1"/>
    </xf>
    <xf numFmtId="14" fontId="0" fillId="53" borderId="85" xfId="0" applyNumberFormat="1" applyFill="1" applyBorder="1" applyAlignment="1">
      <alignment horizontal="center" vertical="center" wrapText="1"/>
    </xf>
    <xf numFmtId="49" fontId="0" fillId="20" borderId="87" xfId="206" applyNumberFormat="1" applyFont="1" applyFill="1" applyBorder="1" applyAlignment="1">
      <alignment vertical="center"/>
    </xf>
    <xf numFmtId="49" fontId="51" fillId="20" borderId="87" xfId="206" applyNumberFormat="1" applyFont="1" applyFill="1" applyBorder="1" applyAlignment="1">
      <alignment horizontal="center" vertical="center"/>
    </xf>
    <xf numFmtId="49" fontId="52" fillId="20" borderId="88" xfId="206" applyNumberFormat="1" applyFont="1" applyFill="1" applyBorder="1" applyAlignment="1">
      <alignment horizontal="center" vertical="center" wrapText="1"/>
    </xf>
    <xf numFmtId="49" fontId="52" fillId="20" borderId="69" xfId="206" applyNumberFormat="1" applyFont="1" applyFill="1" applyBorder="1" applyAlignment="1">
      <alignment horizontal="center" vertical="center" wrapText="1"/>
    </xf>
    <xf numFmtId="49" fontId="52" fillId="20" borderId="0" xfId="206" applyNumberFormat="1" applyFont="1" applyFill="1" applyAlignment="1">
      <alignment horizontal="center" vertical="center" wrapText="1"/>
    </xf>
    <xf numFmtId="0" fontId="55" fillId="51" borderId="16" xfId="107" applyFont="1" applyFill="1" applyBorder="1" applyAlignment="1" applyProtection="1">
      <alignment horizontal="center" vertical="center" wrapText="1"/>
      <protection locked="0"/>
    </xf>
    <xf numFmtId="0" fontId="55" fillId="52" borderId="16" xfId="107" applyFont="1" applyFill="1" applyBorder="1" applyAlignment="1" applyProtection="1">
      <alignment horizontal="center" vertical="center" wrapText="1"/>
      <protection locked="0"/>
    </xf>
    <xf numFmtId="177" fontId="0" fillId="20" borderId="81" xfId="0" applyNumberFormat="1" applyFill="1" applyBorder="1" applyAlignment="1">
      <alignment horizontal="center" vertical="center" wrapText="1"/>
    </xf>
    <xf numFmtId="177" fontId="0" fillId="50" borderId="85" xfId="0" applyNumberFormat="1" applyFill="1" applyBorder="1" applyAlignment="1">
      <alignment horizontal="center" vertical="center"/>
    </xf>
    <xf numFmtId="177" fontId="51" fillId="20" borderId="85" xfId="0" applyNumberFormat="1" applyFont="1" applyFill="1" applyBorder="1" applyAlignment="1">
      <alignment horizontal="center" vertical="center" wrapText="1"/>
    </xf>
    <xf numFmtId="177" fontId="51" fillId="20" borderId="62" xfId="0" applyNumberFormat="1" applyFont="1" applyFill="1" applyBorder="1" applyAlignment="1">
      <alignment horizontal="center" vertical="center" wrapText="1"/>
    </xf>
    <xf numFmtId="177" fontId="50" fillId="20" borderId="62" xfId="0" applyNumberFormat="1" applyFont="1" applyFill="1" applyBorder="1" applyAlignment="1">
      <alignment horizontal="center" vertical="center" wrapText="1"/>
    </xf>
    <xf numFmtId="1" fontId="0" fillId="20" borderId="10" xfId="0" applyNumberFormat="1" applyFill="1" applyBorder="1" applyAlignment="1">
      <alignment horizontal="center" vertical="center" wrapText="1"/>
    </xf>
    <xf numFmtId="1" fontId="0" fillId="20" borderId="89" xfId="0" applyNumberFormat="1" applyFill="1" applyBorder="1" applyAlignment="1">
      <alignment horizontal="center" vertical="center" wrapText="1"/>
    </xf>
    <xf numFmtId="1" fontId="0" fillId="20" borderId="90" xfId="0" applyNumberFormat="1" applyFill="1" applyBorder="1" applyAlignment="1">
      <alignment horizontal="center" vertical="center" wrapText="1"/>
    </xf>
    <xf numFmtId="177" fontId="0" fillId="20" borderId="91" xfId="109" applyNumberFormat="1" applyFont="1" applyFill="1" applyBorder="1" applyAlignment="1">
      <alignment horizontal="center" vertical="center" wrapText="1"/>
    </xf>
    <xf numFmtId="1" fontId="0" fillId="20" borderId="0" xfId="0" applyNumberFormat="1" applyFill="1" applyAlignment="1">
      <alignment horizontal="center" vertical="center"/>
    </xf>
    <xf numFmtId="0" fontId="41" fillId="0" borderId="92" xfId="0" applyFont="1" applyBorder="1" applyAlignment="1">
      <alignment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1" fontId="0" fillId="53" borderId="93" xfId="0" applyNumberFormat="1" applyFill="1" applyBorder="1" applyAlignment="1">
      <alignment horizontal="center" vertical="center" wrapText="1"/>
    </xf>
    <xf numFmtId="1" fontId="0" fillId="53" borderId="94" xfId="0" applyNumberFormat="1" applyFill="1" applyBorder="1" applyAlignment="1">
      <alignment horizontal="center" vertical="center" wrapText="1"/>
    </xf>
  </cellXfs>
  <cellStyles count="207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39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heck Cell" xfId="40" xr:uid="{00000000-0005-0000-0000-000028000000}"/>
    <cellStyle name="Euro" xfId="41" xr:uid="{00000000-0005-0000-0000-000029000000}"/>
    <cellStyle name="Euro 2" xfId="42" xr:uid="{00000000-0005-0000-0000-00002A000000}"/>
    <cellStyle name="Euro 2 2" xfId="43" xr:uid="{00000000-0005-0000-0000-00002B000000}"/>
    <cellStyle name="Euro 3" xfId="159" xr:uid="{00000000-0005-0000-0000-00002C000000}"/>
    <cellStyle name="Excel Built-in Excel Built-in Total" xfId="140" xr:uid="{00000000-0005-0000-0000-00002D000000}"/>
    <cellStyle name="Excel Built-in Excel Built-in Total 2" xfId="186" xr:uid="{00000000-0005-0000-0000-00002E000000}"/>
    <cellStyle name="Excel Built-in Excel Built-in Total 3" xfId="173" xr:uid="{00000000-0005-0000-0000-00002F000000}"/>
    <cellStyle name="Excel Built-in Excel Built-in Total 4" xfId="200" xr:uid="{00000000-0005-0000-0000-000030000000}"/>
    <cellStyle name="Excel Built-in Normal 2" xfId="141" xr:uid="{00000000-0005-0000-0000-000031000000}"/>
    <cellStyle name="Excel Built-in Normal 2 2 2" xfId="142" xr:uid="{00000000-0005-0000-0000-000032000000}"/>
    <cellStyle name="Excel Built-in Normal 7" xfId="143" xr:uid="{00000000-0005-0000-0000-000033000000}"/>
    <cellStyle name="Excel Built-in Normal_CONTRATOS " xfId="144" xr:uid="{00000000-0005-0000-0000-000034000000}"/>
    <cellStyle name="Excel Built-in Separador de milhares 2" xfId="145" xr:uid="{00000000-0005-0000-0000-000035000000}"/>
    <cellStyle name="Excel Built-in Separador de milhares 3" xfId="146" xr:uid="{00000000-0005-0000-0000-000036000000}"/>
    <cellStyle name="Explanatory Text" xfId="44" xr:uid="{00000000-0005-0000-0000-000037000000}"/>
    <cellStyle name="Good" xfId="147" xr:uid="{00000000-0005-0000-0000-000038000000}"/>
    <cellStyle name="Good 1" xfId="45" xr:uid="{00000000-0005-0000-0000-000039000000}"/>
    <cellStyle name="Good 2" xfId="46" xr:uid="{00000000-0005-0000-0000-00003A000000}"/>
    <cellStyle name="Heading 1" xfId="148" xr:uid="{00000000-0005-0000-0000-00003B000000}"/>
    <cellStyle name="Heading 1 1" xfId="47" xr:uid="{00000000-0005-0000-0000-00003C000000}"/>
    <cellStyle name="Heading 1 2" xfId="48" xr:uid="{00000000-0005-0000-0000-00003D000000}"/>
    <cellStyle name="Heading 2" xfId="149" xr:uid="{00000000-0005-0000-0000-00003E000000}"/>
    <cellStyle name="Heading 2 1" xfId="49" xr:uid="{00000000-0005-0000-0000-00003F000000}"/>
    <cellStyle name="Heading 2 2" xfId="50" xr:uid="{00000000-0005-0000-0000-000040000000}"/>
    <cellStyle name="Heading 3" xfId="51" xr:uid="{00000000-0005-0000-0000-000041000000}"/>
    <cellStyle name="Heading 4" xfId="52" xr:uid="{00000000-0005-0000-0000-000042000000}"/>
    <cellStyle name="Input" xfId="53" xr:uid="{00000000-0005-0000-0000-000043000000}"/>
    <cellStyle name="Linked Cell" xfId="54" xr:uid="{00000000-0005-0000-0000-000044000000}"/>
    <cellStyle name="Moeda" xfId="203" builtinId="4"/>
    <cellStyle name="Moeda 2" xfId="55" xr:uid="{00000000-0005-0000-0000-000046000000}"/>
    <cellStyle name="Moeda 2 2" xfId="56" xr:uid="{00000000-0005-0000-0000-000047000000}"/>
    <cellStyle name="Moeda 2 3" xfId="161" xr:uid="{00000000-0005-0000-0000-000048000000}"/>
    <cellStyle name="Moeda 3" xfId="57" xr:uid="{00000000-0005-0000-0000-000049000000}"/>
    <cellStyle name="Moeda 4" xfId="58" xr:uid="{00000000-0005-0000-0000-00004A000000}"/>
    <cellStyle name="Moeda 5" xfId="160" xr:uid="{00000000-0005-0000-0000-00004B000000}"/>
    <cellStyle name="Neutral" xfId="150" xr:uid="{00000000-0005-0000-0000-00004C000000}"/>
    <cellStyle name="Neutral 1" xfId="59" xr:uid="{00000000-0005-0000-0000-00004D000000}"/>
    <cellStyle name="Neutral 2" xfId="60" xr:uid="{00000000-0005-0000-0000-00004E000000}"/>
    <cellStyle name="Normal" xfId="0" builtinId="0"/>
    <cellStyle name="Normal 10" xfId="61" xr:uid="{00000000-0005-0000-0000-000050000000}"/>
    <cellStyle name="Normal 10 2" xfId="62" xr:uid="{00000000-0005-0000-0000-000051000000}"/>
    <cellStyle name="Normal 11" xfId="63" xr:uid="{00000000-0005-0000-0000-000052000000}"/>
    <cellStyle name="Normal 11 2" xfId="64" xr:uid="{00000000-0005-0000-0000-000053000000}"/>
    <cellStyle name="Normal 12" xfId="65" xr:uid="{00000000-0005-0000-0000-000054000000}"/>
    <cellStyle name="Normal 12 2" xfId="66" xr:uid="{00000000-0005-0000-0000-000055000000}"/>
    <cellStyle name="Normal 12 2 2" xfId="189" xr:uid="{00000000-0005-0000-0000-000056000000}"/>
    <cellStyle name="Normal 12 2 3" xfId="172" xr:uid="{00000000-0005-0000-0000-000057000000}"/>
    <cellStyle name="Normal 13" xfId="67" xr:uid="{00000000-0005-0000-0000-000058000000}"/>
    <cellStyle name="Normal 13 2" xfId="68" xr:uid="{00000000-0005-0000-0000-000059000000}"/>
    <cellStyle name="Normal 13 2 2" xfId="69" xr:uid="{00000000-0005-0000-0000-00005A000000}"/>
    <cellStyle name="Normal 13 3" xfId="70" xr:uid="{00000000-0005-0000-0000-00005B000000}"/>
    <cellStyle name="Normal 14" xfId="71" xr:uid="{00000000-0005-0000-0000-00005C000000}"/>
    <cellStyle name="Normal 14 2" xfId="72" xr:uid="{00000000-0005-0000-0000-00005D000000}"/>
    <cellStyle name="Normal 15" xfId="73" xr:uid="{00000000-0005-0000-0000-00005E000000}"/>
    <cellStyle name="Normal 15 2" xfId="74" xr:uid="{00000000-0005-0000-0000-00005F000000}"/>
    <cellStyle name="Normal 15 3" xfId="195" xr:uid="{00000000-0005-0000-0000-000060000000}"/>
    <cellStyle name="Normal 16" xfId="75" xr:uid="{00000000-0005-0000-0000-000061000000}"/>
    <cellStyle name="Normal 16 2" xfId="188" xr:uid="{00000000-0005-0000-0000-000062000000}"/>
    <cellStyle name="Normal 17" xfId="76" xr:uid="{00000000-0005-0000-0000-000063000000}"/>
    <cellStyle name="Normal 18" xfId="77" xr:uid="{00000000-0005-0000-0000-000064000000}"/>
    <cellStyle name="Normal 19" xfId="78" xr:uid="{00000000-0005-0000-0000-000065000000}"/>
    <cellStyle name="Normal 2" xfId="79" xr:uid="{00000000-0005-0000-0000-000066000000}"/>
    <cellStyle name="Normal 2 2" xfId="80" xr:uid="{00000000-0005-0000-0000-000067000000}"/>
    <cellStyle name="Normal 2 2 2" xfId="81" xr:uid="{00000000-0005-0000-0000-000068000000}"/>
    <cellStyle name="Normal 2 2 2 2" xfId="82" xr:uid="{00000000-0005-0000-0000-000069000000}"/>
    <cellStyle name="Normal 2 2 2 3" xfId="151" xr:uid="{00000000-0005-0000-0000-00006A000000}"/>
    <cellStyle name="Normal 2 2 3" xfId="83" xr:uid="{00000000-0005-0000-0000-00006B000000}"/>
    <cellStyle name="Normal 2 2 3 2" xfId="198" xr:uid="{00000000-0005-0000-0000-00006C000000}"/>
    <cellStyle name="Normal 2 2 3 3" xfId="184" xr:uid="{00000000-0005-0000-0000-00006D000000}"/>
    <cellStyle name="Normal 2 2 4" xfId="175" xr:uid="{00000000-0005-0000-0000-00006E000000}"/>
    <cellStyle name="Normal 2 3" xfId="84" xr:uid="{00000000-0005-0000-0000-00006F000000}"/>
    <cellStyle name="Normal 2 3 2" xfId="85" xr:uid="{00000000-0005-0000-0000-000070000000}"/>
    <cellStyle name="Normal 2 3 2 2" xfId="86" xr:uid="{00000000-0005-0000-0000-000071000000}"/>
    <cellStyle name="Normal 2 3 2 3" xfId="185" xr:uid="{00000000-0005-0000-0000-000072000000}"/>
    <cellStyle name="Normal 2 3 3" xfId="87" xr:uid="{00000000-0005-0000-0000-000073000000}"/>
    <cellStyle name="Normal 2 3 3 2" xfId="176" xr:uid="{00000000-0005-0000-0000-000074000000}"/>
    <cellStyle name="Normal 2 3 4" xfId="191" xr:uid="{00000000-0005-0000-0000-000075000000}"/>
    <cellStyle name="Normal 2 3 5" xfId="163" xr:uid="{00000000-0005-0000-0000-000076000000}"/>
    <cellStyle name="Normal 2 4" xfId="88" xr:uid="{00000000-0005-0000-0000-000077000000}"/>
    <cellStyle name="Normal 2 4 2" xfId="89" xr:uid="{00000000-0005-0000-0000-000078000000}"/>
    <cellStyle name="Normal 2 4 3" xfId="164" xr:uid="{00000000-0005-0000-0000-000079000000}"/>
    <cellStyle name="Normal 2 5" xfId="90" xr:uid="{00000000-0005-0000-0000-00007A000000}"/>
    <cellStyle name="Normal 2 5 2" xfId="91" xr:uid="{00000000-0005-0000-0000-00007B000000}"/>
    <cellStyle name="Normal 2 5 3" xfId="183" xr:uid="{00000000-0005-0000-0000-00007C000000}"/>
    <cellStyle name="Normal 2 6" xfId="174" xr:uid="{00000000-0005-0000-0000-00007D000000}"/>
    <cellStyle name="Normal 2 7" xfId="190" xr:uid="{00000000-0005-0000-0000-00007E000000}"/>
    <cellStyle name="Normal 2 8" xfId="162" xr:uid="{00000000-0005-0000-0000-00007F000000}"/>
    <cellStyle name="Normal 2_APONTAMENTO" xfId="95" xr:uid="{00000000-0005-0000-0000-000080000000}"/>
    <cellStyle name="Normal 20" xfId="92" xr:uid="{00000000-0005-0000-0000-000081000000}"/>
    <cellStyle name="Normal 21" xfId="93" xr:uid="{00000000-0005-0000-0000-000082000000}"/>
    <cellStyle name="Normal 22" xfId="94" xr:uid="{00000000-0005-0000-0000-000083000000}"/>
    <cellStyle name="Normal 23" xfId="155" xr:uid="{00000000-0005-0000-0000-000084000000}"/>
    <cellStyle name="Normal 24" xfId="156" xr:uid="{00000000-0005-0000-0000-000085000000}"/>
    <cellStyle name="Normal 25" xfId="157" xr:uid="{00000000-0005-0000-0000-000086000000}"/>
    <cellStyle name="Normal 26" xfId="158" xr:uid="{00000000-0005-0000-0000-000087000000}"/>
    <cellStyle name="Normal 27" xfId="165" xr:uid="{00000000-0005-0000-0000-000088000000}"/>
    <cellStyle name="Normal 28" xfId="199" xr:uid="{00000000-0005-0000-0000-000089000000}"/>
    <cellStyle name="Normal 3" xfId="96" xr:uid="{00000000-0005-0000-0000-00008A000000}"/>
    <cellStyle name="Normal 3 2" xfId="97" xr:uid="{00000000-0005-0000-0000-00008B000000}"/>
    <cellStyle name="Normal 3 2 2" xfId="201" xr:uid="{00000000-0005-0000-0000-00008C000000}"/>
    <cellStyle name="Normal 3 3" xfId="98" xr:uid="{00000000-0005-0000-0000-00008D000000}"/>
    <cellStyle name="Normal 3 3 2" xfId="194" xr:uid="{00000000-0005-0000-0000-00008E000000}"/>
    <cellStyle name="Normal 31" xfId="204" xr:uid="{00000000-0005-0000-0000-00008F000000}"/>
    <cellStyle name="Normal 4" xfId="99" xr:uid="{00000000-0005-0000-0000-000090000000}"/>
    <cellStyle name="Normal 4 2" xfId="100" xr:uid="{00000000-0005-0000-0000-000091000000}"/>
    <cellStyle name="Normal 4 2 2" xfId="192" xr:uid="{00000000-0005-0000-0000-000092000000}"/>
    <cellStyle name="Normal 4 3" xfId="101" xr:uid="{00000000-0005-0000-0000-000093000000}"/>
    <cellStyle name="Normal 5" xfId="102" xr:uid="{00000000-0005-0000-0000-000094000000}"/>
    <cellStyle name="Normal 5 2" xfId="103" xr:uid="{00000000-0005-0000-0000-000095000000}"/>
    <cellStyle name="Normal 5 3" xfId="104" xr:uid="{00000000-0005-0000-0000-000096000000}"/>
    <cellStyle name="Normal 6" xfId="105" xr:uid="{00000000-0005-0000-0000-000097000000}"/>
    <cellStyle name="Normal 6 2" xfId="106" xr:uid="{00000000-0005-0000-0000-000098000000}"/>
    <cellStyle name="Normal 7" xfId="107" xr:uid="{00000000-0005-0000-0000-000099000000}"/>
    <cellStyle name="Normal 7 2" xfId="108" xr:uid="{00000000-0005-0000-0000-00009A000000}"/>
    <cellStyle name="Normal 7 2 2" xfId="109" xr:uid="{00000000-0005-0000-0000-00009B000000}"/>
    <cellStyle name="Normal 7 3" xfId="110" xr:uid="{00000000-0005-0000-0000-00009C000000}"/>
    <cellStyle name="Normal 8" xfId="111" xr:uid="{00000000-0005-0000-0000-00009D000000}"/>
    <cellStyle name="Normal 9" xfId="112" xr:uid="{00000000-0005-0000-0000-00009E000000}"/>
    <cellStyle name="Normal 9 2" xfId="113" xr:uid="{00000000-0005-0000-0000-00009F000000}"/>
    <cellStyle name="Normal 9 3" xfId="114" xr:uid="{00000000-0005-0000-0000-0000A0000000}"/>
    <cellStyle name="Normal_Plan1" xfId="206" xr:uid="{00B17BF9-F42E-4407-B831-4AE2CF6EBD2F}"/>
    <cellStyle name="Note" xfId="152" xr:uid="{00000000-0005-0000-0000-0000A1000000}"/>
    <cellStyle name="Note 1" xfId="115" xr:uid="{00000000-0005-0000-0000-0000A2000000}"/>
    <cellStyle name="Note 2" xfId="116" xr:uid="{00000000-0005-0000-0000-0000A3000000}"/>
    <cellStyle name="Output" xfId="117" xr:uid="{00000000-0005-0000-0000-0000A4000000}"/>
    <cellStyle name="Porcentagem 2" xfId="118" xr:uid="{00000000-0005-0000-0000-0000A5000000}"/>
    <cellStyle name="Porcentagem 2 2" xfId="119" xr:uid="{00000000-0005-0000-0000-0000A6000000}"/>
    <cellStyle name="Porcentagem 2 3" xfId="166" xr:uid="{00000000-0005-0000-0000-0000A7000000}"/>
    <cellStyle name="Porcentagem 3" xfId="120" xr:uid="{00000000-0005-0000-0000-0000A8000000}"/>
    <cellStyle name="Porcentagem 3 2" xfId="202" xr:uid="{00000000-0005-0000-0000-0000A9000000}"/>
    <cellStyle name="Porcentagem 4" xfId="121" xr:uid="{00000000-0005-0000-0000-0000AA000000}"/>
    <cellStyle name="Separador de milhares 2" xfId="122" xr:uid="{00000000-0005-0000-0000-0000AB000000}"/>
    <cellStyle name="Separador de milhares 2 2" xfId="123" xr:uid="{00000000-0005-0000-0000-0000AC000000}"/>
    <cellStyle name="Separador de milhares 2 2 2" xfId="124" xr:uid="{00000000-0005-0000-0000-0000AD000000}"/>
    <cellStyle name="Separador de milhares 2 2 2 2" xfId="178" xr:uid="{00000000-0005-0000-0000-0000AE000000}"/>
    <cellStyle name="Separador de milhares 2 2 3" xfId="171" xr:uid="{00000000-0005-0000-0000-0000AF000000}"/>
    <cellStyle name="Separador de milhares 2 3" xfId="125" xr:uid="{00000000-0005-0000-0000-0000B0000000}"/>
    <cellStyle name="Separador de milhares 2 3 2" xfId="196" xr:uid="{00000000-0005-0000-0000-0000B1000000}"/>
    <cellStyle name="Separador de milhares 2 3 3" xfId="187" xr:uid="{00000000-0005-0000-0000-0000B2000000}"/>
    <cellStyle name="Separador de milhares 2 4" xfId="126" xr:uid="{00000000-0005-0000-0000-0000B3000000}"/>
    <cellStyle name="Separador de milhares 2 4 2" xfId="177" xr:uid="{00000000-0005-0000-0000-0000B4000000}"/>
    <cellStyle name="Separador de milhares 2 5" xfId="168" xr:uid="{00000000-0005-0000-0000-0000B5000000}"/>
    <cellStyle name="Separador de milhares 3" xfId="127" xr:uid="{00000000-0005-0000-0000-0000B6000000}"/>
    <cellStyle name="Separador de milhares 3 2" xfId="128" xr:uid="{00000000-0005-0000-0000-0000B7000000}"/>
    <cellStyle name="Separador de milhares 3 2 2" xfId="197" xr:uid="{00000000-0005-0000-0000-0000B8000000}"/>
    <cellStyle name="Separador de milhares 3 2 3" xfId="179" xr:uid="{00000000-0005-0000-0000-0000B9000000}"/>
    <cellStyle name="Separador de milhares 3 3" xfId="153" xr:uid="{00000000-0005-0000-0000-0000BA000000}"/>
    <cellStyle name="Separador de milhares 3 3 2" xfId="154" xr:uid="{00000000-0005-0000-0000-0000BB000000}"/>
    <cellStyle name="Separador de milhares 4" xfId="129" xr:uid="{00000000-0005-0000-0000-0000BC000000}"/>
    <cellStyle name="Separador de milhares 4 2" xfId="130" xr:uid="{00000000-0005-0000-0000-0000BD000000}"/>
    <cellStyle name="Separador de milhares 4 2 2" xfId="180" xr:uid="{00000000-0005-0000-0000-0000BE000000}"/>
    <cellStyle name="Separador de milhares 4 3" xfId="169" xr:uid="{00000000-0005-0000-0000-0000BF000000}"/>
    <cellStyle name="Separador de milhares 5" xfId="131" xr:uid="{00000000-0005-0000-0000-0000C0000000}"/>
    <cellStyle name="Separador de milhares 5 2" xfId="181" xr:uid="{00000000-0005-0000-0000-0000C1000000}"/>
    <cellStyle name="Separador de milhares 5 3" xfId="170" xr:uid="{00000000-0005-0000-0000-0000C2000000}"/>
    <cellStyle name="Separador de milhares 6" xfId="132" xr:uid="{00000000-0005-0000-0000-0000C3000000}"/>
    <cellStyle name="Separador de milhares 7" xfId="133" xr:uid="{00000000-0005-0000-0000-0000C4000000}"/>
    <cellStyle name="TableStyleLight1" xfId="134" xr:uid="{00000000-0005-0000-0000-0000C5000000}"/>
    <cellStyle name="Title" xfId="135" xr:uid="{00000000-0005-0000-0000-0000C6000000}"/>
    <cellStyle name="Vírgula" xfId="205" builtinId="3"/>
    <cellStyle name="Vírgula 2" xfId="136" xr:uid="{00000000-0005-0000-0000-0000C7000000}"/>
    <cellStyle name="Vírgula 2 2" xfId="182" xr:uid="{00000000-0005-0000-0000-0000C8000000}"/>
    <cellStyle name="Vírgula 3" xfId="137" xr:uid="{00000000-0005-0000-0000-0000C9000000}"/>
    <cellStyle name="Vírgula 3 2" xfId="193" xr:uid="{00000000-0005-0000-0000-0000CA000000}"/>
    <cellStyle name="Vírgula 4" xfId="167" xr:uid="{00000000-0005-0000-0000-0000CB000000}"/>
    <cellStyle name="Warning Text" xfId="138" xr:uid="{00000000-0005-0000-0000-0000CC000000}"/>
  </cellStyles>
  <dxfs count="4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mruColors>
      <color rgb="FF99FFCC"/>
      <color rgb="FFCCFFCC"/>
      <color rgb="FFFFFF66"/>
      <color rgb="FFFFFFCC"/>
      <color rgb="FF66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5\CONTROLE%20-%20PESSOA%20JURIDICA%20-%202015_2_SEMEST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5\CONTROLE%20-%20PESSOA%20FISICA_2015_2_SEMEST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e109200c202\TEG2013\Documents%20and%20Settings\m123709\Configura&#231;&#245;es%20locais\Temporary%20Internet%20Files\OLK226\APONTAMENTO_PJ_IP_ABR_20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DINAHO~1\CONFIG~1\Temp\Diret&#243;rio%20tempor&#225;rio%201%20para%20APONTAMENTO%20CS%20MAIO%202011%20PF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prefeituraspgov-my.sharepoint.com/Documents%20and%20Settings/m123610.REDE/Desktop/DRE%20-%20PJ/DRE%20PJ%20-%20ATESTE%20PF%20-%20SET%20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123610\Desktop\DRE-CS\CS%20-%20PF\CS%20PF%20ENVIADOS\APONTAMENTO%20%20CS%20-%20PF%20FEVEREIRO%20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prefeituraspgov-my.sharepoint.com/Documents%20and%20Settings/m123610.REDE/Desktop/DRE-CS/CS%20-%20PF%202013/ENVIADOS/009-APONTAMENTO_CS_PF_SETEMBRO_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S_GERENCIAL\2015\GERENCIAIS_MES_A_MES_2015\1-GERENCIAL_JAN_201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123610\Dados%20de%20aplicativos\Microsoft\Excel\CONTROLE%20EMPENHOS\2011\Backup%20de%20CONTROLE%20PESSOA%20FIS&#205;CA%20CALC.xlk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d555483\CONFIG~1\Temp\CS%20-%20PF\APONTAMENTOS%20CS%20-%20PF%20-%20JAN.2011%20TES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7\m123438\Desktop\SOF%20CRED\BASESOF%20CREDENCIAMENTO_PF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prefeituraspgov-my.sharepoint.com/Users/KARINA~1.MUN/AppData/Local/Temp/Rar$DI00.297/DRE-CS/CS%20-%20PF/CS%20PF%20RECEBIDOS/PLANILHAS%20MOD%20&#201;LIO/Documents%20and%20Settings/m123610/Desktop/CONTROLE%20EMPENHOS/2012/CONTROLE%20-%20PESSOA%20JUR&#205;DICA%20-%202012.xlsx?0FFEED0A" TargetMode="External"/><Relationship Id="rId1" Type="http://schemas.openxmlformats.org/officeDocument/2006/relationships/externalLinkPath" Target="file:///\\0FFEED0A\CONTROLE%20-%20PESSOA%20JUR&#205;DICA%20-%202012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prefeituraspgov-my.sharepoint.com/Users/KARINA~1.MUN/AppData/Local/Temp/Rar$DI00.297/DRE-CS/CS%20-%20PF/CS%20PF%20RECEBIDOS/PLANILHAS%20MOD%20&#201;LIO/Documents%20and%20Settings/m123610/Desktop/CONTROLE%20EMPENHOS/2012/CONTROLE%20PESSOA%20FIS&#205;CA.XLS?0FFEED0A" TargetMode="External"/><Relationship Id="rId1" Type="http://schemas.openxmlformats.org/officeDocument/2006/relationships/externalLinkPath" Target="file:///\\0FFEED0A\CONTROLE%20PESSOA%20FIS&#205;C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123610\Dados%20de%20aplicativos\Microsoft\Excel\Modelo%20-%20Reserva%20%20Empenho%20%20Anexo%20e%20Liquida&#231;&#227;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.old\Documents%20and%20Settings\Valter\desktop\VALTER\APONTAMENTO%20%20CS%20-%20PF%20FEVEREIRO%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gram%20Files\Microsoft%20Office\Office12\xlstart\CONTROLE%20EMPENHOS\2016\Pasta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F.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pgtos/2026-04%20Pgto/old/04%20ATESTE%20MP%20PJ%20ABR%2026.xlsx" TargetMode="External"/><Relationship Id="rId2" Type="http://schemas.openxmlformats.org/officeDocument/2006/relationships/externalLinkPath" Target="file:///C:\Users\m089383\Aplicativos\teg_cursor\pgtos\2026-04%20Pgto\old\04%20ATESTE%20MP%20PJ%20ABR%2026.xlsx" TargetMode="External"/><Relationship Id="rId1" Type="http://schemas.openxmlformats.org/officeDocument/2006/relationships/externalLinkPath" Target="/Users/m089383/Aplicativos/teg_cursor/pgtos/2026-04%20Pgto/old/04%20ATESTE%20MP%20PJ%20AB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S_2015"/>
      <sheetName val="DRES"/>
      <sheetName val="PREVISAO 2º SEMESTRE"/>
      <sheetName val="EMPENHOS"/>
      <sheetName val="SOF_EMP_03_09"/>
      <sheetName val="VL EMPATÉ_03_09"/>
      <sheetName val="Plan1"/>
      <sheetName val="Plan2"/>
      <sheetName val="Plan6"/>
      <sheetName val="Plan7"/>
      <sheetName val="DIVERSOS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S "/>
      <sheetName val="EMPENHOS"/>
      <sheetName val="SOF_EMP_03_09"/>
      <sheetName val="DIVERSOS"/>
      <sheetName val="DRES"/>
      <sheetName val="CANCELA EMPENHO"/>
      <sheetName val="Plan2"/>
      <sheetName val="Plan3"/>
      <sheetName val="Plan4"/>
      <sheetName val="Plan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ATESTADO"/>
      <sheetName val="EMPRESA"/>
      <sheetName val="DEMO"/>
      <sheetName val="LIQUIDAÇÃO"/>
      <sheetName val="NF"/>
      <sheetName val="ATESTE"/>
    </sheetNames>
    <sheetDataSet>
      <sheetData sheetId="0" refreshError="1"/>
      <sheetData sheetId="1" refreshError="1"/>
      <sheetData sheetId="2">
        <row r="1">
          <cell r="F1">
            <v>41000</v>
          </cell>
          <cell r="I1" t="str">
            <v>IPIRANGA</v>
          </cell>
          <cell r="O1" t="str">
            <v>As células referente às viagens do TEG ESPECIAL devem ser pintadas de AMARELO</v>
          </cell>
        </row>
        <row r="2">
          <cell r="F2" t="str">
            <v>IP</v>
          </cell>
        </row>
        <row r="3"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  <cell r="P3">
            <v>13</v>
          </cell>
          <cell r="Q3">
            <v>14</v>
          </cell>
          <cell r="R3">
            <v>15</v>
          </cell>
          <cell r="S3">
            <v>16</v>
          </cell>
          <cell r="T3">
            <v>17</v>
          </cell>
          <cell r="U3">
            <v>18</v>
          </cell>
          <cell r="V3">
            <v>19</v>
          </cell>
          <cell r="W3">
            <v>20</v>
          </cell>
          <cell r="X3">
            <v>21</v>
          </cell>
          <cell r="Y3">
            <v>22</v>
          </cell>
          <cell r="Z3">
            <v>23</v>
          </cell>
          <cell r="AA3">
            <v>24</v>
          </cell>
          <cell r="AB3">
            <v>25</v>
          </cell>
          <cell r="AC3">
            <v>26</v>
          </cell>
          <cell r="AD3">
            <v>27</v>
          </cell>
          <cell r="AE3">
            <v>28</v>
          </cell>
          <cell r="AF3">
            <v>29</v>
          </cell>
          <cell r="AG3">
            <v>30</v>
          </cell>
          <cell r="AH3">
            <v>31</v>
          </cell>
          <cell r="AI3">
            <v>32</v>
          </cell>
          <cell r="AJ3">
            <v>33</v>
          </cell>
          <cell r="AK3">
            <v>34</v>
          </cell>
          <cell r="AL3">
            <v>35</v>
          </cell>
          <cell r="AM3">
            <v>36</v>
          </cell>
          <cell r="AN3">
            <v>37</v>
          </cell>
          <cell r="AO3">
            <v>38</v>
          </cell>
          <cell r="AP3">
            <v>39</v>
          </cell>
          <cell r="AQ3">
            <v>40</v>
          </cell>
          <cell r="AR3">
            <v>41</v>
          </cell>
          <cell r="AS3">
            <v>42</v>
          </cell>
          <cell r="AT3">
            <v>43</v>
          </cell>
          <cell r="AU3">
            <v>44</v>
          </cell>
          <cell r="AV3">
            <v>45</v>
          </cell>
          <cell r="AW3">
            <v>46</v>
          </cell>
          <cell r="AX3">
            <v>47</v>
          </cell>
          <cell r="AY3">
            <v>48</v>
          </cell>
          <cell r="AZ3">
            <v>49</v>
          </cell>
          <cell r="BA3">
            <v>50</v>
          </cell>
          <cell r="BB3">
            <v>51</v>
          </cell>
          <cell r="BC3">
            <v>52</v>
          </cell>
          <cell r="BD3">
            <v>53</v>
          </cell>
          <cell r="BE3">
            <v>54</v>
          </cell>
          <cell r="BF3">
            <v>55</v>
          </cell>
          <cell r="BG3">
            <v>56</v>
          </cell>
          <cell r="BH3">
            <v>57</v>
          </cell>
          <cell r="BI3">
            <v>58</v>
          </cell>
          <cell r="BJ3">
            <v>59</v>
          </cell>
          <cell r="BK3">
            <v>60</v>
          </cell>
          <cell r="BL3">
            <v>61</v>
          </cell>
          <cell r="BM3">
            <v>62</v>
          </cell>
          <cell r="BN3">
            <v>63</v>
          </cell>
          <cell r="BO3">
            <v>64</v>
          </cell>
          <cell r="BP3">
            <v>65</v>
          </cell>
          <cell r="BQ3">
            <v>66</v>
          </cell>
          <cell r="BR3">
            <v>67</v>
          </cell>
          <cell r="BS3">
            <v>68</v>
          </cell>
          <cell r="BT3">
            <v>69</v>
          </cell>
          <cell r="BU3">
            <v>70</v>
          </cell>
          <cell r="BV3">
            <v>71</v>
          </cell>
          <cell r="BW3">
            <v>72</v>
          </cell>
          <cell r="BX3">
            <v>73</v>
          </cell>
          <cell r="BY3">
            <v>74</v>
          </cell>
          <cell r="BZ3">
            <v>75</v>
          </cell>
          <cell r="CA3">
            <v>76</v>
          </cell>
          <cell r="CB3">
            <v>77</v>
          </cell>
          <cell r="CC3">
            <v>78</v>
          </cell>
          <cell r="CD3">
            <v>79</v>
          </cell>
          <cell r="CE3">
            <v>80</v>
          </cell>
          <cell r="CF3">
            <v>81</v>
          </cell>
          <cell r="CG3">
            <v>82</v>
          </cell>
        </row>
        <row r="4">
          <cell r="D4" t="str">
            <v>CONTRATO</v>
          </cell>
          <cell r="E4" t="str">
            <v>PERIODO</v>
          </cell>
          <cell r="G4" t="str">
            <v>EMPRESA</v>
          </cell>
          <cell r="H4" t="str">
            <v>NOME CONDUTOR</v>
          </cell>
          <cell r="I4" t="str">
            <v>TIPO DE VIAGEM (NORMAL, ESPECIAL, ESPECIAL MISTA, CONVENIADA, CONVENIADA MISTA, ADAPTADO)</v>
          </cell>
          <cell r="J4" t="str">
            <v>CONDUTOR</v>
          </cell>
          <cell r="K4" t="str">
            <v>Dias Trabalhados</v>
          </cell>
          <cell r="N4" t="str">
            <v>1ª VIAGEM</v>
          </cell>
          <cell r="R4" t="str">
            <v>2ª VIAGEM</v>
          </cell>
          <cell r="V4" t="str">
            <v>3ª VIAGEM</v>
          </cell>
          <cell r="Z4" t="str">
            <v>Faltas</v>
          </cell>
          <cell r="AG4" t="str">
            <v>Dias do mês FALTAS</v>
          </cell>
          <cell r="AH4" t="str">
            <v>DISPENSAS</v>
          </cell>
          <cell r="AO4" t="str">
            <v>Dias do mês DISPENSAS</v>
          </cell>
          <cell r="AP4" t="str">
            <v>Dias Úteis</v>
          </cell>
          <cell r="AQ4" t="str">
            <v>Dias Criança</v>
          </cell>
          <cell r="AR4" t="str">
            <v>Dias Veículo</v>
          </cell>
          <cell r="AS4" t="str">
            <v>TOTAL Km/dia</v>
          </cell>
          <cell r="AT4" t="str">
            <v>TOTAL Não Cad/dia</v>
          </cell>
          <cell r="AU4" t="str">
            <v>TOTAL Cad/dia</v>
          </cell>
          <cell r="AV4" t="str">
            <v>TOTAL GERAL Cças/dia</v>
          </cell>
          <cell r="AW4" t="str">
            <v>TOTAL Km/Mês</v>
          </cell>
          <cell r="AX4" t="str">
            <v>OBSERVAÇÕES</v>
          </cell>
          <cell r="AZ4" t="str">
            <v>Ano Veículo</v>
          </cell>
          <cell r="BA4" t="str">
            <v>Cap Det</v>
          </cell>
          <cell r="BB4" t="str">
            <v>Cap TEG</v>
          </cell>
          <cell r="BC4" t="str">
            <v>Valor km</v>
          </cell>
          <cell r="BD4" t="str">
            <v>Valor Unitário Criança</v>
          </cell>
          <cell r="BE4" t="str">
            <v>Valor Veículo</v>
          </cell>
          <cell r="BF4" t="str">
            <v>VALOR KM A PAGAR</v>
          </cell>
          <cell r="BG4" t="str">
            <v>VALORES TABELAS</v>
          </cell>
          <cell r="BH4" t="str">
            <v>Valores Criança</v>
          </cell>
          <cell r="BS4" t="str">
            <v>VALOR VEÍCULO A PAGAR</v>
          </cell>
          <cell r="BT4" t="str">
            <v>FALTAS</v>
          </cell>
          <cell r="BX4" t="str">
            <v>Dispensas</v>
          </cell>
          <cell r="BY4" t="str">
            <v>Ajuste Positivo</v>
          </cell>
          <cell r="BZ4" t="str">
            <v>Ajuste Negativo</v>
          </cell>
          <cell r="CA4" t="str">
            <v>Multa Contratual</v>
          </cell>
          <cell r="CB4" t="str">
            <v>Total Bruto</v>
          </cell>
          <cell r="CD4" t="str">
            <v>Tabela Máx/Mês (Especiais)</v>
          </cell>
          <cell r="CE4" t="str">
            <v>Tabela Máx/Mês (Proporc.)</v>
          </cell>
          <cell r="CF4" t="str">
            <v>ACESSÍVEL</v>
          </cell>
          <cell r="CG4" t="str">
            <v>OBSERVAÇÕES FINANCEIRO</v>
          </cell>
        </row>
        <row r="6">
          <cell r="K6" t="str">
            <v>1ª</v>
          </cell>
          <cell r="L6" t="str">
            <v>2ª</v>
          </cell>
          <cell r="M6" t="str">
            <v>3ª</v>
          </cell>
          <cell r="N6" t="str">
            <v>Escola</v>
          </cell>
          <cell r="O6" t="str">
            <v>Km</v>
          </cell>
          <cell r="P6" t="str">
            <v>Criança</v>
          </cell>
          <cell r="Q6" t="str">
            <v>Cad</v>
          </cell>
          <cell r="R6" t="str">
            <v>Escola</v>
          </cell>
          <cell r="S6" t="str">
            <v>Km</v>
          </cell>
          <cell r="T6" t="str">
            <v>Criança</v>
          </cell>
          <cell r="U6" t="str">
            <v>Cad</v>
          </cell>
          <cell r="V6" t="str">
            <v>Escola</v>
          </cell>
          <cell r="W6" t="str">
            <v>Km</v>
          </cell>
          <cell r="X6" t="str">
            <v>Criança</v>
          </cell>
          <cell r="Y6" t="str">
            <v>Cad</v>
          </cell>
          <cell r="Z6" t="str">
            <v>1ªV</v>
          </cell>
          <cell r="AB6" t="str">
            <v>2ªV</v>
          </cell>
          <cell r="AD6" t="str">
            <v>3ªV</v>
          </cell>
          <cell r="AF6" t="str">
            <v>Total</v>
          </cell>
          <cell r="AG6" t="str">
            <v>usar apenas o número do dia. Ex.: 22, 05 e 12</v>
          </cell>
          <cell r="AH6" t="str">
            <v>1ªV</v>
          </cell>
          <cell r="AJ6" t="str">
            <v>2ªV</v>
          </cell>
          <cell r="AL6" t="str">
            <v>3ªV</v>
          </cell>
          <cell r="AN6" t="str">
            <v>Total</v>
          </cell>
          <cell r="AO6" t="str">
            <v>usar apenas o número do dia. Ex.: 10 e 13</v>
          </cell>
          <cell r="BH6" t="str">
            <v>1ª Viagem</v>
          </cell>
          <cell r="BK6" t="str">
            <v>2ª Viagem</v>
          </cell>
          <cell r="BN6" t="str">
            <v>3ª Viagem</v>
          </cell>
          <cell r="BQ6" t="str">
            <v>Total Criança 1</v>
          </cell>
          <cell r="BR6" t="str">
            <v>Total Criança 2</v>
          </cell>
          <cell r="BT6" t="str">
            <v>Km</v>
          </cell>
          <cell r="BU6" t="str">
            <v>Criança</v>
          </cell>
          <cell r="BV6" t="str">
            <v>Veículo</v>
          </cell>
          <cell r="BW6" t="str">
            <v>Total Faltas</v>
          </cell>
        </row>
        <row r="7">
          <cell r="G7" t="e">
            <v>#N/A</v>
          </cell>
          <cell r="H7" t="e">
            <v>#N/A</v>
          </cell>
          <cell r="K7">
            <v>0</v>
          </cell>
          <cell r="L7">
            <v>0</v>
          </cell>
          <cell r="M7">
            <v>0</v>
          </cell>
          <cell r="AA7">
            <v>0</v>
          </cell>
          <cell r="AC7">
            <v>0</v>
          </cell>
          <cell r="AE7">
            <v>0</v>
          </cell>
          <cell r="AF7">
            <v>0</v>
          </cell>
          <cell r="AI7">
            <v>0</v>
          </cell>
          <cell r="AK7">
            <v>0</v>
          </cell>
          <cell r="AM7">
            <v>0</v>
          </cell>
          <cell r="AN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Z7" t="e">
            <v>#N/A</v>
          </cell>
          <cell r="BA7" t="e">
            <v>#N/A</v>
          </cell>
          <cell r="BB7" t="e">
            <v>#N/A</v>
          </cell>
          <cell r="BC7" t="e">
            <v>#N/A</v>
          </cell>
          <cell r="BD7" t="e">
            <v>#N/A</v>
          </cell>
          <cell r="BE7" t="e">
            <v>#N/A</v>
          </cell>
          <cell r="BF7" t="e">
            <v>#N/A</v>
          </cell>
          <cell r="BG7" t="e">
            <v>#N/A</v>
          </cell>
          <cell r="BH7" t="e">
            <v>#N/A</v>
          </cell>
          <cell r="BI7">
            <v>0</v>
          </cell>
          <cell r="BJ7" t="e">
            <v>#N/A</v>
          </cell>
          <cell r="BK7" t="e">
            <v>#N/A</v>
          </cell>
          <cell r="BL7">
            <v>0</v>
          </cell>
          <cell r="BM7" t="e">
            <v>#N/A</v>
          </cell>
          <cell r="BN7" t="e">
            <v>#N/A</v>
          </cell>
          <cell r="BO7">
            <v>0</v>
          </cell>
          <cell r="BP7" t="e">
            <v>#N/A</v>
          </cell>
          <cell r="BQ7" t="e">
            <v>#N/A</v>
          </cell>
          <cell r="BR7" t="e">
            <v>#N/A</v>
          </cell>
          <cell r="BS7" t="e">
            <v>#N/A</v>
          </cell>
          <cell r="BT7" t="e">
            <v>#N/A</v>
          </cell>
          <cell r="BU7" t="e">
            <v>#N/A</v>
          </cell>
          <cell r="BV7" t="e">
            <v>#N/A</v>
          </cell>
          <cell r="BW7" t="e">
            <v>#N/A</v>
          </cell>
          <cell r="BX7" t="e">
            <v>#N/A</v>
          </cell>
          <cell r="CB7" t="e">
            <v>#N/A</v>
          </cell>
          <cell r="CD7" t="e">
            <v>#N/A</v>
          </cell>
          <cell r="CE7" t="e">
            <v>#N/A</v>
          </cell>
          <cell r="CF7" t="e">
            <v>#N/A</v>
          </cell>
        </row>
        <row r="8">
          <cell r="D8" t="str">
            <v>3345/11</v>
          </cell>
          <cell r="E8">
            <v>41000</v>
          </cell>
          <cell r="F8">
            <v>41029</v>
          </cell>
          <cell r="G8" t="str">
            <v>A DE P MOREIRA TRANSPORTES ME</v>
          </cell>
          <cell r="H8" t="str">
            <v>UILIAM RAMOS</v>
          </cell>
          <cell r="I8" t="str">
            <v>NORMAL</v>
          </cell>
          <cell r="J8">
            <v>1</v>
          </cell>
          <cell r="K8">
            <v>20</v>
          </cell>
          <cell r="L8">
            <v>20</v>
          </cell>
          <cell r="M8">
            <v>20</v>
          </cell>
          <cell r="N8">
            <v>17736</v>
          </cell>
          <cell r="AA8">
            <v>0</v>
          </cell>
          <cell r="AC8">
            <v>0</v>
          </cell>
          <cell r="AE8">
            <v>0</v>
          </cell>
          <cell r="AF8">
            <v>0</v>
          </cell>
          <cell r="AI8">
            <v>0</v>
          </cell>
          <cell r="AK8">
            <v>0</v>
          </cell>
          <cell r="AM8">
            <v>0</v>
          </cell>
          <cell r="AN8">
            <v>0</v>
          </cell>
          <cell r="AP8">
            <v>20</v>
          </cell>
          <cell r="AQ8">
            <v>30</v>
          </cell>
          <cell r="AR8">
            <v>30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Z8">
            <v>2002</v>
          </cell>
          <cell r="BA8">
            <v>25</v>
          </cell>
          <cell r="BB8">
            <v>23</v>
          </cell>
          <cell r="BC8">
            <v>0.25</v>
          </cell>
          <cell r="BD8">
            <v>36.880000000000003</v>
          </cell>
          <cell r="BE8">
            <v>2855.3</v>
          </cell>
          <cell r="BF8">
            <v>0</v>
          </cell>
          <cell r="BG8">
            <v>0</v>
          </cell>
          <cell r="BH8">
            <v>36.880000000000003</v>
          </cell>
          <cell r="BI8">
            <v>0</v>
          </cell>
          <cell r="BJ8">
            <v>0</v>
          </cell>
          <cell r="BK8">
            <v>36.880000000000003</v>
          </cell>
          <cell r="BL8">
            <v>0</v>
          </cell>
          <cell r="BM8">
            <v>0</v>
          </cell>
          <cell r="BN8">
            <v>36.880000000000003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2855.3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CB8">
            <v>2855.3</v>
          </cell>
          <cell r="CD8">
            <v>2544.7199999999998</v>
          </cell>
          <cell r="CE8">
            <v>2544.7199999999998</v>
          </cell>
          <cell r="CF8" t="str">
            <v>NÃO</v>
          </cell>
        </row>
        <row r="9">
          <cell r="D9" t="str">
            <v>0920/12</v>
          </cell>
          <cell r="E9">
            <v>41000</v>
          </cell>
          <cell r="F9">
            <v>41029</v>
          </cell>
          <cell r="G9" t="str">
            <v>A. R. SOUZA TRANSPORTE LTDA</v>
          </cell>
          <cell r="H9" t="str">
            <v>ALEX SANDRO SILVA MONTEIRO FREIRE</v>
          </cell>
          <cell r="I9" t="str">
            <v>ESPECIAL</v>
          </cell>
          <cell r="J9">
            <v>1</v>
          </cell>
          <cell r="K9">
            <v>20</v>
          </cell>
          <cell r="L9">
            <v>20</v>
          </cell>
          <cell r="M9">
            <v>20</v>
          </cell>
          <cell r="N9">
            <v>91812</v>
          </cell>
          <cell r="R9">
            <v>60001</v>
          </cell>
          <cell r="AA9">
            <v>0</v>
          </cell>
          <cell r="AC9">
            <v>0</v>
          </cell>
          <cell r="AE9">
            <v>0</v>
          </cell>
          <cell r="AF9">
            <v>0</v>
          </cell>
          <cell r="AI9">
            <v>0</v>
          </cell>
          <cell r="AK9">
            <v>0</v>
          </cell>
          <cell r="AM9">
            <v>0</v>
          </cell>
          <cell r="AN9">
            <v>0</v>
          </cell>
          <cell r="AP9">
            <v>20</v>
          </cell>
          <cell r="AQ9">
            <v>30</v>
          </cell>
          <cell r="AR9">
            <v>30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Z9">
            <v>2007</v>
          </cell>
          <cell r="BA9">
            <v>29</v>
          </cell>
          <cell r="BB9">
            <v>27</v>
          </cell>
          <cell r="BC9">
            <v>0.25</v>
          </cell>
          <cell r="BD9">
            <v>36.880000000000003</v>
          </cell>
          <cell r="BE9">
            <v>3400.17</v>
          </cell>
          <cell r="BF9">
            <v>0</v>
          </cell>
          <cell r="BG9">
            <v>2544.7199999999998</v>
          </cell>
          <cell r="BH9">
            <v>36.880000000000003</v>
          </cell>
          <cell r="BI9">
            <v>0</v>
          </cell>
          <cell r="BJ9">
            <v>0</v>
          </cell>
          <cell r="BK9">
            <v>36.880000000000003</v>
          </cell>
          <cell r="BL9">
            <v>0</v>
          </cell>
          <cell r="BM9">
            <v>0</v>
          </cell>
          <cell r="BN9">
            <v>36.880000000000003</v>
          </cell>
          <cell r="BO9">
            <v>0</v>
          </cell>
          <cell r="BP9">
            <v>0</v>
          </cell>
          <cell r="BQ9">
            <v>2544.7199999999998</v>
          </cell>
          <cell r="BR9">
            <v>2544.7199999999998</v>
          </cell>
          <cell r="BS9">
            <v>3400.17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CB9">
            <v>5944.8899999999994</v>
          </cell>
          <cell r="CD9">
            <v>2544.7199999999998</v>
          </cell>
          <cell r="CE9">
            <v>2544.7199999999998</v>
          </cell>
          <cell r="CF9" t="str">
            <v>NÃO</v>
          </cell>
        </row>
        <row r="10">
          <cell r="D10" t="str">
            <v>1559/12</v>
          </cell>
          <cell r="E10">
            <v>41000</v>
          </cell>
          <cell r="F10">
            <v>41029</v>
          </cell>
          <cell r="G10" t="str">
            <v>A. R. SOUZA TRANSPORTE LTDA</v>
          </cell>
          <cell r="H10" t="str">
            <v>ADEMIR RIBEIRO DE SOUZA</v>
          </cell>
          <cell r="J10">
            <v>1</v>
          </cell>
          <cell r="K10">
            <v>20</v>
          </cell>
          <cell r="L10">
            <v>20</v>
          </cell>
          <cell r="M10">
            <v>20</v>
          </cell>
          <cell r="AA10">
            <v>0</v>
          </cell>
          <cell r="AC10">
            <v>0</v>
          </cell>
          <cell r="AE10">
            <v>0</v>
          </cell>
          <cell r="AF10">
            <v>0</v>
          </cell>
          <cell r="AI10">
            <v>0</v>
          </cell>
          <cell r="AK10">
            <v>0</v>
          </cell>
          <cell r="AM10">
            <v>0</v>
          </cell>
          <cell r="AN10">
            <v>0</v>
          </cell>
          <cell r="AP10">
            <v>20</v>
          </cell>
          <cell r="AQ10">
            <v>30</v>
          </cell>
          <cell r="AR10">
            <v>30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Z10">
            <v>2005</v>
          </cell>
          <cell r="BA10">
            <v>25</v>
          </cell>
          <cell r="BB10">
            <v>23</v>
          </cell>
          <cell r="BC10">
            <v>0.25</v>
          </cell>
          <cell r="BD10">
            <v>36.880000000000003</v>
          </cell>
          <cell r="BE10">
            <v>3182.21</v>
          </cell>
          <cell r="BF10">
            <v>0</v>
          </cell>
          <cell r="BG10">
            <v>0</v>
          </cell>
          <cell r="BH10">
            <v>36.880000000000003</v>
          </cell>
          <cell r="BI10">
            <v>0</v>
          </cell>
          <cell r="BJ10">
            <v>0</v>
          </cell>
          <cell r="BK10">
            <v>36.880000000000003</v>
          </cell>
          <cell r="BL10">
            <v>0</v>
          </cell>
          <cell r="BM10">
            <v>0</v>
          </cell>
          <cell r="BN10">
            <v>36.880000000000003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3182.21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212.15</v>
          </cell>
          <cell r="CB10">
            <v>3394.36</v>
          </cell>
          <cell r="CD10">
            <v>2544.7199999999998</v>
          </cell>
          <cell r="CE10">
            <v>2544.7199999999998</v>
          </cell>
          <cell r="CF10" t="str">
            <v>NÃO</v>
          </cell>
          <cell r="CG10" t="str">
            <v>AJUSTE POSITIVO REF. VALOR VEÍCULO DO INÍCIO DO CONTRATO NÃO PAGO NO MÊS DE MARÇO.</v>
          </cell>
        </row>
        <row r="11">
          <cell r="D11" t="str">
            <v>3115/11</v>
          </cell>
          <cell r="E11">
            <v>41000</v>
          </cell>
          <cell r="F11">
            <v>41005</v>
          </cell>
          <cell r="G11" t="str">
            <v>COBRATE -COOPERATIVA BRASILEIRA DE TRANSPORTE</v>
          </cell>
          <cell r="H11" t="str">
            <v>APARECIDA FERNANDES DE ARAUJO</v>
          </cell>
          <cell r="I11" t="str">
            <v>NORMAL</v>
          </cell>
          <cell r="J11">
            <v>1</v>
          </cell>
          <cell r="K11">
            <v>4</v>
          </cell>
          <cell r="L11">
            <v>4</v>
          </cell>
          <cell r="M11">
            <v>4</v>
          </cell>
          <cell r="N11">
            <v>11533</v>
          </cell>
          <cell r="R11">
            <v>11533</v>
          </cell>
          <cell r="AA11">
            <v>0</v>
          </cell>
          <cell r="AC11">
            <v>0</v>
          </cell>
          <cell r="AE11">
            <v>0</v>
          </cell>
          <cell r="AF11">
            <v>0</v>
          </cell>
          <cell r="AI11">
            <v>0</v>
          </cell>
          <cell r="AK11">
            <v>0</v>
          </cell>
          <cell r="AM11">
            <v>0</v>
          </cell>
          <cell r="AN11">
            <v>0</v>
          </cell>
          <cell r="AP11">
            <v>4</v>
          </cell>
          <cell r="AQ11">
            <v>6</v>
          </cell>
          <cell r="AR11">
            <v>6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Z11">
            <v>2011</v>
          </cell>
          <cell r="BA11">
            <v>19</v>
          </cell>
          <cell r="BB11">
            <v>18</v>
          </cell>
          <cell r="BC11">
            <v>0.25</v>
          </cell>
          <cell r="BD11">
            <v>36.880000000000003</v>
          </cell>
          <cell r="BE11">
            <v>2650.9</v>
          </cell>
          <cell r="BF11">
            <v>0</v>
          </cell>
          <cell r="BG11">
            <v>0</v>
          </cell>
          <cell r="BH11">
            <v>36.880000000000003</v>
          </cell>
          <cell r="BI11">
            <v>0</v>
          </cell>
          <cell r="BJ11">
            <v>0</v>
          </cell>
          <cell r="BK11">
            <v>36.880000000000003</v>
          </cell>
          <cell r="BL11">
            <v>0</v>
          </cell>
          <cell r="BM11">
            <v>0</v>
          </cell>
          <cell r="BN11">
            <v>36.880000000000003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530.17999999999995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B11">
            <v>530.17999999999995</v>
          </cell>
          <cell r="CD11">
            <v>2323.44</v>
          </cell>
          <cell r="CE11">
            <v>464.68800000000005</v>
          </cell>
          <cell r="CF11" t="str">
            <v>NÃO</v>
          </cell>
        </row>
        <row r="12">
          <cell r="D12" t="str">
            <v>1465/12</v>
          </cell>
          <cell r="E12">
            <v>41008</v>
          </cell>
          <cell r="F12">
            <v>41029</v>
          </cell>
          <cell r="G12" t="str">
            <v>COBRATE -COOPERATIVA BRASILEIRA DE TRANSPORTE</v>
          </cell>
          <cell r="H12" t="str">
            <v>APARECIDA FERNANDES DE ARAUJO</v>
          </cell>
          <cell r="I12" t="str">
            <v>NORMAL</v>
          </cell>
          <cell r="J12">
            <v>0</v>
          </cell>
          <cell r="K12">
            <v>16</v>
          </cell>
          <cell r="L12">
            <v>16</v>
          </cell>
          <cell r="M12">
            <v>16</v>
          </cell>
          <cell r="N12">
            <v>11533</v>
          </cell>
          <cell r="R12">
            <v>11533</v>
          </cell>
          <cell r="AA12">
            <v>0</v>
          </cell>
          <cell r="AC12">
            <v>0</v>
          </cell>
          <cell r="AE12">
            <v>0</v>
          </cell>
          <cell r="AF12">
            <v>0</v>
          </cell>
          <cell r="AI12">
            <v>0</v>
          </cell>
          <cell r="AK12">
            <v>0</v>
          </cell>
          <cell r="AM12">
            <v>0</v>
          </cell>
          <cell r="AN12">
            <v>0</v>
          </cell>
          <cell r="AP12">
            <v>16</v>
          </cell>
          <cell r="AQ12">
            <v>22</v>
          </cell>
          <cell r="AR12">
            <v>22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Z12">
            <v>2011</v>
          </cell>
          <cell r="BA12">
            <v>19</v>
          </cell>
          <cell r="BB12">
            <v>18</v>
          </cell>
          <cell r="BC12">
            <v>0.25</v>
          </cell>
          <cell r="BD12">
            <v>36.880000000000003</v>
          </cell>
          <cell r="BE12">
            <v>2650.9</v>
          </cell>
          <cell r="BF12">
            <v>0</v>
          </cell>
          <cell r="BG12">
            <v>0</v>
          </cell>
          <cell r="BH12">
            <v>36.880000000000003</v>
          </cell>
          <cell r="BI12">
            <v>0</v>
          </cell>
          <cell r="BJ12">
            <v>0</v>
          </cell>
          <cell r="BK12">
            <v>36.880000000000003</v>
          </cell>
          <cell r="BL12">
            <v>0</v>
          </cell>
          <cell r="BM12">
            <v>0</v>
          </cell>
          <cell r="BN12">
            <v>36.880000000000003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1943.9933333333333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B12">
            <v>1943.9933333333333</v>
          </cell>
          <cell r="CD12">
            <v>2323.44</v>
          </cell>
          <cell r="CE12">
            <v>1703.8560000000002</v>
          </cell>
          <cell r="CF12" t="str">
            <v>NÃO</v>
          </cell>
        </row>
        <row r="13">
          <cell r="D13" t="str">
            <v>3115/11</v>
          </cell>
          <cell r="E13">
            <v>41000</v>
          </cell>
          <cell r="F13">
            <v>41005</v>
          </cell>
          <cell r="G13" t="str">
            <v>COBRATE -COOPERATIVA BRASILEIRA DE TRANSPORTE</v>
          </cell>
          <cell r="H13" t="str">
            <v>APARECIDO DE ARRUDA CAMARGO</v>
          </cell>
          <cell r="I13" t="str">
            <v>NORMAL</v>
          </cell>
          <cell r="J13">
            <v>1</v>
          </cell>
          <cell r="K13">
            <v>4</v>
          </cell>
          <cell r="L13">
            <v>4</v>
          </cell>
          <cell r="M13">
            <v>4</v>
          </cell>
          <cell r="N13">
            <v>95389</v>
          </cell>
          <cell r="R13">
            <v>95389</v>
          </cell>
          <cell r="AA13">
            <v>0</v>
          </cell>
          <cell r="AC13">
            <v>0</v>
          </cell>
          <cell r="AE13">
            <v>0</v>
          </cell>
          <cell r="AF13">
            <v>0</v>
          </cell>
          <cell r="AI13">
            <v>0</v>
          </cell>
          <cell r="AK13">
            <v>0</v>
          </cell>
          <cell r="AM13">
            <v>0</v>
          </cell>
          <cell r="AN13">
            <v>0</v>
          </cell>
          <cell r="AP13">
            <v>4</v>
          </cell>
          <cell r="AQ13">
            <v>6</v>
          </cell>
          <cell r="AR13">
            <v>6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Z13">
            <v>2003</v>
          </cell>
          <cell r="BA13">
            <v>15</v>
          </cell>
          <cell r="BB13">
            <v>13</v>
          </cell>
          <cell r="BC13">
            <v>0.25</v>
          </cell>
          <cell r="BD13">
            <v>36.880000000000003</v>
          </cell>
          <cell r="BE13">
            <v>2109.35</v>
          </cell>
          <cell r="BF13">
            <v>0</v>
          </cell>
          <cell r="BG13">
            <v>0</v>
          </cell>
          <cell r="BH13">
            <v>36.880000000000003</v>
          </cell>
          <cell r="BI13">
            <v>0</v>
          </cell>
          <cell r="BJ13">
            <v>0</v>
          </cell>
          <cell r="BK13">
            <v>36.880000000000003</v>
          </cell>
          <cell r="BL13">
            <v>0</v>
          </cell>
          <cell r="BM13">
            <v>0</v>
          </cell>
          <cell r="BN13">
            <v>36.880000000000003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421.87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B13">
            <v>421.87</v>
          </cell>
          <cell r="CD13">
            <v>1770.24</v>
          </cell>
          <cell r="CE13">
            <v>354.048</v>
          </cell>
          <cell r="CF13" t="str">
            <v>NÃO</v>
          </cell>
        </row>
        <row r="14">
          <cell r="D14" t="str">
            <v>1465/12</v>
          </cell>
          <cell r="E14">
            <v>41008</v>
          </cell>
          <cell r="F14">
            <v>41029</v>
          </cell>
          <cell r="G14" t="str">
            <v>COBRATE -COOPERATIVA BRASILEIRA DE TRANSPORTE</v>
          </cell>
          <cell r="H14" t="str">
            <v>APARECIDO DE ARRUDA CAMARGO</v>
          </cell>
          <cell r="I14" t="str">
            <v>NORMAL</v>
          </cell>
          <cell r="J14">
            <v>0</v>
          </cell>
          <cell r="K14">
            <v>16</v>
          </cell>
          <cell r="L14">
            <v>16</v>
          </cell>
          <cell r="M14">
            <v>16</v>
          </cell>
          <cell r="N14">
            <v>95389</v>
          </cell>
          <cell r="R14">
            <v>95389</v>
          </cell>
          <cell r="AA14">
            <v>0</v>
          </cell>
          <cell r="AC14">
            <v>0</v>
          </cell>
          <cell r="AE14">
            <v>0</v>
          </cell>
          <cell r="AF14">
            <v>0</v>
          </cell>
          <cell r="AI14">
            <v>0</v>
          </cell>
          <cell r="AK14">
            <v>0</v>
          </cell>
          <cell r="AM14">
            <v>0</v>
          </cell>
          <cell r="AN14">
            <v>0</v>
          </cell>
          <cell r="AP14">
            <v>16</v>
          </cell>
          <cell r="AQ14">
            <v>22</v>
          </cell>
          <cell r="AR14">
            <v>22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Z14">
            <v>2003</v>
          </cell>
          <cell r="BA14">
            <v>15</v>
          </cell>
          <cell r="BB14">
            <v>13</v>
          </cell>
          <cell r="BC14">
            <v>0.25</v>
          </cell>
          <cell r="BD14">
            <v>36.880000000000003</v>
          </cell>
          <cell r="BE14">
            <v>2109.35</v>
          </cell>
          <cell r="BF14">
            <v>0</v>
          </cell>
          <cell r="BG14">
            <v>0</v>
          </cell>
          <cell r="BH14">
            <v>36.880000000000003</v>
          </cell>
          <cell r="BI14">
            <v>0</v>
          </cell>
          <cell r="BJ14">
            <v>0</v>
          </cell>
          <cell r="BK14">
            <v>36.880000000000003</v>
          </cell>
          <cell r="BL14">
            <v>0</v>
          </cell>
          <cell r="BM14">
            <v>0</v>
          </cell>
          <cell r="BN14">
            <v>36.880000000000003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1546.8566666666666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B14">
            <v>1546.8566666666666</v>
          </cell>
          <cell r="CD14">
            <v>1770.24</v>
          </cell>
          <cell r="CE14">
            <v>1298.1760000000002</v>
          </cell>
          <cell r="CF14" t="str">
            <v>NÃO</v>
          </cell>
        </row>
        <row r="15">
          <cell r="D15" t="str">
            <v>3153/11</v>
          </cell>
          <cell r="E15">
            <v>41000</v>
          </cell>
          <cell r="F15">
            <v>41026</v>
          </cell>
          <cell r="G15" t="str">
            <v>COBRATE -COOPERATIVA BRASILEIRA DE TRANSPORTE</v>
          </cell>
          <cell r="H15" t="str">
            <v>DEMETRIO SANTO BIN</v>
          </cell>
          <cell r="I15" t="str">
            <v>NORMAL</v>
          </cell>
          <cell r="J15">
            <v>1</v>
          </cell>
          <cell r="K15">
            <v>19</v>
          </cell>
          <cell r="L15">
            <v>19</v>
          </cell>
          <cell r="M15">
            <v>19</v>
          </cell>
          <cell r="N15">
            <v>92509</v>
          </cell>
          <cell r="R15">
            <v>92509</v>
          </cell>
          <cell r="AA15">
            <v>0</v>
          </cell>
          <cell r="AC15">
            <v>0</v>
          </cell>
          <cell r="AE15">
            <v>0</v>
          </cell>
          <cell r="AF15">
            <v>0</v>
          </cell>
          <cell r="AI15">
            <v>0</v>
          </cell>
          <cell r="AK15">
            <v>0</v>
          </cell>
          <cell r="AM15">
            <v>0</v>
          </cell>
          <cell r="AN15">
            <v>0</v>
          </cell>
          <cell r="AP15">
            <v>19</v>
          </cell>
          <cell r="AQ15">
            <v>27</v>
          </cell>
          <cell r="AR15">
            <v>27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Z15">
            <v>2007</v>
          </cell>
          <cell r="BA15">
            <v>29</v>
          </cell>
          <cell r="BB15">
            <v>27</v>
          </cell>
          <cell r="BC15">
            <v>0.25</v>
          </cell>
          <cell r="BD15">
            <v>36.880000000000003</v>
          </cell>
          <cell r="BE15">
            <v>3400.17</v>
          </cell>
          <cell r="BF15">
            <v>0</v>
          </cell>
          <cell r="BG15">
            <v>0</v>
          </cell>
          <cell r="BH15">
            <v>36.880000000000003</v>
          </cell>
          <cell r="BI15">
            <v>0</v>
          </cell>
          <cell r="BJ15">
            <v>0</v>
          </cell>
          <cell r="BK15">
            <v>36.880000000000003</v>
          </cell>
          <cell r="BL15">
            <v>0</v>
          </cell>
          <cell r="BM15">
            <v>0</v>
          </cell>
          <cell r="BN15">
            <v>36.880000000000003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3060.1529999999998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B15">
            <v>3060.1529999999998</v>
          </cell>
          <cell r="CD15">
            <v>2544.7199999999998</v>
          </cell>
          <cell r="CE15">
            <v>2290.248</v>
          </cell>
          <cell r="CF15" t="str">
            <v>NÃO</v>
          </cell>
        </row>
        <row r="16">
          <cell r="D16" t="str">
            <v>3115/11</v>
          </cell>
          <cell r="E16">
            <v>41000</v>
          </cell>
          <cell r="F16">
            <v>41005</v>
          </cell>
          <cell r="G16" t="str">
            <v>COBRATE -COOPERATIVA BRASILEIRA DE TRANSPORTE</v>
          </cell>
          <cell r="H16" t="str">
            <v>DOUGLAS BELINI</v>
          </cell>
          <cell r="I16" t="str">
            <v>NORMAL</v>
          </cell>
          <cell r="J16">
            <v>1</v>
          </cell>
          <cell r="K16">
            <v>4</v>
          </cell>
          <cell r="L16">
            <v>4</v>
          </cell>
          <cell r="M16">
            <v>4</v>
          </cell>
          <cell r="N16">
            <v>92487</v>
          </cell>
          <cell r="R16">
            <v>92487</v>
          </cell>
          <cell r="AA16">
            <v>0</v>
          </cell>
          <cell r="AC16">
            <v>0</v>
          </cell>
          <cell r="AE16">
            <v>0</v>
          </cell>
          <cell r="AF16">
            <v>0</v>
          </cell>
          <cell r="AI16">
            <v>0</v>
          </cell>
          <cell r="AK16">
            <v>0</v>
          </cell>
          <cell r="AM16">
            <v>0</v>
          </cell>
          <cell r="AN16">
            <v>0</v>
          </cell>
          <cell r="AP16">
            <v>4</v>
          </cell>
          <cell r="AQ16">
            <v>6</v>
          </cell>
          <cell r="AR16">
            <v>6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Z16">
            <v>1997</v>
          </cell>
          <cell r="BA16">
            <v>25</v>
          </cell>
          <cell r="BB16">
            <v>23</v>
          </cell>
          <cell r="BC16">
            <v>0.25</v>
          </cell>
          <cell r="BD16">
            <v>36.880000000000003</v>
          </cell>
          <cell r="BE16">
            <v>2310.4499999999998</v>
          </cell>
          <cell r="BF16">
            <v>0</v>
          </cell>
          <cell r="BG16">
            <v>0</v>
          </cell>
          <cell r="BH16">
            <v>36.880000000000003</v>
          </cell>
          <cell r="BI16">
            <v>0</v>
          </cell>
          <cell r="BJ16">
            <v>0</v>
          </cell>
          <cell r="BK16">
            <v>36.880000000000003</v>
          </cell>
          <cell r="BL16">
            <v>0</v>
          </cell>
          <cell r="BM16">
            <v>0</v>
          </cell>
          <cell r="BN16">
            <v>36.880000000000003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462.09000000000003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B16">
            <v>462.09000000000003</v>
          </cell>
          <cell r="CD16">
            <v>2544.7199999999998</v>
          </cell>
          <cell r="CE16">
            <v>508.94399999999996</v>
          </cell>
          <cell r="CF16" t="str">
            <v>NÃO</v>
          </cell>
        </row>
        <row r="17">
          <cell r="D17" t="str">
            <v>1465/12</v>
          </cell>
          <cell r="E17">
            <v>41008</v>
          </cell>
          <cell r="F17">
            <v>41029</v>
          </cell>
          <cell r="G17" t="str">
            <v>COBRATE -COOPERATIVA BRASILEIRA DE TRANSPORTE</v>
          </cell>
          <cell r="H17" t="str">
            <v>DOUGLAS BELINI</v>
          </cell>
          <cell r="I17" t="str">
            <v>NORMAL</v>
          </cell>
          <cell r="J17">
            <v>0</v>
          </cell>
          <cell r="K17">
            <v>16</v>
          </cell>
          <cell r="L17">
            <v>16</v>
          </cell>
          <cell r="M17">
            <v>16</v>
          </cell>
          <cell r="N17">
            <v>92487</v>
          </cell>
          <cell r="R17">
            <v>92487</v>
          </cell>
          <cell r="AA17">
            <v>0</v>
          </cell>
          <cell r="AC17">
            <v>0</v>
          </cell>
          <cell r="AE17">
            <v>0</v>
          </cell>
          <cell r="AF17">
            <v>0</v>
          </cell>
          <cell r="AI17">
            <v>0</v>
          </cell>
          <cell r="AK17">
            <v>0</v>
          </cell>
          <cell r="AM17">
            <v>0</v>
          </cell>
          <cell r="AN17">
            <v>0</v>
          </cell>
          <cell r="AP17">
            <v>16</v>
          </cell>
          <cell r="AQ17">
            <v>22</v>
          </cell>
          <cell r="AR17">
            <v>22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Z17">
            <v>1997</v>
          </cell>
          <cell r="BA17">
            <v>25</v>
          </cell>
          <cell r="BB17">
            <v>23</v>
          </cell>
          <cell r="BC17">
            <v>0.25</v>
          </cell>
          <cell r="BD17">
            <v>36.880000000000003</v>
          </cell>
          <cell r="BE17">
            <v>2310.4499999999998</v>
          </cell>
          <cell r="BF17">
            <v>0</v>
          </cell>
          <cell r="BG17">
            <v>0</v>
          </cell>
          <cell r="BH17">
            <v>36.880000000000003</v>
          </cell>
          <cell r="BI17">
            <v>0</v>
          </cell>
          <cell r="BJ17">
            <v>0</v>
          </cell>
          <cell r="BK17">
            <v>36.880000000000003</v>
          </cell>
          <cell r="BL17">
            <v>0</v>
          </cell>
          <cell r="BM17">
            <v>0</v>
          </cell>
          <cell r="BN17">
            <v>36.880000000000003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1694.33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B17">
            <v>1694.33</v>
          </cell>
          <cell r="CD17">
            <v>2544.7199999999998</v>
          </cell>
          <cell r="CE17">
            <v>1866.1279999999999</v>
          </cell>
          <cell r="CF17" t="str">
            <v>NÃO</v>
          </cell>
        </row>
        <row r="18">
          <cell r="D18" t="str">
            <v>3329/11</v>
          </cell>
          <cell r="E18">
            <v>41000</v>
          </cell>
          <cell r="F18">
            <v>41029</v>
          </cell>
          <cell r="G18" t="str">
            <v>COBRATE -COOPERATIVA BRASILEIRA DE TRANSPORTE</v>
          </cell>
          <cell r="H18" t="str">
            <v>DOUGLAS TEIXEIRA URBANO</v>
          </cell>
          <cell r="I18" t="str">
            <v>NORMAL</v>
          </cell>
          <cell r="J18">
            <v>1</v>
          </cell>
          <cell r="K18">
            <v>20</v>
          </cell>
          <cell r="L18">
            <v>20</v>
          </cell>
          <cell r="M18">
            <v>20</v>
          </cell>
          <cell r="N18">
            <v>95401</v>
          </cell>
          <cell r="R18">
            <v>95401</v>
          </cell>
          <cell r="AA18">
            <v>0</v>
          </cell>
          <cell r="AC18">
            <v>0</v>
          </cell>
          <cell r="AE18">
            <v>0</v>
          </cell>
          <cell r="AF18">
            <v>0</v>
          </cell>
          <cell r="AI18">
            <v>0</v>
          </cell>
          <cell r="AK18">
            <v>0</v>
          </cell>
          <cell r="AM18">
            <v>0</v>
          </cell>
          <cell r="AN18">
            <v>0</v>
          </cell>
          <cell r="AP18">
            <v>20</v>
          </cell>
          <cell r="AQ18">
            <v>30</v>
          </cell>
          <cell r="AR18">
            <v>30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Z18">
            <v>2002</v>
          </cell>
          <cell r="BA18">
            <v>25</v>
          </cell>
          <cell r="BB18">
            <v>23</v>
          </cell>
          <cell r="BC18">
            <v>0.25</v>
          </cell>
          <cell r="BD18">
            <v>36.880000000000003</v>
          </cell>
          <cell r="BE18">
            <v>2855.3</v>
          </cell>
          <cell r="BF18">
            <v>0</v>
          </cell>
          <cell r="BG18">
            <v>0</v>
          </cell>
          <cell r="BH18">
            <v>36.880000000000003</v>
          </cell>
          <cell r="BI18">
            <v>0</v>
          </cell>
          <cell r="BJ18">
            <v>0</v>
          </cell>
          <cell r="BK18">
            <v>36.880000000000003</v>
          </cell>
          <cell r="BL18">
            <v>0</v>
          </cell>
          <cell r="BM18">
            <v>0</v>
          </cell>
          <cell r="BN18">
            <v>36.880000000000003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2855.3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B18">
            <v>2855.3</v>
          </cell>
          <cell r="CD18">
            <v>2544.7199999999998</v>
          </cell>
          <cell r="CE18">
            <v>2544.7199999999998</v>
          </cell>
          <cell r="CF18" t="str">
            <v>NÃO</v>
          </cell>
        </row>
        <row r="19">
          <cell r="D19" t="str">
            <v>3115/11</v>
          </cell>
          <cell r="E19">
            <v>41000</v>
          </cell>
          <cell r="F19">
            <v>41005</v>
          </cell>
          <cell r="G19" t="str">
            <v>COBRATE -COOPERATIVA BRASILEIRA DE TRANSPORTE</v>
          </cell>
          <cell r="H19" t="str">
            <v>ELCIO ZAFFANELI</v>
          </cell>
          <cell r="I19" t="str">
            <v>NORMAL</v>
          </cell>
          <cell r="J19">
            <v>1</v>
          </cell>
          <cell r="K19">
            <v>4</v>
          </cell>
          <cell r="L19">
            <v>4</v>
          </cell>
          <cell r="M19">
            <v>4</v>
          </cell>
          <cell r="N19">
            <v>19237</v>
          </cell>
          <cell r="R19">
            <v>19237</v>
          </cell>
          <cell r="AA19">
            <v>0</v>
          </cell>
          <cell r="AC19">
            <v>0</v>
          </cell>
          <cell r="AE19">
            <v>0</v>
          </cell>
          <cell r="AF19">
            <v>0</v>
          </cell>
          <cell r="AI19">
            <v>0</v>
          </cell>
          <cell r="AK19">
            <v>0</v>
          </cell>
          <cell r="AM19">
            <v>0</v>
          </cell>
          <cell r="AN19">
            <v>0</v>
          </cell>
          <cell r="AP19">
            <v>4</v>
          </cell>
          <cell r="AQ19">
            <v>6</v>
          </cell>
          <cell r="AR19">
            <v>6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Z19">
            <v>2002</v>
          </cell>
          <cell r="BA19">
            <v>20</v>
          </cell>
          <cell r="BB19">
            <v>18</v>
          </cell>
          <cell r="BC19">
            <v>0.25</v>
          </cell>
          <cell r="BD19">
            <v>36.880000000000003</v>
          </cell>
          <cell r="BE19">
            <v>2041.67</v>
          </cell>
          <cell r="BF19">
            <v>0</v>
          </cell>
          <cell r="BG19">
            <v>0</v>
          </cell>
          <cell r="BH19">
            <v>36.880000000000003</v>
          </cell>
          <cell r="BI19">
            <v>0</v>
          </cell>
          <cell r="BJ19">
            <v>0</v>
          </cell>
          <cell r="BK19">
            <v>36.880000000000003</v>
          </cell>
          <cell r="BL19">
            <v>0</v>
          </cell>
          <cell r="BM19">
            <v>0</v>
          </cell>
          <cell r="BN19">
            <v>36.880000000000003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408.334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B19">
            <v>408.334</v>
          </cell>
          <cell r="CD19">
            <v>2323.44</v>
          </cell>
          <cell r="CE19">
            <v>464.68800000000005</v>
          </cell>
          <cell r="CF19" t="str">
            <v>NÃO</v>
          </cell>
        </row>
        <row r="20">
          <cell r="D20" t="str">
            <v>1465/12</v>
          </cell>
          <cell r="E20">
            <v>41008</v>
          </cell>
          <cell r="F20">
            <v>41029</v>
          </cell>
          <cell r="G20" t="str">
            <v>COBRATE -COOPERATIVA BRASILEIRA DE TRANSPORTE</v>
          </cell>
          <cell r="H20" t="str">
            <v>ELCIO ZAFFANELI</v>
          </cell>
          <cell r="I20" t="str">
            <v>NORMAL</v>
          </cell>
          <cell r="J20">
            <v>0</v>
          </cell>
          <cell r="K20">
            <v>16</v>
          </cell>
          <cell r="L20">
            <v>16</v>
          </cell>
          <cell r="M20">
            <v>16</v>
          </cell>
          <cell r="N20">
            <v>19237</v>
          </cell>
          <cell r="R20">
            <v>19237</v>
          </cell>
          <cell r="AA20">
            <v>0</v>
          </cell>
          <cell r="AC20">
            <v>0</v>
          </cell>
          <cell r="AE20">
            <v>0</v>
          </cell>
          <cell r="AF20">
            <v>0</v>
          </cell>
          <cell r="AI20">
            <v>0</v>
          </cell>
          <cell r="AK20">
            <v>0</v>
          </cell>
          <cell r="AM20">
            <v>0</v>
          </cell>
          <cell r="AN20">
            <v>0</v>
          </cell>
          <cell r="AP20">
            <v>16</v>
          </cell>
          <cell r="AQ20">
            <v>22</v>
          </cell>
          <cell r="AR20">
            <v>22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Z20">
            <v>2002</v>
          </cell>
          <cell r="BA20">
            <v>20</v>
          </cell>
          <cell r="BB20">
            <v>18</v>
          </cell>
          <cell r="BC20">
            <v>0.25</v>
          </cell>
          <cell r="BD20">
            <v>36.880000000000003</v>
          </cell>
          <cell r="BE20">
            <v>2041.67</v>
          </cell>
          <cell r="BF20">
            <v>0</v>
          </cell>
          <cell r="BG20">
            <v>0</v>
          </cell>
          <cell r="BH20">
            <v>36.880000000000003</v>
          </cell>
          <cell r="BI20">
            <v>0</v>
          </cell>
          <cell r="BJ20">
            <v>0</v>
          </cell>
          <cell r="BK20">
            <v>36.880000000000003</v>
          </cell>
          <cell r="BL20">
            <v>0</v>
          </cell>
          <cell r="BM20">
            <v>0</v>
          </cell>
          <cell r="BN20">
            <v>36.880000000000003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1497.2246666666667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B20">
            <v>1497.2246666666667</v>
          </cell>
          <cell r="CD20">
            <v>2323.44</v>
          </cell>
          <cell r="CE20">
            <v>1703.8560000000002</v>
          </cell>
          <cell r="CF20" t="str">
            <v>NÃO</v>
          </cell>
        </row>
        <row r="21">
          <cell r="D21" t="str">
            <v>3115/11</v>
          </cell>
          <cell r="E21">
            <v>41000</v>
          </cell>
          <cell r="F21">
            <v>41005</v>
          </cell>
          <cell r="G21" t="str">
            <v>COBRATE -COOPERATIVA BRASILEIRA DE TRANSPORTE</v>
          </cell>
          <cell r="H21" t="str">
            <v>EVERTON DE CARVALHO LEITE</v>
          </cell>
          <cell r="I21" t="str">
            <v>ESPECIAL</v>
          </cell>
          <cell r="J21">
            <v>1</v>
          </cell>
          <cell r="K21">
            <v>4</v>
          </cell>
          <cell r="L21">
            <v>4</v>
          </cell>
          <cell r="M21">
            <v>4</v>
          </cell>
          <cell r="N21">
            <v>95371</v>
          </cell>
          <cell r="R21">
            <v>95371</v>
          </cell>
          <cell r="V21">
            <v>95371</v>
          </cell>
          <cell r="AA21">
            <v>0</v>
          </cell>
          <cell r="AC21">
            <v>0</v>
          </cell>
          <cell r="AE21">
            <v>0</v>
          </cell>
          <cell r="AF21">
            <v>0</v>
          </cell>
          <cell r="AI21">
            <v>0</v>
          </cell>
          <cell r="AK21">
            <v>0</v>
          </cell>
          <cell r="AM21">
            <v>0</v>
          </cell>
          <cell r="AN21">
            <v>0</v>
          </cell>
          <cell r="AP21">
            <v>4</v>
          </cell>
          <cell r="AQ21">
            <v>6</v>
          </cell>
          <cell r="AR21">
            <v>6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Z21">
            <v>2002</v>
          </cell>
          <cell r="BA21">
            <v>29</v>
          </cell>
          <cell r="BB21">
            <v>27</v>
          </cell>
          <cell r="BC21">
            <v>0.25</v>
          </cell>
          <cell r="BD21">
            <v>36.880000000000003</v>
          </cell>
          <cell r="BE21">
            <v>2855.3</v>
          </cell>
          <cell r="BF21">
            <v>0</v>
          </cell>
          <cell r="BG21">
            <v>2544.7199999999998</v>
          </cell>
          <cell r="BH21">
            <v>36.880000000000003</v>
          </cell>
          <cell r="BI21">
            <v>0</v>
          </cell>
          <cell r="BJ21">
            <v>0</v>
          </cell>
          <cell r="BK21">
            <v>36.880000000000003</v>
          </cell>
          <cell r="BL21">
            <v>0</v>
          </cell>
          <cell r="BM21">
            <v>0</v>
          </cell>
          <cell r="BN21">
            <v>36.880000000000003</v>
          </cell>
          <cell r="BO21">
            <v>0</v>
          </cell>
          <cell r="BP21">
            <v>0</v>
          </cell>
          <cell r="BQ21">
            <v>508.94399999999996</v>
          </cell>
          <cell r="BR21">
            <v>508.94399999999996</v>
          </cell>
          <cell r="BS21">
            <v>571.06000000000006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B21">
            <v>1080.0039999999999</v>
          </cell>
          <cell r="CD21">
            <v>2544.7199999999998</v>
          </cell>
          <cell r="CE21">
            <v>508.94399999999996</v>
          </cell>
          <cell r="CF21" t="str">
            <v>NÃO</v>
          </cell>
        </row>
        <row r="22">
          <cell r="D22" t="str">
            <v>1465/12</v>
          </cell>
          <cell r="E22">
            <v>41008</v>
          </cell>
          <cell r="F22">
            <v>41029</v>
          </cell>
          <cell r="G22" t="str">
            <v>COBRATE -COOPERATIVA BRASILEIRA DE TRANSPORTE</v>
          </cell>
          <cell r="H22" t="str">
            <v>EVERTON DE CARVALHO LEITE</v>
          </cell>
          <cell r="I22" t="str">
            <v>ESPECIAL</v>
          </cell>
          <cell r="J22">
            <v>0</v>
          </cell>
          <cell r="K22">
            <v>16</v>
          </cell>
          <cell r="L22">
            <v>16</v>
          </cell>
          <cell r="M22">
            <v>16</v>
          </cell>
          <cell r="N22">
            <v>95371</v>
          </cell>
          <cell r="R22">
            <v>95371</v>
          </cell>
          <cell r="V22">
            <v>95371</v>
          </cell>
          <cell r="AA22">
            <v>0</v>
          </cell>
          <cell r="AC22">
            <v>0</v>
          </cell>
          <cell r="AE22">
            <v>0</v>
          </cell>
          <cell r="AF22">
            <v>0</v>
          </cell>
          <cell r="AI22">
            <v>0</v>
          </cell>
          <cell r="AK22">
            <v>0</v>
          </cell>
          <cell r="AM22">
            <v>0</v>
          </cell>
          <cell r="AN22">
            <v>0</v>
          </cell>
          <cell r="AP22">
            <v>16</v>
          </cell>
          <cell r="AQ22">
            <v>22</v>
          </cell>
          <cell r="AR22">
            <v>22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Z22">
            <v>2002</v>
          </cell>
          <cell r="BA22">
            <v>29</v>
          </cell>
          <cell r="BB22">
            <v>27</v>
          </cell>
          <cell r="BC22">
            <v>0.25</v>
          </cell>
          <cell r="BD22">
            <v>36.880000000000003</v>
          </cell>
          <cell r="BE22">
            <v>2855.3</v>
          </cell>
          <cell r="BF22">
            <v>0</v>
          </cell>
          <cell r="BG22">
            <v>2544.7199999999998</v>
          </cell>
          <cell r="BH22">
            <v>36.880000000000003</v>
          </cell>
          <cell r="BI22">
            <v>0</v>
          </cell>
          <cell r="BJ22">
            <v>0</v>
          </cell>
          <cell r="BK22">
            <v>36.880000000000003</v>
          </cell>
          <cell r="BL22">
            <v>0</v>
          </cell>
          <cell r="BM22">
            <v>0</v>
          </cell>
          <cell r="BN22">
            <v>36.880000000000003</v>
          </cell>
          <cell r="BO22">
            <v>0</v>
          </cell>
          <cell r="BP22">
            <v>0</v>
          </cell>
          <cell r="BQ22">
            <v>1866.1279999999999</v>
          </cell>
          <cell r="BR22">
            <v>1866.1279999999999</v>
          </cell>
          <cell r="BS22">
            <v>2093.8866666666668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B22">
            <v>3960.0146666666669</v>
          </cell>
          <cell r="CD22">
            <v>2544.7199999999998</v>
          </cell>
          <cell r="CE22">
            <v>1866.1279999999999</v>
          </cell>
          <cell r="CF22" t="str">
            <v>NÃO</v>
          </cell>
        </row>
        <row r="23">
          <cell r="D23" t="str">
            <v>3115/11</v>
          </cell>
          <cell r="E23">
            <v>41000</v>
          </cell>
          <cell r="F23">
            <v>41005</v>
          </cell>
          <cell r="G23" t="str">
            <v>COBRATE -COOPERATIVA BRASILEIRA DE TRANSPORTE</v>
          </cell>
          <cell r="H23" t="str">
            <v>GERALDO JOSE SIQUEIRA</v>
          </cell>
          <cell r="I23" t="str">
            <v>NORMAL</v>
          </cell>
          <cell r="J23">
            <v>1</v>
          </cell>
          <cell r="K23">
            <v>4</v>
          </cell>
          <cell r="L23">
            <v>4</v>
          </cell>
          <cell r="M23">
            <v>4</v>
          </cell>
          <cell r="N23">
            <v>91928</v>
          </cell>
          <cell r="R23">
            <v>91928</v>
          </cell>
          <cell r="AA23">
            <v>0</v>
          </cell>
          <cell r="AC23">
            <v>0</v>
          </cell>
          <cell r="AE23">
            <v>0</v>
          </cell>
          <cell r="AF23">
            <v>0</v>
          </cell>
          <cell r="AI23">
            <v>0</v>
          </cell>
          <cell r="AK23">
            <v>0</v>
          </cell>
          <cell r="AM23">
            <v>0</v>
          </cell>
          <cell r="AN23">
            <v>0</v>
          </cell>
          <cell r="AP23">
            <v>4</v>
          </cell>
          <cell r="AQ23">
            <v>6</v>
          </cell>
          <cell r="AR23">
            <v>6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Z23">
            <v>2000</v>
          </cell>
          <cell r="BA23">
            <v>14</v>
          </cell>
          <cell r="BB23">
            <v>12</v>
          </cell>
          <cell r="BC23">
            <v>0.25</v>
          </cell>
          <cell r="BD23">
            <v>36.880000000000003</v>
          </cell>
          <cell r="BE23">
            <v>1906.28</v>
          </cell>
          <cell r="BF23">
            <v>0</v>
          </cell>
          <cell r="BG23">
            <v>0</v>
          </cell>
          <cell r="BH23">
            <v>36.880000000000003</v>
          </cell>
          <cell r="BI23">
            <v>0</v>
          </cell>
          <cell r="BJ23">
            <v>0</v>
          </cell>
          <cell r="BK23">
            <v>36.880000000000003</v>
          </cell>
          <cell r="BL23">
            <v>0</v>
          </cell>
          <cell r="BM23">
            <v>0</v>
          </cell>
          <cell r="BN23">
            <v>36.880000000000003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381.25600000000003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B23">
            <v>381.25600000000003</v>
          </cell>
          <cell r="CD23">
            <v>1770.24</v>
          </cell>
          <cell r="CE23">
            <v>354.048</v>
          </cell>
          <cell r="CF23" t="str">
            <v>NÃO</v>
          </cell>
        </row>
        <row r="24">
          <cell r="D24" t="str">
            <v>1465/12</v>
          </cell>
          <cell r="E24">
            <v>41008</v>
          </cell>
          <cell r="F24">
            <v>41029</v>
          </cell>
          <cell r="G24" t="str">
            <v>COBRATE -COOPERATIVA BRASILEIRA DE TRANSPORTE</v>
          </cell>
          <cell r="H24" t="str">
            <v>GERALDO JOSE SIQUEIRA</v>
          </cell>
          <cell r="I24" t="str">
            <v>NORMAL</v>
          </cell>
          <cell r="J24">
            <v>0</v>
          </cell>
          <cell r="K24">
            <v>16</v>
          </cell>
          <cell r="L24">
            <v>16</v>
          </cell>
          <cell r="M24">
            <v>16</v>
          </cell>
          <cell r="N24">
            <v>91928</v>
          </cell>
          <cell r="R24">
            <v>91928</v>
          </cell>
          <cell r="AA24">
            <v>0</v>
          </cell>
          <cell r="AC24">
            <v>0</v>
          </cell>
          <cell r="AE24">
            <v>0</v>
          </cell>
          <cell r="AF24">
            <v>0</v>
          </cell>
          <cell r="AI24">
            <v>0</v>
          </cell>
          <cell r="AK24">
            <v>0</v>
          </cell>
          <cell r="AM24">
            <v>0</v>
          </cell>
          <cell r="AN24">
            <v>0</v>
          </cell>
          <cell r="AP24">
            <v>16</v>
          </cell>
          <cell r="AQ24">
            <v>22</v>
          </cell>
          <cell r="AR24">
            <v>22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Z24">
            <v>2000</v>
          </cell>
          <cell r="BA24">
            <v>14</v>
          </cell>
          <cell r="BB24">
            <v>12</v>
          </cell>
          <cell r="BC24">
            <v>0.25</v>
          </cell>
          <cell r="BD24">
            <v>36.880000000000003</v>
          </cell>
          <cell r="BE24">
            <v>1906.28</v>
          </cell>
          <cell r="BF24">
            <v>0</v>
          </cell>
          <cell r="BG24">
            <v>0</v>
          </cell>
          <cell r="BH24">
            <v>36.880000000000003</v>
          </cell>
          <cell r="BI24">
            <v>0</v>
          </cell>
          <cell r="BJ24">
            <v>0</v>
          </cell>
          <cell r="BK24">
            <v>36.880000000000003</v>
          </cell>
          <cell r="BL24">
            <v>0</v>
          </cell>
          <cell r="BM24">
            <v>0</v>
          </cell>
          <cell r="BN24">
            <v>36.880000000000003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1397.9386666666667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B24">
            <v>1397.9386666666667</v>
          </cell>
          <cell r="CD24">
            <v>1770.24</v>
          </cell>
          <cell r="CE24">
            <v>1298.1760000000002</v>
          </cell>
          <cell r="CF24" t="str">
            <v>NÃO</v>
          </cell>
        </row>
        <row r="25">
          <cell r="D25" t="str">
            <v>3115/11</v>
          </cell>
          <cell r="E25">
            <v>41000</v>
          </cell>
          <cell r="F25">
            <v>41005</v>
          </cell>
          <cell r="G25" t="str">
            <v>COBRATE -COOPERATIVA BRASILEIRA DE TRANSPORTE</v>
          </cell>
          <cell r="H25" t="str">
            <v>ISABEL CRISTINA ALVES SILVEIRA</v>
          </cell>
          <cell r="I25" t="str">
            <v>NORMAL</v>
          </cell>
          <cell r="J25">
            <v>1</v>
          </cell>
          <cell r="K25">
            <v>4</v>
          </cell>
          <cell r="L25">
            <v>4</v>
          </cell>
          <cell r="M25">
            <v>4</v>
          </cell>
          <cell r="N25">
            <v>19534</v>
          </cell>
          <cell r="R25">
            <v>19534</v>
          </cell>
          <cell r="V25">
            <v>95052</v>
          </cell>
          <cell r="AA25">
            <v>0</v>
          </cell>
          <cell r="AC25">
            <v>0</v>
          </cell>
          <cell r="AE25">
            <v>0</v>
          </cell>
          <cell r="AF25">
            <v>0</v>
          </cell>
          <cell r="AI25">
            <v>0</v>
          </cell>
          <cell r="AK25">
            <v>0</v>
          </cell>
          <cell r="AM25">
            <v>0</v>
          </cell>
          <cell r="AN25">
            <v>0</v>
          </cell>
          <cell r="AP25">
            <v>4</v>
          </cell>
          <cell r="AQ25">
            <v>6</v>
          </cell>
          <cell r="AR25">
            <v>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Z25">
            <v>2009</v>
          </cell>
          <cell r="BA25">
            <v>19</v>
          </cell>
          <cell r="BB25">
            <v>17</v>
          </cell>
          <cell r="BC25">
            <v>0.25</v>
          </cell>
          <cell r="BD25">
            <v>36.880000000000003</v>
          </cell>
          <cell r="BE25">
            <v>2515.52</v>
          </cell>
          <cell r="BF25">
            <v>0</v>
          </cell>
          <cell r="BG25">
            <v>0</v>
          </cell>
          <cell r="BH25">
            <v>36.880000000000003</v>
          </cell>
          <cell r="BI25">
            <v>0</v>
          </cell>
          <cell r="BJ25">
            <v>0</v>
          </cell>
          <cell r="BK25">
            <v>36.880000000000003</v>
          </cell>
          <cell r="BL25">
            <v>0</v>
          </cell>
          <cell r="BM25">
            <v>0</v>
          </cell>
          <cell r="BN25">
            <v>36.880000000000003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503.10400000000004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B25">
            <v>503.10400000000004</v>
          </cell>
          <cell r="CD25">
            <v>2323.44</v>
          </cell>
          <cell r="CE25">
            <v>464.68800000000005</v>
          </cell>
          <cell r="CF25" t="str">
            <v>NÃO</v>
          </cell>
        </row>
        <row r="26">
          <cell r="D26" t="str">
            <v>1465/12</v>
          </cell>
          <cell r="E26">
            <v>41008</v>
          </cell>
          <cell r="F26">
            <v>41029</v>
          </cell>
          <cell r="G26" t="str">
            <v>COBRATE -COOPERATIVA BRASILEIRA DE TRANSPORTE</v>
          </cell>
          <cell r="H26" t="str">
            <v>ISABEL CRISTINA ALVES SILVEIRA</v>
          </cell>
          <cell r="I26" t="str">
            <v>NORMAL</v>
          </cell>
          <cell r="J26">
            <v>0</v>
          </cell>
          <cell r="K26">
            <v>16</v>
          </cell>
          <cell r="L26">
            <v>16</v>
          </cell>
          <cell r="M26">
            <v>16</v>
          </cell>
          <cell r="N26">
            <v>19534</v>
          </cell>
          <cell r="R26">
            <v>19534</v>
          </cell>
          <cell r="V26">
            <v>95052</v>
          </cell>
          <cell r="AA26">
            <v>0</v>
          </cell>
          <cell r="AC26">
            <v>0</v>
          </cell>
          <cell r="AE26">
            <v>0</v>
          </cell>
          <cell r="AF26">
            <v>0</v>
          </cell>
          <cell r="AI26">
            <v>0</v>
          </cell>
          <cell r="AK26">
            <v>0</v>
          </cell>
          <cell r="AM26">
            <v>0</v>
          </cell>
          <cell r="AN26">
            <v>0</v>
          </cell>
          <cell r="AP26">
            <v>16</v>
          </cell>
          <cell r="AQ26">
            <v>22</v>
          </cell>
          <cell r="AR26">
            <v>22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Z26">
            <v>2011</v>
          </cell>
          <cell r="BA26">
            <v>27</v>
          </cell>
          <cell r="BB26">
            <v>26</v>
          </cell>
          <cell r="BC26">
            <v>0.25</v>
          </cell>
          <cell r="BD26">
            <v>36.880000000000003</v>
          </cell>
          <cell r="BE26">
            <v>3836.07</v>
          </cell>
          <cell r="BF26">
            <v>0</v>
          </cell>
          <cell r="BG26">
            <v>0</v>
          </cell>
          <cell r="BH26">
            <v>36.880000000000003</v>
          </cell>
          <cell r="BI26">
            <v>0</v>
          </cell>
          <cell r="BJ26">
            <v>0</v>
          </cell>
          <cell r="BK26">
            <v>36.880000000000003</v>
          </cell>
          <cell r="BL26">
            <v>0</v>
          </cell>
          <cell r="BM26">
            <v>0</v>
          </cell>
          <cell r="BN26">
            <v>36.880000000000003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2813.1179999999999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B26">
            <v>2813.1179999999999</v>
          </cell>
          <cell r="CD26">
            <v>2544.7199999999998</v>
          </cell>
          <cell r="CE26">
            <v>1866.1279999999999</v>
          </cell>
          <cell r="CF26" t="str">
            <v>NÃO</v>
          </cell>
        </row>
        <row r="27">
          <cell r="D27" t="str">
            <v>3115/11</v>
          </cell>
          <cell r="E27">
            <v>41000</v>
          </cell>
          <cell r="F27">
            <v>41005</v>
          </cell>
          <cell r="G27" t="str">
            <v>COBRATE -COOPERATIVA BRASILEIRA DE TRANSPORTE</v>
          </cell>
          <cell r="H27" t="str">
            <v xml:space="preserve">IZABEL LELLIS MIRANDA BERNARDINO </v>
          </cell>
          <cell r="I27" t="str">
            <v>NORMAL</v>
          </cell>
          <cell r="J27">
            <v>1</v>
          </cell>
          <cell r="K27">
            <v>4</v>
          </cell>
          <cell r="L27">
            <v>4</v>
          </cell>
          <cell r="M27">
            <v>4</v>
          </cell>
          <cell r="N27">
            <v>442</v>
          </cell>
          <cell r="R27">
            <v>442</v>
          </cell>
          <cell r="AA27">
            <v>0</v>
          </cell>
          <cell r="AC27">
            <v>0</v>
          </cell>
          <cell r="AE27">
            <v>0</v>
          </cell>
          <cell r="AF27">
            <v>0</v>
          </cell>
          <cell r="AI27">
            <v>0</v>
          </cell>
          <cell r="AK27">
            <v>0</v>
          </cell>
          <cell r="AM27">
            <v>0</v>
          </cell>
          <cell r="AN27">
            <v>0</v>
          </cell>
          <cell r="AP27">
            <v>4</v>
          </cell>
          <cell r="AQ27">
            <v>6</v>
          </cell>
          <cell r="AR27">
            <v>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Z27">
            <v>1998</v>
          </cell>
          <cell r="BA27">
            <v>14</v>
          </cell>
          <cell r="BB27">
            <v>12</v>
          </cell>
          <cell r="BC27">
            <v>0.25</v>
          </cell>
          <cell r="BD27">
            <v>36.880000000000003</v>
          </cell>
          <cell r="BE27">
            <v>1770.89</v>
          </cell>
          <cell r="BF27">
            <v>0</v>
          </cell>
          <cell r="BG27">
            <v>0</v>
          </cell>
          <cell r="BH27">
            <v>36.880000000000003</v>
          </cell>
          <cell r="BI27">
            <v>0</v>
          </cell>
          <cell r="BJ27">
            <v>0</v>
          </cell>
          <cell r="BK27">
            <v>36.880000000000003</v>
          </cell>
          <cell r="BL27">
            <v>0</v>
          </cell>
          <cell r="BM27">
            <v>0</v>
          </cell>
          <cell r="BN27">
            <v>36.880000000000003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354.178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B27">
            <v>354.178</v>
          </cell>
          <cell r="CD27">
            <v>1770.24</v>
          </cell>
          <cell r="CE27">
            <v>354.048</v>
          </cell>
          <cell r="CF27" t="str">
            <v>NÃO</v>
          </cell>
        </row>
        <row r="28">
          <cell r="D28" t="str">
            <v>1465/12</v>
          </cell>
          <cell r="E28">
            <v>41008</v>
          </cell>
          <cell r="F28">
            <v>41029</v>
          </cell>
          <cell r="G28" t="str">
            <v>COBRATE -COOPERATIVA BRASILEIRA DE TRANSPORTE</v>
          </cell>
          <cell r="H28" t="str">
            <v xml:space="preserve">IZABEL LELLIS MIRANDA BERNARDINO </v>
          </cell>
          <cell r="I28" t="str">
            <v>NORMAL</v>
          </cell>
          <cell r="J28">
            <v>0</v>
          </cell>
          <cell r="K28">
            <v>16</v>
          </cell>
          <cell r="L28">
            <v>16</v>
          </cell>
          <cell r="M28">
            <v>16</v>
          </cell>
          <cell r="N28">
            <v>442</v>
          </cell>
          <cell r="R28">
            <v>442</v>
          </cell>
          <cell r="AA28">
            <v>0</v>
          </cell>
          <cell r="AC28">
            <v>0</v>
          </cell>
          <cell r="AE28">
            <v>0</v>
          </cell>
          <cell r="AF28">
            <v>0</v>
          </cell>
          <cell r="AI28">
            <v>0</v>
          </cell>
          <cell r="AK28">
            <v>0</v>
          </cell>
          <cell r="AM28">
            <v>0</v>
          </cell>
          <cell r="AN28">
            <v>0</v>
          </cell>
          <cell r="AP28">
            <v>16</v>
          </cell>
          <cell r="AQ28">
            <v>22</v>
          </cell>
          <cell r="AR28">
            <v>22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Z28">
            <v>1998</v>
          </cell>
          <cell r="BA28">
            <v>14</v>
          </cell>
          <cell r="BB28">
            <v>12</v>
          </cell>
          <cell r="BC28">
            <v>0.25</v>
          </cell>
          <cell r="BD28">
            <v>36.880000000000003</v>
          </cell>
          <cell r="BE28">
            <v>1770.89</v>
          </cell>
          <cell r="BF28">
            <v>0</v>
          </cell>
          <cell r="BG28">
            <v>0</v>
          </cell>
          <cell r="BH28">
            <v>36.880000000000003</v>
          </cell>
          <cell r="BI28">
            <v>0</v>
          </cell>
          <cell r="BJ28">
            <v>0</v>
          </cell>
          <cell r="BK28">
            <v>36.880000000000003</v>
          </cell>
          <cell r="BL28">
            <v>0</v>
          </cell>
          <cell r="BM28">
            <v>0</v>
          </cell>
          <cell r="BN28">
            <v>36.880000000000003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1298.6526666666668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B28">
            <v>1298.6526666666668</v>
          </cell>
          <cell r="CD28">
            <v>1770.24</v>
          </cell>
          <cell r="CE28">
            <v>1298.1760000000002</v>
          </cell>
          <cell r="CF28" t="str">
            <v>NÃO</v>
          </cell>
        </row>
        <row r="29">
          <cell r="D29" t="str">
            <v>3115/11</v>
          </cell>
          <cell r="E29">
            <v>41000</v>
          </cell>
          <cell r="F29">
            <v>41005</v>
          </cell>
          <cell r="G29" t="str">
            <v>COBRATE -COOPERATIVA BRASILEIRA DE TRANSPORTE</v>
          </cell>
          <cell r="H29" t="str">
            <v>LOURDES LIMEIRA LACERDA</v>
          </cell>
          <cell r="I29" t="str">
            <v>NORMAL</v>
          </cell>
          <cell r="J29">
            <v>1</v>
          </cell>
          <cell r="K29">
            <v>4</v>
          </cell>
          <cell r="L29">
            <v>4</v>
          </cell>
          <cell r="M29">
            <v>4</v>
          </cell>
          <cell r="N29">
            <v>92452</v>
          </cell>
          <cell r="R29">
            <v>92452</v>
          </cell>
          <cell r="AA29">
            <v>0</v>
          </cell>
          <cell r="AC29">
            <v>0</v>
          </cell>
          <cell r="AE29">
            <v>0</v>
          </cell>
          <cell r="AF29">
            <v>0</v>
          </cell>
          <cell r="AI29">
            <v>0</v>
          </cell>
          <cell r="AK29">
            <v>0</v>
          </cell>
          <cell r="AM29">
            <v>0</v>
          </cell>
          <cell r="AN29">
            <v>0</v>
          </cell>
          <cell r="AP29">
            <v>4</v>
          </cell>
          <cell r="AQ29">
            <v>6</v>
          </cell>
          <cell r="AR29">
            <v>6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Z29">
            <v>2010</v>
          </cell>
          <cell r="BA29">
            <v>19</v>
          </cell>
          <cell r="BB29">
            <v>18</v>
          </cell>
          <cell r="BC29">
            <v>0.25</v>
          </cell>
          <cell r="BD29">
            <v>36.880000000000003</v>
          </cell>
          <cell r="BE29">
            <v>2583.21</v>
          </cell>
          <cell r="BF29">
            <v>0</v>
          </cell>
          <cell r="BG29">
            <v>0</v>
          </cell>
          <cell r="BH29">
            <v>36.880000000000003</v>
          </cell>
          <cell r="BI29">
            <v>0</v>
          </cell>
          <cell r="BJ29">
            <v>0</v>
          </cell>
          <cell r="BK29">
            <v>36.880000000000003</v>
          </cell>
          <cell r="BL29">
            <v>0</v>
          </cell>
          <cell r="BM29">
            <v>0</v>
          </cell>
          <cell r="BN29">
            <v>36.880000000000003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516.64200000000005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B29">
            <v>516.64200000000005</v>
          </cell>
          <cell r="CD29">
            <v>2323.44</v>
          </cell>
          <cell r="CE29">
            <v>464.68800000000005</v>
          </cell>
          <cell r="CF29" t="str">
            <v>NÃO</v>
          </cell>
        </row>
        <row r="30">
          <cell r="D30" t="str">
            <v>1465/12</v>
          </cell>
          <cell r="E30">
            <v>41008</v>
          </cell>
          <cell r="F30">
            <v>41029</v>
          </cell>
          <cell r="G30" t="str">
            <v>COBRATE -COOPERATIVA BRASILEIRA DE TRANSPORTE</v>
          </cell>
          <cell r="H30" t="str">
            <v>LOURDES LIMEIRA LACERDA</v>
          </cell>
          <cell r="I30" t="str">
            <v>NORMAL</v>
          </cell>
          <cell r="J30">
            <v>0</v>
          </cell>
          <cell r="K30">
            <v>16</v>
          </cell>
          <cell r="L30">
            <v>16</v>
          </cell>
          <cell r="M30">
            <v>16</v>
          </cell>
          <cell r="N30">
            <v>92452</v>
          </cell>
          <cell r="R30">
            <v>92452</v>
          </cell>
          <cell r="AA30">
            <v>0</v>
          </cell>
          <cell r="AC30">
            <v>0</v>
          </cell>
          <cell r="AE30">
            <v>0</v>
          </cell>
          <cell r="AF30">
            <v>0</v>
          </cell>
          <cell r="AI30">
            <v>0</v>
          </cell>
          <cell r="AK30">
            <v>0</v>
          </cell>
          <cell r="AM30">
            <v>0</v>
          </cell>
          <cell r="AN30">
            <v>0</v>
          </cell>
          <cell r="AP30">
            <v>16</v>
          </cell>
          <cell r="AQ30">
            <v>22</v>
          </cell>
          <cell r="AR30">
            <v>22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Z30">
            <v>2010</v>
          </cell>
          <cell r="BA30">
            <v>19</v>
          </cell>
          <cell r="BB30">
            <v>18</v>
          </cell>
          <cell r="BC30">
            <v>0.25</v>
          </cell>
          <cell r="BD30">
            <v>36.880000000000003</v>
          </cell>
          <cell r="BE30">
            <v>2583.21</v>
          </cell>
          <cell r="BF30">
            <v>0</v>
          </cell>
          <cell r="BG30">
            <v>0</v>
          </cell>
          <cell r="BH30">
            <v>36.880000000000003</v>
          </cell>
          <cell r="BI30">
            <v>0</v>
          </cell>
          <cell r="BJ30">
            <v>0</v>
          </cell>
          <cell r="BK30">
            <v>36.880000000000003</v>
          </cell>
          <cell r="BL30">
            <v>0</v>
          </cell>
          <cell r="BM30">
            <v>0</v>
          </cell>
          <cell r="BN30">
            <v>36.880000000000003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1894.354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B30">
            <v>1894.354</v>
          </cell>
          <cell r="CD30">
            <v>2323.44</v>
          </cell>
          <cell r="CE30">
            <v>1703.8560000000002</v>
          </cell>
          <cell r="CF30" t="str">
            <v>NÃO</v>
          </cell>
        </row>
        <row r="31">
          <cell r="D31" t="str">
            <v>3153/11</v>
          </cell>
          <cell r="E31">
            <v>41000</v>
          </cell>
          <cell r="F31">
            <v>41026</v>
          </cell>
          <cell r="G31" t="str">
            <v>COBRATE -COOPERATIVA BRASILEIRA DE TRANSPORTE</v>
          </cell>
          <cell r="H31" t="str">
            <v>MARCELO LUIZ RAPOSO</v>
          </cell>
          <cell r="I31" t="str">
            <v>ESPECIAL MISTA</v>
          </cell>
          <cell r="J31">
            <v>1</v>
          </cell>
          <cell r="K31">
            <v>19</v>
          </cell>
          <cell r="L31">
            <v>19</v>
          </cell>
          <cell r="M31">
            <v>19</v>
          </cell>
          <cell r="R31">
            <v>95435</v>
          </cell>
          <cell r="V31">
            <v>95435</v>
          </cell>
          <cell r="AA31">
            <v>0</v>
          </cell>
          <cell r="AC31">
            <v>0</v>
          </cell>
          <cell r="AE31">
            <v>0</v>
          </cell>
          <cell r="AF31">
            <v>0</v>
          </cell>
          <cell r="AI31">
            <v>0</v>
          </cell>
          <cell r="AK31">
            <v>0</v>
          </cell>
          <cell r="AM31">
            <v>0</v>
          </cell>
          <cell r="AN31">
            <v>0</v>
          </cell>
          <cell r="AP31">
            <v>19</v>
          </cell>
          <cell r="AQ31">
            <v>27</v>
          </cell>
          <cell r="AR31">
            <v>27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Z31">
            <v>1997</v>
          </cell>
          <cell r="BA31">
            <v>18</v>
          </cell>
          <cell r="BB31">
            <v>16</v>
          </cell>
          <cell r="BC31">
            <v>0.25</v>
          </cell>
          <cell r="BD31">
            <v>36.880000000000003</v>
          </cell>
          <cell r="BE31">
            <v>1703.2</v>
          </cell>
          <cell r="BF31">
            <v>0</v>
          </cell>
          <cell r="BG31">
            <v>0</v>
          </cell>
          <cell r="BH31">
            <v>36.880000000000003</v>
          </cell>
          <cell r="BI31">
            <v>0</v>
          </cell>
          <cell r="BJ31">
            <v>0</v>
          </cell>
          <cell r="BK31">
            <v>36.880000000000003</v>
          </cell>
          <cell r="BL31">
            <v>0</v>
          </cell>
          <cell r="BM31">
            <v>0</v>
          </cell>
          <cell r="BN31">
            <v>613.39</v>
          </cell>
          <cell r="BO31">
            <v>0</v>
          </cell>
          <cell r="BP31">
            <v>552.05099999999993</v>
          </cell>
          <cell r="BQ31">
            <v>552.05099999999993</v>
          </cell>
          <cell r="BR31">
            <v>552.05099999999993</v>
          </cell>
          <cell r="BS31">
            <v>1532.88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B31">
            <v>2084.931</v>
          </cell>
          <cell r="CD31">
            <v>1770.24</v>
          </cell>
          <cell r="CE31">
            <v>1593.2160000000001</v>
          </cell>
          <cell r="CF31" t="str">
            <v>NÃO</v>
          </cell>
        </row>
        <row r="32">
          <cell r="D32" t="str">
            <v>3115/11</v>
          </cell>
          <cell r="E32">
            <v>41000</v>
          </cell>
          <cell r="F32">
            <v>41005</v>
          </cell>
          <cell r="G32" t="str">
            <v>COBRATE -COOPERATIVA BRASILEIRA DE TRANSPORTE</v>
          </cell>
          <cell r="H32" t="str">
            <v>MAURO GENARI</v>
          </cell>
          <cell r="I32" t="str">
            <v>NORMAL</v>
          </cell>
          <cell r="J32">
            <v>1</v>
          </cell>
          <cell r="K32">
            <v>4</v>
          </cell>
          <cell r="L32">
            <v>4</v>
          </cell>
          <cell r="M32">
            <v>4</v>
          </cell>
          <cell r="N32">
            <v>95427</v>
          </cell>
          <cell r="R32">
            <v>95427</v>
          </cell>
          <cell r="AA32">
            <v>0</v>
          </cell>
          <cell r="AC32">
            <v>0</v>
          </cell>
          <cell r="AE32">
            <v>0</v>
          </cell>
          <cell r="AF32">
            <v>0</v>
          </cell>
          <cell r="AI32">
            <v>0</v>
          </cell>
          <cell r="AK32">
            <v>0</v>
          </cell>
          <cell r="AM32">
            <v>0</v>
          </cell>
          <cell r="AN32">
            <v>0</v>
          </cell>
          <cell r="AP32">
            <v>4</v>
          </cell>
          <cell r="AQ32">
            <v>6</v>
          </cell>
          <cell r="AR32">
            <v>6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Z32">
            <v>2001</v>
          </cell>
          <cell r="BA32">
            <v>18</v>
          </cell>
          <cell r="BB32">
            <v>16</v>
          </cell>
          <cell r="BC32">
            <v>0.25</v>
          </cell>
          <cell r="BD32">
            <v>36.880000000000003</v>
          </cell>
          <cell r="BE32">
            <v>1973.97</v>
          </cell>
          <cell r="BF32">
            <v>0</v>
          </cell>
          <cell r="BG32">
            <v>0</v>
          </cell>
          <cell r="BH32">
            <v>36.880000000000003</v>
          </cell>
          <cell r="BI32">
            <v>0</v>
          </cell>
          <cell r="BJ32">
            <v>0</v>
          </cell>
          <cell r="BK32">
            <v>36.880000000000003</v>
          </cell>
          <cell r="BL32">
            <v>0</v>
          </cell>
          <cell r="BM32">
            <v>0</v>
          </cell>
          <cell r="BN32">
            <v>36.880000000000003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394.79400000000004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B32">
            <v>394.79400000000004</v>
          </cell>
          <cell r="CD32">
            <v>1770.24</v>
          </cell>
          <cell r="CE32">
            <v>354.048</v>
          </cell>
          <cell r="CF32" t="str">
            <v>NÃO</v>
          </cell>
        </row>
        <row r="33">
          <cell r="D33" t="str">
            <v>1465/12</v>
          </cell>
          <cell r="E33">
            <v>41008</v>
          </cell>
          <cell r="F33">
            <v>41029</v>
          </cell>
          <cell r="G33" t="str">
            <v>COBRATE -COOPERATIVA BRASILEIRA DE TRANSPORTE</v>
          </cell>
          <cell r="H33" t="str">
            <v>MAURO GENARI</v>
          </cell>
          <cell r="I33" t="str">
            <v>NORMAL</v>
          </cell>
          <cell r="J33">
            <v>0</v>
          </cell>
          <cell r="K33">
            <v>16</v>
          </cell>
          <cell r="L33">
            <v>16</v>
          </cell>
          <cell r="M33">
            <v>16</v>
          </cell>
          <cell r="N33">
            <v>95427</v>
          </cell>
          <cell r="R33">
            <v>95427</v>
          </cell>
          <cell r="AA33">
            <v>0</v>
          </cell>
          <cell r="AC33">
            <v>0</v>
          </cell>
          <cell r="AE33">
            <v>0</v>
          </cell>
          <cell r="AF33">
            <v>0</v>
          </cell>
          <cell r="AI33">
            <v>0</v>
          </cell>
          <cell r="AK33">
            <v>0</v>
          </cell>
          <cell r="AM33">
            <v>0</v>
          </cell>
          <cell r="AN33">
            <v>0</v>
          </cell>
          <cell r="AP33">
            <v>16</v>
          </cell>
          <cell r="AQ33">
            <v>22</v>
          </cell>
          <cell r="AR33">
            <v>22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Z33">
            <v>2011</v>
          </cell>
          <cell r="BA33">
            <v>19</v>
          </cell>
          <cell r="BB33">
            <v>18</v>
          </cell>
          <cell r="BC33">
            <v>0.25</v>
          </cell>
          <cell r="BD33">
            <v>36.880000000000003</v>
          </cell>
          <cell r="BE33">
            <v>2650.9</v>
          </cell>
          <cell r="BF33">
            <v>0</v>
          </cell>
          <cell r="BG33">
            <v>0</v>
          </cell>
          <cell r="BH33">
            <v>36.880000000000003</v>
          </cell>
          <cell r="BI33">
            <v>0</v>
          </cell>
          <cell r="BJ33">
            <v>0</v>
          </cell>
          <cell r="BK33">
            <v>36.880000000000003</v>
          </cell>
          <cell r="BL33">
            <v>0</v>
          </cell>
          <cell r="BM33">
            <v>0</v>
          </cell>
          <cell r="BN33">
            <v>36.880000000000003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1943.9933333333333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B33">
            <v>1943.9933333333333</v>
          </cell>
          <cell r="CD33">
            <v>2323.44</v>
          </cell>
          <cell r="CE33">
            <v>1703.8560000000002</v>
          </cell>
          <cell r="CF33" t="str">
            <v>NÃO</v>
          </cell>
        </row>
        <row r="34">
          <cell r="D34" t="str">
            <v>3115/11</v>
          </cell>
          <cell r="E34">
            <v>41000</v>
          </cell>
          <cell r="F34">
            <v>41005</v>
          </cell>
          <cell r="G34" t="str">
            <v>COBRATE -COOPERATIVA BRASILEIRA DE TRANSPORTE</v>
          </cell>
          <cell r="H34" t="str">
            <v>ROSEMEIRE SABADOTO BERTOLAZO VIEIRA</v>
          </cell>
          <cell r="I34" t="str">
            <v>NORMAL</v>
          </cell>
          <cell r="J34">
            <v>1</v>
          </cell>
          <cell r="K34">
            <v>4</v>
          </cell>
          <cell r="L34">
            <v>4</v>
          </cell>
          <cell r="M34">
            <v>4</v>
          </cell>
          <cell r="N34">
            <v>95435</v>
          </cell>
          <cell r="R34">
            <v>95435</v>
          </cell>
          <cell r="AA34">
            <v>0</v>
          </cell>
          <cell r="AC34">
            <v>0</v>
          </cell>
          <cell r="AE34">
            <v>0</v>
          </cell>
          <cell r="AF34">
            <v>0</v>
          </cell>
          <cell r="AI34">
            <v>0</v>
          </cell>
          <cell r="AK34">
            <v>0</v>
          </cell>
          <cell r="AM34">
            <v>0</v>
          </cell>
          <cell r="AN34">
            <v>0</v>
          </cell>
          <cell r="AP34">
            <v>4</v>
          </cell>
          <cell r="AQ34">
            <v>6</v>
          </cell>
          <cell r="AR34">
            <v>6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Z34">
            <v>2003</v>
          </cell>
          <cell r="BA34">
            <v>25</v>
          </cell>
          <cell r="BB34">
            <v>23</v>
          </cell>
          <cell r="BC34">
            <v>0.25</v>
          </cell>
          <cell r="BD34">
            <v>36.880000000000003</v>
          </cell>
          <cell r="BE34">
            <v>2964.26</v>
          </cell>
          <cell r="BF34">
            <v>0</v>
          </cell>
          <cell r="BG34">
            <v>0</v>
          </cell>
          <cell r="BH34">
            <v>36.880000000000003</v>
          </cell>
          <cell r="BI34">
            <v>0</v>
          </cell>
          <cell r="BJ34">
            <v>0</v>
          </cell>
          <cell r="BK34">
            <v>36.880000000000003</v>
          </cell>
          <cell r="BL34">
            <v>0</v>
          </cell>
          <cell r="BM34">
            <v>0</v>
          </cell>
          <cell r="BN34">
            <v>36.880000000000003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592.85199999999998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B34">
            <v>592.85199999999998</v>
          </cell>
          <cell r="CD34">
            <v>2544.7199999999998</v>
          </cell>
          <cell r="CE34">
            <v>508.94399999999996</v>
          </cell>
          <cell r="CF34" t="str">
            <v>NÃO</v>
          </cell>
        </row>
        <row r="35">
          <cell r="D35" t="str">
            <v>1465/12</v>
          </cell>
          <cell r="E35">
            <v>41008</v>
          </cell>
          <cell r="F35">
            <v>41029</v>
          </cell>
          <cell r="G35" t="str">
            <v>COBRATE -COOPERATIVA BRASILEIRA DE TRANSPORTE</v>
          </cell>
          <cell r="H35" t="str">
            <v>ROSEMEIRE SABADOTO BERTOLAZO VIEIRA</v>
          </cell>
          <cell r="I35" t="str">
            <v>NORMAL</v>
          </cell>
          <cell r="J35">
            <v>0</v>
          </cell>
          <cell r="K35">
            <v>16</v>
          </cell>
          <cell r="L35">
            <v>16</v>
          </cell>
          <cell r="M35">
            <v>16</v>
          </cell>
          <cell r="N35">
            <v>95435</v>
          </cell>
          <cell r="R35">
            <v>95435</v>
          </cell>
          <cell r="AA35">
            <v>0</v>
          </cell>
          <cell r="AC35">
            <v>0</v>
          </cell>
          <cell r="AE35">
            <v>0</v>
          </cell>
          <cell r="AF35">
            <v>0</v>
          </cell>
          <cell r="AI35">
            <v>0</v>
          </cell>
          <cell r="AK35">
            <v>0</v>
          </cell>
          <cell r="AM35">
            <v>0</v>
          </cell>
          <cell r="AN35">
            <v>0</v>
          </cell>
          <cell r="AP35">
            <v>16</v>
          </cell>
          <cell r="AQ35">
            <v>22</v>
          </cell>
          <cell r="AR35">
            <v>22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Z35">
            <v>2003</v>
          </cell>
          <cell r="BA35">
            <v>25</v>
          </cell>
          <cell r="BB35">
            <v>23</v>
          </cell>
          <cell r="BC35">
            <v>0.25</v>
          </cell>
          <cell r="BD35">
            <v>36.880000000000003</v>
          </cell>
          <cell r="BE35">
            <v>2964.26</v>
          </cell>
          <cell r="BF35">
            <v>0</v>
          </cell>
          <cell r="BG35">
            <v>0</v>
          </cell>
          <cell r="BH35">
            <v>36.880000000000003</v>
          </cell>
          <cell r="BI35">
            <v>0</v>
          </cell>
          <cell r="BJ35">
            <v>0</v>
          </cell>
          <cell r="BK35">
            <v>36.880000000000003</v>
          </cell>
          <cell r="BL35">
            <v>0</v>
          </cell>
          <cell r="BM35">
            <v>0</v>
          </cell>
          <cell r="BN35">
            <v>36.880000000000003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2173.7906666666668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B35">
            <v>2173.7906666666668</v>
          </cell>
          <cell r="CD35">
            <v>2544.7199999999998</v>
          </cell>
          <cell r="CE35">
            <v>1866.1279999999999</v>
          </cell>
          <cell r="CF35" t="str">
            <v>NÃO</v>
          </cell>
        </row>
        <row r="36">
          <cell r="D36" t="str">
            <v>3115/11</v>
          </cell>
          <cell r="E36">
            <v>41000</v>
          </cell>
          <cell r="F36">
            <v>41005</v>
          </cell>
          <cell r="G36" t="str">
            <v>COBRATE -COOPERATIVA BRASILEIRA DE TRANSPORTE</v>
          </cell>
          <cell r="H36" t="str">
            <v>SILVIA REGINA AFONSO SANTOS</v>
          </cell>
          <cell r="I36" t="str">
            <v>ESPECIAL</v>
          </cell>
          <cell r="J36">
            <v>1</v>
          </cell>
          <cell r="K36">
            <v>4</v>
          </cell>
          <cell r="L36">
            <v>4</v>
          </cell>
          <cell r="M36">
            <v>4</v>
          </cell>
          <cell r="N36">
            <v>91812</v>
          </cell>
          <cell r="R36">
            <v>94617</v>
          </cell>
          <cell r="AA36">
            <v>0</v>
          </cell>
          <cell r="AC36">
            <v>0</v>
          </cell>
          <cell r="AE36">
            <v>0</v>
          </cell>
          <cell r="AF36">
            <v>0</v>
          </cell>
          <cell r="AI36">
            <v>0</v>
          </cell>
          <cell r="AK36">
            <v>0</v>
          </cell>
          <cell r="AM36">
            <v>0</v>
          </cell>
          <cell r="AN36">
            <v>0</v>
          </cell>
          <cell r="AP36">
            <v>4</v>
          </cell>
          <cell r="AQ36">
            <v>6</v>
          </cell>
          <cell r="AR36">
            <v>6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Z36">
            <v>2010</v>
          </cell>
          <cell r="BA36">
            <v>19</v>
          </cell>
          <cell r="BB36">
            <v>18</v>
          </cell>
          <cell r="BC36">
            <v>0.25</v>
          </cell>
          <cell r="BD36">
            <v>36.880000000000003</v>
          </cell>
          <cell r="BE36">
            <v>2583.21</v>
          </cell>
          <cell r="BF36">
            <v>0</v>
          </cell>
          <cell r="BG36">
            <v>2323.44</v>
          </cell>
          <cell r="BH36">
            <v>36.880000000000003</v>
          </cell>
          <cell r="BI36">
            <v>0</v>
          </cell>
          <cell r="BJ36">
            <v>0</v>
          </cell>
          <cell r="BK36">
            <v>36.880000000000003</v>
          </cell>
          <cell r="BL36">
            <v>0</v>
          </cell>
          <cell r="BM36">
            <v>0</v>
          </cell>
          <cell r="BN36">
            <v>36.880000000000003</v>
          </cell>
          <cell r="BO36">
            <v>0</v>
          </cell>
          <cell r="BP36">
            <v>0</v>
          </cell>
          <cell r="BQ36">
            <v>464.68800000000005</v>
          </cell>
          <cell r="BR36">
            <v>464.68800000000005</v>
          </cell>
          <cell r="BS36">
            <v>516.64200000000005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B36">
            <v>981.33000000000015</v>
          </cell>
          <cell r="CD36">
            <v>2323.44</v>
          </cell>
          <cell r="CE36">
            <v>464.68800000000005</v>
          </cell>
          <cell r="CF36" t="str">
            <v>NÃO</v>
          </cell>
        </row>
        <row r="37">
          <cell r="D37" t="str">
            <v>1465/12</v>
          </cell>
          <cell r="E37">
            <v>41008</v>
          </cell>
          <cell r="F37">
            <v>41029</v>
          </cell>
          <cell r="G37" t="str">
            <v>COBRATE -COOPERATIVA BRASILEIRA DE TRANSPORTE</v>
          </cell>
          <cell r="H37" t="str">
            <v>SILVIA REGINA AFONSO SANTOS</v>
          </cell>
          <cell r="I37" t="str">
            <v>ESPECIAL</v>
          </cell>
          <cell r="J37">
            <v>0</v>
          </cell>
          <cell r="K37">
            <v>16</v>
          </cell>
          <cell r="L37">
            <v>16</v>
          </cell>
          <cell r="M37">
            <v>16</v>
          </cell>
          <cell r="N37">
            <v>91812</v>
          </cell>
          <cell r="R37">
            <v>94617</v>
          </cell>
          <cell r="AA37">
            <v>0</v>
          </cell>
          <cell r="AC37">
            <v>0</v>
          </cell>
          <cell r="AE37">
            <v>0</v>
          </cell>
          <cell r="AF37">
            <v>0</v>
          </cell>
          <cell r="AI37">
            <v>0</v>
          </cell>
          <cell r="AK37">
            <v>0</v>
          </cell>
          <cell r="AM37">
            <v>0</v>
          </cell>
          <cell r="AN37">
            <v>0</v>
          </cell>
          <cell r="AP37">
            <v>16</v>
          </cell>
          <cell r="AQ37">
            <v>22</v>
          </cell>
          <cell r="AR37">
            <v>22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Z37">
            <v>2010</v>
          </cell>
          <cell r="BA37">
            <v>19</v>
          </cell>
          <cell r="BB37">
            <v>18</v>
          </cell>
          <cell r="BC37">
            <v>0.25</v>
          </cell>
          <cell r="BD37">
            <v>36.880000000000003</v>
          </cell>
          <cell r="BE37">
            <v>2583.21</v>
          </cell>
          <cell r="BF37">
            <v>0</v>
          </cell>
          <cell r="BG37">
            <v>2323.44</v>
          </cell>
          <cell r="BH37">
            <v>36.880000000000003</v>
          </cell>
          <cell r="BI37">
            <v>0</v>
          </cell>
          <cell r="BJ37">
            <v>0</v>
          </cell>
          <cell r="BK37">
            <v>36.880000000000003</v>
          </cell>
          <cell r="BL37">
            <v>0</v>
          </cell>
          <cell r="BM37">
            <v>0</v>
          </cell>
          <cell r="BN37">
            <v>36.880000000000003</v>
          </cell>
          <cell r="BO37">
            <v>0</v>
          </cell>
          <cell r="BP37">
            <v>0</v>
          </cell>
          <cell r="BQ37">
            <v>1703.8560000000002</v>
          </cell>
          <cell r="BR37">
            <v>1703.8560000000002</v>
          </cell>
          <cell r="BS37">
            <v>1894.354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B37">
            <v>3598.21</v>
          </cell>
          <cell r="CD37">
            <v>2323.44</v>
          </cell>
          <cell r="CE37">
            <v>1703.8560000000002</v>
          </cell>
          <cell r="CF37" t="str">
            <v>NÃO</v>
          </cell>
        </row>
        <row r="38">
          <cell r="D38" t="str">
            <v>3115/11</v>
          </cell>
          <cell r="E38">
            <v>41000</v>
          </cell>
          <cell r="F38">
            <v>41005</v>
          </cell>
          <cell r="G38" t="str">
            <v>COBRATE -COOPERATIVA BRASILEIRA DE TRANSPORTE</v>
          </cell>
          <cell r="H38" t="str">
            <v xml:space="preserve">TRANSLUZ  - MARCIO ROBERTO CRISPIM </v>
          </cell>
          <cell r="I38" t="str">
            <v>NORMAL</v>
          </cell>
          <cell r="J38">
            <v>1</v>
          </cell>
          <cell r="K38">
            <v>4</v>
          </cell>
          <cell r="L38">
            <v>4</v>
          </cell>
          <cell r="M38">
            <v>4</v>
          </cell>
          <cell r="N38">
            <v>442</v>
          </cell>
          <cell r="R38">
            <v>442</v>
          </cell>
          <cell r="AA38">
            <v>0</v>
          </cell>
          <cell r="AC38">
            <v>0</v>
          </cell>
          <cell r="AE38">
            <v>0</v>
          </cell>
          <cell r="AF38">
            <v>0</v>
          </cell>
          <cell r="AI38">
            <v>0</v>
          </cell>
          <cell r="AK38">
            <v>0</v>
          </cell>
          <cell r="AM38">
            <v>0</v>
          </cell>
          <cell r="AN38">
            <v>0</v>
          </cell>
          <cell r="AP38">
            <v>4</v>
          </cell>
          <cell r="AQ38">
            <v>6</v>
          </cell>
          <cell r="AR38">
            <v>6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Z38">
            <v>2011</v>
          </cell>
          <cell r="BA38">
            <v>19</v>
          </cell>
          <cell r="BB38">
            <v>18</v>
          </cell>
          <cell r="BC38">
            <v>0.25</v>
          </cell>
          <cell r="BD38">
            <v>36.880000000000003</v>
          </cell>
          <cell r="BE38">
            <v>2650.9</v>
          </cell>
          <cell r="BF38">
            <v>0</v>
          </cell>
          <cell r="BG38">
            <v>0</v>
          </cell>
          <cell r="BH38">
            <v>36.880000000000003</v>
          </cell>
          <cell r="BI38">
            <v>0</v>
          </cell>
          <cell r="BJ38">
            <v>0</v>
          </cell>
          <cell r="BK38">
            <v>36.880000000000003</v>
          </cell>
          <cell r="BL38">
            <v>0</v>
          </cell>
          <cell r="BM38">
            <v>0</v>
          </cell>
          <cell r="BN38">
            <v>36.880000000000003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530.17999999999995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B38">
            <v>530.17999999999995</v>
          </cell>
          <cell r="CD38">
            <v>2323.44</v>
          </cell>
          <cell r="CE38">
            <v>464.68800000000005</v>
          </cell>
          <cell r="CF38" t="str">
            <v>NÃO</v>
          </cell>
        </row>
        <row r="39">
          <cell r="D39" t="str">
            <v>1465/12</v>
          </cell>
          <cell r="E39">
            <v>41008</v>
          </cell>
          <cell r="F39">
            <v>41029</v>
          </cell>
          <cell r="G39" t="str">
            <v>COBRATE -COOPERATIVA BRASILEIRA DE TRANSPORTE</v>
          </cell>
          <cell r="H39" t="str">
            <v>SELMA JOSEFA DOS SANTOS DE OLIVEIRA</v>
          </cell>
          <cell r="I39" t="str">
            <v>NORMAL</v>
          </cell>
          <cell r="J39">
            <v>1</v>
          </cell>
          <cell r="K39">
            <v>16</v>
          </cell>
          <cell r="L39">
            <v>16</v>
          </cell>
          <cell r="M39">
            <v>16</v>
          </cell>
          <cell r="N39">
            <v>442</v>
          </cell>
          <cell r="R39">
            <v>442</v>
          </cell>
          <cell r="AA39">
            <v>0</v>
          </cell>
          <cell r="AC39">
            <v>0</v>
          </cell>
          <cell r="AE39">
            <v>0</v>
          </cell>
          <cell r="AF39">
            <v>0</v>
          </cell>
          <cell r="AI39">
            <v>0</v>
          </cell>
          <cell r="AK39">
            <v>0</v>
          </cell>
          <cell r="AM39">
            <v>0</v>
          </cell>
          <cell r="AN39">
            <v>0</v>
          </cell>
          <cell r="AP39">
            <v>16</v>
          </cell>
          <cell r="AQ39">
            <v>22</v>
          </cell>
          <cell r="AR39">
            <v>22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Z39">
            <v>2011</v>
          </cell>
          <cell r="BA39">
            <v>19</v>
          </cell>
          <cell r="BB39">
            <v>18</v>
          </cell>
          <cell r="BC39">
            <v>0.25</v>
          </cell>
          <cell r="BD39">
            <v>36.880000000000003</v>
          </cell>
          <cell r="BE39">
            <v>2650.9</v>
          </cell>
          <cell r="BF39">
            <v>0</v>
          </cell>
          <cell r="BG39">
            <v>0</v>
          </cell>
          <cell r="BH39">
            <v>36.880000000000003</v>
          </cell>
          <cell r="BI39">
            <v>0</v>
          </cell>
          <cell r="BJ39">
            <v>0</v>
          </cell>
          <cell r="BK39">
            <v>36.880000000000003</v>
          </cell>
          <cell r="BL39">
            <v>0</v>
          </cell>
          <cell r="BM39">
            <v>0</v>
          </cell>
          <cell r="BN39">
            <v>36.880000000000003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1943.9933333333333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B39">
            <v>1943.9933333333333</v>
          </cell>
          <cell r="CD39">
            <v>2323.44</v>
          </cell>
          <cell r="CE39">
            <v>1703.8560000000002</v>
          </cell>
          <cell r="CF39" t="str">
            <v>NÃO</v>
          </cell>
        </row>
        <row r="40">
          <cell r="D40" t="str">
            <v>3330/11</v>
          </cell>
          <cell r="E40">
            <v>41000</v>
          </cell>
          <cell r="F40">
            <v>41029</v>
          </cell>
          <cell r="G40" t="str">
            <v>COBRATE -COOPERATIVA BRASILEIRA DE TRANSPORTE</v>
          </cell>
          <cell r="H40" t="str">
            <v>VAGNER SIQUEIRA CAMPOS</v>
          </cell>
          <cell r="I40" t="str">
            <v>NORMAL</v>
          </cell>
          <cell r="J40">
            <v>1</v>
          </cell>
          <cell r="K40">
            <v>20</v>
          </cell>
          <cell r="L40">
            <v>20</v>
          </cell>
          <cell r="M40">
            <v>20</v>
          </cell>
          <cell r="N40">
            <v>442</v>
          </cell>
          <cell r="R40">
            <v>442</v>
          </cell>
          <cell r="AA40">
            <v>0</v>
          </cell>
          <cell r="AC40">
            <v>0</v>
          </cell>
          <cell r="AE40">
            <v>0</v>
          </cell>
          <cell r="AF40">
            <v>0</v>
          </cell>
          <cell r="AI40">
            <v>0</v>
          </cell>
          <cell r="AK40">
            <v>0</v>
          </cell>
          <cell r="AM40">
            <v>0</v>
          </cell>
          <cell r="AN40">
            <v>0</v>
          </cell>
          <cell r="AP40">
            <v>20</v>
          </cell>
          <cell r="AQ40">
            <v>30</v>
          </cell>
          <cell r="AR40">
            <v>30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Z40">
            <v>2007</v>
          </cell>
          <cell r="BA40">
            <v>25</v>
          </cell>
          <cell r="BB40">
            <v>23</v>
          </cell>
          <cell r="BC40">
            <v>0.25</v>
          </cell>
          <cell r="BD40">
            <v>36.880000000000003</v>
          </cell>
          <cell r="BE40">
            <v>3400.17</v>
          </cell>
          <cell r="BF40">
            <v>0</v>
          </cell>
          <cell r="BG40">
            <v>0</v>
          </cell>
          <cell r="BH40">
            <v>36.880000000000003</v>
          </cell>
          <cell r="BI40">
            <v>0</v>
          </cell>
          <cell r="BJ40">
            <v>0</v>
          </cell>
          <cell r="BK40">
            <v>36.880000000000003</v>
          </cell>
          <cell r="BL40">
            <v>0</v>
          </cell>
          <cell r="BM40">
            <v>0</v>
          </cell>
          <cell r="BN40">
            <v>36.880000000000003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3400.17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B40">
            <v>3400.17</v>
          </cell>
          <cell r="CD40">
            <v>2544.7199999999998</v>
          </cell>
          <cell r="CE40">
            <v>2544.7199999999998</v>
          </cell>
          <cell r="CF40" t="str">
            <v>NÃO</v>
          </cell>
        </row>
        <row r="41">
          <cell r="D41" t="str">
            <v>0199/12</v>
          </cell>
          <cell r="E41">
            <v>41000</v>
          </cell>
          <cell r="F41">
            <v>41029</v>
          </cell>
          <cell r="G41" t="str">
            <v>COOPERUNIAO BRASILEIRA</v>
          </cell>
          <cell r="H41" t="str">
            <v>ANDERSON DE SOUZA CHELES BRAGANTE</v>
          </cell>
          <cell r="I41" t="str">
            <v>ADAPTADO</v>
          </cell>
          <cell r="J41">
            <v>1</v>
          </cell>
          <cell r="K41">
            <v>20</v>
          </cell>
          <cell r="L41">
            <v>20</v>
          </cell>
          <cell r="M41">
            <v>20</v>
          </cell>
          <cell r="N41">
            <v>94978</v>
          </cell>
          <cell r="R41">
            <v>94978</v>
          </cell>
          <cell r="V41">
            <v>94960</v>
          </cell>
          <cell r="AA41">
            <v>0</v>
          </cell>
          <cell r="AC41">
            <v>0</v>
          </cell>
          <cell r="AE41">
            <v>0</v>
          </cell>
          <cell r="AF41">
            <v>0</v>
          </cell>
          <cell r="AI41">
            <v>0</v>
          </cell>
          <cell r="AK41">
            <v>0</v>
          </cell>
          <cell r="AM41">
            <v>0</v>
          </cell>
          <cell r="AN41">
            <v>0</v>
          </cell>
          <cell r="AP41">
            <v>20</v>
          </cell>
          <cell r="AQ41">
            <v>30</v>
          </cell>
          <cell r="AR41">
            <v>30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Z41">
            <v>2010</v>
          </cell>
          <cell r="BA41">
            <v>10</v>
          </cell>
          <cell r="BB41">
            <v>9</v>
          </cell>
          <cell r="BC41">
            <v>0.25</v>
          </cell>
          <cell r="BD41">
            <v>36.880000000000003</v>
          </cell>
          <cell r="BE41">
            <v>3727.1</v>
          </cell>
          <cell r="BF41">
            <v>0</v>
          </cell>
          <cell r="BG41">
            <v>0</v>
          </cell>
          <cell r="BH41">
            <v>36.880000000000003</v>
          </cell>
          <cell r="BI41">
            <v>0</v>
          </cell>
          <cell r="BJ41">
            <v>0</v>
          </cell>
          <cell r="BK41">
            <v>36.880000000000003</v>
          </cell>
          <cell r="BL41">
            <v>0</v>
          </cell>
          <cell r="BM41">
            <v>0</v>
          </cell>
          <cell r="BN41">
            <v>36.880000000000003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3727.1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B41">
            <v>3727.1</v>
          </cell>
          <cell r="CD41">
            <v>1770.24</v>
          </cell>
          <cell r="CE41">
            <v>1770.24</v>
          </cell>
          <cell r="CF41" t="str">
            <v>SIM</v>
          </cell>
        </row>
        <row r="42">
          <cell r="D42" t="str">
            <v>0199/12</v>
          </cell>
          <cell r="E42">
            <v>41000</v>
          </cell>
          <cell r="F42">
            <v>41029</v>
          </cell>
          <cell r="G42" t="str">
            <v>COOPERUNIAO BRASILEIRA</v>
          </cell>
          <cell r="H42" t="str">
            <v>ANDREA SIMOES DE SOUZA GARCIA</v>
          </cell>
          <cell r="I42" t="str">
            <v>ESPECIAL</v>
          </cell>
          <cell r="J42">
            <v>1</v>
          </cell>
          <cell r="K42">
            <v>20</v>
          </cell>
          <cell r="L42">
            <v>20</v>
          </cell>
          <cell r="M42">
            <v>20</v>
          </cell>
          <cell r="N42">
            <v>91812</v>
          </cell>
          <cell r="AA42">
            <v>0</v>
          </cell>
          <cell r="AC42">
            <v>0</v>
          </cell>
          <cell r="AE42">
            <v>0</v>
          </cell>
          <cell r="AF42">
            <v>0</v>
          </cell>
          <cell r="AI42">
            <v>0</v>
          </cell>
          <cell r="AK42">
            <v>0</v>
          </cell>
          <cell r="AM42">
            <v>0</v>
          </cell>
          <cell r="AN42">
            <v>0</v>
          </cell>
          <cell r="AP42">
            <v>20</v>
          </cell>
          <cell r="AQ42">
            <v>30</v>
          </cell>
          <cell r="AR42">
            <v>30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Z42">
            <v>2010</v>
          </cell>
          <cell r="BA42">
            <v>19</v>
          </cell>
          <cell r="BB42">
            <v>17</v>
          </cell>
          <cell r="BC42">
            <v>0.25</v>
          </cell>
          <cell r="BD42">
            <v>36.880000000000003</v>
          </cell>
          <cell r="BE42">
            <v>3727.1</v>
          </cell>
          <cell r="BF42">
            <v>0</v>
          </cell>
          <cell r="BG42">
            <v>2323.44</v>
          </cell>
          <cell r="BH42">
            <v>36.880000000000003</v>
          </cell>
          <cell r="BI42">
            <v>0</v>
          </cell>
          <cell r="BJ42">
            <v>0</v>
          </cell>
          <cell r="BK42">
            <v>36.880000000000003</v>
          </cell>
          <cell r="BL42">
            <v>0</v>
          </cell>
          <cell r="BM42">
            <v>0</v>
          </cell>
          <cell r="BN42">
            <v>36.880000000000003</v>
          </cell>
          <cell r="BO42">
            <v>0</v>
          </cell>
          <cell r="BP42">
            <v>0</v>
          </cell>
          <cell r="BQ42">
            <v>2323.44</v>
          </cell>
          <cell r="BR42">
            <v>2323.44</v>
          </cell>
          <cell r="BS42">
            <v>3727.1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CB42">
            <v>6050.54</v>
          </cell>
          <cell r="CD42">
            <v>2323.44</v>
          </cell>
          <cell r="CE42">
            <v>2323.44</v>
          </cell>
          <cell r="CF42" t="str">
            <v>NÃO</v>
          </cell>
        </row>
        <row r="43">
          <cell r="D43" t="str">
            <v>3352/11</v>
          </cell>
          <cell r="E43">
            <v>41000</v>
          </cell>
          <cell r="F43">
            <v>41029</v>
          </cell>
          <cell r="G43" t="str">
            <v>COOPERUNIAO BRASILEIRA</v>
          </cell>
          <cell r="H43" t="str">
            <v>RODRIGO PRUDENTE DE OLIVEIRA</v>
          </cell>
          <cell r="I43" t="str">
            <v>ADAPTADO</v>
          </cell>
          <cell r="J43">
            <v>1</v>
          </cell>
          <cell r="K43">
            <v>20</v>
          </cell>
          <cell r="L43">
            <v>20</v>
          </cell>
          <cell r="M43">
            <v>20</v>
          </cell>
          <cell r="N43">
            <v>92461</v>
          </cell>
          <cell r="R43">
            <v>95320</v>
          </cell>
          <cell r="AA43">
            <v>0</v>
          </cell>
          <cell r="AC43">
            <v>0</v>
          </cell>
          <cell r="AE43">
            <v>0</v>
          </cell>
          <cell r="AF43">
            <v>0</v>
          </cell>
          <cell r="AI43">
            <v>0</v>
          </cell>
          <cell r="AK43">
            <v>0</v>
          </cell>
          <cell r="AM43">
            <v>0</v>
          </cell>
          <cell r="AN43">
            <v>0</v>
          </cell>
          <cell r="AP43">
            <v>20</v>
          </cell>
          <cell r="AQ43">
            <v>30</v>
          </cell>
          <cell r="AR43">
            <v>30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Z43">
            <v>2009</v>
          </cell>
          <cell r="BA43">
            <v>11</v>
          </cell>
          <cell r="BB43">
            <v>10</v>
          </cell>
          <cell r="BC43">
            <v>0.25</v>
          </cell>
          <cell r="BD43">
            <v>36.880000000000003</v>
          </cell>
          <cell r="BE43">
            <v>3618.12</v>
          </cell>
          <cell r="BF43">
            <v>0</v>
          </cell>
          <cell r="BG43">
            <v>0</v>
          </cell>
          <cell r="BH43">
            <v>36.880000000000003</v>
          </cell>
          <cell r="BI43">
            <v>0</v>
          </cell>
          <cell r="BJ43">
            <v>0</v>
          </cell>
          <cell r="BK43">
            <v>36.880000000000003</v>
          </cell>
          <cell r="BL43">
            <v>0</v>
          </cell>
          <cell r="BM43">
            <v>0</v>
          </cell>
          <cell r="BN43">
            <v>36.880000000000003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3618.12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CB43">
            <v>3618.12</v>
          </cell>
          <cell r="CD43">
            <v>1770.24</v>
          </cell>
          <cell r="CE43">
            <v>1770.24</v>
          </cell>
          <cell r="CF43" t="str">
            <v>SIM</v>
          </cell>
        </row>
        <row r="44">
          <cell r="D44" t="str">
            <v>3149/11</v>
          </cell>
          <cell r="E44">
            <v>41000</v>
          </cell>
          <cell r="F44">
            <v>41005</v>
          </cell>
          <cell r="G44" t="str">
            <v>COOPER-X COOPERATIVA DE SERVICOS DE TRANSPORTE ESCOLAR DE SAO PAULO E REGIAO</v>
          </cell>
          <cell r="H44" t="str">
            <v>CARLOS ALBERTO LEITAO</v>
          </cell>
          <cell r="I44" t="str">
            <v>ESPECIAL</v>
          </cell>
          <cell r="J44">
            <v>1</v>
          </cell>
          <cell r="K44">
            <v>4</v>
          </cell>
          <cell r="L44">
            <v>4</v>
          </cell>
          <cell r="M44">
            <v>4</v>
          </cell>
          <cell r="N44">
            <v>91812</v>
          </cell>
          <cell r="R44">
            <v>600001</v>
          </cell>
          <cell r="AA44">
            <v>0</v>
          </cell>
          <cell r="AC44">
            <v>0</v>
          </cell>
          <cell r="AE44">
            <v>0</v>
          </cell>
          <cell r="AF44">
            <v>0</v>
          </cell>
          <cell r="AI44">
            <v>0</v>
          </cell>
          <cell r="AK44">
            <v>0</v>
          </cell>
          <cell r="AM44">
            <v>0</v>
          </cell>
          <cell r="AN44">
            <v>0</v>
          </cell>
          <cell r="AP44">
            <v>4</v>
          </cell>
          <cell r="AQ44">
            <v>6</v>
          </cell>
          <cell r="AR44">
            <v>6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Z44">
            <v>2009</v>
          </cell>
          <cell r="BA44">
            <v>19</v>
          </cell>
          <cell r="BB44">
            <v>17</v>
          </cell>
          <cell r="BC44">
            <v>0.25</v>
          </cell>
          <cell r="BD44">
            <v>36.880000000000003</v>
          </cell>
          <cell r="BE44">
            <v>2515.52</v>
          </cell>
          <cell r="BF44">
            <v>0</v>
          </cell>
          <cell r="BG44">
            <v>2323.44</v>
          </cell>
          <cell r="BH44">
            <v>36.880000000000003</v>
          </cell>
          <cell r="BI44">
            <v>0</v>
          </cell>
          <cell r="BJ44">
            <v>0</v>
          </cell>
          <cell r="BK44">
            <v>36.880000000000003</v>
          </cell>
          <cell r="BL44">
            <v>0</v>
          </cell>
          <cell r="BM44">
            <v>0</v>
          </cell>
          <cell r="BN44">
            <v>36.880000000000003</v>
          </cell>
          <cell r="BO44">
            <v>0</v>
          </cell>
          <cell r="BP44">
            <v>0</v>
          </cell>
          <cell r="BQ44">
            <v>464.68800000000005</v>
          </cell>
          <cell r="BR44">
            <v>464.68800000000005</v>
          </cell>
          <cell r="BS44">
            <v>503.10400000000004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CB44">
            <v>967.79200000000014</v>
          </cell>
          <cell r="CD44">
            <v>2323.44</v>
          </cell>
          <cell r="CE44">
            <v>464.68800000000005</v>
          </cell>
          <cell r="CF44" t="str">
            <v>NÃO</v>
          </cell>
        </row>
        <row r="45">
          <cell r="D45" t="str">
            <v>1464/12</v>
          </cell>
          <cell r="E45">
            <v>41008</v>
          </cell>
          <cell r="F45">
            <v>41029</v>
          </cell>
          <cell r="G45" t="str">
            <v>COOPER-X COOPERATIVA DE SERVICOS DE TRANSPORTE ESCOLAR DE SAO PAULO E REGIAO</v>
          </cell>
          <cell r="H45" t="str">
            <v>CARLOS ALBERTO LEITAO</v>
          </cell>
          <cell r="I45" t="str">
            <v>ESPECIAL</v>
          </cell>
          <cell r="J45">
            <v>0</v>
          </cell>
          <cell r="K45">
            <v>16</v>
          </cell>
          <cell r="L45">
            <v>16</v>
          </cell>
          <cell r="M45">
            <v>16</v>
          </cell>
          <cell r="N45">
            <v>91812</v>
          </cell>
          <cell r="R45">
            <v>600001</v>
          </cell>
          <cell r="AA45">
            <v>0</v>
          </cell>
          <cell r="AC45">
            <v>0</v>
          </cell>
          <cell r="AE45">
            <v>0</v>
          </cell>
          <cell r="AF45">
            <v>0</v>
          </cell>
          <cell r="AI45">
            <v>0</v>
          </cell>
          <cell r="AK45">
            <v>0</v>
          </cell>
          <cell r="AM45">
            <v>0</v>
          </cell>
          <cell r="AN45">
            <v>0</v>
          </cell>
          <cell r="AP45">
            <v>16</v>
          </cell>
          <cell r="AQ45">
            <v>22</v>
          </cell>
          <cell r="AR45">
            <v>22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Z45">
            <v>2009</v>
          </cell>
          <cell r="BA45">
            <v>19</v>
          </cell>
          <cell r="BB45">
            <v>17</v>
          </cell>
          <cell r="BC45">
            <v>0.25</v>
          </cell>
          <cell r="BD45">
            <v>36.880000000000003</v>
          </cell>
          <cell r="BE45">
            <v>2515.52</v>
          </cell>
          <cell r="BF45">
            <v>0</v>
          </cell>
          <cell r="BG45">
            <v>2323.44</v>
          </cell>
          <cell r="BH45">
            <v>36.880000000000003</v>
          </cell>
          <cell r="BI45">
            <v>0</v>
          </cell>
          <cell r="BJ45">
            <v>0</v>
          </cell>
          <cell r="BK45">
            <v>36.880000000000003</v>
          </cell>
          <cell r="BL45">
            <v>0</v>
          </cell>
          <cell r="BM45">
            <v>0</v>
          </cell>
          <cell r="BN45">
            <v>36.880000000000003</v>
          </cell>
          <cell r="BO45">
            <v>0</v>
          </cell>
          <cell r="BP45">
            <v>0</v>
          </cell>
          <cell r="BQ45">
            <v>1703.8560000000002</v>
          </cell>
          <cell r="BR45">
            <v>1703.8560000000002</v>
          </cell>
          <cell r="BS45">
            <v>1844.7146666666667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CB45">
            <v>3548.570666666667</v>
          </cell>
          <cell r="CD45">
            <v>2323.44</v>
          </cell>
          <cell r="CE45">
            <v>1703.8560000000002</v>
          </cell>
          <cell r="CF45" t="str">
            <v>NÃO</v>
          </cell>
        </row>
        <row r="46">
          <cell r="D46" t="str">
            <v>0198/12</v>
          </cell>
          <cell r="E46">
            <v>41000</v>
          </cell>
          <cell r="F46">
            <v>41029</v>
          </cell>
          <cell r="G46" t="str">
            <v>COOPER-X COOPERATIVA DE SERVICOS DE TRANSPORTE ESCOLAR DE SAO PAULO E REGIAO</v>
          </cell>
          <cell r="H46" t="str">
            <v>JOÃO BATISTA LOPES</v>
          </cell>
          <cell r="I46" t="str">
            <v>ADAPTADO</v>
          </cell>
          <cell r="J46">
            <v>1</v>
          </cell>
          <cell r="K46">
            <v>20</v>
          </cell>
          <cell r="L46">
            <v>20</v>
          </cell>
          <cell r="M46">
            <v>20</v>
          </cell>
          <cell r="N46">
            <v>94625</v>
          </cell>
          <cell r="R46">
            <v>94633</v>
          </cell>
          <cell r="AA46">
            <v>0</v>
          </cell>
          <cell r="AC46">
            <v>0</v>
          </cell>
          <cell r="AE46">
            <v>0</v>
          </cell>
          <cell r="AF46">
            <v>0</v>
          </cell>
          <cell r="AI46">
            <v>0</v>
          </cell>
          <cell r="AK46">
            <v>0</v>
          </cell>
          <cell r="AM46">
            <v>0</v>
          </cell>
          <cell r="AN46">
            <v>0</v>
          </cell>
          <cell r="AP46">
            <v>20</v>
          </cell>
          <cell r="AQ46">
            <v>30</v>
          </cell>
          <cell r="AR46">
            <v>30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Z46">
            <v>2010</v>
          </cell>
          <cell r="BA46">
            <v>10</v>
          </cell>
          <cell r="BB46">
            <v>9</v>
          </cell>
          <cell r="BC46">
            <v>0.25</v>
          </cell>
          <cell r="BD46">
            <v>36.880000000000003</v>
          </cell>
          <cell r="BE46">
            <v>3727.1</v>
          </cell>
          <cell r="BF46">
            <v>0</v>
          </cell>
          <cell r="BG46">
            <v>0</v>
          </cell>
          <cell r="BH46">
            <v>36.880000000000003</v>
          </cell>
          <cell r="BI46">
            <v>0</v>
          </cell>
          <cell r="BJ46">
            <v>0</v>
          </cell>
          <cell r="BK46">
            <v>36.880000000000003</v>
          </cell>
          <cell r="BL46">
            <v>0</v>
          </cell>
          <cell r="BM46">
            <v>0</v>
          </cell>
          <cell r="BN46">
            <v>36.880000000000003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3727.1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CB46">
            <v>3727.1</v>
          </cell>
          <cell r="CD46">
            <v>1770.24</v>
          </cell>
          <cell r="CE46">
            <v>1770.24</v>
          </cell>
          <cell r="CF46" t="str">
            <v>SIM</v>
          </cell>
        </row>
        <row r="47">
          <cell r="D47" t="str">
            <v>0982/12</v>
          </cell>
          <cell r="E47">
            <v>41000</v>
          </cell>
          <cell r="F47">
            <v>41029</v>
          </cell>
          <cell r="G47" t="str">
            <v>COOPER-X COOPERATIVA DE SERVICOS DE TRANSPORTE ESCOLAR DE SAO PAULO E REGIAO</v>
          </cell>
          <cell r="H47" t="str">
            <v>NERALDO AUGUSTO DA SILVA</v>
          </cell>
          <cell r="I47" t="str">
            <v>CONVENIADA</v>
          </cell>
          <cell r="J47">
            <v>1</v>
          </cell>
          <cell r="K47">
            <v>20</v>
          </cell>
          <cell r="L47">
            <v>20</v>
          </cell>
          <cell r="M47">
            <v>20</v>
          </cell>
          <cell r="N47">
            <v>91812</v>
          </cell>
          <cell r="AA47">
            <v>0</v>
          </cell>
          <cell r="AC47">
            <v>0</v>
          </cell>
          <cell r="AE47">
            <v>0</v>
          </cell>
          <cell r="AF47">
            <v>0</v>
          </cell>
          <cell r="AI47">
            <v>0</v>
          </cell>
          <cell r="AK47">
            <v>0</v>
          </cell>
          <cell r="AM47">
            <v>0</v>
          </cell>
          <cell r="AN47">
            <v>0</v>
          </cell>
          <cell r="AP47">
            <v>20</v>
          </cell>
          <cell r="AQ47">
            <v>30</v>
          </cell>
          <cell r="AR47">
            <v>30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Z47">
            <v>2003</v>
          </cell>
          <cell r="BA47">
            <v>15</v>
          </cell>
          <cell r="BB47">
            <v>13</v>
          </cell>
          <cell r="BC47">
            <v>0.25</v>
          </cell>
          <cell r="BD47">
            <v>36.880000000000003</v>
          </cell>
          <cell r="BE47">
            <v>2109.35</v>
          </cell>
          <cell r="BF47">
            <v>0</v>
          </cell>
          <cell r="BG47">
            <v>1770.24</v>
          </cell>
          <cell r="BH47">
            <v>36.880000000000003</v>
          </cell>
          <cell r="BI47">
            <v>0</v>
          </cell>
          <cell r="BJ47">
            <v>0</v>
          </cell>
          <cell r="BK47">
            <v>36.880000000000003</v>
          </cell>
          <cell r="BL47">
            <v>0</v>
          </cell>
          <cell r="BM47">
            <v>0</v>
          </cell>
          <cell r="BN47">
            <v>36.880000000000003</v>
          </cell>
          <cell r="BO47">
            <v>0</v>
          </cell>
          <cell r="BP47">
            <v>0</v>
          </cell>
          <cell r="BQ47">
            <v>1770.24</v>
          </cell>
          <cell r="BR47">
            <v>1770.24</v>
          </cell>
          <cell r="BS47">
            <v>2109.35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CB47">
            <v>3879.59</v>
          </cell>
          <cell r="CD47">
            <v>1770.24</v>
          </cell>
          <cell r="CE47">
            <v>1770.24</v>
          </cell>
          <cell r="CF47" t="str">
            <v>NÃO</v>
          </cell>
        </row>
        <row r="48">
          <cell r="D48" t="str">
            <v>0189/12</v>
          </cell>
          <cell r="E48">
            <v>41000</v>
          </cell>
          <cell r="F48">
            <v>41029</v>
          </cell>
          <cell r="G48" t="str">
            <v>COOPER-X-COOPERATIVA DE SERVIÇOS DE TRANSPORTE ESCOLAR DE SÃO PAULO E REGIÃO</v>
          </cell>
          <cell r="H48" t="str">
            <v>REGINILDE DOS SANTOS FERREIRA</v>
          </cell>
          <cell r="I48" t="str">
            <v>ADAPTADO</v>
          </cell>
          <cell r="J48">
            <v>1</v>
          </cell>
          <cell r="K48">
            <v>20</v>
          </cell>
          <cell r="L48">
            <v>20</v>
          </cell>
          <cell r="M48">
            <v>20</v>
          </cell>
          <cell r="N48">
            <v>95401</v>
          </cell>
          <cell r="R48">
            <v>95401</v>
          </cell>
          <cell r="V48">
            <v>95401</v>
          </cell>
          <cell r="AA48">
            <v>0</v>
          </cell>
          <cell r="AC48">
            <v>0</v>
          </cell>
          <cell r="AE48">
            <v>0</v>
          </cell>
          <cell r="AF48">
            <v>0</v>
          </cell>
          <cell r="AI48">
            <v>0</v>
          </cell>
          <cell r="AK48">
            <v>0</v>
          </cell>
          <cell r="AM48">
            <v>0</v>
          </cell>
          <cell r="AN48">
            <v>0</v>
          </cell>
          <cell r="AP48">
            <v>20</v>
          </cell>
          <cell r="AQ48">
            <v>30</v>
          </cell>
          <cell r="AR48">
            <v>30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Z48">
            <v>2009</v>
          </cell>
          <cell r="BA48">
            <v>11</v>
          </cell>
          <cell r="BB48">
            <v>10</v>
          </cell>
          <cell r="BC48">
            <v>0.25</v>
          </cell>
          <cell r="BD48">
            <v>36.880000000000003</v>
          </cell>
          <cell r="BE48">
            <v>3618.12</v>
          </cell>
          <cell r="BF48">
            <v>0</v>
          </cell>
          <cell r="BG48">
            <v>0</v>
          </cell>
          <cell r="BH48">
            <v>36.880000000000003</v>
          </cell>
          <cell r="BI48">
            <v>0</v>
          </cell>
          <cell r="BJ48">
            <v>0</v>
          </cell>
          <cell r="BK48">
            <v>36.880000000000003</v>
          </cell>
          <cell r="BL48">
            <v>0</v>
          </cell>
          <cell r="BM48">
            <v>0</v>
          </cell>
          <cell r="BN48">
            <v>36.880000000000003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3618.12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CB48">
            <v>3618.12</v>
          </cell>
          <cell r="CD48">
            <v>1770.24</v>
          </cell>
          <cell r="CE48">
            <v>1770.24</v>
          </cell>
          <cell r="CF48" t="str">
            <v>SIM</v>
          </cell>
        </row>
        <row r="49">
          <cell r="D49" t="str">
            <v>1551/12</v>
          </cell>
          <cell r="E49">
            <v>41000</v>
          </cell>
          <cell r="F49">
            <v>41029</v>
          </cell>
          <cell r="G49" t="str">
            <v>EDILSON DA LUZ CARVALHO ME</v>
          </cell>
          <cell r="H49" t="str">
            <v>EDU PALMEIRA COSTA</v>
          </cell>
          <cell r="I49" t="str">
            <v>NORMAL</v>
          </cell>
          <cell r="J49">
            <v>1</v>
          </cell>
          <cell r="K49">
            <v>20</v>
          </cell>
          <cell r="L49">
            <v>20</v>
          </cell>
          <cell r="M49">
            <v>20</v>
          </cell>
          <cell r="AA49">
            <v>0</v>
          </cell>
          <cell r="AC49">
            <v>0</v>
          </cell>
          <cell r="AE49">
            <v>0</v>
          </cell>
          <cell r="AF49">
            <v>0</v>
          </cell>
          <cell r="AI49">
            <v>0</v>
          </cell>
          <cell r="AK49">
            <v>0</v>
          </cell>
          <cell r="AM49">
            <v>0</v>
          </cell>
          <cell r="AN49">
            <v>0</v>
          </cell>
          <cell r="AP49">
            <v>20</v>
          </cell>
          <cell r="AQ49">
            <v>30</v>
          </cell>
          <cell r="AR49">
            <v>30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Z49">
            <v>2011</v>
          </cell>
          <cell r="BA49">
            <v>19</v>
          </cell>
          <cell r="BB49">
            <v>18</v>
          </cell>
          <cell r="BC49">
            <v>0.25</v>
          </cell>
          <cell r="BD49">
            <v>36.86</v>
          </cell>
          <cell r="BE49">
            <v>2650.9</v>
          </cell>
          <cell r="BF49">
            <v>0</v>
          </cell>
          <cell r="BG49">
            <v>0</v>
          </cell>
          <cell r="BH49">
            <v>36.86</v>
          </cell>
          <cell r="BI49">
            <v>0</v>
          </cell>
          <cell r="BJ49">
            <v>0</v>
          </cell>
          <cell r="BK49">
            <v>36.86</v>
          </cell>
          <cell r="BL49">
            <v>0</v>
          </cell>
          <cell r="BM49">
            <v>0</v>
          </cell>
          <cell r="BN49">
            <v>36.86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2650.9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CB49">
            <v>2650.9</v>
          </cell>
          <cell r="CD49">
            <v>2323.44</v>
          </cell>
          <cell r="CE49">
            <v>2323.44</v>
          </cell>
          <cell r="CF49" t="str">
            <v>NÃO</v>
          </cell>
        </row>
        <row r="50">
          <cell r="D50" t="str">
            <v>0924/12</v>
          </cell>
          <cell r="E50">
            <v>41000</v>
          </cell>
          <cell r="F50">
            <v>41029</v>
          </cell>
          <cell r="G50" t="str">
            <v>EDUARDO MEDEIROS TRANSPORTES</v>
          </cell>
          <cell r="H50" t="str">
            <v>EDUARDO MEDEIROS</v>
          </cell>
          <cell r="I50" t="str">
            <v>ESPECIAL</v>
          </cell>
          <cell r="J50">
            <v>1</v>
          </cell>
          <cell r="K50">
            <v>20</v>
          </cell>
          <cell r="L50">
            <v>20</v>
          </cell>
          <cell r="M50">
            <v>20</v>
          </cell>
          <cell r="R50">
            <v>200085</v>
          </cell>
          <cell r="AA50">
            <v>0</v>
          </cell>
          <cell r="AC50">
            <v>0</v>
          </cell>
          <cell r="AE50">
            <v>0</v>
          </cell>
          <cell r="AF50">
            <v>0</v>
          </cell>
          <cell r="AI50">
            <v>0</v>
          </cell>
          <cell r="AK50">
            <v>0</v>
          </cell>
          <cell r="AM50">
            <v>0</v>
          </cell>
          <cell r="AN50">
            <v>0</v>
          </cell>
          <cell r="AP50">
            <v>20</v>
          </cell>
          <cell r="AQ50">
            <v>30</v>
          </cell>
          <cell r="AR50">
            <v>30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Z50">
            <v>2008</v>
          </cell>
          <cell r="BA50">
            <v>30</v>
          </cell>
          <cell r="BB50">
            <v>28</v>
          </cell>
          <cell r="BC50">
            <v>0.25</v>
          </cell>
          <cell r="BD50">
            <v>36.880000000000003</v>
          </cell>
          <cell r="BE50">
            <v>3509.14</v>
          </cell>
          <cell r="BF50">
            <v>0</v>
          </cell>
          <cell r="BG50">
            <v>2290.25</v>
          </cell>
          <cell r="BH50">
            <v>36.880000000000003</v>
          </cell>
          <cell r="BI50">
            <v>0</v>
          </cell>
          <cell r="BJ50">
            <v>0</v>
          </cell>
          <cell r="BK50">
            <v>36.880000000000003</v>
          </cell>
          <cell r="BL50">
            <v>0</v>
          </cell>
          <cell r="BM50">
            <v>0</v>
          </cell>
          <cell r="BN50">
            <v>36.880000000000003</v>
          </cell>
          <cell r="BO50">
            <v>0</v>
          </cell>
          <cell r="BP50">
            <v>0</v>
          </cell>
          <cell r="BQ50">
            <v>2290.25</v>
          </cell>
          <cell r="BR50">
            <v>2290.25</v>
          </cell>
          <cell r="BS50">
            <v>3509.14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CB50">
            <v>5799.3899999999994</v>
          </cell>
          <cell r="CD50">
            <v>2544.7199999999998</v>
          </cell>
          <cell r="CE50">
            <v>2544.7199999999998</v>
          </cell>
          <cell r="CF50" t="str">
            <v>NÃO</v>
          </cell>
        </row>
        <row r="51">
          <cell r="D51" t="str">
            <v>0947/12</v>
          </cell>
          <cell r="E51">
            <v>41000</v>
          </cell>
          <cell r="F51">
            <v>41029</v>
          </cell>
          <cell r="G51" t="str">
            <v>EDUARDO MEDEIROS TRANSPORTES ME</v>
          </cell>
          <cell r="H51" t="str">
            <v>ANTONIO RODRIGUES DOS SANTOS</v>
          </cell>
          <cell r="I51" t="str">
            <v>ESPECIAL</v>
          </cell>
          <cell r="J51">
            <v>1</v>
          </cell>
          <cell r="K51">
            <v>20</v>
          </cell>
          <cell r="L51">
            <v>20</v>
          </cell>
          <cell r="M51">
            <v>20</v>
          </cell>
          <cell r="N51">
            <v>60001</v>
          </cell>
          <cell r="AA51">
            <v>0</v>
          </cell>
          <cell r="AC51">
            <v>0</v>
          </cell>
          <cell r="AE51">
            <v>0</v>
          </cell>
          <cell r="AF51">
            <v>0</v>
          </cell>
          <cell r="AI51">
            <v>0</v>
          </cell>
          <cell r="AK51">
            <v>0</v>
          </cell>
          <cell r="AM51">
            <v>0</v>
          </cell>
          <cell r="AN51">
            <v>0</v>
          </cell>
          <cell r="AP51">
            <v>20</v>
          </cell>
          <cell r="AQ51">
            <v>30</v>
          </cell>
          <cell r="AR51">
            <v>30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Z51">
            <v>2010</v>
          </cell>
          <cell r="BA51">
            <v>15</v>
          </cell>
          <cell r="BB51">
            <v>14</v>
          </cell>
          <cell r="BC51">
            <v>0.25</v>
          </cell>
          <cell r="BD51">
            <v>36.880000000000003</v>
          </cell>
          <cell r="BE51">
            <v>2583.21</v>
          </cell>
          <cell r="BF51">
            <v>0</v>
          </cell>
          <cell r="BG51">
            <v>1593.22</v>
          </cell>
          <cell r="BH51">
            <v>36.880000000000003</v>
          </cell>
          <cell r="BI51">
            <v>0</v>
          </cell>
          <cell r="BJ51">
            <v>0</v>
          </cell>
          <cell r="BK51">
            <v>36.880000000000003</v>
          </cell>
          <cell r="BL51">
            <v>0</v>
          </cell>
          <cell r="BM51">
            <v>0</v>
          </cell>
          <cell r="BN51">
            <v>36.880000000000003</v>
          </cell>
          <cell r="BO51">
            <v>0</v>
          </cell>
          <cell r="BP51">
            <v>0</v>
          </cell>
          <cell r="BQ51">
            <v>1593.22</v>
          </cell>
          <cell r="BR51">
            <v>1593.22</v>
          </cell>
          <cell r="BS51">
            <v>2583.21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CB51">
            <v>4176.43</v>
          </cell>
          <cell r="CD51">
            <v>1770.24</v>
          </cell>
          <cell r="CE51">
            <v>1770.24</v>
          </cell>
          <cell r="CF51" t="str">
            <v>NÃO</v>
          </cell>
        </row>
        <row r="52">
          <cell r="D52" t="str">
            <v>0947/12</v>
          </cell>
          <cell r="E52">
            <v>41000</v>
          </cell>
          <cell r="F52">
            <v>41029</v>
          </cell>
          <cell r="G52" t="str">
            <v>EDUARDO MEDEIROS TRANSPORTES ME</v>
          </cell>
          <cell r="H52" t="str">
            <v>FÁTIMA DE FALCO GIMENES MEDEIROS</v>
          </cell>
          <cell r="I52" t="str">
            <v>ESPECIAL</v>
          </cell>
          <cell r="J52">
            <v>1</v>
          </cell>
          <cell r="K52">
            <v>20</v>
          </cell>
          <cell r="L52">
            <v>20</v>
          </cell>
          <cell r="M52">
            <v>20</v>
          </cell>
          <cell r="R52">
            <v>60001</v>
          </cell>
          <cell r="AA52">
            <v>0</v>
          </cell>
          <cell r="AC52">
            <v>0</v>
          </cell>
          <cell r="AE52">
            <v>0</v>
          </cell>
          <cell r="AF52">
            <v>0</v>
          </cell>
          <cell r="AI52">
            <v>0</v>
          </cell>
          <cell r="AK52">
            <v>0</v>
          </cell>
          <cell r="AM52">
            <v>0</v>
          </cell>
          <cell r="AN52">
            <v>0</v>
          </cell>
          <cell r="AP52">
            <v>20</v>
          </cell>
          <cell r="AQ52">
            <v>30</v>
          </cell>
          <cell r="AR52">
            <v>30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Z52">
            <v>2010</v>
          </cell>
          <cell r="BA52">
            <v>19</v>
          </cell>
          <cell r="BB52">
            <v>18</v>
          </cell>
          <cell r="BC52">
            <v>0.25</v>
          </cell>
          <cell r="BD52">
            <v>36.880000000000003</v>
          </cell>
          <cell r="BE52">
            <v>2583.21</v>
          </cell>
          <cell r="BF52">
            <v>0</v>
          </cell>
          <cell r="BG52">
            <v>2091.1</v>
          </cell>
          <cell r="BH52">
            <v>36.880000000000003</v>
          </cell>
          <cell r="BI52">
            <v>0</v>
          </cell>
          <cell r="BJ52">
            <v>0</v>
          </cell>
          <cell r="BK52">
            <v>36.880000000000003</v>
          </cell>
          <cell r="BL52">
            <v>0</v>
          </cell>
          <cell r="BM52">
            <v>0</v>
          </cell>
          <cell r="BN52">
            <v>36.880000000000003</v>
          </cell>
          <cell r="BO52">
            <v>0</v>
          </cell>
          <cell r="BP52">
            <v>0</v>
          </cell>
          <cell r="BQ52">
            <v>2091.1</v>
          </cell>
          <cell r="BR52">
            <v>2091.1</v>
          </cell>
          <cell r="BS52">
            <v>2583.21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CB52">
            <v>4674.3099999999995</v>
          </cell>
          <cell r="CD52">
            <v>2323.44</v>
          </cell>
          <cell r="CE52">
            <v>2323.44</v>
          </cell>
          <cell r="CF52" t="str">
            <v>NÃO</v>
          </cell>
        </row>
        <row r="53">
          <cell r="D53" t="str">
            <v>3327/11</v>
          </cell>
          <cell r="E53">
            <v>41000</v>
          </cell>
          <cell r="F53">
            <v>41012</v>
          </cell>
          <cell r="G53" t="str">
            <v>FLEEJET TRANSPORTES LTDA</v>
          </cell>
          <cell r="H53" t="str">
            <v>EDGAR LEITE DE FREITAS</v>
          </cell>
          <cell r="I53" t="str">
            <v>NORMAL</v>
          </cell>
          <cell r="J53">
            <v>1</v>
          </cell>
          <cell r="K53">
            <v>9</v>
          </cell>
          <cell r="L53">
            <v>9</v>
          </cell>
          <cell r="M53">
            <v>9</v>
          </cell>
          <cell r="N53">
            <v>98604</v>
          </cell>
          <cell r="R53">
            <v>98604</v>
          </cell>
          <cell r="AA53">
            <v>0</v>
          </cell>
          <cell r="AC53">
            <v>0</v>
          </cell>
          <cell r="AE53">
            <v>0</v>
          </cell>
          <cell r="AF53">
            <v>0</v>
          </cell>
          <cell r="AI53">
            <v>0</v>
          </cell>
          <cell r="AK53">
            <v>0</v>
          </cell>
          <cell r="AM53">
            <v>0</v>
          </cell>
          <cell r="AN53">
            <v>0</v>
          </cell>
          <cell r="AP53">
            <v>9</v>
          </cell>
          <cell r="AQ53">
            <v>13</v>
          </cell>
          <cell r="AR53">
            <v>13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Z53">
            <v>2002</v>
          </cell>
          <cell r="BA53">
            <v>25</v>
          </cell>
          <cell r="BB53">
            <v>23</v>
          </cell>
          <cell r="BC53">
            <v>0.25</v>
          </cell>
          <cell r="BD53">
            <v>36.880000000000003</v>
          </cell>
          <cell r="BE53">
            <v>2855.3</v>
          </cell>
          <cell r="BF53">
            <v>0</v>
          </cell>
          <cell r="BG53">
            <v>0</v>
          </cell>
          <cell r="BH53">
            <v>36.880000000000003</v>
          </cell>
          <cell r="BI53">
            <v>0</v>
          </cell>
          <cell r="BJ53">
            <v>0</v>
          </cell>
          <cell r="BK53">
            <v>36.880000000000003</v>
          </cell>
          <cell r="BL53">
            <v>0</v>
          </cell>
          <cell r="BM53">
            <v>0</v>
          </cell>
          <cell r="BN53">
            <v>36.880000000000003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1237.2966666666669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CB53">
            <v>1237.2966666666669</v>
          </cell>
          <cell r="CD53">
            <v>2544.7199999999998</v>
          </cell>
          <cell r="CE53">
            <v>1102.712</v>
          </cell>
          <cell r="CF53" t="str">
            <v>NÃO</v>
          </cell>
        </row>
        <row r="54">
          <cell r="D54" t="str">
            <v>1438/12</v>
          </cell>
          <cell r="E54">
            <v>41015</v>
          </cell>
          <cell r="F54">
            <v>41029</v>
          </cell>
          <cell r="G54" t="str">
            <v>FLEEJET TRANSPORTES LTDA</v>
          </cell>
          <cell r="H54" t="str">
            <v>EDGAR LEITE DE FREITAS</v>
          </cell>
          <cell r="I54" t="str">
            <v>NORMAL</v>
          </cell>
          <cell r="J54">
            <v>0</v>
          </cell>
          <cell r="K54">
            <v>11</v>
          </cell>
          <cell r="L54">
            <v>11</v>
          </cell>
          <cell r="M54">
            <v>11</v>
          </cell>
          <cell r="N54">
            <v>98604</v>
          </cell>
          <cell r="R54">
            <v>98604</v>
          </cell>
          <cell r="AA54">
            <v>0</v>
          </cell>
          <cell r="AC54">
            <v>0</v>
          </cell>
          <cell r="AE54">
            <v>0</v>
          </cell>
          <cell r="AF54">
            <v>0</v>
          </cell>
          <cell r="AI54">
            <v>0</v>
          </cell>
          <cell r="AK54">
            <v>0</v>
          </cell>
          <cell r="AM54">
            <v>0</v>
          </cell>
          <cell r="AN54">
            <v>0</v>
          </cell>
          <cell r="AP54">
            <v>11</v>
          </cell>
          <cell r="AQ54">
            <v>15</v>
          </cell>
          <cell r="AR54">
            <v>15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Z54">
            <v>2002</v>
          </cell>
          <cell r="BA54">
            <v>25</v>
          </cell>
          <cell r="BB54">
            <v>23</v>
          </cell>
          <cell r="BC54">
            <v>0.25</v>
          </cell>
          <cell r="BD54">
            <v>36.880000000000003</v>
          </cell>
          <cell r="BE54">
            <v>2855.3</v>
          </cell>
          <cell r="BF54">
            <v>0</v>
          </cell>
          <cell r="BG54">
            <v>0</v>
          </cell>
          <cell r="BH54">
            <v>36.880000000000003</v>
          </cell>
          <cell r="BI54">
            <v>0</v>
          </cell>
          <cell r="BJ54">
            <v>0</v>
          </cell>
          <cell r="BK54">
            <v>36.880000000000003</v>
          </cell>
          <cell r="BL54">
            <v>0</v>
          </cell>
          <cell r="BM54">
            <v>0</v>
          </cell>
          <cell r="BN54">
            <v>36.880000000000003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1427.65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CB54">
            <v>1427.65</v>
          </cell>
          <cell r="CD54">
            <v>2544.7199999999998</v>
          </cell>
          <cell r="CE54">
            <v>1272.3599999999999</v>
          </cell>
          <cell r="CF54" t="str">
            <v>NÃO</v>
          </cell>
        </row>
        <row r="55">
          <cell r="D55" t="str">
            <v>3129/11</v>
          </cell>
          <cell r="E55">
            <v>41000</v>
          </cell>
          <cell r="F55">
            <v>41012</v>
          </cell>
          <cell r="G55" t="str">
            <v>FOX TRANSPORTES ESCOLARES S/C LTDA ME</v>
          </cell>
          <cell r="H55" t="str">
            <v>CARMEN RODRIGUES GONZALEZ</v>
          </cell>
          <cell r="I55" t="str">
            <v>ESPECIAL</v>
          </cell>
          <cell r="J55">
            <v>1</v>
          </cell>
          <cell r="K55">
            <v>9</v>
          </cell>
          <cell r="L55">
            <v>9</v>
          </cell>
          <cell r="M55">
            <v>9</v>
          </cell>
          <cell r="R55">
            <v>91812</v>
          </cell>
          <cell r="AA55">
            <v>0</v>
          </cell>
          <cell r="AC55">
            <v>0</v>
          </cell>
          <cell r="AE55">
            <v>0</v>
          </cell>
          <cell r="AF55">
            <v>0</v>
          </cell>
          <cell r="AI55">
            <v>0</v>
          </cell>
          <cell r="AK55">
            <v>0</v>
          </cell>
          <cell r="AM55">
            <v>0</v>
          </cell>
          <cell r="AN55">
            <v>0</v>
          </cell>
          <cell r="AP55">
            <v>9</v>
          </cell>
          <cell r="AQ55">
            <v>13</v>
          </cell>
          <cell r="AR55">
            <v>13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Z55">
            <v>2009</v>
          </cell>
          <cell r="BA55">
            <v>19</v>
          </cell>
          <cell r="BB55">
            <v>17</v>
          </cell>
          <cell r="BC55">
            <v>0.25</v>
          </cell>
          <cell r="BD55">
            <v>36.880000000000003</v>
          </cell>
          <cell r="BE55">
            <v>2515.52</v>
          </cell>
          <cell r="BF55">
            <v>0</v>
          </cell>
          <cell r="BG55">
            <v>2323.44</v>
          </cell>
          <cell r="BH55">
            <v>36.880000000000003</v>
          </cell>
          <cell r="BI55">
            <v>0</v>
          </cell>
          <cell r="BJ55">
            <v>0</v>
          </cell>
          <cell r="BK55">
            <v>36.880000000000003</v>
          </cell>
          <cell r="BL55">
            <v>0</v>
          </cell>
          <cell r="BM55">
            <v>0</v>
          </cell>
          <cell r="BN55">
            <v>36.880000000000003</v>
          </cell>
          <cell r="BO55">
            <v>0</v>
          </cell>
          <cell r="BP55">
            <v>0</v>
          </cell>
          <cell r="BQ55">
            <v>1006.8240000000001</v>
          </cell>
          <cell r="BR55">
            <v>1006.8240000000001</v>
          </cell>
          <cell r="BS55">
            <v>1090.0586666666668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CB55">
            <v>2096.8826666666669</v>
          </cell>
          <cell r="CD55">
            <v>2323.44</v>
          </cell>
          <cell r="CE55">
            <v>1006.8240000000001</v>
          </cell>
          <cell r="CF55" t="str">
            <v>NÃO</v>
          </cell>
        </row>
        <row r="56">
          <cell r="D56" t="str">
            <v>1432/12</v>
          </cell>
          <cell r="E56">
            <v>41015</v>
          </cell>
          <cell r="F56">
            <v>41029</v>
          </cell>
          <cell r="G56" t="str">
            <v>FOX TRANSPORTES ESCOLARES S/C LTDA ME</v>
          </cell>
          <cell r="H56" t="str">
            <v>CARMEN RODRIGUES GONZALEZ</v>
          </cell>
          <cell r="I56" t="str">
            <v>ESPECIAL</v>
          </cell>
          <cell r="J56">
            <v>0</v>
          </cell>
          <cell r="K56">
            <v>11</v>
          </cell>
          <cell r="L56">
            <v>11</v>
          </cell>
          <cell r="M56">
            <v>11</v>
          </cell>
          <cell r="R56">
            <v>91812</v>
          </cell>
          <cell r="AA56">
            <v>0</v>
          </cell>
          <cell r="AC56">
            <v>0</v>
          </cell>
          <cell r="AE56">
            <v>0</v>
          </cell>
          <cell r="AF56">
            <v>0</v>
          </cell>
          <cell r="AI56">
            <v>0</v>
          </cell>
          <cell r="AK56">
            <v>0</v>
          </cell>
          <cell r="AM56">
            <v>0</v>
          </cell>
          <cell r="AN56">
            <v>0</v>
          </cell>
          <cell r="AP56">
            <v>11</v>
          </cell>
          <cell r="AQ56">
            <v>15</v>
          </cell>
          <cell r="AR56">
            <v>15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Z56">
            <v>2009</v>
          </cell>
          <cell r="BA56">
            <v>19</v>
          </cell>
          <cell r="BB56">
            <v>17</v>
          </cell>
          <cell r="BC56">
            <v>0.25</v>
          </cell>
          <cell r="BD56">
            <v>36.880000000000003</v>
          </cell>
          <cell r="BE56">
            <v>2515.52</v>
          </cell>
          <cell r="BF56">
            <v>0</v>
          </cell>
          <cell r="BG56">
            <v>2323.44</v>
          </cell>
          <cell r="BH56">
            <v>36.880000000000003</v>
          </cell>
          <cell r="BI56">
            <v>0</v>
          </cell>
          <cell r="BJ56">
            <v>0</v>
          </cell>
          <cell r="BK56">
            <v>36.880000000000003</v>
          </cell>
          <cell r="BL56">
            <v>0</v>
          </cell>
          <cell r="BM56">
            <v>0</v>
          </cell>
          <cell r="BN56">
            <v>36.880000000000003</v>
          </cell>
          <cell r="BO56">
            <v>0</v>
          </cell>
          <cell r="BP56">
            <v>0</v>
          </cell>
          <cell r="BQ56">
            <v>1161.72</v>
          </cell>
          <cell r="BR56">
            <v>1161.72</v>
          </cell>
          <cell r="BS56">
            <v>1257.76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CB56">
            <v>2419.48</v>
          </cell>
          <cell r="CD56">
            <v>2323.44</v>
          </cell>
          <cell r="CE56">
            <v>1161.72</v>
          </cell>
          <cell r="CF56" t="str">
            <v>NÃO</v>
          </cell>
        </row>
        <row r="57">
          <cell r="D57" t="str">
            <v>0923/12</v>
          </cell>
          <cell r="E57">
            <v>41000</v>
          </cell>
          <cell r="F57">
            <v>41024</v>
          </cell>
          <cell r="G57" t="str">
            <v>IVONE RODRIGUES FREDERICO TRANSPORTES ME</v>
          </cell>
          <cell r="H57" t="str">
            <v>WALTER FONTANA</v>
          </cell>
          <cell r="I57" t="str">
            <v>NORMAL</v>
          </cell>
          <cell r="J57">
            <v>1</v>
          </cell>
          <cell r="K57">
            <v>17</v>
          </cell>
          <cell r="L57">
            <v>17</v>
          </cell>
          <cell r="M57">
            <v>17</v>
          </cell>
          <cell r="N57">
            <v>91910</v>
          </cell>
          <cell r="R57">
            <v>91910</v>
          </cell>
          <cell r="AA57">
            <v>0</v>
          </cell>
          <cell r="AC57">
            <v>0</v>
          </cell>
          <cell r="AE57">
            <v>0</v>
          </cell>
          <cell r="AF57">
            <v>0</v>
          </cell>
          <cell r="AI57">
            <v>0</v>
          </cell>
          <cell r="AK57">
            <v>0</v>
          </cell>
          <cell r="AM57">
            <v>0</v>
          </cell>
          <cell r="AN57">
            <v>0</v>
          </cell>
          <cell r="AP57">
            <v>17</v>
          </cell>
          <cell r="AQ57">
            <v>25</v>
          </cell>
          <cell r="AR57">
            <v>25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Z57">
            <v>2010</v>
          </cell>
          <cell r="BA57">
            <v>15</v>
          </cell>
          <cell r="BB57">
            <v>13</v>
          </cell>
          <cell r="BC57">
            <v>0.25</v>
          </cell>
          <cell r="BD57">
            <v>36.880000000000003</v>
          </cell>
          <cell r="BE57">
            <v>2583.21</v>
          </cell>
          <cell r="BF57">
            <v>0</v>
          </cell>
          <cell r="BG57">
            <v>0</v>
          </cell>
          <cell r="BH57">
            <v>36.880000000000003</v>
          </cell>
          <cell r="BI57">
            <v>0</v>
          </cell>
          <cell r="BJ57">
            <v>0</v>
          </cell>
          <cell r="BK57">
            <v>36.880000000000003</v>
          </cell>
          <cell r="BL57">
            <v>0</v>
          </cell>
          <cell r="BM57">
            <v>0</v>
          </cell>
          <cell r="BN57">
            <v>36.880000000000003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2152.6750000000002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CB57">
            <v>2152.6750000000002</v>
          </cell>
          <cell r="CD57">
            <v>1770.24</v>
          </cell>
          <cell r="CE57">
            <v>1475.2</v>
          </cell>
          <cell r="CF57" t="str">
            <v>NÃO</v>
          </cell>
        </row>
        <row r="58">
          <cell r="D58" t="str">
            <v>0923/12</v>
          </cell>
          <cell r="E58">
            <v>41025</v>
          </cell>
          <cell r="F58">
            <v>41029</v>
          </cell>
          <cell r="G58" t="str">
            <v>IVONE RODRIGUES FREDERICO TRANSPORTES ME</v>
          </cell>
          <cell r="H58" t="str">
            <v>ATHUR IVAN PEREIRA CLEMENTINO DA SILVA</v>
          </cell>
          <cell r="I58" t="str">
            <v>NORMAL</v>
          </cell>
          <cell r="J58">
            <v>1</v>
          </cell>
          <cell r="K58">
            <v>3</v>
          </cell>
          <cell r="L58">
            <v>3</v>
          </cell>
          <cell r="M58">
            <v>3</v>
          </cell>
          <cell r="N58">
            <v>91910</v>
          </cell>
          <cell r="R58">
            <v>91910</v>
          </cell>
          <cell r="AA58">
            <v>0</v>
          </cell>
          <cell r="AC58">
            <v>0</v>
          </cell>
          <cell r="AE58">
            <v>0</v>
          </cell>
          <cell r="AF58">
            <v>0</v>
          </cell>
          <cell r="AI58">
            <v>0</v>
          </cell>
          <cell r="AK58">
            <v>0</v>
          </cell>
          <cell r="AM58">
            <v>0</v>
          </cell>
          <cell r="AN58">
            <v>0</v>
          </cell>
          <cell r="AP58">
            <v>3</v>
          </cell>
          <cell r="AQ58">
            <v>5</v>
          </cell>
          <cell r="AR58">
            <v>5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Z58">
            <v>2010</v>
          </cell>
          <cell r="BA58">
            <v>15</v>
          </cell>
          <cell r="BB58">
            <v>13</v>
          </cell>
          <cell r="BC58">
            <v>0.25</v>
          </cell>
          <cell r="BD58">
            <v>36.880000000000003</v>
          </cell>
          <cell r="BE58">
            <v>2583.21</v>
          </cell>
          <cell r="BF58">
            <v>0</v>
          </cell>
          <cell r="BG58">
            <v>0</v>
          </cell>
          <cell r="BH58">
            <v>36.880000000000003</v>
          </cell>
          <cell r="BI58">
            <v>0</v>
          </cell>
          <cell r="BJ58">
            <v>0</v>
          </cell>
          <cell r="BK58">
            <v>36.880000000000003</v>
          </cell>
          <cell r="BL58">
            <v>0</v>
          </cell>
          <cell r="BM58">
            <v>0</v>
          </cell>
          <cell r="BN58">
            <v>36.880000000000003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430.53499999999997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CB58">
            <v>430.53499999999997</v>
          </cell>
          <cell r="CD58">
            <v>1770.24</v>
          </cell>
          <cell r="CE58">
            <v>295.04000000000002</v>
          </cell>
          <cell r="CF58" t="str">
            <v>NÃO</v>
          </cell>
        </row>
        <row r="59">
          <cell r="D59" t="str">
            <v>0923/12</v>
          </cell>
          <cell r="E59">
            <v>41000</v>
          </cell>
          <cell r="F59">
            <v>41029</v>
          </cell>
          <cell r="G59" t="str">
            <v>IVONE RODRIGUES FREDERICO TRANSPORTES ME</v>
          </cell>
          <cell r="H59" t="str">
            <v>GILBERTO LACERDA MILITÃO</v>
          </cell>
          <cell r="I59" t="str">
            <v>NORMAL</v>
          </cell>
          <cell r="J59">
            <v>1</v>
          </cell>
          <cell r="K59">
            <v>20</v>
          </cell>
          <cell r="L59">
            <v>20</v>
          </cell>
          <cell r="M59">
            <v>20</v>
          </cell>
          <cell r="N59">
            <v>91898</v>
          </cell>
          <cell r="AA59">
            <v>0</v>
          </cell>
          <cell r="AC59">
            <v>0</v>
          </cell>
          <cell r="AE59">
            <v>0</v>
          </cell>
          <cell r="AF59">
            <v>0</v>
          </cell>
          <cell r="AI59">
            <v>0</v>
          </cell>
          <cell r="AK59">
            <v>0</v>
          </cell>
          <cell r="AM59">
            <v>0</v>
          </cell>
          <cell r="AN59">
            <v>0</v>
          </cell>
          <cell r="AP59">
            <v>20</v>
          </cell>
          <cell r="AQ59">
            <v>30</v>
          </cell>
          <cell r="AR59">
            <v>30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Z59">
            <v>2010</v>
          </cell>
          <cell r="BA59">
            <v>19</v>
          </cell>
          <cell r="BB59">
            <v>17</v>
          </cell>
          <cell r="BC59">
            <v>0.25</v>
          </cell>
          <cell r="BD59">
            <v>36.880000000000003</v>
          </cell>
          <cell r="BE59">
            <v>2583.21</v>
          </cell>
          <cell r="BF59">
            <v>0</v>
          </cell>
          <cell r="BG59">
            <v>0</v>
          </cell>
          <cell r="BH59">
            <v>36.880000000000003</v>
          </cell>
          <cell r="BI59">
            <v>0</v>
          </cell>
          <cell r="BJ59">
            <v>0</v>
          </cell>
          <cell r="BK59">
            <v>36.880000000000003</v>
          </cell>
          <cell r="BL59">
            <v>0</v>
          </cell>
          <cell r="BM59">
            <v>0</v>
          </cell>
          <cell r="BN59">
            <v>36.880000000000003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2583.21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CB59">
            <v>2583.21</v>
          </cell>
          <cell r="CD59">
            <v>2323.44</v>
          </cell>
          <cell r="CE59">
            <v>2323.44</v>
          </cell>
          <cell r="CF59" t="str">
            <v>NÃO</v>
          </cell>
        </row>
        <row r="60">
          <cell r="D60" t="str">
            <v>0940/12</v>
          </cell>
          <cell r="E60">
            <v>41000</v>
          </cell>
          <cell r="F60">
            <v>41029</v>
          </cell>
          <cell r="G60" t="str">
            <v>NILZA MARIA FERREIRA ME</v>
          </cell>
          <cell r="H60" t="str">
            <v xml:space="preserve">THAISE CARREIRA </v>
          </cell>
          <cell r="I60" t="str">
            <v>ESPECIAL</v>
          </cell>
          <cell r="J60">
            <v>1</v>
          </cell>
          <cell r="K60">
            <v>20</v>
          </cell>
          <cell r="L60">
            <v>20</v>
          </cell>
          <cell r="M60">
            <v>20</v>
          </cell>
          <cell r="N60">
            <v>95419</v>
          </cell>
          <cell r="R60">
            <v>95419</v>
          </cell>
          <cell r="V60">
            <v>95419</v>
          </cell>
          <cell r="AA60">
            <v>0</v>
          </cell>
          <cell r="AC60">
            <v>0</v>
          </cell>
          <cell r="AE60">
            <v>0</v>
          </cell>
          <cell r="AF60">
            <v>0</v>
          </cell>
          <cell r="AI60">
            <v>0</v>
          </cell>
          <cell r="AK60">
            <v>0</v>
          </cell>
          <cell r="AM60">
            <v>0</v>
          </cell>
          <cell r="AN60">
            <v>0</v>
          </cell>
          <cell r="AP60">
            <v>20</v>
          </cell>
          <cell r="AQ60">
            <v>30</v>
          </cell>
          <cell r="AR60">
            <v>30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Z60">
            <v>2010</v>
          </cell>
          <cell r="BA60">
            <v>19</v>
          </cell>
          <cell r="BB60">
            <v>18</v>
          </cell>
          <cell r="BC60">
            <v>0.25</v>
          </cell>
          <cell r="BD60">
            <v>36.880000000000003</v>
          </cell>
          <cell r="BE60">
            <v>2583.21</v>
          </cell>
          <cell r="BF60">
            <v>0</v>
          </cell>
          <cell r="BG60">
            <v>2323.44</v>
          </cell>
          <cell r="BH60">
            <v>36.880000000000003</v>
          </cell>
          <cell r="BI60">
            <v>0</v>
          </cell>
          <cell r="BJ60">
            <v>0</v>
          </cell>
          <cell r="BK60">
            <v>36.880000000000003</v>
          </cell>
          <cell r="BL60">
            <v>0</v>
          </cell>
          <cell r="BM60">
            <v>0</v>
          </cell>
          <cell r="BN60">
            <v>36.880000000000003</v>
          </cell>
          <cell r="BO60">
            <v>0</v>
          </cell>
          <cell r="BP60">
            <v>0</v>
          </cell>
          <cell r="BQ60">
            <v>2323.44</v>
          </cell>
          <cell r="BR60">
            <v>2323.44</v>
          </cell>
          <cell r="BS60">
            <v>2583.21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CB60">
            <v>4906.6499999999996</v>
          </cell>
          <cell r="CD60">
            <v>2323.44</v>
          </cell>
          <cell r="CE60">
            <v>2323.44</v>
          </cell>
          <cell r="CF60" t="str">
            <v>NÃO</v>
          </cell>
        </row>
        <row r="61">
          <cell r="D61" t="str">
            <v>0940/12</v>
          </cell>
          <cell r="E61">
            <v>41000</v>
          </cell>
          <cell r="F61">
            <v>41029</v>
          </cell>
          <cell r="G61" t="str">
            <v>NILZA MARIA FERREIRA ME</v>
          </cell>
          <cell r="H61" t="str">
            <v>RICARDO DE SOUZA SILVA</v>
          </cell>
          <cell r="I61" t="str">
            <v>ADAPTADO</v>
          </cell>
          <cell r="J61">
            <v>1</v>
          </cell>
          <cell r="K61">
            <v>20</v>
          </cell>
          <cell r="L61">
            <v>20</v>
          </cell>
          <cell r="M61">
            <v>20</v>
          </cell>
          <cell r="N61">
            <v>95419</v>
          </cell>
          <cell r="R61">
            <v>95419</v>
          </cell>
          <cell r="V61">
            <v>95419</v>
          </cell>
          <cell r="AA61">
            <v>0</v>
          </cell>
          <cell r="AC61">
            <v>0</v>
          </cell>
          <cell r="AE61">
            <v>0</v>
          </cell>
          <cell r="AF61">
            <v>0</v>
          </cell>
          <cell r="AI61">
            <v>0</v>
          </cell>
          <cell r="AK61">
            <v>0</v>
          </cell>
          <cell r="AM61">
            <v>0</v>
          </cell>
          <cell r="AN61">
            <v>0</v>
          </cell>
          <cell r="AP61">
            <v>20</v>
          </cell>
          <cell r="AQ61">
            <v>30</v>
          </cell>
          <cell r="AR61">
            <v>30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Z61">
            <v>2010</v>
          </cell>
          <cell r="BA61">
            <v>10</v>
          </cell>
          <cell r="BB61">
            <v>9</v>
          </cell>
          <cell r="BC61">
            <v>0.25</v>
          </cell>
          <cell r="BD61">
            <v>36.880000000000003</v>
          </cell>
          <cell r="BE61">
            <v>3727.1</v>
          </cell>
          <cell r="BF61">
            <v>0</v>
          </cell>
          <cell r="BG61">
            <v>0</v>
          </cell>
          <cell r="BH61">
            <v>36.880000000000003</v>
          </cell>
          <cell r="BI61">
            <v>0</v>
          </cell>
          <cell r="BJ61">
            <v>0</v>
          </cell>
          <cell r="BK61">
            <v>36.880000000000003</v>
          </cell>
          <cell r="BL61">
            <v>0</v>
          </cell>
          <cell r="BM61">
            <v>0</v>
          </cell>
          <cell r="BN61">
            <v>36.880000000000003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3727.1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CB61">
            <v>3727.1</v>
          </cell>
          <cell r="CD61">
            <v>1770.24</v>
          </cell>
          <cell r="CE61">
            <v>1770.24</v>
          </cell>
          <cell r="CF61" t="str">
            <v>SIM</v>
          </cell>
        </row>
        <row r="62">
          <cell r="D62" t="str">
            <v>3143/11</v>
          </cell>
          <cell r="E62">
            <v>41000</v>
          </cell>
          <cell r="F62">
            <v>41026</v>
          </cell>
          <cell r="G62" t="str">
            <v>QUALI SERVICE TRANSPORTES LTDA - ME</v>
          </cell>
          <cell r="H62" t="str">
            <v>RONALD ALVES FERREIRA</v>
          </cell>
          <cell r="I62" t="str">
            <v>ADAPTADO</v>
          </cell>
          <cell r="J62">
            <v>1</v>
          </cell>
          <cell r="K62">
            <v>19</v>
          </cell>
          <cell r="L62">
            <v>19</v>
          </cell>
          <cell r="M62">
            <v>19</v>
          </cell>
          <cell r="N62">
            <v>95371</v>
          </cell>
          <cell r="R62">
            <v>95401</v>
          </cell>
          <cell r="V62">
            <v>95371</v>
          </cell>
          <cell r="AA62">
            <v>0</v>
          </cell>
          <cell r="AC62">
            <v>0</v>
          </cell>
          <cell r="AE62">
            <v>0</v>
          </cell>
          <cell r="AF62">
            <v>0</v>
          </cell>
          <cell r="AI62">
            <v>0</v>
          </cell>
          <cell r="AK62">
            <v>0</v>
          </cell>
          <cell r="AM62">
            <v>0</v>
          </cell>
          <cell r="AN62">
            <v>0</v>
          </cell>
          <cell r="AP62">
            <v>19</v>
          </cell>
          <cell r="AQ62">
            <v>27</v>
          </cell>
          <cell r="AR62">
            <v>27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Z62">
            <v>2009</v>
          </cell>
          <cell r="BA62">
            <v>11</v>
          </cell>
          <cell r="BB62">
            <v>9</v>
          </cell>
          <cell r="BC62">
            <v>0.25</v>
          </cell>
          <cell r="BD62">
            <v>36.880000000000003</v>
          </cell>
          <cell r="BE62">
            <v>3618.12</v>
          </cell>
          <cell r="BF62">
            <v>0</v>
          </cell>
          <cell r="BG62">
            <v>0</v>
          </cell>
          <cell r="BH62">
            <v>36.880000000000003</v>
          </cell>
          <cell r="BI62">
            <v>0</v>
          </cell>
          <cell r="BJ62">
            <v>0</v>
          </cell>
          <cell r="BK62">
            <v>36.880000000000003</v>
          </cell>
          <cell r="BL62">
            <v>0</v>
          </cell>
          <cell r="BM62">
            <v>0</v>
          </cell>
          <cell r="BN62">
            <v>36.880000000000003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3256.308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CB62">
            <v>3256.308</v>
          </cell>
          <cell r="CD62">
            <v>1770.24</v>
          </cell>
          <cell r="CE62">
            <v>1593.2160000000001</v>
          </cell>
          <cell r="CF62" t="str">
            <v>SIM</v>
          </cell>
        </row>
        <row r="63">
          <cell r="D63" t="str">
            <v>0185/12</v>
          </cell>
          <cell r="E63">
            <v>41000</v>
          </cell>
          <cell r="F63">
            <v>41029</v>
          </cell>
          <cell r="G63" t="str">
            <v xml:space="preserve">TOFANO ME </v>
          </cell>
          <cell r="H63" t="str">
            <v>SALVADOR CANDIDO DA SILVA</v>
          </cell>
          <cell r="I63" t="str">
            <v>ESPECIAL MISTA</v>
          </cell>
          <cell r="J63">
            <v>1</v>
          </cell>
          <cell r="K63">
            <v>20</v>
          </cell>
          <cell r="L63">
            <v>20</v>
          </cell>
          <cell r="M63">
            <v>20</v>
          </cell>
          <cell r="N63">
            <v>91898</v>
          </cell>
          <cell r="R63">
            <v>60006</v>
          </cell>
          <cell r="AA63">
            <v>0</v>
          </cell>
          <cell r="AC63">
            <v>0</v>
          </cell>
          <cell r="AE63">
            <v>0</v>
          </cell>
          <cell r="AF63">
            <v>0</v>
          </cell>
          <cell r="AI63">
            <v>0</v>
          </cell>
          <cell r="AK63">
            <v>0</v>
          </cell>
          <cell r="AM63">
            <v>0</v>
          </cell>
          <cell r="AN63">
            <v>0</v>
          </cell>
          <cell r="AP63">
            <v>20</v>
          </cell>
          <cell r="AQ63">
            <v>30</v>
          </cell>
          <cell r="AR63">
            <v>30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Z63">
            <v>2010</v>
          </cell>
          <cell r="BA63">
            <v>19</v>
          </cell>
          <cell r="BB63">
            <v>18</v>
          </cell>
          <cell r="BC63">
            <v>0.25</v>
          </cell>
          <cell r="BD63">
            <v>36.880000000000003</v>
          </cell>
          <cell r="BE63">
            <v>2583.21</v>
          </cell>
          <cell r="BF63">
            <v>0</v>
          </cell>
          <cell r="BG63">
            <v>0</v>
          </cell>
          <cell r="BH63">
            <v>36.880000000000003</v>
          </cell>
          <cell r="BI63">
            <v>0</v>
          </cell>
          <cell r="BJ63">
            <v>0</v>
          </cell>
          <cell r="BK63">
            <v>613.39</v>
          </cell>
          <cell r="BL63">
            <v>0</v>
          </cell>
          <cell r="BM63">
            <v>613.39</v>
          </cell>
          <cell r="BN63">
            <v>36.880000000000003</v>
          </cell>
          <cell r="BO63">
            <v>0</v>
          </cell>
          <cell r="BP63">
            <v>0</v>
          </cell>
          <cell r="BQ63">
            <v>613.39</v>
          </cell>
          <cell r="BR63">
            <v>613.39</v>
          </cell>
          <cell r="BS63">
            <v>2583.21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CB63">
            <v>3196.6</v>
          </cell>
          <cell r="CD63">
            <v>2323.44</v>
          </cell>
          <cell r="CE63">
            <v>2323.44</v>
          </cell>
          <cell r="CF63" t="str">
            <v>NÃO</v>
          </cell>
        </row>
        <row r="66">
          <cell r="G66" t="str">
            <v>Número de condutores que efetuaram transporte no período ==&gt;</v>
          </cell>
          <cell r="J66">
            <v>41</v>
          </cell>
        </row>
        <row r="67">
          <cell r="I67" t="str">
            <v>BT</v>
          </cell>
          <cell r="J67">
            <v>0</v>
          </cell>
          <cell r="AQ67" t="str">
            <v>TOTAIS DA DRE =&gt;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CB67">
            <v>132330.73799999998</v>
          </cell>
        </row>
        <row r="68">
          <cell r="I68" t="str">
            <v>CL</v>
          </cell>
          <cell r="J68">
            <v>0</v>
          </cell>
          <cell r="AS68" t="str">
            <v>TOTAL Km/dia</v>
          </cell>
          <cell r="AT68" t="str">
            <v>TOTAL Não Cad/dia</v>
          </cell>
          <cell r="AU68" t="str">
            <v>TOTAL Cad/dia</v>
          </cell>
          <cell r="AV68" t="str">
            <v>TOTAL GERAL Cças/dia</v>
          </cell>
          <cell r="AW68" t="str">
            <v>TOTAL Km/Mês</v>
          </cell>
        </row>
        <row r="69">
          <cell r="I69" t="str">
            <v>CS</v>
          </cell>
          <cell r="J69">
            <v>0</v>
          </cell>
        </row>
        <row r="70">
          <cell r="I70" t="str">
            <v>FO</v>
          </cell>
          <cell r="J70">
            <v>0</v>
          </cell>
        </row>
        <row r="71">
          <cell r="I71" t="str">
            <v>G</v>
          </cell>
          <cell r="J71">
            <v>0</v>
          </cell>
          <cell r="AR71" t="str">
            <v>BT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</row>
        <row r="72">
          <cell r="I72" t="str">
            <v>IP</v>
          </cell>
          <cell r="J72">
            <v>0</v>
          </cell>
          <cell r="AR72" t="str">
            <v>CL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</row>
        <row r="73">
          <cell r="I73" t="str">
            <v>IQ</v>
          </cell>
          <cell r="J73">
            <v>0</v>
          </cell>
          <cell r="AR73" t="str">
            <v>CS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</row>
        <row r="74">
          <cell r="I74" t="str">
            <v>JT</v>
          </cell>
          <cell r="J74">
            <v>0</v>
          </cell>
          <cell r="AR74" t="str">
            <v>FO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</row>
        <row r="75">
          <cell r="I75" t="str">
            <v>MP</v>
          </cell>
          <cell r="J75">
            <v>0</v>
          </cell>
          <cell r="AR75" t="str">
            <v>G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</row>
        <row r="76">
          <cell r="I76" t="str">
            <v>PE</v>
          </cell>
          <cell r="J76">
            <v>0</v>
          </cell>
          <cell r="AR76" t="str">
            <v>IP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</row>
        <row r="77">
          <cell r="I77" t="str">
            <v>PJ</v>
          </cell>
          <cell r="J77">
            <v>0</v>
          </cell>
          <cell r="AR77" t="str">
            <v>IQ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</row>
        <row r="78">
          <cell r="I78" t="str">
            <v xml:space="preserve">SA </v>
          </cell>
          <cell r="J78">
            <v>0</v>
          </cell>
          <cell r="AR78" t="str">
            <v>JT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</row>
        <row r="79">
          <cell r="I79" t="str">
            <v>SM</v>
          </cell>
          <cell r="J79">
            <v>0</v>
          </cell>
          <cell r="AR79" t="str">
            <v>MP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</row>
        <row r="80">
          <cell r="J80">
            <v>0</v>
          </cell>
          <cell r="AR80" t="str">
            <v>PE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</row>
        <row r="81">
          <cell r="J81">
            <v>0</v>
          </cell>
          <cell r="AR81" t="str">
            <v>PJ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</row>
        <row r="82">
          <cell r="AR82" t="str">
            <v xml:space="preserve">SA 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</row>
        <row r="83">
          <cell r="AR83" t="str">
            <v>SM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</row>
        <row r="84"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</row>
        <row r="85"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LIQUIDAÇÃO"/>
      <sheetName val="DEMO"/>
      <sheetName val="OBSERVAÇÕES"/>
      <sheetName val="CONT VENC."/>
      <sheetName val="CONTRATOS VENC."/>
      <sheetName val="LIQUIDAÇÃO (2)"/>
      <sheetName val="TABELA"/>
      <sheetName val="Pla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CALC AMPLIAR"/>
      <sheetName val="ATESTE-LIQ"/>
      <sheetName val="DEMO"/>
      <sheetName val="NF"/>
      <sheetName val="LIQUID SOF"/>
      <sheetName val="CALC REPOSIÇÃO AULA"/>
      <sheetName val="AUTORIZAÇÃO LIQ"/>
      <sheetName val="ATE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ATESTE"/>
      <sheetName val="DEMO"/>
      <sheetName val="TABELA"/>
      <sheetName val="NF"/>
      <sheetName val="RENOV"/>
      <sheetName val="DOIS EMP"/>
      <sheetName val="Plan4"/>
      <sheetName val="ateste-liq"/>
    </sheetNames>
    <sheetDataSet>
      <sheetData sheetId="0"/>
      <sheetData sheetId="1"/>
      <sheetData sheetId="2"/>
      <sheetData sheetId="3" refreshError="1">
        <row r="1">
          <cell r="A1" t="str">
            <v>Planilha de Compromisso a Pagar / Ateste / Liquidação - 2011 - PF</v>
          </cell>
        </row>
        <row r="4">
          <cell r="D4" t="str">
            <v xml:space="preserve">SECRETARIA MUNICIPAL DE TRANSPORTES </v>
          </cell>
        </row>
        <row r="5">
          <cell r="D5" t="str">
            <v>Departamento de Transportes Públicos</v>
          </cell>
        </row>
        <row r="6">
          <cell r="D6" t="str">
            <v>Programa Municipal de transporte Escolar Gratuito</v>
          </cell>
        </row>
        <row r="7">
          <cell r="D7" t="str">
            <v>CNPJ SMT      46.392.155/0001-11</v>
          </cell>
        </row>
        <row r="9">
          <cell r="A9" t="str">
            <v>Contrato</v>
          </cell>
          <cell r="B9" t="str">
            <v>Data Início Vigência</v>
          </cell>
          <cell r="C9" t="str">
            <v xml:space="preserve">P.A. </v>
          </cell>
          <cell r="D9" t="str">
            <v>CONTRATADO</v>
          </cell>
          <cell r="E9" t="str">
            <v>CPF</v>
          </cell>
          <cell r="F9" t="str">
            <v>Empenho</v>
          </cell>
          <cell r="G9" t="str">
            <v>Valor Bruto</v>
          </cell>
          <cell r="Z9" t="str">
            <v>DEZEMBRO</v>
          </cell>
        </row>
        <row r="11">
          <cell r="A11">
            <v>0</v>
          </cell>
          <cell r="B11" t="e">
            <v>#N/A</v>
          </cell>
          <cell r="C11" t="e">
            <v>#N/A</v>
          </cell>
          <cell r="F11" t="e">
            <v>#N/A</v>
          </cell>
          <cell r="Z11">
            <v>0</v>
          </cell>
        </row>
        <row r="12">
          <cell r="A12" t="str">
            <v>3199/11</v>
          </cell>
          <cell r="B12">
            <v>40854</v>
          </cell>
          <cell r="C12" t="str">
            <v>2011-0.293.283-0</v>
          </cell>
          <cell r="D12" t="str">
            <v>ADAIL JOSÉ GUIMARAES</v>
          </cell>
          <cell r="E12" t="str">
            <v>086.870.918-26</v>
          </cell>
          <cell r="F12">
            <v>16562</v>
          </cell>
          <cell r="G12">
            <v>3400.17</v>
          </cell>
          <cell r="Z12" t="str">
            <v>3199/11</v>
          </cell>
          <cell r="AA12">
            <v>3321.3082240000003</v>
          </cell>
          <cell r="AB12">
            <v>195.14435040000012</v>
          </cell>
        </row>
        <row r="13">
          <cell r="A13" t="str">
            <v>2288/11</v>
          </cell>
          <cell r="B13">
            <v>40812</v>
          </cell>
          <cell r="C13" t="str">
            <v>2011-0.227.297-0</v>
          </cell>
          <cell r="D13" t="str">
            <v>ADEILDO JOSÉ SOUZA DOS SANTOS</v>
          </cell>
          <cell r="E13" t="str">
            <v>012.606.358-30</v>
          </cell>
          <cell r="F13">
            <v>16360</v>
          </cell>
          <cell r="G13">
            <v>3400.17</v>
          </cell>
          <cell r="Z13" t="str">
            <v>2288/11</v>
          </cell>
          <cell r="AA13">
            <v>3245.5139279999999</v>
          </cell>
          <cell r="AB13">
            <v>180.02708919999992</v>
          </cell>
        </row>
        <row r="14">
          <cell r="A14" t="str">
            <v>2032/11</v>
          </cell>
          <cell r="B14">
            <v>40805</v>
          </cell>
          <cell r="C14" t="str">
            <v>2011-0.222.471-1</v>
          </cell>
          <cell r="D14" t="str">
            <v>ADEMICIO LINS DE ARAUJO</v>
          </cell>
          <cell r="E14" t="str">
            <v>430.773.744-04</v>
          </cell>
          <cell r="F14">
            <v>14673</v>
          </cell>
          <cell r="G14">
            <v>3727.1</v>
          </cell>
          <cell r="Z14" t="str">
            <v>2032/11</v>
          </cell>
          <cell r="AA14">
            <v>4188.6376839999994</v>
          </cell>
          <cell r="AB14">
            <v>395.34536309999999</v>
          </cell>
        </row>
        <row r="15">
          <cell r="A15" t="str">
            <v>2262/11</v>
          </cell>
          <cell r="B15">
            <v>40812</v>
          </cell>
          <cell r="C15" t="str">
            <v>2011-0.227.093-4</v>
          </cell>
          <cell r="D15" t="str">
            <v>ADENILDO FERREIRA RODRIGUES</v>
          </cell>
          <cell r="E15" t="str">
            <v>149.107.758-11</v>
          </cell>
          <cell r="F15">
            <v>16358</v>
          </cell>
          <cell r="G15">
            <v>3400.17</v>
          </cell>
          <cell r="Z15" t="str">
            <v>2262/11</v>
          </cell>
          <cell r="AA15">
            <v>2875.736116</v>
          </cell>
          <cell r="AB15">
            <v>124.56041740000001</v>
          </cell>
        </row>
        <row r="16">
          <cell r="A16" t="str">
            <v>2200/11</v>
          </cell>
          <cell r="B16">
            <v>40805</v>
          </cell>
          <cell r="C16" t="str">
            <v>2011-0.226.246-0</v>
          </cell>
          <cell r="D16" t="str">
            <v>AGNALDO MENDES DE LIMA</v>
          </cell>
          <cell r="E16" t="str">
            <v>147.581.818-10</v>
          </cell>
          <cell r="F16">
            <v>14768</v>
          </cell>
          <cell r="G16">
            <v>1770.89</v>
          </cell>
          <cell r="Z16" t="str">
            <v>2200/11</v>
          </cell>
          <cell r="AA16">
            <v>2245.523064</v>
          </cell>
          <cell r="AB16">
            <v>45.634229799999986</v>
          </cell>
        </row>
        <row r="17">
          <cell r="A17" t="str">
            <v>2033/11</v>
          </cell>
          <cell r="B17">
            <v>40805</v>
          </cell>
          <cell r="C17" t="str">
            <v>2011-0.222.475-4</v>
          </cell>
          <cell r="D17" t="str">
            <v>AILTON ANTONIO DO NASCIMENTO</v>
          </cell>
          <cell r="E17" t="str">
            <v>106.433.008-80</v>
          </cell>
          <cell r="F17">
            <v>16268</v>
          </cell>
          <cell r="G17">
            <v>3727.1</v>
          </cell>
          <cell r="Z17" t="str">
            <v>2033/11</v>
          </cell>
          <cell r="AA17">
            <v>3164.155804</v>
          </cell>
          <cell r="AB17">
            <v>167.82337059999998</v>
          </cell>
        </row>
        <row r="18">
          <cell r="A18" t="str">
            <v>2618/11</v>
          </cell>
          <cell r="B18">
            <v>40819</v>
          </cell>
          <cell r="C18" t="str">
            <v>2011-0.230.469-3</v>
          </cell>
          <cell r="D18" t="str">
            <v>AILTON RIBEIRO DE SOUZA</v>
          </cell>
          <cell r="E18" t="str">
            <v>164.166.088-04</v>
          </cell>
          <cell r="F18">
            <v>16485</v>
          </cell>
          <cell r="G18">
            <v>3400.17</v>
          </cell>
          <cell r="Z18" t="str">
            <v>2618/11</v>
          </cell>
          <cell r="AA18">
            <v>3602.8323719999994</v>
          </cell>
          <cell r="AB18">
            <v>258.48728369999992</v>
          </cell>
        </row>
        <row r="19">
          <cell r="A19" t="str">
            <v>2156/11</v>
          </cell>
          <cell r="B19">
            <v>40805</v>
          </cell>
          <cell r="C19" t="str">
            <v>2011-0.225.340-1</v>
          </cell>
          <cell r="D19" t="str">
            <v>AIRTON MOLINA GARCIA</v>
          </cell>
          <cell r="E19" t="str">
            <v>040.164.488-08</v>
          </cell>
          <cell r="F19">
            <v>14737</v>
          </cell>
          <cell r="G19">
            <v>3400.17</v>
          </cell>
          <cell r="Z19" t="str">
            <v>2156/11</v>
          </cell>
          <cell r="AA19">
            <v>3386.74476</v>
          </cell>
          <cell r="AB19">
            <v>209.867571</v>
          </cell>
        </row>
        <row r="20">
          <cell r="A20" t="str">
            <v>2157/11</v>
          </cell>
          <cell r="B20">
            <v>40805</v>
          </cell>
          <cell r="C20" t="str">
            <v>2011-0.225.341-0</v>
          </cell>
          <cell r="D20" t="str">
            <v>ALAN KARDEC DAMASCENO DE OLIVEIRA</v>
          </cell>
          <cell r="E20" t="str">
            <v>147.334.658-40</v>
          </cell>
          <cell r="F20">
            <v>16336</v>
          </cell>
          <cell r="G20">
            <v>3400.17</v>
          </cell>
          <cell r="Z20" t="str">
            <v>2157/11</v>
          </cell>
          <cell r="AA20">
            <v>3232.4407240000005</v>
          </cell>
          <cell r="AB20">
            <v>178.06610860000006</v>
          </cell>
        </row>
        <row r="21">
          <cell r="A21" t="str">
            <v>2553/11</v>
          </cell>
          <cell r="B21">
            <v>40819</v>
          </cell>
          <cell r="C21" t="str">
            <v>2011-0.230.257-7</v>
          </cell>
          <cell r="D21" t="str">
            <v>ALBERTINO SOUZA OLIVEIRA FILHO</v>
          </cell>
          <cell r="E21" t="str">
            <v>094.210.048-41</v>
          </cell>
          <cell r="F21">
            <v>16489</v>
          </cell>
          <cell r="G21">
            <v>2650.9</v>
          </cell>
          <cell r="Z21" t="str">
            <v>2553/11</v>
          </cell>
          <cell r="AA21">
            <v>2454.9833279999998</v>
          </cell>
          <cell r="AB21">
            <v>61.447499199999925</v>
          </cell>
        </row>
        <row r="22">
          <cell r="A22" t="str">
            <v>3320/11</v>
          </cell>
          <cell r="B22">
            <v>40875</v>
          </cell>
          <cell r="C22" t="str">
            <v>2011-0.293.261-9</v>
          </cell>
          <cell r="D22" t="str">
            <v>ALEX LUCIO DE FIGUEIREDO</v>
          </cell>
          <cell r="E22">
            <v>27333263843</v>
          </cell>
          <cell r="F22">
            <v>16587</v>
          </cell>
          <cell r="G22">
            <v>2297</v>
          </cell>
          <cell r="Z22" t="str">
            <v>3320/11</v>
          </cell>
          <cell r="AA22">
            <v>3794.4786759999997</v>
          </cell>
          <cell r="AB22">
            <v>301.60770209999998</v>
          </cell>
        </row>
        <row r="23">
          <cell r="A23" t="str">
            <v>1945/11</v>
          </cell>
          <cell r="B23">
            <v>40791</v>
          </cell>
          <cell r="C23" t="str">
            <v>2011-0.223.460-1</v>
          </cell>
          <cell r="D23" t="str">
            <v>ALEXANDRE HUGO DA SILVA</v>
          </cell>
          <cell r="E23" t="str">
            <v>259.913.008-52</v>
          </cell>
          <cell r="F23">
            <v>14644</v>
          </cell>
          <cell r="G23">
            <v>3291.19</v>
          </cell>
          <cell r="Z23" t="str">
            <v>1945/11</v>
          </cell>
          <cell r="AA23">
            <v>3231.1494720000001</v>
          </cell>
          <cell r="AB23">
            <v>177.87242079999999</v>
          </cell>
        </row>
        <row r="24">
          <cell r="A24" t="str">
            <v>2263/11</v>
          </cell>
          <cell r="B24">
            <v>40812</v>
          </cell>
          <cell r="C24" t="str">
            <v>2011-0.227.099-3</v>
          </cell>
          <cell r="D24" t="str">
            <v>ALEXANDRE VASCONCELOS CUNHA</v>
          </cell>
          <cell r="E24" t="str">
            <v>153.127.508-75</v>
          </cell>
          <cell r="F24">
            <v>14785</v>
          </cell>
          <cell r="G24">
            <v>3400.17</v>
          </cell>
          <cell r="Z24" t="str">
            <v>2263/11</v>
          </cell>
          <cell r="AA24">
            <v>3374.5004079999999</v>
          </cell>
          <cell r="AB24">
            <v>207.11259180000002</v>
          </cell>
        </row>
        <row r="25">
          <cell r="A25" t="str">
            <v>2070/11</v>
          </cell>
          <cell r="B25">
            <v>40805</v>
          </cell>
          <cell r="C25" t="str">
            <v>2011-0.224.192-6</v>
          </cell>
          <cell r="D25" t="str">
            <v>ALFREDO DOS SANTOS</v>
          </cell>
          <cell r="E25" t="str">
            <v>085.875.608-08</v>
          </cell>
          <cell r="F25">
            <v>16295</v>
          </cell>
          <cell r="G25">
            <v>3400.17</v>
          </cell>
          <cell r="Z25" t="str">
            <v>2070/11</v>
          </cell>
          <cell r="AA25">
            <v>2986.5294680000002</v>
          </cell>
          <cell r="AB25">
            <v>141.17942019999998</v>
          </cell>
        </row>
        <row r="26">
          <cell r="A26" t="str">
            <v>1771/11</v>
          </cell>
          <cell r="B26">
            <v>40784</v>
          </cell>
          <cell r="C26" t="str">
            <v>2011-0.200.702-8</v>
          </cell>
          <cell r="D26" t="str">
            <v>ALVARO XAVIER DE SOUZA</v>
          </cell>
          <cell r="E26" t="str">
            <v>947.086.658-49</v>
          </cell>
          <cell r="F26">
            <v>16196</v>
          </cell>
          <cell r="G26">
            <v>2720.136</v>
          </cell>
          <cell r="Z26" t="str">
            <v>1771/11</v>
          </cell>
          <cell r="AA26">
            <v>3503.538908</v>
          </cell>
          <cell r="AB26">
            <v>236.14625430000001</v>
          </cell>
        </row>
        <row r="27">
          <cell r="A27" t="str">
            <v>3063/11</v>
          </cell>
          <cell r="B27">
            <v>40847</v>
          </cell>
          <cell r="C27" t="str">
            <v>2011-0.260.349-6</v>
          </cell>
          <cell r="D27" t="str">
            <v>ALVIMAR BATISTA DE SOUSA</v>
          </cell>
          <cell r="E27" t="str">
            <v>022.029.148-97</v>
          </cell>
          <cell r="F27">
            <v>16278</v>
          </cell>
          <cell r="G27">
            <v>3400.17</v>
          </cell>
          <cell r="Z27" t="str">
            <v>3063/11</v>
          </cell>
          <cell r="AA27">
            <v>2981.4419119999998</v>
          </cell>
          <cell r="AB27">
            <v>140.41628679999997</v>
          </cell>
        </row>
        <row r="28">
          <cell r="A28" t="str">
            <v>2725/11</v>
          </cell>
          <cell r="B28">
            <v>40826</v>
          </cell>
          <cell r="C28" t="str">
            <v>2011-0.256.700-7</v>
          </cell>
          <cell r="D28" t="str">
            <v>AMILTON DONIZETI BATISTA</v>
          </cell>
          <cell r="E28" t="str">
            <v>104.804.358-47</v>
          </cell>
          <cell r="F28">
            <v>15050</v>
          </cell>
          <cell r="G28">
            <v>2583.21</v>
          </cell>
          <cell r="Z28" t="str">
            <v>2725/11</v>
          </cell>
          <cell r="AA28">
            <v>2523.944508</v>
          </cell>
          <cell r="AB28">
            <v>71.791676199999984</v>
          </cell>
        </row>
        <row r="29">
          <cell r="A29" t="str">
            <v>1814/11</v>
          </cell>
          <cell r="B29">
            <v>40784</v>
          </cell>
          <cell r="C29" t="str">
            <v>2011-0.201.752-0</v>
          </cell>
          <cell r="D29" t="str">
            <v>ANDRE PIERRI</v>
          </cell>
          <cell r="E29" t="str">
            <v>270.290.898-55</v>
          </cell>
          <cell r="F29">
            <v>14619</v>
          </cell>
          <cell r="G29">
            <v>2012.4160000000002</v>
          </cell>
          <cell r="Z29" t="str">
            <v>1814/11</v>
          </cell>
          <cell r="AA29">
            <v>2685.431928</v>
          </cell>
          <cell r="AB29">
            <v>96.014789199999996</v>
          </cell>
        </row>
        <row r="30">
          <cell r="A30" t="str">
            <v>2159/11</v>
          </cell>
          <cell r="B30">
            <v>40805</v>
          </cell>
          <cell r="C30" t="str">
            <v>2011-0.225.343-6</v>
          </cell>
          <cell r="D30" t="str">
            <v>ANIBAL PRADO SECANECHIA</v>
          </cell>
          <cell r="E30" t="str">
            <v>217.547.718-58</v>
          </cell>
          <cell r="F30">
            <v>16338</v>
          </cell>
          <cell r="G30">
            <v>3400.17</v>
          </cell>
          <cell r="Z30" t="str">
            <v>2159/11</v>
          </cell>
          <cell r="AA30">
            <v>2818.4678759999997</v>
          </cell>
          <cell r="AB30">
            <v>115.97018139999994</v>
          </cell>
        </row>
        <row r="31">
          <cell r="A31" t="str">
            <v>2202/11</v>
          </cell>
          <cell r="B31">
            <v>40805</v>
          </cell>
          <cell r="C31" t="str">
            <v>2011-0.227.173-6</v>
          </cell>
          <cell r="D31" t="str">
            <v>ANISIO SILVA GOMES</v>
          </cell>
          <cell r="E31" t="str">
            <v>010.715.878-70</v>
          </cell>
          <cell r="F31">
            <v>16340</v>
          </cell>
          <cell r="G31">
            <v>3509.14</v>
          </cell>
          <cell r="Z31" t="str">
            <v>2202/11</v>
          </cell>
          <cell r="AA31">
            <v>3389.064852</v>
          </cell>
          <cell r="AB31">
            <v>210.38959169999998</v>
          </cell>
        </row>
        <row r="32">
          <cell r="A32" t="str">
            <v>1841/11</v>
          </cell>
          <cell r="B32">
            <v>40785</v>
          </cell>
          <cell r="C32" t="str">
            <v>2011-0.202.211-6</v>
          </cell>
          <cell r="D32" t="str">
            <v>ANSELMO GOMES DE SALES</v>
          </cell>
          <cell r="E32" t="str">
            <v>276.686.306-00</v>
          </cell>
          <cell r="F32">
            <v>16224</v>
          </cell>
          <cell r="G32">
            <v>2152.6750000000002</v>
          </cell>
          <cell r="Z32" t="str">
            <v>1841/11</v>
          </cell>
          <cell r="AA32">
            <v>2845.0940240000004</v>
          </cell>
          <cell r="AB32">
            <v>119.96410360000004</v>
          </cell>
        </row>
        <row r="33">
          <cell r="A33" t="str">
            <v>1969/11</v>
          </cell>
          <cell r="B33">
            <v>40798</v>
          </cell>
          <cell r="C33" t="str">
            <v>2011-0.222.354-5</v>
          </cell>
          <cell r="D33" t="str">
            <v>ANTONIO ALIXANDRE ALVES</v>
          </cell>
          <cell r="E33" t="str">
            <v>065.192.748-01</v>
          </cell>
          <cell r="F33">
            <v>14655</v>
          </cell>
          <cell r="G33">
            <v>3182.21</v>
          </cell>
          <cell r="Z33" t="str">
            <v>1969/11</v>
          </cell>
          <cell r="AA33">
            <v>3077.1240320000006</v>
          </cell>
          <cell r="AB33">
            <v>154.76860480000005</v>
          </cell>
        </row>
        <row r="34">
          <cell r="A34" t="str">
            <v>2160/11</v>
          </cell>
          <cell r="B34">
            <v>40805</v>
          </cell>
          <cell r="C34" t="str">
            <v>2011-0.225.344-4</v>
          </cell>
          <cell r="D34" t="str">
            <v>ANTONIO BATISTA DE OLIVEIRA</v>
          </cell>
          <cell r="E34" t="str">
            <v>016.101.338-46</v>
          </cell>
          <cell r="F34">
            <v>14753</v>
          </cell>
          <cell r="G34">
            <v>3400.17</v>
          </cell>
          <cell r="Z34" t="str">
            <v>2160/11</v>
          </cell>
          <cell r="AA34">
            <v>3396.4944640000003</v>
          </cell>
          <cell r="AB34">
            <v>212.06125440000017</v>
          </cell>
        </row>
        <row r="35">
          <cell r="A35" t="str">
            <v>2027/11</v>
          </cell>
          <cell r="B35">
            <v>40798</v>
          </cell>
          <cell r="C35" t="str">
            <v>2011-0.222.455-0</v>
          </cell>
          <cell r="D35" t="str">
            <v>ANTONIO CARLOS DE PAULA</v>
          </cell>
          <cell r="E35" t="str">
            <v>191.832.528-60</v>
          </cell>
          <cell r="F35">
            <v>14670</v>
          </cell>
          <cell r="G35">
            <v>2515.52</v>
          </cell>
          <cell r="Z35" t="str">
            <v>2027/11</v>
          </cell>
          <cell r="AA35">
            <v>2453.0077240000001</v>
          </cell>
          <cell r="AB35">
            <v>61.195579299999991</v>
          </cell>
        </row>
        <row r="36">
          <cell r="A36" t="str">
            <v>3285/11</v>
          </cell>
          <cell r="B36">
            <v>40863</v>
          </cell>
          <cell r="C36" t="str">
            <v>2011-0.293.244-9</v>
          </cell>
          <cell r="D36" t="str">
            <v>ANTONIO DUTRA FAGUNDES</v>
          </cell>
          <cell r="E36">
            <v>56514565891</v>
          </cell>
          <cell r="F36">
            <v>16577</v>
          </cell>
          <cell r="G36">
            <v>1189</v>
          </cell>
          <cell r="Z36" t="str">
            <v>3285/11</v>
          </cell>
          <cell r="AA36">
            <v>3955.3048639999997</v>
          </cell>
          <cell r="AB36">
            <v>337.79359439999996</v>
          </cell>
        </row>
        <row r="37">
          <cell r="A37" t="str">
            <v>2138/11</v>
          </cell>
          <cell r="B37">
            <v>40805</v>
          </cell>
          <cell r="C37" t="str">
            <v>2011-0.224.804-1</v>
          </cell>
          <cell r="D37" t="str">
            <v>ANTONIO FRANCISCO ARAUJO DE OLIVEIRA</v>
          </cell>
          <cell r="E37" t="str">
            <v>281.097.438-11</v>
          </cell>
          <cell r="F37">
            <v>16332</v>
          </cell>
          <cell r="G37">
            <v>3400.17</v>
          </cell>
          <cell r="Z37" t="str">
            <v>2138/11</v>
          </cell>
          <cell r="AA37">
            <v>3043.6832639999998</v>
          </cell>
          <cell r="AB37">
            <v>149.75248959999993</v>
          </cell>
        </row>
        <row r="38">
          <cell r="A38" t="str">
            <v>2821/11</v>
          </cell>
          <cell r="B38">
            <v>40826</v>
          </cell>
          <cell r="C38" t="str">
            <v>2011-0.256.980-8</v>
          </cell>
          <cell r="D38" t="str">
            <v>ANTONIO JESUS DE OLIVEIRA</v>
          </cell>
          <cell r="E38" t="str">
            <v>250.009.808-75</v>
          </cell>
          <cell r="F38">
            <v>15077</v>
          </cell>
          <cell r="G38">
            <v>2637.36</v>
          </cell>
          <cell r="Z38" t="str">
            <v>2821/11</v>
          </cell>
          <cell r="AA38">
            <v>2804.6615111111114</v>
          </cell>
          <cell r="AB38">
            <v>113.89922666666666</v>
          </cell>
        </row>
        <row r="39">
          <cell r="A39" t="str">
            <v>2203/11</v>
          </cell>
          <cell r="B39">
            <v>40805</v>
          </cell>
          <cell r="C39" t="str">
            <v>2011-0.227.176-0</v>
          </cell>
          <cell r="D39" t="str">
            <v>ANTONIO MARIA DE SOUZA</v>
          </cell>
          <cell r="E39" t="str">
            <v>137.754.723-04</v>
          </cell>
          <cell r="F39">
            <v>16341</v>
          </cell>
          <cell r="G39">
            <v>3400.17</v>
          </cell>
          <cell r="Z39" t="str">
            <v>2203/11</v>
          </cell>
          <cell r="AA39">
            <v>3246.0156319999996</v>
          </cell>
          <cell r="AB39">
            <v>180.10234479999991</v>
          </cell>
        </row>
        <row r="40">
          <cell r="A40" t="str">
            <v>2073/11</v>
          </cell>
          <cell r="B40">
            <v>40805</v>
          </cell>
          <cell r="C40" t="str">
            <v>2011-0.224.204-3</v>
          </cell>
          <cell r="D40" t="str">
            <v>ANTONIO RIBEIRO MONTEIRO</v>
          </cell>
          <cell r="E40" t="str">
            <v>915.729.598-00</v>
          </cell>
          <cell r="F40">
            <v>14677</v>
          </cell>
          <cell r="G40">
            <v>3400.17</v>
          </cell>
          <cell r="Z40" t="str">
            <v>2073/11</v>
          </cell>
          <cell r="AA40">
            <v>3693.2754999999997</v>
          </cell>
          <cell r="AB40">
            <v>278.83698749999996</v>
          </cell>
        </row>
        <row r="41">
          <cell r="A41" t="str">
            <v>2601/11</v>
          </cell>
          <cell r="B41">
            <v>40819</v>
          </cell>
          <cell r="C41" t="str">
            <v>2011-0.230.452-9</v>
          </cell>
          <cell r="D41" t="str">
            <v>ANTONIO ZEFERINO NETO</v>
          </cell>
          <cell r="E41" t="str">
            <v>237.401.595-53</v>
          </cell>
          <cell r="F41">
            <v>16496</v>
          </cell>
          <cell r="G41">
            <v>3400.17</v>
          </cell>
          <cell r="Z41" t="str">
            <v>2601/11</v>
          </cell>
          <cell r="AA41">
            <v>3161.4831319999998</v>
          </cell>
          <cell r="AB41">
            <v>167.42246979999993</v>
          </cell>
        </row>
        <row r="42">
          <cell r="A42" t="str">
            <v>2587/11</v>
          </cell>
          <cell r="B42">
            <v>40819</v>
          </cell>
          <cell r="C42" t="str">
            <v>2011-0.230.434-0</v>
          </cell>
          <cell r="D42" t="str">
            <v>APARECIDA DE LOURDES DOS SANTOS</v>
          </cell>
          <cell r="E42" t="str">
            <v>676.352.458-72</v>
          </cell>
          <cell r="F42">
            <v>15044</v>
          </cell>
          <cell r="G42">
            <v>2515.52</v>
          </cell>
          <cell r="Z42" t="str">
            <v>2587/11</v>
          </cell>
          <cell r="AA42">
            <v>2418.342752</v>
          </cell>
          <cell r="AB42">
            <v>58.595706399999983</v>
          </cell>
        </row>
        <row r="43">
          <cell r="A43" t="str">
            <v>2525/11</v>
          </cell>
          <cell r="B43">
            <v>40819</v>
          </cell>
          <cell r="C43" t="str">
            <v>2011-0.230.041-8</v>
          </cell>
          <cell r="D43" t="str">
            <v>APARECIDO EUGENIO DA SILVA</v>
          </cell>
          <cell r="E43" t="str">
            <v>035.131.938-74</v>
          </cell>
          <cell r="F43">
            <v>15028</v>
          </cell>
          <cell r="G43">
            <v>2964.26</v>
          </cell>
          <cell r="Z43" t="str">
            <v>2525/11</v>
          </cell>
          <cell r="AA43">
            <v>3133.362854</v>
          </cell>
          <cell r="AB43">
            <v>163.20442809999997</v>
          </cell>
        </row>
        <row r="44">
          <cell r="A44" t="str">
            <v>2454/11</v>
          </cell>
          <cell r="B44">
            <v>40812</v>
          </cell>
          <cell r="C44" t="str">
            <v>2011-0.228.936-8</v>
          </cell>
          <cell r="D44" t="str">
            <v>AVERI NERI TOLENTINO</v>
          </cell>
          <cell r="E44" t="str">
            <v>876.298.878-68</v>
          </cell>
          <cell r="F44">
            <v>14987</v>
          </cell>
          <cell r="G44">
            <v>3291.19</v>
          </cell>
          <cell r="Z44" t="str">
            <v>2454/11</v>
          </cell>
          <cell r="AA44">
            <v>3193.1459720000003</v>
          </cell>
          <cell r="AB44">
            <v>172.17189580000002</v>
          </cell>
        </row>
        <row r="45">
          <cell r="A45" t="str">
            <v>2800/11</v>
          </cell>
          <cell r="B45">
            <v>40826</v>
          </cell>
          <cell r="C45" t="str">
            <v>2011-0.256.873-9</v>
          </cell>
          <cell r="D45" t="str">
            <v>AYRTON APARECIDO LUZ RODRIGUES</v>
          </cell>
          <cell r="E45" t="str">
            <v>115.998.628-24</v>
          </cell>
          <cell r="F45">
            <v>15068</v>
          </cell>
          <cell r="G45">
            <v>3400.17</v>
          </cell>
          <cell r="Z45" t="str">
            <v>2800/11</v>
          </cell>
          <cell r="AA45">
            <v>3950.2751079999998</v>
          </cell>
          <cell r="AB45">
            <v>336.66189929999996</v>
          </cell>
        </row>
        <row r="46">
          <cell r="A46" t="str">
            <v>2451/11</v>
          </cell>
          <cell r="B46">
            <v>40812</v>
          </cell>
          <cell r="C46" t="str">
            <v>2011-0.228.911-2</v>
          </cell>
          <cell r="D46" t="str">
            <v xml:space="preserve">BENEDITO CALDAS DOS SANTOS </v>
          </cell>
          <cell r="E46" t="str">
            <v>092.226.988-27</v>
          </cell>
          <cell r="F46">
            <v>14980</v>
          </cell>
          <cell r="G46">
            <v>3509.14</v>
          </cell>
          <cell r="Z46" t="str">
            <v>2451/11</v>
          </cell>
          <cell r="AA46">
            <v>3424.8950719999998</v>
          </cell>
          <cell r="AB46">
            <v>218.45139119999999</v>
          </cell>
        </row>
        <row r="47">
          <cell r="A47" t="str">
            <v>3207/11</v>
          </cell>
          <cell r="B47">
            <v>40854</v>
          </cell>
          <cell r="C47" t="str">
            <v>2011-0.293.324-0</v>
          </cell>
          <cell r="D47" t="str">
            <v>BENEDITO ROMAO PARIS FILHO</v>
          </cell>
          <cell r="E47" t="str">
            <v>069.282.158-95</v>
          </cell>
          <cell r="F47">
            <v>15134</v>
          </cell>
          <cell r="G47">
            <v>2297</v>
          </cell>
          <cell r="Z47" t="str">
            <v>3207/11</v>
          </cell>
          <cell r="AA47">
            <v>4877.2900040000004</v>
          </cell>
          <cell r="AB47">
            <v>584.72475110000028</v>
          </cell>
        </row>
        <row r="48">
          <cell r="A48" t="str">
            <v>3325/11</v>
          </cell>
          <cell r="B48">
            <v>40875</v>
          </cell>
          <cell r="C48" t="str">
            <v>2011-0.293.364-0</v>
          </cell>
          <cell r="D48" t="str">
            <v>CARLOS ALBERTO DE SOUZA</v>
          </cell>
          <cell r="E48">
            <v>64897770530</v>
          </cell>
          <cell r="F48">
            <v>16589</v>
          </cell>
          <cell r="G48">
            <v>2297</v>
          </cell>
          <cell r="Z48" t="str">
            <v>3325/11</v>
          </cell>
          <cell r="AA48">
            <v>2530.9271333333331</v>
          </cell>
          <cell r="AB48">
            <v>72.839069999999936</v>
          </cell>
        </row>
        <row r="49">
          <cell r="A49" t="str">
            <v>2040/11</v>
          </cell>
          <cell r="B49">
            <v>40805</v>
          </cell>
          <cell r="C49" t="str">
            <v>2011-0.223.259-5</v>
          </cell>
          <cell r="D49" t="str">
            <v>CARLOS ALBERTO GOMES</v>
          </cell>
          <cell r="E49" t="str">
            <v>223.525.468-34</v>
          </cell>
          <cell r="F49">
            <v>16285</v>
          </cell>
          <cell r="G49">
            <v>2583.21</v>
          </cell>
          <cell r="Z49" t="str">
            <v>2040/11</v>
          </cell>
          <cell r="AA49">
            <v>2217.0403799999999</v>
          </cell>
          <cell r="AB49">
            <v>43.498028499999975</v>
          </cell>
        </row>
        <row r="50">
          <cell r="A50" t="str">
            <v>1961/11</v>
          </cell>
          <cell r="B50">
            <v>40798</v>
          </cell>
          <cell r="C50" t="str">
            <v>2011-0.222.287-5</v>
          </cell>
          <cell r="D50" t="str">
            <v>CARLOS BEZERRA DA SILVA</v>
          </cell>
          <cell r="E50" t="str">
            <v>157.991.918-97</v>
          </cell>
          <cell r="F50">
            <v>14653</v>
          </cell>
          <cell r="G50">
            <v>3400.17</v>
          </cell>
          <cell r="Z50" t="str">
            <v>1961/11</v>
          </cell>
          <cell r="AA50">
            <v>3527.6322599999999</v>
          </cell>
          <cell r="AB50">
            <v>241.56725849999998</v>
          </cell>
        </row>
        <row r="51">
          <cell r="A51" t="str">
            <v>2465/11</v>
          </cell>
          <cell r="B51">
            <v>40812</v>
          </cell>
          <cell r="C51" t="str">
            <v>2011-0.228.999-6</v>
          </cell>
          <cell r="D51" t="str">
            <v>CARLOS ROBERTO PIERRE</v>
          </cell>
          <cell r="E51" t="str">
            <v>048.695.478-13</v>
          </cell>
          <cell r="F51">
            <v>16453</v>
          </cell>
          <cell r="G51">
            <v>1906.28</v>
          </cell>
          <cell r="Z51" t="str">
            <v>2465/11</v>
          </cell>
          <cell r="AA51">
            <v>2491.7556880000002</v>
          </cell>
          <cell r="AB51">
            <v>66.963353200000029</v>
          </cell>
        </row>
        <row r="52">
          <cell r="A52" t="str">
            <v>2320/11</v>
          </cell>
          <cell r="B52">
            <v>40812</v>
          </cell>
          <cell r="C52" t="str">
            <v>2011-0.227.227-9</v>
          </cell>
          <cell r="D52" t="str">
            <v>CARLOS ROBERTO RODRIGUES</v>
          </cell>
          <cell r="E52" t="str">
            <v>084.646.588-42</v>
          </cell>
          <cell r="F52">
            <v>14861</v>
          </cell>
          <cell r="G52">
            <v>3400.17</v>
          </cell>
          <cell r="Z52" t="str">
            <v>2320/11</v>
          </cell>
          <cell r="AA52">
            <v>3398.1741319999996</v>
          </cell>
          <cell r="AB52">
            <v>212.43917969999995</v>
          </cell>
        </row>
        <row r="53">
          <cell r="A53" t="str">
            <v>1972/11</v>
          </cell>
          <cell r="B53">
            <v>40798</v>
          </cell>
          <cell r="C53" t="str">
            <v>2011-0.222.366-9</v>
          </cell>
          <cell r="D53" t="str">
            <v>CARLOS SHIROMA</v>
          </cell>
          <cell r="E53" t="str">
            <v>670.627.508-59</v>
          </cell>
          <cell r="F53">
            <v>14657</v>
          </cell>
          <cell r="G53">
            <v>3400.17</v>
          </cell>
          <cell r="Z53" t="str">
            <v>1972/11</v>
          </cell>
          <cell r="AA53">
            <v>3437.2134080000001</v>
          </cell>
          <cell r="AB53">
            <v>221.2230168000001</v>
          </cell>
        </row>
        <row r="54">
          <cell r="A54" t="str">
            <v>2321/11</v>
          </cell>
          <cell r="B54">
            <v>40812</v>
          </cell>
          <cell r="C54" t="str">
            <v>2011-0.227.233-3</v>
          </cell>
          <cell r="D54" t="str">
            <v>CEZAR ANTONIO DA SILVA</v>
          </cell>
          <cell r="E54" t="str">
            <v>166.212.258-65</v>
          </cell>
          <cell r="F54">
            <v>14865</v>
          </cell>
          <cell r="G54">
            <v>2583.21</v>
          </cell>
          <cell r="Z54" t="str">
            <v>2321/11</v>
          </cell>
          <cell r="AA54">
            <v>2801.6076159999998</v>
          </cell>
          <cell r="AB54">
            <v>113.44114239999993</v>
          </cell>
        </row>
        <row r="55">
          <cell r="A55" t="str">
            <v>2926/11</v>
          </cell>
          <cell r="B55">
            <v>40833</v>
          </cell>
          <cell r="C55" t="str">
            <v>2011-0.258.673-7</v>
          </cell>
          <cell r="D55" t="str">
            <v>CHARLES MINUTENTAG</v>
          </cell>
          <cell r="E55" t="str">
            <v>256.472.428-04</v>
          </cell>
          <cell r="F55">
            <v>16251</v>
          </cell>
          <cell r="G55">
            <v>3509.14</v>
          </cell>
          <cell r="Z55" t="str">
            <v>2926/11</v>
          </cell>
          <cell r="AA55">
            <v>3054.8363519999998</v>
          </cell>
          <cell r="AB55">
            <v>151.42545279999996</v>
          </cell>
        </row>
        <row r="56">
          <cell r="A56" t="str">
            <v>2075/11</v>
          </cell>
          <cell r="B56">
            <v>40805</v>
          </cell>
          <cell r="C56" t="str">
            <v>2011-0.224.211-6</v>
          </cell>
          <cell r="D56" t="str">
            <v>CLARINDO DE JESUS SANTOS</v>
          </cell>
          <cell r="E56" t="str">
            <v>011.125.048-00</v>
          </cell>
          <cell r="F56">
            <v>14689</v>
          </cell>
          <cell r="G56">
            <v>2380.14</v>
          </cell>
          <cell r="Z56" t="str">
            <v>2075/11</v>
          </cell>
          <cell r="AA56">
            <v>2339.1648439999999</v>
          </cell>
          <cell r="AB56">
            <v>52.657363299999986</v>
          </cell>
        </row>
        <row r="57">
          <cell r="A57" t="str">
            <v>1815/11</v>
          </cell>
          <cell r="B57">
            <v>40784</v>
          </cell>
          <cell r="C57" t="str">
            <v>2011-0.201.754-6</v>
          </cell>
          <cell r="D57" t="str">
            <v>CLAUDEMIR BONIN</v>
          </cell>
          <cell r="E57" t="str">
            <v>127.221.738-83</v>
          </cell>
          <cell r="F57">
            <v>14620</v>
          </cell>
          <cell r="G57">
            <v>2012.4160000000002</v>
          </cell>
          <cell r="Z57" t="str">
            <v>1815/11</v>
          </cell>
          <cell r="AA57">
            <v>2706.2642040000001</v>
          </cell>
          <cell r="AB57">
            <v>99.139630599999975</v>
          </cell>
        </row>
        <row r="58">
          <cell r="A58" t="str">
            <v>2397/11</v>
          </cell>
          <cell r="B58">
            <v>40812</v>
          </cell>
          <cell r="C58" t="str">
            <v>2011-0.229.039-0</v>
          </cell>
          <cell r="D58" t="str">
            <v>CLAUDEVAN FERREIRA SILVA</v>
          </cell>
          <cell r="E58" t="str">
            <v>219.899.048-23</v>
          </cell>
          <cell r="F58">
            <v>14947</v>
          </cell>
          <cell r="G58">
            <v>2583.21</v>
          </cell>
          <cell r="Z58" t="str">
            <v>2397/11</v>
          </cell>
          <cell r="AA58">
            <v>3207.297724</v>
          </cell>
          <cell r="AB58">
            <v>174.29465859999999</v>
          </cell>
        </row>
        <row r="59">
          <cell r="A59" t="str">
            <v>2266/11</v>
          </cell>
          <cell r="B59">
            <v>40812</v>
          </cell>
          <cell r="C59" t="str">
            <v>2011-0.227.107-8</v>
          </cell>
          <cell r="D59" t="str">
            <v>CLAUDIA ARAUJO DE ALMEIDA</v>
          </cell>
          <cell r="E59" t="str">
            <v>220.679.828-00</v>
          </cell>
          <cell r="F59">
            <v>16353</v>
          </cell>
          <cell r="G59">
            <v>1838.58</v>
          </cell>
          <cell r="Z59" t="str">
            <v>2266/11</v>
          </cell>
          <cell r="AA59">
            <v>1984.4647400000001</v>
          </cell>
          <cell r="AB59">
            <v>26.054855500000002</v>
          </cell>
        </row>
        <row r="60">
          <cell r="A60" t="str">
            <v>2754/11</v>
          </cell>
          <cell r="B60">
            <v>40826</v>
          </cell>
          <cell r="C60" t="str">
            <v>2011-0.256.767-8</v>
          </cell>
          <cell r="D60" t="str">
            <v>CLAUDINEI APARECIDO DOS REIS</v>
          </cell>
          <cell r="E60" t="str">
            <v>147.746.178-73</v>
          </cell>
          <cell r="F60">
            <v>15058</v>
          </cell>
          <cell r="G60">
            <v>3400.17</v>
          </cell>
          <cell r="Z60" t="str">
            <v>2754/11</v>
          </cell>
          <cell r="AA60">
            <v>3394.0379640000001</v>
          </cell>
          <cell r="AB60">
            <v>211.50854190000007</v>
          </cell>
        </row>
        <row r="61">
          <cell r="A61" t="str">
            <v>2755/11</v>
          </cell>
          <cell r="B61">
            <v>40826</v>
          </cell>
          <cell r="C61" t="str">
            <v>2011-0.256.769-4</v>
          </cell>
          <cell r="D61" t="str">
            <v>CLAUDIO ALEXANDRE SILVA</v>
          </cell>
          <cell r="E61" t="str">
            <v>188.601.958-45</v>
          </cell>
          <cell r="F61">
            <v>16217</v>
          </cell>
          <cell r="G61">
            <v>2583.21</v>
          </cell>
          <cell r="Z61" t="str">
            <v>2755/11</v>
          </cell>
          <cell r="AA61">
            <v>2275.5027680000003</v>
          </cell>
          <cell r="AB61">
            <v>47.882707600000003</v>
          </cell>
        </row>
        <row r="62">
          <cell r="A62" t="str">
            <v>1826/11</v>
          </cell>
          <cell r="B62">
            <v>40784</v>
          </cell>
          <cell r="C62" t="str">
            <v>2011-0.202.096-2</v>
          </cell>
          <cell r="D62" t="str">
            <v>CLAYTON RIBEIRO</v>
          </cell>
          <cell r="E62" t="str">
            <v>170.129.558-05</v>
          </cell>
          <cell r="F62">
            <v>16197</v>
          </cell>
          <cell r="G62">
            <v>2066.5680000000002</v>
          </cell>
          <cell r="Z62" t="str">
            <v>1826/11</v>
          </cell>
          <cell r="AA62">
            <v>2535.482544</v>
          </cell>
          <cell r="AB62">
            <v>73.52238159999996</v>
          </cell>
        </row>
        <row r="63">
          <cell r="A63" t="str">
            <v>1948/11</v>
          </cell>
          <cell r="B63">
            <v>40791</v>
          </cell>
          <cell r="C63" t="str">
            <v>2011-0.222.235-2</v>
          </cell>
          <cell r="D63" t="str">
            <v>CLEUSA APARECIDA JORDAN</v>
          </cell>
          <cell r="E63" t="str">
            <v>049.154.408-18</v>
          </cell>
          <cell r="F63">
            <v>14647</v>
          </cell>
          <cell r="G63">
            <v>3400.17</v>
          </cell>
          <cell r="Z63" t="str">
            <v>1948/11</v>
          </cell>
          <cell r="AA63">
            <v>3402.5091319999997</v>
          </cell>
          <cell r="AB63">
            <v>213.41455469999994</v>
          </cell>
        </row>
        <row r="64">
          <cell r="A64" t="str">
            <v>2455/11</v>
          </cell>
          <cell r="B64">
            <v>40812</v>
          </cell>
          <cell r="C64" t="str">
            <v>2011-0.228.944-9</v>
          </cell>
          <cell r="D64" t="str">
            <v>CLOVES JOSÉ DE ALMEIDA</v>
          </cell>
          <cell r="E64" t="str">
            <v>166.244.898-80</v>
          </cell>
          <cell r="F64">
            <v>16419</v>
          </cell>
          <cell r="G64">
            <v>3400.17</v>
          </cell>
          <cell r="Z64" t="str">
            <v>2455/11</v>
          </cell>
          <cell r="AA64">
            <v>3112.6560039999999</v>
          </cell>
          <cell r="AB64">
            <v>160.09840059999993</v>
          </cell>
        </row>
        <row r="65">
          <cell r="A65" t="str">
            <v>1821/11</v>
          </cell>
          <cell r="B65">
            <v>40784</v>
          </cell>
          <cell r="C65" t="str">
            <v>2011-0.201.798-8</v>
          </cell>
          <cell r="D65" t="str">
            <v>CRISTIANO MARTINIANO DE OLIVEIRA</v>
          </cell>
          <cell r="E65" t="str">
            <v>216.995.878-92</v>
          </cell>
          <cell r="F65">
            <v>16204</v>
          </cell>
          <cell r="G65">
            <v>2066.5680000000002</v>
          </cell>
          <cell r="Z65" t="str">
            <v>1821/11</v>
          </cell>
          <cell r="AA65">
            <v>2460.8743040000004</v>
          </cell>
          <cell r="AB65">
            <v>62.331145600000013</v>
          </cell>
        </row>
        <row r="66">
          <cell r="A66" t="str">
            <v>2139/11</v>
          </cell>
          <cell r="B66">
            <v>40805</v>
          </cell>
          <cell r="C66" t="str">
            <v>2011-0.224.812-2</v>
          </cell>
          <cell r="D66" t="str">
            <v>DALMO PEDRO DE CARVALHO</v>
          </cell>
          <cell r="E66" t="str">
            <v>346.097.846-53</v>
          </cell>
          <cell r="F66">
            <v>16333</v>
          </cell>
          <cell r="G66">
            <v>3400.17</v>
          </cell>
          <cell r="Z66" t="str">
            <v>2139/11</v>
          </cell>
          <cell r="AA66">
            <v>3238.2808359999999</v>
          </cell>
          <cell r="AB66">
            <v>178.94212539999995</v>
          </cell>
        </row>
        <row r="67">
          <cell r="A67" t="str">
            <v>2526/11</v>
          </cell>
          <cell r="B67">
            <v>40819</v>
          </cell>
          <cell r="C67" t="str">
            <v>2011-0.230.048-5</v>
          </cell>
          <cell r="D67" t="str">
            <v>DALVA ISILDA UDINAL DOS SANTOS</v>
          </cell>
          <cell r="E67" t="str">
            <v>174.845.508-76</v>
          </cell>
          <cell r="F67">
            <v>15034</v>
          </cell>
          <cell r="G67">
            <v>2855.3</v>
          </cell>
          <cell r="Z67" t="str">
            <v>2526/11</v>
          </cell>
          <cell r="AA67">
            <v>2870.8184919999999</v>
          </cell>
          <cell r="AB67">
            <v>123.82277379999994</v>
          </cell>
        </row>
        <row r="68">
          <cell r="A68" t="str">
            <v>2554/11</v>
          </cell>
          <cell r="B68">
            <v>40819</v>
          </cell>
          <cell r="C68" t="str">
            <v>2011-0.230.261-5</v>
          </cell>
          <cell r="D68" t="str">
            <v>DANIEL DE SOUSA RODRIGUES</v>
          </cell>
          <cell r="E68" t="str">
            <v>506.057.203-04</v>
          </cell>
          <cell r="F68">
            <v>16460</v>
          </cell>
          <cell r="G68">
            <v>3400.17</v>
          </cell>
          <cell r="Z68" t="str">
            <v>2554/11</v>
          </cell>
          <cell r="AA68">
            <v>3503.538908</v>
          </cell>
          <cell r="AB68">
            <v>236.14625430000001</v>
          </cell>
        </row>
        <row r="69">
          <cell r="A69" t="str">
            <v>1737/11</v>
          </cell>
          <cell r="B69">
            <v>40763</v>
          </cell>
          <cell r="C69" t="str">
            <v>2011-0.200.418-5</v>
          </cell>
          <cell r="D69" t="str">
            <v>DANIEL RODRIGUES KRAUZE</v>
          </cell>
          <cell r="E69" t="str">
            <v>282.625.678-54</v>
          </cell>
          <cell r="F69">
            <v>14603</v>
          </cell>
          <cell r="G69" t="e">
            <v>#DIV/0!</v>
          </cell>
          <cell r="Z69" t="str">
            <v>1737/11</v>
          </cell>
          <cell r="AA69">
            <v>3849.6458859999998</v>
          </cell>
          <cell r="AB69">
            <v>314.02032435000001</v>
          </cell>
        </row>
        <row r="70">
          <cell r="A70" t="str">
            <v>2953/11</v>
          </cell>
          <cell r="B70">
            <v>40840</v>
          </cell>
          <cell r="C70" t="str">
            <v>2011-0.258.759-8</v>
          </cell>
          <cell r="D70" t="str">
            <v>DARIO ALVES DOS SANTOS FILHO</v>
          </cell>
          <cell r="E70" t="str">
            <v>099.421.028-09</v>
          </cell>
          <cell r="F70">
            <v>15124</v>
          </cell>
          <cell r="G70">
            <v>3291.19</v>
          </cell>
          <cell r="Z70" t="str">
            <v>2953/11</v>
          </cell>
          <cell r="AA70">
            <v>3201.3443240000001</v>
          </cell>
          <cell r="AB70">
            <v>173.40164859999999</v>
          </cell>
        </row>
        <row r="71">
          <cell r="A71" t="str">
            <v>2268/11</v>
          </cell>
          <cell r="B71">
            <v>40812</v>
          </cell>
          <cell r="C71" t="str">
            <v>2011-0.227.115-9</v>
          </cell>
          <cell r="D71" t="str">
            <v>DAVID HESSEL PONTES</v>
          </cell>
          <cell r="E71" t="str">
            <v>272.811.178-25</v>
          </cell>
          <cell r="F71">
            <v>14790</v>
          </cell>
          <cell r="G71">
            <v>3509.14</v>
          </cell>
          <cell r="Z71" t="str">
            <v>2268/11</v>
          </cell>
          <cell r="AA71">
            <v>3914.0622519999997</v>
          </cell>
          <cell r="AB71">
            <v>328.51400669999998</v>
          </cell>
        </row>
        <row r="72">
          <cell r="A72" t="str">
            <v>2927/11</v>
          </cell>
          <cell r="B72">
            <v>40833</v>
          </cell>
          <cell r="C72" t="str">
            <v>2011-0.258.676-1</v>
          </cell>
          <cell r="D72" t="str">
            <v>DELVAI CANGUSSU DA SILVA</v>
          </cell>
          <cell r="E72" t="str">
            <v>196.824.948-69</v>
          </cell>
          <cell r="F72">
            <v>15114</v>
          </cell>
          <cell r="G72">
            <v>3400.17</v>
          </cell>
          <cell r="Z72" t="str">
            <v>2927/11</v>
          </cell>
          <cell r="AA72">
            <v>3443.2361679999999</v>
          </cell>
          <cell r="AB72">
            <v>222.57813780000004</v>
          </cell>
        </row>
        <row r="73">
          <cell r="A73" t="str">
            <v>3039/11</v>
          </cell>
          <cell r="B73">
            <v>40847</v>
          </cell>
          <cell r="C73" t="str">
            <v>2011-0.259.750-0</v>
          </cell>
          <cell r="D73" t="str">
            <v>DOMINGOS PAULO BISPO</v>
          </cell>
          <cell r="E73" t="str">
            <v>157.999.898-48</v>
          </cell>
          <cell r="F73">
            <v>16255</v>
          </cell>
          <cell r="G73">
            <v>3400.17</v>
          </cell>
          <cell r="Z73" t="str">
            <v>3039/11</v>
          </cell>
          <cell r="AA73">
            <v>3670.436408</v>
          </cell>
          <cell r="AB73">
            <v>273.69819180000002</v>
          </cell>
        </row>
        <row r="74">
          <cell r="A74" t="str">
            <v>2954/11</v>
          </cell>
          <cell r="B74">
            <v>40840</v>
          </cell>
          <cell r="C74" t="str">
            <v>2011-0.258.761-0</v>
          </cell>
          <cell r="D74" t="str">
            <v>EDICARLOS ALVES DOS SANTOS</v>
          </cell>
          <cell r="E74" t="str">
            <v>153.626.588-83</v>
          </cell>
          <cell r="F74">
            <v>15127</v>
          </cell>
          <cell r="G74">
            <v>3400.17</v>
          </cell>
          <cell r="Z74" t="str">
            <v>2954/11</v>
          </cell>
          <cell r="AA74">
            <v>3638.8371480000001</v>
          </cell>
          <cell r="AB74">
            <v>266.5883583000001</v>
          </cell>
        </row>
        <row r="75">
          <cell r="A75" t="str">
            <v>1974/11</v>
          </cell>
          <cell r="B75">
            <v>40798</v>
          </cell>
          <cell r="C75" t="str">
            <v>2011-0.222.371-5</v>
          </cell>
          <cell r="D75" t="str">
            <v>EDIGAR BENEVIDES DA COSTA</v>
          </cell>
          <cell r="E75" t="str">
            <v>029.869.388-76</v>
          </cell>
          <cell r="F75">
            <v>16265</v>
          </cell>
          <cell r="G75">
            <v>3400.17</v>
          </cell>
          <cell r="Z75" t="str">
            <v>1974/11</v>
          </cell>
          <cell r="AA75">
            <v>3264.5116319999997</v>
          </cell>
          <cell r="AB75">
            <v>182.87674479999993</v>
          </cell>
        </row>
        <row r="76">
          <cell r="A76" t="str">
            <v>2379/11</v>
          </cell>
          <cell r="B76">
            <v>40812</v>
          </cell>
          <cell r="C76" t="str">
            <v>2011-0.228.892-2</v>
          </cell>
          <cell r="D76" t="str">
            <v xml:space="preserve">EDILEUZA SOUZA DA PAZ </v>
          </cell>
          <cell r="E76" t="str">
            <v>128.751.138-44</v>
          </cell>
          <cell r="F76">
            <v>14945</v>
          </cell>
          <cell r="G76">
            <v>2515.52</v>
          </cell>
          <cell r="Z76" t="str">
            <v>2379/11</v>
          </cell>
          <cell r="AA76">
            <v>2526.7027240000002</v>
          </cell>
          <cell r="AB76">
            <v>72.205408599999998</v>
          </cell>
        </row>
        <row r="77">
          <cell r="A77" t="str">
            <v>3072/11</v>
          </cell>
          <cell r="B77">
            <v>40847</v>
          </cell>
          <cell r="C77" t="str">
            <v>2011-0.260.363-1</v>
          </cell>
          <cell r="D77" t="str">
            <v>EDILSON RODRIGUES DA SILVA</v>
          </cell>
          <cell r="E77" t="str">
            <v>106.773.758-83</v>
          </cell>
          <cell r="F77">
            <v>16560</v>
          </cell>
          <cell r="G77">
            <v>2321.25</v>
          </cell>
          <cell r="Z77" t="str">
            <v>3072/11</v>
          </cell>
          <cell r="AA77">
            <v>2907.0140080000001</v>
          </cell>
          <cell r="AB77">
            <v>129.25210119999997</v>
          </cell>
        </row>
        <row r="78">
          <cell r="A78" t="str">
            <v>2916/11</v>
          </cell>
          <cell r="B78">
            <v>40833</v>
          </cell>
          <cell r="C78" t="str">
            <v>2011-0.258.655-9</v>
          </cell>
          <cell r="D78" t="str">
            <v>EDIVALDO FIGUEIREDO</v>
          </cell>
          <cell r="E78" t="str">
            <v>534.725.788-15</v>
          </cell>
          <cell r="F78">
            <v>15105</v>
          </cell>
          <cell r="G78">
            <v>2583.21</v>
          </cell>
          <cell r="Z78" t="str">
            <v>2916/11</v>
          </cell>
          <cell r="AA78">
            <v>2834.507376</v>
          </cell>
          <cell r="AB78">
            <v>118.37610639999997</v>
          </cell>
        </row>
        <row r="79">
          <cell r="A79" t="str">
            <v>2292/11</v>
          </cell>
          <cell r="B79">
            <v>40812</v>
          </cell>
          <cell r="C79" t="str">
            <v>2011-0.227.310-0</v>
          </cell>
          <cell r="D79" t="str">
            <v>EDMILSON DOS SANTOS GOIS</v>
          </cell>
          <cell r="E79" t="str">
            <v>281.115.288-17</v>
          </cell>
          <cell r="F79">
            <v>14793</v>
          </cell>
          <cell r="G79">
            <v>2583.21</v>
          </cell>
          <cell r="Z79" t="str">
            <v>2292/11</v>
          </cell>
          <cell r="AA79">
            <v>2591.837544</v>
          </cell>
          <cell r="AB79">
            <v>81.975631599999986</v>
          </cell>
        </row>
        <row r="80">
          <cell r="A80" t="str">
            <v>2029/11</v>
          </cell>
          <cell r="B80">
            <v>40798</v>
          </cell>
          <cell r="C80" t="str">
            <v>2011-0.222.461-4</v>
          </cell>
          <cell r="D80" t="str">
            <v>EDMILSON VIANA NEVES</v>
          </cell>
          <cell r="E80" t="str">
            <v>135.599.665-15</v>
          </cell>
          <cell r="F80">
            <v>16275</v>
          </cell>
          <cell r="G80">
            <v>3291.19</v>
          </cell>
          <cell r="Z80" t="str">
            <v>2029/11</v>
          </cell>
          <cell r="AA80">
            <v>2961.1448639999999</v>
          </cell>
          <cell r="AB80">
            <v>137.37172959999998</v>
          </cell>
        </row>
        <row r="81">
          <cell r="A81" t="str">
            <v>2293/11</v>
          </cell>
          <cell r="B81">
            <v>40812</v>
          </cell>
          <cell r="C81" t="str">
            <v>2011-0.227.313-5</v>
          </cell>
          <cell r="D81" t="str">
            <v>EDNALDO SOUZA SANTOS</v>
          </cell>
          <cell r="E81" t="str">
            <v>135.156.158-81</v>
          </cell>
          <cell r="F81">
            <v>14796</v>
          </cell>
          <cell r="G81">
            <v>3400.17</v>
          </cell>
          <cell r="Z81" t="str">
            <v>2293/11</v>
          </cell>
          <cell r="AA81">
            <v>3460.1889080000001</v>
          </cell>
          <cell r="AB81">
            <v>226.39250430000004</v>
          </cell>
        </row>
        <row r="82">
          <cell r="A82" t="str">
            <v>2456/11</v>
          </cell>
          <cell r="B82">
            <v>40812</v>
          </cell>
          <cell r="C82" t="str">
            <v>2011-0.228.948-1</v>
          </cell>
          <cell r="D82" t="str">
            <v>EDSON BATISTA DE LIMA</v>
          </cell>
          <cell r="E82" t="str">
            <v>257.631.948-37</v>
          </cell>
          <cell r="F82">
            <v>16423</v>
          </cell>
          <cell r="G82">
            <v>3400.17</v>
          </cell>
          <cell r="Z82" t="str">
            <v>2456/11</v>
          </cell>
          <cell r="AA82">
            <v>2990.1119119999998</v>
          </cell>
          <cell r="AB82">
            <v>141.71678679999997</v>
          </cell>
        </row>
        <row r="83">
          <cell r="A83" t="str">
            <v>1955/11</v>
          </cell>
          <cell r="B83">
            <v>40791</v>
          </cell>
          <cell r="C83" t="str">
            <v>2011-0.222.269-7</v>
          </cell>
          <cell r="D83" t="str">
            <v>EDSON DO NASCIMENTO RAMOS</v>
          </cell>
          <cell r="E83" t="str">
            <v>082.448.098-84</v>
          </cell>
          <cell r="F83">
            <v>14650</v>
          </cell>
          <cell r="G83">
            <v>3400.17</v>
          </cell>
          <cell r="Z83" t="str">
            <v>1955/11</v>
          </cell>
          <cell r="AA83">
            <v>3389.5041319999996</v>
          </cell>
          <cell r="AB83">
            <v>210.48842969999998</v>
          </cell>
        </row>
        <row r="84">
          <cell r="A84" t="str">
            <v>2294/11</v>
          </cell>
          <cell r="B84">
            <v>40812</v>
          </cell>
          <cell r="C84" t="str">
            <v>2011-0.227.316-0</v>
          </cell>
          <cell r="D84" t="str">
            <v>EDSON DOS SANTOS GOIS</v>
          </cell>
          <cell r="E84" t="str">
            <v>260.051.358-21</v>
          </cell>
          <cell r="F84">
            <v>16361</v>
          </cell>
          <cell r="G84">
            <v>3400.17</v>
          </cell>
          <cell r="Z84" t="str">
            <v>2294/11</v>
          </cell>
          <cell r="AA84">
            <v>3361.1220200000002</v>
          </cell>
          <cell r="AB84">
            <v>204.10245450000014</v>
          </cell>
        </row>
        <row r="85">
          <cell r="A85" t="str">
            <v>3302/11</v>
          </cell>
          <cell r="B85">
            <v>40868</v>
          </cell>
          <cell r="C85" t="str">
            <v>2011-0.293.183-3</v>
          </cell>
          <cell r="D85" t="str">
            <v>EDSON MOREIRA DE CASTRO</v>
          </cell>
          <cell r="E85" t="str">
            <v>088.096.758-78</v>
          </cell>
          <cell r="F85">
            <v>15192</v>
          </cell>
          <cell r="G85">
            <v>3509.14</v>
          </cell>
          <cell r="Z85" t="str">
            <v>3302/11</v>
          </cell>
          <cell r="AA85">
            <v>3458.0959699999994</v>
          </cell>
          <cell r="AB85">
            <v>225.92159324999989</v>
          </cell>
        </row>
        <row r="86">
          <cell r="A86" t="str">
            <v>2527/11</v>
          </cell>
          <cell r="B86">
            <v>40819</v>
          </cell>
          <cell r="C86" t="str">
            <v>2011-0.230.120-1</v>
          </cell>
          <cell r="D86" t="str">
            <v>EDUARDO BASTOS CERQUEIRA</v>
          </cell>
          <cell r="E86" t="str">
            <v>627.943.615-20</v>
          </cell>
          <cell r="F86">
            <v>16458</v>
          </cell>
          <cell r="G86">
            <v>3400.17</v>
          </cell>
          <cell r="Z86" t="str">
            <v>2527/11</v>
          </cell>
          <cell r="AA86">
            <v>3967.3642559999998</v>
          </cell>
          <cell r="AB86">
            <v>340.50695759999996</v>
          </cell>
        </row>
        <row r="87">
          <cell r="A87" t="str">
            <v>3064/11</v>
          </cell>
          <cell r="B87">
            <v>40847</v>
          </cell>
          <cell r="C87" t="str">
            <v>2011-0.260.350-0</v>
          </cell>
          <cell r="D87" t="str">
            <v>EDUARDO JOSÉ DE LIRA</v>
          </cell>
          <cell r="E87" t="str">
            <v>189.684.398-00</v>
          </cell>
          <cell r="F87">
            <v>16550</v>
          </cell>
          <cell r="G87">
            <v>3400.17</v>
          </cell>
          <cell r="Z87" t="str">
            <v>3064/11</v>
          </cell>
          <cell r="AA87">
            <v>3558.3506480000001</v>
          </cell>
          <cell r="AB87">
            <v>248.47889580000003</v>
          </cell>
        </row>
        <row r="88">
          <cell r="A88" t="str">
            <v>2295/11</v>
          </cell>
          <cell r="B88">
            <v>40812</v>
          </cell>
          <cell r="C88" t="str">
            <v>2011-0.227.323-2</v>
          </cell>
          <cell r="D88" t="str">
            <v>ELIANE IRACEMA ANDRADE</v>
          </cell>
          <cell r="E88" t="str">
            <v>132.376.718-51</v>
          </cell>
          <cell r="F88">
            <v>14799</v>
          </cell>
          <cell r="G88">
            <v>3400.17</v>
          </cell>
          <cell r="Z88" t="str">
            <v>2295/11</v>
          </cell>
          <cell r="AA88">
            <v>3909.8451640000003</v>
          </cell>
          <cell r="AB88">
            <v>327.56516190000013</v>
          </cell>
        </row>
        <row r="89">
          <cell r="A89" t="str">
            <v>3244/11</v>
          </cell>
          <cell r="B89">
            <v>40855</v>
          </cell>
          <cell r="C89" t="str">
            <v>2011-0.293.341-0</v>
          </cell>
          <cell r="D89" t="str">
            <v>ELIAS BISPO DA SILVA NETO</v>
          </cell>
          <cell r="E89">
            <v>25519286809</v>
          </cell>
          <cell r="F89">
            <v>16569</v>
          </cell>
          <cell r="G89">
            <v>2746.33</v>
          </cell>
          <cell r="Z89" t="str">
            <v>3244/11</v>
          </cell>
          <cell r="AA89">
            <v>3551.2528079999997</v>
          </cell>
          <cell r="AB89">
            <v>246.88188179999997</v>
          </cell>
        </row>
        <row r="90">
          <cell r="A90" t="str">
            <v>2296/11</v>
          </cell>
          <cell r="B90">
            <v>40812</v>
          </cell>
          <cell r="C90" t="str">
            <v>2011-0.227.324-0</v>
          </cell>
          <cell r="D90" t="str">
            <v>ELIZEU PEREIRA FRANCO</v>
          </cell>
          <cell r="E90" t="str">
            <v>099.425.698-12</v>
          </cell>
          <cell r="F90">
            <v>14823</v>
          </cell>
          <cell r="G90">
            <v>3400.17</v>
          </cell>
          <cell r="Z90" t="str">
            <v>2296/11</v>
          </cell>
          <cell r="AA90">
            <v>3379.8087599999999</v>
          </cell>
          <cell r="AB90">
            <v>208.30697099999998</v>
          </cell>
        </row>
        <row r="91">
          <cell r="A91" t="str">
            <v>3051/11</v>
          </cell>
          <cell r="B91">
            <v>40847</v>
          </cell>
          <cell r="C91" t="str">
            <v>2011-0.260.325-9</v>
          </cell>
          <cell r="D91" t="str">
            <v>EVANDRO GOMES SOARES</v>
          </cell>
          <cell r="E91" t="str">
            <v>251.717.198-02</v>
          </cell>
          <cell r="F91">
            <v>16558</v>
          </cell>
          <cell r="G91">
            <v>2964.26</v>
          </cell>
          <cell r="Z91" t="str">
            <v>3051/11</v>
          </cell>
          <cell r="AA91">
            <v>2638.2960280000002</v>
          </cell>
          <cell r="AB91">
            <v>88.944404200000008</v>
          </cell>
        </row>
        <row r="92">
          <cell r="A92" t="str">
            <v>3007/11</v>
          </cell>
          <cell r="B92">
            <v>40842</v>
          </cell>
          <cell r="C92" t="str">
            <v>2011-0.259.062-9</v>
          </cell>
          <cell r="D92" t="str">
            <v>EVERTON DA SILVA HONORIO</v>
          </cell>
          <cell r="E92" t="str">
            <v>224.865.808-75</v>
          </cell>
          <cell r="F92">
            <v>15129</v>
          </cell>
          <cell r="G92">
            <v>2650.9</v>
          </cell>
          <cell r="Z92" t="str">
            <v>3007/11</v>
          </cell>
          <cell r="AA92">
            <v>2701.2957159999996</v>
          </cell>
          <cell r="AB92">
            <v>98.394357399999933</v>
          </cell>
        </row>
        <row r="93">
          <cell r="A93" t="str">
            <v>3240/11</v>
          </cell>
          <cell r="B93">
            <v>40854</v>
          </cell>
          <cell r="C93" t="str">
            <v>2011-0.293.313-5</v>
          </cell>
          <cell r="D93" t="str">
            <v>FABIANO ALVES DOS SANTOS</v>
          </cell>
          <cell r="E93">
            <v>27080302803</v>
          </cell>
          <cell r="F93">
            <v>16568</v>
          </cell>
          <cell r="G93">
            <v>2528.39</v>
          </cell>
          <cell r="Z93" t="str">
            <v>3240/11</v>
          </cell>
          <cell r="AA93">
            <v>2886.2776799999997</v>
          </cell>
          <cell r="AB93">
            <v>126.14165199999991</v>
          </cell>
        </row>
        <row r="94">
          <cell r="A94" t="str">
            <v>2756/11</v>
          </cell>
          <cell r="B94">
            <v>40826</v>
          </cell>
          <cell r="C94" t="str">
            <v>2011-0.256.770-8</v>
          </cell>
          <cell r="D94" t="str">
            <v>FABIO PEROZI</v>
          </cell>
          <cell r="E94" t="str">
            <v>046.386.058-69</v>
          </cell>
          <cell r="F94">
            <v>16221</v>
          </cell>
          <cell r="G94">
            <v>3291.19</v>
          </cell>
          <cell r="Z94" t="str">
            <v>2756/11</v>
          </cell>
          <cell r="AA94">
            <v>3317.2576000000004</v>
          </cell>
          <cell r="AB94">
            <v>194.23296000000016</v>
          </cell>
        </row>
        <row r="95">
          <cell r="A95" t="str">
            <v>2552/11</v>
          </cell>
          <cell r="B95">
            <v>40819</v>
          </cell>
          <cell r="C95" t="str">
            <v>2011-0.230.254-2</v>
          </cell>
          <cell r="D95" t="str">
            <v>FABIO ROBERTO DA ROCHA</v>
          </cell>
          <cell r="E95" t="str">
            <v>184.750.308-07</v>
          </cell>
          <cell r="F95">
            <v>16459</v>
          </cell>
          <cell r="G95">
            <v>2964.26</v>
          </cell>
          <cell r="Z95" t="str">
            <v>2552/11</v>
          </cell>
          <cell r="AA95">
            <v>2685.0157679999998</v>
          </cell>
          <cell r="AB95">
            <v>95.952365199999917</v>
          </cell>
        </row>
        <row r="96">
          <cell r="A96" t="str">
            <v>3222/11</v>
          </cell>
          <cell r="B96">
            <v>40857</v>
          </cell>
          <cell r="C96" t="str">
            <v>2011-0.293.394-1</v>
          </cell>
          <cell r="D96" t="str">
            <v>FERNANDO ULISSES CAVALIERI GONZALES</v>
          </cell>
          <cell r="E96">
            <v>21279577843</v>
          </cell>
          <cell r="F96">
            <v>16570</v>
          </cell>
          <cell r="G96">
            <v>2122</v>
          </cell>
          <cell r="Z96" t="str">
            <v>3222/11</v>
          </cell>
          <cell r="AA96">
            <v>3313.5977040000002</v>
          </cell>
          <cell r="AB96">
            <v>193.40948340000011</v>
          </cell>
        </row>
        <row r="97">
          <cell r="A97" t="str">
            <v>2398/11</v>
          </cell>
          <cell r="B97">
            <v>40812</v>
          </cell>
          <cell r="C97" t="str">
            <v>2011-0.229.128-1</v>
          </cell>
          <cell r="D97" t="str">
            <v>FRANCIMAR LEANDRO</v>
          </cell>
          <cell r="E97" t="str">
            <v>111.682.088-9</v>
          </cell>
          <cell r="F97">
            <v>14955</v>
          </cell>
          <cell r="G97">
            <v>2447.83</v>
          </cell>
          <cell r="Z97" t="str">
            <v>2398/11</v>
          </cell>
          <cell r="AA97">
            <v>2778.9361439999998</v>
          </cell>
          <cell r="AB97">
            <v>110.04042159999995</v>
          </cell>
        </row>
        <row r="98">
          <cell r="A98" t="str">
            <v>2297/11</v>
          </cell>
          <cell r="B98">
            <v>40812</v>
          </cell>
          <cell r="C98" t="str">
            <v>2011-0.227.327-5</v>
          </cell>
          <cell r="D98" t="str">
            <v>FRANCISCO LEDILSON DA SILVA MAIA</v>
          </cell>
          <cell r="E98" t="str">
            <v>295.042.792-87</v>
          </cell>
          <cell r="F98">
            <v>16375</v>
          </cell>
          <cell r="G98">
            <v>2855.3</v>
          </cell>
          <cell r="Z98" t="str">
            <v>2297/11</v>
          </cell>
          <cell r="AA98">
            <v>2579.6405880000002</v>
          </cell>
          <cell r="AB98">
            <v>80.146088200000008</v>
          </cell>
        </row>
        <row r="99">
          <cell r="A99" t="str">
            <v>2079/11</v>
          </cell>
          <cell r="B99">
            <v>40805</v>
          </cell>
          <cell r="C99" t="str">
            <v>2011-0.224.226-4</v>
          </cell>
          <cell r="D99" t="str">
            <v>GEDEON BERNARDINO DE SENA</v>
          </cell>
          <cell r="E99" t="str">
            <v>128.360.298-97</v>
          </cell>
          <cell r="F99">
            <v>16299</v>
          </cell>
          <cell r="G99">
            <v>3400.17</v>
          </cell>
          <cell r="Z99" t="str">
            <v>2079/11</v>
          </cell>
          <cell r="AA99">
            <v>2933.7569119999998</v>
          </cell>
          <cell r="AB99">
            <v>133.26353679999994</v>
          </cell>
        </row>
        <row r="100">
          <cell r="A100" t="str">
            <v>2372/11</v>
          </cell>
          <cell r="B100">
            <v>40812</v>
          </cell>
          <cell r="C100" t="str">
            <v>2011-0.228.606-7</v>
          </cell>
          <cell r="D100" t="str">
            <v>GILBERTO DO CARMO SANTOS</v>
          </cell>
          <cell r="E100" t="str">
            <v>134.863.178-30</v>
          </cell>
          <cell r="F100">
            <v>14921</v>
          </cell>
          <cell r="G100">
            <v>3618.12</v>
          </cell>
          <cell r="Z100" t="str">
            <v>2372/11</v>
          </cell>
          <cell r="AA100">
            <v>3782.3967420000004</v>
          </cell>
          <cell r="AB100">
            <v>298.88926695000009</v>
          </cell>
        </row>
        <row r="101">
          <cell r="A101" t="str">
            <v>2274/11</v>
          </cell>
          <cell r="B101">
            <v>40812</v>
          </cell>
          <cell r="C101" t="str">
            <v>2011-0.227.147-7</v>
          </cell>
          <cell r="D101" t="str">
            <v>GILBERTO JOSÉ GOMES</v>
          </cell>
          <cell r="E101" t="str">
            <v>592.270.878-34</v>
          </cell>
          <cell r="F101">
            <v>16358</v>
          </cell>
          <cell r="G101">
            <v>2583.21</v>
          </cell>
          <cell r="Z101" t="str">
            <v>2274/11</v>
          </cell>
          <cell r="AA101">
            <v>2141.4287319999999</v>
          </cell>
          <cell r="AB101">
            <v>37.827154899999982</v>
          </cell>
        </row>
        <row r="102">
          <cell r="A102" t="str">
            <v>1977/11</v>
          </cell>
          <cell r="B102">
            <v>40798</v>
          </cell>
          <cell r="C102" t="str">
            <v>2011-0.222.379-0</v>
          </cell>
          <cell r="D102" t="str">
            <v>GILMAR GRANDINI</v>
          </cell>
          <cell r="E102" t="str">
            <v>006.092.538-83</v>
          </cell>
          <cell r="F102">
            <v>16268</v>
          </cell>
          <cell r="G102">
            <v>3509.14</v>
          </cell>
          <cell r="Z102" t="str">
            <v>1977/11</v>
          </cell>
          <cell r="AA102">
            <v>3349.177072</v>
          </cell>
          <cell r="AB102">
            <v>201.41484120000007</v>
          </cell>
        </row>
        <row r="103">
          <cell r="A103" t="str">
            <v>2045/11</v>
          </cell>
          <cell r="B103">
            <v>40805</v>
          </cell>
          <cell r="C103" t="str">
            <v>2011-0.223.277-3</v>
          </cell>
          <cell r="D103" t="str">
            <v>GILSON ELIAS DOS SANTOS</v>
          </cell>
          <cell r="E103" t="str">
            <v>012.236.058-33</v>
          </cell>
          <cell r="F103">
            <v>16286</v>
          </cell>
          <cell r="G103">
            <v>3400.17</v>
          </cell>
          <cell r="Z103" t="str">
            <v>2045/11</v>
          </cell>
          <cell r="AA103">
            <v>3558.5691319999996</v>
          </cell>
          <cell r="AB103">
            <v>248.52805469999998</v>
          </cell>
        </row>
        <row r="104">
          <cell r="A104" t="str">
            <v>2151/11</v>
          </cell>
          <cell r="B104">
            <v>40805</v>
          </cell>
          <cell r="C104" t="str">
            <v>2011-0.224.759-2</v>
          </cell>
          <cell r="D104" t="str">
            <v>GILVANETE ROQUE DA CRUZ</v>
          </cell>
          <cell r="E104" t="str">
            <v>092.416.578-20</v>
          </cell>
          <cell r="F104">
            <v>14731</v>
          </cell>
          <cell r="G104">
            <v>2964.26</v>
          </cell>
          <cell r="Z104" t="str">
            <v>2151/11</v>
          </cell>
          <cell r="AA104">
            <v>3072.5289320000002</v>
          </cell>
          <cell r="AB104">
            <v>154.07933980000001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Z105" t="str">
            <v>1713/11</v>
          </cell>
          <cell r="AA105">
            <v>3596.9616259999998</v>
          </cell>
          <cell r="AB105">
            <v>257.16636585000003</v>
          </cell>
        </row>
        <row r="106">
          <cell r="A106" t="str">
            <v>2332/11</v>
          </cell>
          <cell r="B106">
            <v>40812</v>
          </cell>
          <cell r="C106" t="str">
            <v>2011-0.227.330-5</v>
          </cell>
          <cell r="D106" t="str">
            <v xml:space="preserve">HERINALDO JOAQUIM DE SANTANA </v>
          </cell>
          <cell r="E106" t="str">
            <v>287.816.368-06</v>
          </cell>
          <cell r="F106">
            <v>14869</v>
          </cell>
          <cell r="G106">
            <v>3400.17</v>
          </cell>
          <cell r="Z106" t="str">
            <v>2332/11</v>
          </cell>
          <cell r="AA106">
            <v>3503.366086</v>
          </cell>
          <cell r="AB106">
            <v>236.10736935</v>
          </cell>
        </row>
        <row r="107">
          <cell r="A107" t="str">
            <v>1751/11</v>
          </cell>
          <cell r="B107">
            <v>40770</v>
          </cell>
          <cell r="C107" t="str">
            <v>2011-0.200.497-5</v>
          </cell>
          <cell r="D107" t="str">
            <v>INACIO VENANCIO SILVA</v>
          </cell>
          <cell r="E107" t="str">
            <v>995.925.768-15</v>
          </cell>
          <cell r="F107">
            <v>14610</v>
          </cell>
          <cell r="G107">
            <v>951.76666666666677</v>
          </cell>
          <cell r="Z107" t="str">
            <v>1751/11</v>
          </cell>
          <cell r="AA107">
            <v>3136.0060480000002</v>
          </cell>
          <cell r="AB107">
            <v>163.60090719999999</v>
          </cell>
        </row>
        <row r="108">
          <cell r="A108" t="str">
            <v>2082/11</v>
          </cell>
          <cell r="B108">
            <v>40805</v>
          </cell>
          <cell r="C108" t="str">
            <v>2011-0.224.313-9</v>
          </cell>
          <cell r="D108" t="str">
            <v>IVAN DE ANDRADE GOUVEIA</v>
          </cell>
          <cell r="E108" t="str">
            <v>684.660.808-72</v>
          </cell>
          <cell r="F108">
            <v>14693</v>
          </cell>
          <cell r="G108">
            <v>1703.2</v>
          </cell>
          <cell r="Z108" t="str">
            <v>2082/11</v>
          </cell>
          <cell r="AA108">
            <v>1719.3789119999997</v>
          </cell>
          <cell r="AB108">
            <v>6.1734183999999743</v>
          </cell>
        </row>
        <row r="109">
          <cell r="A109" t="str">
            <v>2457/11</v>
          </cell>
          <cell r="B109">
            <v>40812</v>
          </cell>
          <cell r="C109" t="str">
            <v>2011-0.228.955-4</v>
          </cell>
          <cell r="D109" t="str">
            <v>IVANILDO DE ANDRADE</v>
          </cell>
          <cell r="E109" t="str">
            <v>033.847.978-33</v>
          </cell>
          <cell r="F109">
            <v>15005</v>
          </cell>
          <cell r="G109">
            <v>2515.52</v>
          </cell>
          <cell r="Z109" t="str">
            <v>2457/11</v>
          </cell>
          <cell r="AA109">
            <v>2426.8150759999999</v>
          </cell>
          <cell r="AB109">
            <v>59.231130699999994</v>
          </cell>
        </row>
        <row r="110">
          <cell r="A110" t="str">
            <v>2116/11</v>
          </cell>
          <cell r="B110">
            <v>40805</v>
          </cell>
          <cell r="C110" t="str">
            <v>2011-0.224.484-4</v>
          </cell>
          <cell r="D110" t="str">
            <v>IVANILTO MIRANDA DE OLIVEIRA</v>
          </cell>
          <cell r="E110" t="str">
            <v>118.564.728-76</v>
          </cell>
          <cell r="F110">
            <v>14699</v>
          </cell>
          <cell r="G110">
            <v>3400.17</v>
          </cell>
          <cell r="Z110" t="str">
            <v>2116/11</v>
          </cell>
          <cell r="AA110">
            <v>3657.7365919999997</v>
          </cell>
          <cell r="AB110">
            <v>270.84073319999993</v>
          </cell>
        </row>
        <row r="111">
          <cell r="A111" t="str">
            <v>2711/11</v>
          </cell>
          <cell r="B111">
            <v>40826</v>
          </cell>
          <cell r="C111" t="str">
            <v>2011-0.256.678-7</v>
          </cell>
          <cell r="D111" t="str">
            <v>IVO MIGUEL JUNIOR</v>
          </cell>
          <cell r="E111" t="str">
            <v>060.181.858-06</v>
          </cell>
          <cell r="F111">
            <v>15049</v>
          </cell>
          <cell r="G111">
            <v>3400.17</v>
          </cell>
          <cell r="Z111" t="str">
            <v>2711/11</v>
          </cell>
          <cell r="AA111">
            <v>3194.6799839999994</v>
          </cell>
          <cell r="AB111">
            <v>172.4019975999999</v>
          </cell>
        </row>
        <row r="112">
          <cell r="A112" t="str">
            <v>2399/11</v>
          </cell>
          <cell r="B112">
            <v>40812</v>
          </cell>
          <cell r="C112" t="str">
            <v>2011-0.229.134-6</v>
          </cell>
          <cell r="D112" t="str">
            <v>IVONE APARECIDA HESSEL</v>
          </cell>
          <cell r="E112" t="str">
            <v>048.749.688-48</v>
          </cell>
          <cell r="F112">
            <v>14958</v>
          </cell>
          <cell r="G112">
            <v>3400.17</v>
          </cell>
          <cell r="Z112" t="str">
            <v>2399/11</v>
          </cell>
          <cell r="AA112">
            <v>3475.3614079999998</v>
          </cell>
          <cell r="AB112">
            <v>229.80631679999999</v>
          </cell>
        </row>
        <row r="113">
          <cell r="A113" t="str">
            <v>2923/11</v>
          </cell>
          <cell r="B113">
            <v>40833</v>
          </cell>
          <cell r="C113" t="str">
            <v>2011-0.258.666-4</v>
          </cell>
          <cell r="D113" t="str">
            <v>JACKSON DE DEUS DA SILVA</v>
          </cell>
          <cell r="E113" t="str">
            <v>189.679.978-76</v>
          </cell>
          <cell r="F113">
            <v>15111</v>
          </cell>
          <cell r="G113">
            <v>1703.2</v>
          </cell>
          <cell r="Z113" t="str">
            <v>2923/11</v>
          </cell>
          <cell r="AA113">
            <v>1642.6771560000002</v>
          </cell>
          <cell r="AB113">
            <v>0.42078670000000784</v>
          </cell>
        </row>
        <row r="114">
          <cell r="A114" t="str">
            <v>1819/11</v>
          </cell>
          <cell r="B114">
            <v>40784</v>
          </cell>
          <cell r="C114" t="str">
            <v>2011-0.201.773-2</v>
          </cell>
          <cell r="D114" t="str">
            <v>JACSON MARCOS CARDOZO</v>
          </cell>
          <cell r="E114" t="str">
            <v>245.963.988-01</v>
          </cell>
          <cell r="F114">
            <v>14621</v>
          </cell>
          <cell r="G114">
            <v>2066.5680000000002</v>
          </cell>
          <cell r="Z114" t="str">
            <v>1819/11</v>
          </cell>
          <cell r="AA114">
            <v>2706.9520240000006</v>
          </cell>
          <cell r="AB114">
            <v>99.242803600000059</v>
          </cell>
        </row>
        <row r="115">
          <cell r="A115" t="str">
            <v>1894/11</v>
          </cell>
          <cell r="B115">
            <v>40791</v>
          </cell>
          <cell r="C115" t="str">
            <v>2011-0.221.164-4</v>
          </cell>
          <cell r="D115" t="str">
            <v>JAIR GIL</v>
          </cell>
          <cell r="E115" t="str">
            <v>030.150.398-22</v>
          </cell>
          <cell r="F115">
            <v>16228</v>
          </cell>
          <cell r="G115">
            <v>3400.17</v>
          </cell>
          <cell r="Z115" t="str">
            <v>1894/11</v>
          </cell>
          <cell r="AA115">
            <v>3209.3265039999997</v>
          </cell>
          <cell r="AB115">
            <v>174.5989755999999</v>
          </cell>
        </row>
        <row r="116">
          <cell r="A116" t="str">
            <v>2299/11</v>
          </cell>
          <cell r="B116">
            <v>40812</v>
          </cell>
          <cell r="C116" t="str">
            <v>2011-0.227.333-0</v>
          </cell>
          <cell r="D116" t="str">
            <v>JANIO MATSUDA</v>
          </cell>
          <cell r="E116" t="str">
            <v>136.194.658-00</v>
          </cell>
          <cell r="F116">
            <v>14833</v>
          </cell>
          <cell r="G116">
            <v>3400.17</v>
          </cell>
          <cell r="Z116" t="str">
            <v>2299/11</v>
          </cell>
          <cell r="AA116">
            <v>3537.9680559999997</v>
          </cell>
          <cell r="AB116">
            <v>243.89281259999996</v>
          </cell>
        </row>
        <row r="117">
          <cell r="A117" t="str">
            <v>3311/11</v>
          </cell>
          <cell r="B117">
            <v>40868</v>
          </cell>
          <cell r="C117" t="str">
            <v>2011-0.293.218-0</v>
          </cell>
          <cell r="D117" t="str">
            <v>JANSEN FLORENTINO DE MORAES</v>
          </cell>
          <cell r="E117" t="str">
            <v>143.392.758-67</v>
          </cell>
          <cell r="F117">
            <v>16586</v>
          </cell>
          <cell r="G117">
            <v>3836.07</v>
          </cell>
          <cell r="Z117" t="str">
            <v>3311/11</v>
          </cell>
          <cell r="AA117">
            <v>3524.4035520000007</v>
          </cell>
          <cell r="AB117">
            <v>240.84079920000022</v>
          </cell>
        </row>
        <row r="118">
          <cell r="A118" t="str">
            <v>2837/11</v>
          </cell>
          <cell r="B118">
            <v>40826</v>
          </cell>
          <cell r="C118" t="str">
            <v>2011-0.256.963-8</v>
          </cell>
          <cell r="D118" t="str">
            <v>JEFFERSON ROBERTO GALVÃO</v>
          </cell>
          <cell r="E118" t="str">
            <v>291.613.968-00</v>
          </cell>
          <cell r="F118">
            <v>15084</v>
          </cell>
          <cell r="G118">
            <v>3400.17</v>
          </cell>
          <cell r="Z118" t="str">
            <v>2837/11</v>
          </cell>
          <cell r="AA118">
            <v>3945.5066079999997</v>
          </cell>
          <cell r="AB118">
            <v>335.58898679999993</v>
          </cell>
        </row>
        <row r="119">
          <cell r="A119" t="str">
            <v>2427/11</v>
          </cell>
          <cell r="B119">
            <v>40812</v>
          </cell>
          <cell r="C119" t="str">
            <v>2011-0.229.759-0</v>
          </cell>
          <cell r="D119" t="str">
            <v>JESSICA OLIVEIRA DOS SANTOS SILVA</v>
          </cell>
          <cell r="E119" t="str">
            <v>308.923.818-76</v>
          </cell>
          <cell r="F119">
            <v>14965</v>
          </cell>
          <cell r="G119">
            <v>2855.3</v>
          </cell>
          <cell r="Z119" t="str">
            <v>2427/11</v>
          </cell>
          <cell r="AA119">
            <v>2951.0159920000001</v>
          </cell>
          <cell r="AB119">
            <v>135.8523988</v>
          </cell>
        </row>
        <row r="120">
          <cell r="A120" t="str">
            <v>3042/11</v>
          </cell>
          <cell r="B120">
            <v>40847</v>
          </cell>
          <cell r="C120" t="str">
            <v>2011-0.260.304-6</v>
          </cell>
          <cell r="D120" t="str">
            <v>JESUSNILDO SILVA SACRAMENTO</v>
          </cell>
          <cell r="E120" t="str">
            <v>043.821.038-78</v>
          </cell>
          <cell r="F120">
            <v>15130</v>
          </cell>
          <cell r="G120">
            <v>3400.17</v>
          </cell>
          <cell r="Z120" t="str">
            <v>3042/11</v>
          </cell>
          <cell r="AA120">
            <v>3412.5039080000001</v>
          </cell>
          <cell r="AB120">
            <v>215.66337930000009</v>
          </cell>
        </row>
        <row r="121">
          <cell r="A121" t="str">
            <v>2004/11</v>
          </cell>
          <cell r="B121">
            <v>40798</v>
          </cell>
          <cell r="C121" t="str">
            <v>2011-0.222.797-4</v>
          </cell>
          <cell r="D121" t="str">
            <v>JOÃO CARLOS DA SILVA REIS</v>
          </cell>
          <cell r="E121" t="str">
            <v>050.358.018-02</v>
          </cell>
          <cell r="F121">
            <v>14661</v>
          </cell>
          <cell r="G121">
            <v>3400.17</v>
          </cell>
          <cell r="Z121" t="str">
            <v>2004/11</v>
          </cell>
          <cell r="AA121">
            <v>3539.3829999999998</v>
          </cell>
          <cell r="AB121">
            <v>244.21117500000003</v>
          </cell>
        </row>
        <row r="122">
          <cell r="A122" t="str">
            <v>3300/11</v>
          </cell>
          <cell r="B122">
            <v>40868</v>
          </cell>
          <cell r="C122" t="str">
            <v>2011-0.293.315-1</v>
          </cell>
          <cell r="D122" t="str">
            <v>JOÃO CARLOS ROSA</v>
          </cell>
          <cell r="E122" t="str">
            <v>082.682.288-65</v>
          </cell>
          <cell r="F122">
            <v>16584</v>
          </cell>
          <cell r="G122">
            <v>1659</v>
          </cell>
          <cell r="Z122" t="str">
            <v>3300/11</v>
          </cell>
          <cell r="AA122">
            <v>2803.5115479999999</v>
          </cell>
          <cell r="AB122">
            <v>113.72673219999996</v>
          </cell>
        </row>
        <row r="123">
          <cell r="A123" t="str">
            <v>3043/11</v>
          </cell>
          <cell r="B123">
            <v>40847</v>
          </cell>
          <cell r="C123" t="str">
            <v>2011-0.260.307-0</v>
          </cell>
          <cell r="D123" t="str">
            <v>JOÃO CESAR DOS SANTOS</v>
          </cell>
          <cell r="E123" t="str">
            <v>291.934.678-42</v>
          </cell>
          <cell r="F123">
            <v>16556</v>
          </cell>
          <cell r="G123">
            <v>3400.17</v>
          </cell>
          <cell r="Z123" t="str">
            <v>3043/11</v>
          </cell>
          <cell r="AA123">
            <v>3488.3664079999999</v>
          </cell>
          <cell r="AB123">
            <v>232.73244180000006</v>
          </cell>
        </row>
        <row r="124">
          <cell r="A124" t="str">
            <v>2551/11</v>
          </cell>
          <cell r="B124">
            <v>40819</v>
          </cell>
          <cell r="C124" t="str">
            <v>2011-0.230.250-0</v>
          </cell>
          <cell r="D124" t="str">
            <v>JOÃO DANTAS DE MENDONCA</v>
          </cell>
          <cell r="E124" t="str">
            <v>644.961.478-15</v>
          </cell>
          <cell r="F124">
            <v>15042</v>
          </cell>
          <cell r="G124">
            <v>3291.19</v>
          </cell>
          <cell r="Z124" t="str">
            <v>2551/11</v>
          </cell>
          <cell r="AA124">
            <v>3183.4644720000001</v>
          </cell>
          <cell r="AB124">
            <v>170.71967079999996</v>
          </cell>
        </row>
        <row r="125">
          <cell r="A125" t="str">
            <v>2555/11</v>
          </cell>
          <cell r="B125">
            <v>40819</v>
          </cell>
          <cell r="C125" t="str">
            <v>2011-0.230.262-3</v>
          </cell>
          <cell r="D125" t="str">
            <v>JOÃO ELIEZER DA SILVA</v>
          </cell>
          <cell r="E125" t="str">
            <v>534.190.658-68</v>
          </cell>
          <cell r="F125">
            <v>16461</v>
          </cell>
          <cell r="G125">
            <v>3400.17</v>
          </cell>
          <cell r="Z125" t="str">
            <v>2555/11</v>
          </cell>
          <cell r="AA125">
            <v>3392.996408</v>
          </cell>
          <cell r="AB125">
            <v>211.27419180000004</v>
          </cell>
        </row>
        <row r="126">
          <cell r="A126" t="str">
            <v>2466/11</v>
          </cell>
          <cell r="B126">
            <v>40812</v>
          </cell>
          <cell r="C126" t="str">
            <v>2011-0.229.008-0</v>
          </cell>
          <cell r="D126" t="str">
            <v xml:space="preserve">JOÃO EVANGELISTA PIRES </v>
          </cell>
          <cell r="E126" t="str">
            <v>030.543.288-56</v>
          </cell>
          <cell r="F126">
            <v>16454</v>
          </cell>
          <cell r="G126">
            <v>2380.14</v>
          </cell>
          <cell r="Z126" t="str">
            <v>2466/11</v>
          </cell>
          <cell r="AA126">
            <v>2019.4684199999999</v>
          </cell>
          <cell r="AB126">
            <v>28.680131499999987</v>
          </cell>
        </row>
        <row r="127">
          <cell r="A127" t="str">
            <v>2117/11</v>
          </cell>
          <cell r="B127">
            <v>40805</v>
          </cell>
          <cell r="C127" t="str">
            <v>2011-0.224.488-7</v>
          </cell>
          <cell r="D127" t="str">
            <v>JOÃO LINO DE SOUSA</v>
          </cell>
          <cell r="E127" t="str">
            <v>159.292.993-15</v>
          </cell>
          <cell r="F127">
            <v>14712</v>
          </cell>
          <cell r="G127">
            <v>3400.17</v>
          </cell>
          <cell r="Z127" t="str">
            <v>2117/11</v>
          </cell>
          <cell r="AA127">
            <v>3928.3492559999995</v>
          </cell>
          <cell r="AB127">
            <v>331.72858259999998</v>
          </cell>
        </row>
        <row r="128">
          <cell r="A128" t="str">
            <v>2118/11</v>
          </cell>
          <cell r="B128">
            <v>40805</v>
          </cell>
          <cell r="C128" t="str">
            <v>2011-0.224.490-9</v>
          </cell>
          <cell r="D128" t="str">
            <v>JOÃO MARCOS LIMA CRUZ</v>
          </cell>
          <cell r="E128" t="str">
            <v>011.360.598-65</v>
          </cell>
          <cell r="F128">
            <v>16330</v>
          </cell>
          <cell r="G128">
            <v>2855.3</v>
          </cell>
          <cell r="Z128" t="str">
            <v>2118/11</v>
          </cell>
          <cell r="AA128">
            <v>2851.1583999999998</v>
          </cell>
          <cell r="AB128">
            <v>120.87375999999995</v>
          </cell>
        </row>
        <row r="129">
          <cell r="A129" t="str">
            <v>2458/11</v>
          </cell>
          <cell r="B129">
            <v>40812</v>
          </cell>
          <cell r="C129" t="str">
            <v>2011-0.228.959-7</v>
          </cell>
          <cell r="D129" t="str">
            <v>JOÃO VELOSO COSTA</v>
          </cell>
          <cell r="E129" t="str">
            <v>013.191.868-07</v>
          </cell>
          <cell r="F129">
            <v>16429</v>
          </cell>
          <cell r="G129">
            <v>3400.17</v>
          </cell>
          <cell r="Z129" t="str">
            <v>2458/11</v>
          </cell>
          <cell r="AA129">
            <v>2975.441116</v>
          </cell>
          <cell r="AB129">
            <v>139.51616739999997</v>
          </cell>
        </row>
        <row r="130">
          <cell r="A130" t="str">
            <v>2528/11</v>
          </cell>
          <cell r="B130">
            <v>40819</v>
          </cell>
          <cell r="C130" t="str">
            <v>2011-0.230.125-2</v>
          </cell>
          <cell r="D130" t="str">
            <v>JOAQUIM DE OLIVEIRA ARAUJO</v>
          </cell>
          <cell r="E130" t="str">
            <v>940.402.658-15</v>
          </cell>
          <cell r="F130">
            <v>15036</v>
          </cell>
          <cell r="G130">
            <v>3400.17</v>
          </cell>
          <cell r="Z130" t="str">
            <v>2528/11</v>
          </cell>
          <cell r="AA130">
            <v>3514.125556</v>
          </cell>
          <cell r="AB130">
            <v>238.52825010000004</v>
          </cell>
        </row>
        <row r="131">
          <cell r="A131" t="str">
            <v>2866/11</v>
          </cell>
          <cell r="B131">
            <v>40833</v>
          </cell>
          <cell r="C131" t="str">
            <v>2011-0.257.463-1</v>
          </cell>
          <cell r="D131" t="str">
            <v>JONAS ANTONIO DA SILVA</v>
          </cell>
          <cell r="E131" t="str">
            <v>254.675.478-52</v>
          </cell>
          <cell r="F131">
            <v>15092</v>
          </cell>
          <cell r="G131">
            <v>1906.28</v>
          </cell>
          <cell r="Z131" t="str">
            <v>2866/11</v>
          </cell>
          <cell r="AA131">
            <v>1713.566544</v>
          </cell>
          <cell r="AB131">
            <v>5.7374907999999891</v>
          </cell>
        </row>
        <row r="132">
          <cell r="A132" t="str">
            <v>2912/11</v>
          </cell>
          <cell r="B132">
            <v>40833</v>
          </cell>
          <cell r="C132" t="str">
            <v>2011-0.258.650-8</v>
          </cell>
          <cell r="D132" t="str">
            <v>JONAS SERNA</v>
          </cell>
          <cell r="E132" t="str">
            <v>044.600.688-26</v>
          </cell>
          <cell r="F132">
            <v>15104</v>
          </cell>
          <cell r="G132">
            <v>2583.21</v>
          </cell>
          <cell r="Z132" t="str">
            <v>2912/11</v>
          </cell>
          <cell r="AA132">
            <v>2461.7875440000003</v>
          </cell>
          <cell r="AB132">
            <v>62.468131599999992</v>
          </cell>
        </row>
        <row r="133">
          <cell r="A133" t="str">
            <v>2459/11</v>
          </cell>
          <cell r="B133">
            <v>40812</v>
          </cell>
          <cell r="C133" t="str">
            <v>2011-0.228.965-1</v>
          </cell>
          <cell r="D133" t="str">
            <v>JONES HONORIO DA CUNHA</v>
          </cell>
          <cell r="E133" t="str">
            <v>370.347.906-04</v>
          </cell>
          <cell r="F133">
            <v>16431</v>
          </cell>
          <cell r="G133">
            <v>3400.17</v>
          </cell>
          <cell r="Z133" t="str">
            <v>2459/11</v>
          </cell>
          <cell r="AA133">
            <v>2897.1602640000001</v>
          </cell>
          <cell r="AB133">
            <v>127.77403959999998</v>
          </cell>
        </row>
        <row r="134">
          <cell r="A134" t="str">
            <v>2083/11</v>
          </cell>
          <cell r="B134">
            <v>40805</v>
          </cell>
          <cell r="C134" t="str">
            <v>2011-0.224.676-6</v>
          </cell>
          <cell r="D134" t="str">
            <v>JORGE EDUARDO DOS SANTOS</v>
          </cell>
          <cell r="E134" t="str">
            <v>537.701.105-87</v>
          </cell>
          <cell r="F134">
            <v>16301</v>
          </cell>
          <cell r="G134">
            <v>3400.17</v>
          </cell>
          <cell r="Z134" t="str">
            <v>2083/11</v>
          </cell>
          <cell r="AA134">
            <v>3047.6683813333334</v>
          </cell>
          <cell r="AB134">
            <v>150.35025719999999</v>
          </cell>
        </row>
        <row r="135">
          <cell r="A135" t="str">
            <v>2757/11</v>
          </cell>
          <cell r="B135">
            <v>40826</v>
          </cell>
          <cell r="C135" t="str">
            <v>2011-0.256.773-2</v>
          </cell>
          <cell r="D135" t="str">
            <v>JORGE PEREIRA DA CRUZ SILVA</v>
          </cell>
          <cell r="E135" t="str">
            <v>083.192.355-53</v>
          </cell>
          <cell r="F135">
            <v>15061</v>
          </cell>
          <cell r="G135">
            <v>2041.67</v>
          </cell>
          <cell r="Z135" t="str">
            <v>2757/11</v>
          </cell>
          <cell r="AA135">
            <v>2390.2773839999995</v>
          </cell>
          <cell r="AB135">
            <v>56.490803799999952</v>
          </cell>
        </row>
        <row r="136">
          <cell r="A136" t="str">
            <v>1816/11</v>
          </cell>
          <cell r="B136">
            <v>40784</v>
          </cell>
          <cell r="C136" t="str">
            <v>2011-0.201.757-0</v>
          </cell>
          <cell r="D136" t="str">
            <v>JOSÉ ALBERTO SANTANA DE LIMA</v>
          </cell>
          <cell r="E136" t="str">
            <v>074.162.998-45</v>
          </cell>
          <cell r="F136">
            <v>14626</v>
          </cell>
          <cell r="G136">
            <v>2066.5680000000002</v>
          </cell>
          <cell r="Z136" t="str">
            <v>1816/11</v>
          </cell>
          <cell r="AA136">
            <v>2827.7540240000003</v>
          </cell>
          <cell r="AB136">
            <v>117.36310360000004</v>
          </cell>
        </row>
        <row r="137">
          <cell r="A137" t="str">
            <v>2213/11</v>
          </cell>
          <cell r="B137">
            <v>40805</v>
          </cell>
          <cell r="C137" t="str">
            <v>2011-0.226.849-2</v>
          </cell>
          <cell r="D137" t="str">
            <v>JOSÉ ALDO ENEAS DA COSTA</v>
          </cell>
          <cell r="E137" t="str">
            <v>805.917.104-63</v>
          </cell>
          <cell r="F137">
            <v>14774</v>
          </cell>
          <cell r="G137">
            <v>2515.52</v>
          </cell>
          <cell r="Z137" t="str">
            <v>2213/11</v>
          </cell>
          <cell r="AA137">
            <v>2297.5395960000001</v>
          </cell>
          <cell r="AB137">
            <v>49.535469699999993</v>
          </cell>
        </row>
        <row r="138">
          <cell r="A138" t="str">
            <v>2300/11</v>
          </cell>
          <cell r="B138">
            <v>40812</v>
          </cell>
          <cell r="C138" t="str">
            <v>2011-0.227.339-9</v>
          </cell>
          <cell r="D138" t="str">
            <v>JOSÉ AMERICO DA SILVA JUNIOR</v>
          </cell>
          <cell r="E138" t="str">
            <v>014.316.718-94</v>
          </cell>
          <cell r="F138">
            <v>16610</v>
          </cell>
          <cell r="G138">
            <v>3400.17</v>
          </cell>
          <cell r="Z138" t="str">
            <v>2300/11</v>
          </cell>
          <cell r="AA138">
            <v>3486.9514640000002</v>
          </cell>
          <cell r="AB138">
            <v>232.41407940000011</v>
          </cell>
        </row>
        <row r="139">
          <cell r="A139" t="str">
            <v>2507/11</v>
          </cell>
          <cell r="B139">
            <v>40812</v>
          </cell>
          <cell r="C139" t="str">
            <v>2011-0.230.488-0</v>
          </cell>
          <cell r="D139" t="str">
            <v>JOSÉ AMORIM NOVAIS</v>
          </cell>
          <cell r="E139" t="str">
            <v>487.068.335-00</v>
          </cell>
          <cell r="F139">
            <v>15015</v>
          </cell>
          <cell r="G139">
            <v>2515.52</v>
          </cell>
          <cell r="Z139" t="str">
            <v>2507/11</v>
          </cell>
          <cell r="AA139">
            <v>2557.047724</v>
          </cell>
          <cell r="AB139">
            <v>76.757158599999968</v>
          </cell>
        </row>
        <row r="140">
          <cell r="A140" t="str">
            <v>2867/11</v>
          </cell>
          <cell r="B140">
            <v>40833</v>
          </cell>
          <cell r="C140" t="str">
            <v>2011-0.257.468-2</v>
          </cell>
          <cell r="D140" t="str">
            <v>JOSÉ ANTERO BEZERRA DE ALMEIDA</v>
          </cell>
          <cell r="E140" t="str">
            <v>573.504.423-00</v>
          </cell>
          <cell r="F140">
            <v>15096</v>
          </cell>
          <cell r="G140">
            <v>3400.17</v>
          </cell>
          <cell r="Z140" t="str">
            <v>2867/11</v>
          </cell>
          <cell r="AA140">
            <v>3407.0048160000001</v>
          </cell>
          <cell r="AB140">
            <v>214.42608360000008</v>
          </cell>
        </row>
        <row r="141">
          <cell r="A141" t="str">
            <v>2726/11</v>
          </cell>
          <cell r="B141">
            <v>40826</v>
          </cell>
          <cell r="C141" t="str">
            <v>2011-0.256.701-5</v>
          </cell>
          <cell r="D141" t="str">
            <v>JOSÉ AUGUSTO DA SILVA OLIVEIRA</v>
          </cell>
          <cell r="E141" t="str">
            <v>264.810.798-37</v>
          </cell>
          <cell r="F141">
            <v>16214</v>
          </cell>
          <cell r="G141">
            <v>2447.83</v>
          </cell>
          <cell r="Z141" t="str">
            <v>2726/11</v>
          </cell>
          <cell r="AA141">
            <v>2169.637444</v>
          </cell>
          <cell r="AB141">
            <v>39.942808299999996</v>
          </cell>
        </row>
        <row r="142">
          <cell r="A142" t="str">
            <v>2177/11</v>
          </cell>
          <cell r="B142">
            <v>40805</v>
          </cell>
          <cell r="C142" t="str">
            <v>2011-0.226.025-4</v>
          </cell>
          <cell r="D142" t="str">
            <v>JOSÉ CARDOSO DE ARAUJO</v>
          </cell>
          <cell r="E142" t="str">
            <v>384.939.185-04</v>
          </cell>
          <cell r="F142">
            <v>14758</v>
          </cell>
          <cell r="G142">
            <v>3291.19</v>
          </cell>
          <cell r="Z142" t="str">
            <v>2177/11</v>
          </cell>
          <cell r="AA142">
            <v>3232.3436199999996</v>
          </cell>
          <cell r="AB142">
            <v>178.05154299999992</v>
          </cell>
        </row>
        <row r="143">
          <cell r="A143" t="str">
            <v>2302/11</v>
          </cell>
          <cell r="B143">
            <v>40812</v>
          </cell>
          <cell r="C143" t="str">
            <v>2011-0.227.347-0</v>
          </cell>
          <cell r="D143" t="str">
            <v>JOSÉ CARLOS DOMINGOS DE SOUZA</v>
          </cell>
          <cell r="E143" t="str">
            <v>065.191.358-60</v>
          </cell>
          <cell r="F143">
            <v>16379</v>
          </cell>
          <cell r="G143">
            <v>3400.17</v>
          </cell>
          <cell r="Z143" t="str">
            <v>2302/11</v>
          </cell>
          <cell r="AA143">
            <v>3009.8702640000001</v>
          </cell>
          <cell r="AB143">
            <v>144.68053959999997</v>
          </cell>
        </row>
        <row r="144">
          <cell r="A144" t="str">
            <v>2809/11</v>
          </cell>
          <cell r="B144">
            <v>40826</v>
          </cell>
          <cell r="C144" t="str">
            <v>2011-0.256.896-8</v>
          </cell>
          <cell r="D144" t="str">
            <v>JOSÉ CARLOS RODRIGUES DE OLIVEIRA</v>
          </cell>
          <cell r="E144" t="str">
            <v>256.086.638-29</v>
          </cell>
          <cell r="F144">
            <v>15071</v>
          </cell>
          <cell r="G144">
            <v>2583.21</v>
          </cell>
          <cell r="Z144" t="str">
            <v>2809/11</v>
          </cell>
          <cell r="AA144">
            <v>3053.372856</v>
          </cell>
          <cell r="AB144">
            <v>151.20592839999995</v>
          </cell>
        </row>
        <row r="145">
          <cell r="A145" t="str">
            <v>1949/11</v>
          </cell>
          <cell r="B145">
            <v>40791</v>
          </cell>
          <cell r="C145" t="str">
            <v>2011-0.222.238-7</v>
          </cell>
          <cell r="D145" t="str">
            <v>JOSÉ DO NASCIMENTO RAMOS</v>
          </cell>
          <cell r="E145" t="str">
            <v>103.006.568-31</v>
          </cell>
          <cell r="F145">
            <v>14649</v>
          </cell>
          <cell r="G145">
            <v>2515.52</v>
          </cell>
          <cell r="Z145" t="str">
            <v>1949/11</v>
          </cell>
          <cell r="AA145">
            <v>2579.7348019999995</v>
          </cell>
          <cell r="AB145">
            <v>80.160220299999878</v>
          </cell>
        </row>
        <row r="146">
          <cell r="A146" t="str">
            <v>2885/11</v>
          </cell>
          <cell r="B146">
            <v>40833</v>
          </cell>
          <cell r="C146" t="str">
            <v>2011-0.258.062-3</v>
          </cell>
          <cell r="D146" t="str">
            <v>JOSÉ LINO DA SILVA</v>
          </cell>
          <cell r="E146" t="str">
            <v>927.648.518-04</v>
          </cell>
          <cell r="F146">
            <v>15099</v>
          </cell>
          <cell r="G146">
            <v>3400.17</v>
          </cell>
          <cell r="Z146" t="str">
            <v>2885/11</v>
          </cell>
          <cell r="AA146">
            <v>3465.3666319999993</v>
          </cell>
          <cell r="AB146">
            <v>227.55749219999984</v>
          </cell>
        </row>
        <row r="147">
          <cell r="A147" t="str">
            <v>2120/11</v>
          </cell>
          <cell r="B147">
            <v>40805</v>
          </cell>
          <cell r="C147" t="str">
            <v>2011-0.224.663-4</v>
          </cell>
          <cell r="D147" t="str">
            <v>JOSÉ LINO DOS REIS</v>
          </cell>
          <cell r="E147" t="str">
            <v>012.958.128-35</v>
          </cell>
          <cell r="F147">
            <v>14716</v>
          </cell>
          <cell r="G147">
            <v>1906.28</v>
          </cell>
          <cell r="Z147" t="str">
            <v>2120/11</v>
          </cell>
          <cell r="AA147">
            <v>1873.3558</v>
          </cell>
          <cell r="AB147">
            <v>17.721685000000008</v>
          </cell>
        </row>
        <row r="148">
          <cell r="A148" t="str">
            <v>2085/11</v>
          </cell>
          <cell r="B148">
            <v>40805</v>
          </cell>
          <cell r="C148" t="str">
            <v>2011-0.224.681-2</v>
          </cell>
          <cell r="D148" t="str">
            <v>JOSÉ LOPES LIMA</v>
          </cell>
          <cell r="E148" t="str">
            <v>030.569.868-00</v>
          </cell>
          <cell r="F148">
            <v>16303</v>
          </cell>
          <cell r="G148">
            <v>3400.17</v>
          </cell>
          <cell r="Z148" t="str">
            <v>2085/11</v>
          </cell>
          <cell r="AA148">
            <v>3398.0839640000004</v>
          </cell>
          <cell r="AB148">
            <v>212.41889190000018</v>
          </cell>
        </row>
        <row r="149">
          <cell r="A149" t="str">
            <v>1817/11</v>
          </cell>
          <cell r="B149">
            <v>40784</v>
          </cell>
          <cell r="C149" t="str">
            <v>2011-0.201.764-3</v>
          </cell>
          <cell r="D149" t="str">
            <v>JOSÉ MANOEL BARBOSA DOS SANTOS</v>
          </cell>
          <cell r="E149" t="str">
            <v>104.158.298-60</v>
          </cell>
          <cell r="F149">
            <v>16205</v>
          </cell>
          <cell r="G149">
            <v>2066.5680000000002</v>
          </cell>
          <cell r="Z149" t="str">
            <v>1817/11</v>
          </cell>
          <cell r="AA149">
            <v>2197.5328799999997</v>
          </cell>
          <cell r="AB149">
            <v>42.034965999999969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Z150" t="str">
            <v>1721/11</v>
          </cell>
          <cell r="AA150">
            <v>2468.4703799999997</v>
          </cell>
          <cell r="AB150">
            <v>63.470556999999928</v>
          </cell>
        </row>
        <row r="151">
          <cell r="A151" t="str">
            <v>3049/11</v>
          </cell>
          <cell r="B151">
            <v>40847</v>
          </cell>
          <cell r="C151" t="str">
            <v>2011-0.260.321-6</v>
          </cell>
          <cell r="D151" t="str">
            <v>JOSÉ MILTON FERNANDES DA SILVA</v>
          </cell>
          <cell r="E151" t="str">
            <v>540.169.086-04</v>
          </cell>
          <cell r="F151">
            <v>16264</v>
          </cell>
          <cell r="G151">
            <v>3400.17</v>
          </cell>
          <cell r="Z151" t="str">
            <v>3049/11</v>
          </cell>
          <cell r="AA151">
            <v>3840.1637959999998</v>
          </cell>
          <cell r="AB151">
            <v>311.88685410000005</v>
          </cell>
        </row>
        <row r="152">
          <cell r="A152" t="str">
            <v>2460/11</v>
          </cell>
          <cell r="B152">
            <v>40812</v>
          </cell>
          <cell r="C152" t="str">
            <v>2011-0.228.969-4</v>
          </cell>
          <cell r="D152" t="str">
            <v>JOSÉ MOREIRA DA SILVA</v>
          </cell>
          <cell r="E152" t="str">
            <v>881.209.108-34</v>
          </cell>
          <cell r="F152">
            <v>16432</v>
          </cell>
          <cell r="G152">
            <v>3400.17</v>
          </cell>
          <cell r="Z152" t="str">
            <v>2460/11</v>
          </cell>
          <cell r="AA152">
            <v>3381.8999640000002</v>
          </cell>
          <cell r="AB152">
            <v>208.77749190000009</v>
          </cell>
        </row>
        <row r="153">
          <cell r="A153" t="str">
            <v>3033/11</v>
          </cell>
          <cell r="B153">
            <v>40847</v>
          </cell>
          <cell r="C153" t="str">
            <v>2011-0.259.732-1</v>
          </cell>
          <cell r="D153" t="str">
            <v>JOSÉ PEREIRA DA MATA</v>
          </cell>
          <cell r="E153" t="str">
            <v>874.013.478-49</v>
          </cell>
          <cell r="F153">
            <v>15132</v>
          </cell>
          <cell r="G153">
            <v>1838.58</v>
          </cell>
          <cell r="Z153" t="str">
            <v>3033/11</v>
          </cell>
          <cell r="AA153">
            <v>2135.096164</v>
          </cell>
          <cell r="AB153">
            <v>37.352212299999991</v>
          </cell>
        </row>
        <row r="154">
          <cell r="A154" t="str">
            <v>2374/11</v>
          </cell>
          <cell r="B154">
            <v>40812</v>
          </cell>
          <cell r="C154" t="str">
            <v>2011-0.228.869-8</v>
          </cell>
          <cell r="D154" t="str">
            <v>JOSÉ RAMON CREO CARAU</v>
          </cell>
          <cell r="E154" t="str">
            <v>014.586.828-11</v>
          </cell>
          <cell r="F154">
            <v>14925</v>
          </cell>
          <cell r="G154">
            <v>3182.21</v>
          </cell>
          <cell r="Z154" t="str">
            <v>2374/11</v>
          </cell>
          <cell r="AA154">
            <v>3339.3915320000006</v>
          </cell>
          <cell r="AB154">
            <v>199.21309470000017</v>
          </cell>
        </row>
        <row r="155">
          <cell r="A155" t="str">
            <v>2336/11</v>
          </cell>
          <cell r="B155">
            <v>40812</v>
          </cell>
          <cell r="C155" t="str">
            <v>2011-0.227.358-5</v>
          </cell>
          <cell r="D155" t="str">
            <v>JOSÉ REINALDO DOS SANTOS</v>
          </cell>
          <cell r="E155" t="str">
            <v>064.316.988-19</v>
          </cell>
          <cell r="F155">
            <v>16384</v>
          </cell>
          <cell r="G155">
            <v>3400.17</v>
          </cell>
          <cell r="Z155" t="str">
            <v>2336/11</v>
          </cell>
          <cell r="AA155">
            <v>2955.2529246666668</v>
          </cell>
          <cell r="AB155">
            <v>136.48793869999997</v>
          </cell>
        </row>
        <row r="156">
          <cell r="A156" t="str">
            <v>2006/11</v>
          </cell>
          <cell r="B156">
            <v>40798</v>
          </cell>
          <cell r="C156" t="str">
            <v>2011-0.223.198-0</v>
          </cell>
          <cell r="D156" t="str">
            <v>JOSÉ ROBERTO ALVES DA ROCHA</v>
          </cell>
          <cell r="E156" t="str">
            <v>047.841.758-65</v>
          </cell>
          <cell r="F156">
            <v>16271</v>
          </cell>
          <cell r="G156">
            <v>3400.17</v>
          </cell>
          <cell r="Z156" t="str">
            <v>2006/11</v>
          </cell>
          <cell r="AA156">
            <v>3241.6124279999999</v>
          </cell>
          <cell r="AB156">
            <v>179.44186419999994</v>
          </cell>
        </row>
        <row r="157">
          <cell r="A157" t="str">
            <v>2007/11</v>
          </cell>
          <cell r="B157">
            <v>40798</v>
          </cell>
          <cell r="C157" t="str">
            <v>2011-0.223.208-0</v>
          </cell>
          <cell r="D157" t="str">
            <v>JOSÉ ROBERTO BARQUEIRO</v>
          </cell>
          <cell r="E157" t="str">
            <v>039.878.998-32</v>
          </cell>
          <cell r="F157">
            <v>14665</v>
          </cell>
          <cell r="G157">
            <v>3291.19</v>
          </cell>
          <cell r="Z157" t="str">
            <v>2007/11</v>
          </cell>
          <cell r="AA157">
            <v>2622.8171879999995</v>
          </cell>
          <cell r="AB157">
            <v>86.622578199999907</v>
          </cell>
        </row>
        <row r="158">
          <cell r="A158" t="str">
            <v>2450/11</v>
          </cell>
          <cell r="B158">
            <v>40812</v>
          </cell>
          <cell r="C158" t="str">
            <v>2011-0.228.904-0</v>
          </cell>
          <cell r="D158" t="str">
            <v>JOSÉ RODRIGUES DE PAULA NETO</v>
          </cell>
          <cell r="E158" t="str">
            <v>277.922.358-82</v>
          </cell>
          <cell r="F158">
            <v>16418</v>
          </cell>
          <cell r="G158">
            <v>2855.3</v>
          </cell>
          <cell r="Z158" t="str">
            <v>2450/11</v>
          </cell>
          <cell r="AA158">
            <v>2476.1022920000005</v>
          </cell>
          <cell r="AB158">
            <v>64.615343800000062</v>
          </cell>
        </row>
        <row r="159">
          <cell r="A159" t="str">
            <v>2706/11</v>
          </cell>
          <cell r="B159">
            <v>40826</v>
          </cell>
          <cell r="C159" t="str">
            <v>2011-0.256.669-8</v>
          </cell>
          <cell r="D159" t="str">
            <v>JOSÉ WILSON DA COSTA</v>
          </cell>
          <cell r="E159" t="str">
            <v>046.315.218-21</v>
          </cell>
          <cell r="F159">
            <v>16200</v>
          </cell>
          <cell r="G159">
            <v>3509.14</v>
          </cell>
          <cell r="Z159" t="str">
            <v>2706/11</v>
          </cell>
          <cell r="AA159">
            <v>3167.9798519999999</v>
          </cell>
          <cell r="AB159">
            <v>168.39697779999995</v>
          </cell>
        </row>
        <row r="160">
          <cell r="A160" t="str">
            <v>2752/11</v>
          </cell>
          <cell r="B160">
            <v>40826</v>
          </cell>
          <cell r="C160" t="str">
            <v>2011-0.256.762-7</v>
          </cell>
          <cell r="D160" t="str">
            <v>JOSEMAR BATISTA NUNES</v>
          </cell>
          <cell r="E160" t="str">
            <v>265.530.868-93</v>
          </cell>
          <cell r="F160">
            <v>15052</v>
          </cell>
          <cell r="G160">
            <v>3400.17</v>
          </cell>
          <cell r="Z160" t="str">
            <v>2752/11</v>
          </cell>
          <cell r="AA160">
            <v>3462.8581120000003</v>
          </cell>
          <cell r="AB160">
            <v>226.99307520000013</v>
          </cell>
        </row>
        <row r="161">
          <cell r="A161" t="str">
            <v>2053/11</v>
          </cell>
          <cell r="B161">
            <v>40805</v>
          </cell>
          <cell r="C161" t="str">
            <v>2011-0.223.327-3</v>
          </cell>
          <cell r="D161" t="str">
            <v>JOSIVAM JOSÉ DE OLIVEIRA</v>
          </cell>
          <cell r="E161" t="str">
            <v>182.756.978-67</v>
          </cell>
          <cell r="F161">
            <v>16289</v>
          </cell>
          <cell r="G161">
            <v>3509.14</v>
          </cell>
          <cell r="Z161" t="str">
            <v>2053/11</v>
          </cell>
          <cell r="AA161">
            <v>3524.0220719999998</v>
          </cell>
          <cell r="AB161">
            <v>240.75496620000001</v>
          </cell>
        </row>
        <row r="162">
          <cell r="A162" t="str">
            <v>3255/11</v>
          </cell>
          <cell r="B162">
            <v>40863</v>
          </cell>
          <cell r="C162" t="str">
            <v>2011-0.293.453-0</v>
          </cell>
          <cell r="D162" t="str">
            <v>JULIO CESAR DA SILVA LAPA</v>
          </cell>
          <cell r="E162">
            <v>27033191855</v>
          </cell>
          <cell r="F162">
            <v>16574</v>
          </cell>
          <cell r="G162">
            <v>2122</v>
          </cell>
          <cell r="Z162" t="str">
            <v>3255/11</v>
          </cell>
          <cell r="AA162">
            <v>3747.0202519999993</v>
          </cell>
          <cell r="AB162">
            <v>290.92955669999992</v>
          </cell>
        </row>
        <row r="163">
          <cell r="A163" t="str">
            <v>3377/11</v>
          </cell>
          <cell r="B163">
            <v>40889</v>
          </cell>
          <cell r="C163" t="str">
            <v>2011-0.330.486-7</v>
          </cell>
          <cell r="D163" t="str">
            <v>KARINA ALVES MAURICIO</v>
          </cell>
          <cell r="E163" t="str">
            <v>288.980.828-94</v>
          </cell>
          <cell r="F163">
            <v>16594</v>
          </cell>
          <cell r="G163">
            <v>2583.21</v>
          </cell>
          <cell r="Z163" t="str">
            <v>1684/11</v>
          </cell>
          <cell r="AA163">
            <v>1045.0340186666665</v>
          </cell>
          <cell r="AB163">
            <v>0</v>
          </cell>
        </row>
        <row r="164">
          <cell r="A164" t="str">
            <v>2918/11</v>
          </cell>
          <cell r="B164">
            <v>40833</v>
          </cell>
          <cell r="C164" t="str">
            <v>2011-0.258.658-3</v>
          </cell>
          <cell r="D164" t="str">
            <v>KATIA ROBERTA CARDOSO PEREIRA</v>
          </cell>
          <cell r="E164" t="str">
            <v>176.001.028-62</v>
          </cell>
          <cell r="F164">
            <v>16245</v>
          </cell>
          <cell r="G164">
            <v>2447.83</v>
          </cell>
          <cell r="Z164" t="str">
            <v>3377/11</v>
          </cell>
          <cell r="AA164">
            <v>1412.2169960000001</v>
          </cell>
          <cell r="AB164">
            <v>61.787652200000025</v>
          </cell>
        </row>
        <row r="165">
          <cell r="A165" t="str">
            <v>3247/11</v>
          </cell>
          <cell r="B165">
            <v>40863</v>
          </cell>
          <cell r="C165" t="str">
            <v>2011-0.293.369-0</v>
          </cell>
          <cell r="D165" t="str">
            <v>LAURINDA ANGELICA DE SOUZA CRUZ</v>
          </cell>
          <cell r="E165" t="str">
            <v>037.924.588-45</v>
          </cell>
          <cell r="F165">
            <v>15141</v>
          </cell>
          <cell r="G165">
            <v>2483</v>
          </cell>
          <cell r="Z165" t="str">
            <v>2918/11</v>
          </cell>
          <cell r="AA165">
            <v>2336.103756</v>
          </cell>
          <cell r="AB165">
            <v>52.427781699999997</v>
          </cell>
        </row>
        <row r="166">
          <cell r="A166" t="str">
            <v>2759/11</v>
          </cell>
          <cell r="B166">
            <v>40826</v>
          </cell>
          <cell r="C166" t="str">
            <v>2011-0.256.775-9</v>
          </cell>
          <cell r="D166" t="str">
            <v>LEDA MARIA COELHO SARAIVA</v>
          </cell>
          <cell r="E166" t="str">
            <v>088.744.068-19</v>
          </cell>
          <cell r="F166">
            <v>15064</v>
          </cell>
          <cell r="G166">
            <v>1838.58</v>
          </cell>
          <cell r="Z166" t="str">
            <v>3247/11</v>
          </cell>
          <cell r="AA166">
            <v>3455.6527639999999</v>
          </cell>
          <cell r="AB166">
            <v>225.37187189999997</v>
          </cell>
        </row>
        <row r="167">
          <cell r="A167" t="str">
            <v>2515/11</v>
          </cell>
          <cell r="B167">
            <v>40812</v>
          </cell>
          <cell r="C167" t="str">
            <v>2011-0.230.496-0</v>
          </cell>
          <cell r="D167" t="str">
            <v>LENILSON LUIZ FERREIRA</v>
          </cell>
          <cell r="E167" t="str">
            <v>117.640.108-41</v>
          </cell>
          <cell r="F167">
            <v>15024</v>
          </cell>
          <cell r="G167">
            <v>2746.33</v>
          </cell>
          <cell r="Z167" t="str">
            <v>2759/11</v>
          </cell>
          <cell r="AA167">
            <v>2113.443706</v>
          </cell>
          <cell r="AB167">
            <v>35.728277950000006</v>
          </cell>
        </row>
        <row r="168">
          <cell r="A168" t="str">
            <v>2337/11</v>
          </cell>
          <cell r="B168">
            <v>40812</v>
          </cell>
          <cell r="C168" t="str">
            <v>2011-0.227.361-5</v>
          </cell>
          <cell r="D168" t="str">
            <v xml:space="preserve">LINDALVA MARIA ALVES DOS SANTOS </v>
          </cell>
          <cell r="E168" t="str">
            <v>078.044.928-20</v>
          </cell>
          <cell r="F168">
            <v>16388</v>
          </cell>
          <cell r="G168">
            <v>3400.17</v>
          </cell>
          <cell r="Z168" t="str">
            <v>2515/11</v>
          </cell>
          <cell r="AA168">
            <v>2977.1554639999999</v>
          </cell>
          <cell r="AB168">
            <v>139.77331959999998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Z169" t="str">
            <v>2337/11</v>
          </cell>
          <cell r="AA169">
            <v>3374.3316319999994</v>
          </cell>
          <cell r="AB169">
            <v>207.07461719999992</v>
          </cell>
        </row>
        <row r="170">
          <cell r="A170" t="str">
            <v>2512/11</v>
          </cell>
          <cell r="B170">
            <v>40812</v>
          </cell>
          <cell r="C170" t="str">
            <v>2011-0.230.493-6</v>
          </cell>
          <cell r="D170" t="str">
            <v>LUCENY FERREIRA PARREIRA</v>
          </cell>
          <cell r="E170" t="str">
            <v>411.252.666-00</v>
          </cell>
          <cell r="F170">
            <v>15020</v>
          </cell>
          <cell r="G170">
            <v>2583.21</v>
          </cell>
          <cell r="Z170" t="str">
            <v>1708/11</v>
          </cell>
          <cell r="AA170">
            <v>3443.7540559999998</v>
          </cell>
          <cell r="AB170">
            <v>222.69466260000002</v>
          </cell>
        </row>
        <row r="171">
          <cell r="A171" t="str">
            <v>2086/11</v>
          </cell>
          <cell r="B171">
            <v>40805</v>
          </cell>
          <cell r="C171" t="str">
            <v>2011-0.224.684-7</v>
          </cell>
          <cell r="D171" t="str">
            <v>LUCIANO DE LIMA</v>
          </cell>
          <cell r="E171" t="str">
            <v>153.251.438-75</v>
          </cell>
          <cell r="F171">
            <v>16306</v>
          </cell>
          <cell r="G171">
            <v>3400.17</v>
          </cell>
          <cell r="Z171" t="str">
            <v>2512/11</v>
          </cell>
          <cell r="AA171">
            <v>2585.8147840000001</v>
          </cell>
          <cell r="AB171">
            <v>81.072217599999988</v>
          </cell>
        </row>
        <row r="172">
          <cell r="A172" t="str">
            <v>2338/11</v>
          </cell>
          <cell r="B172">
            <v>40812</v>
          </cell>
          <cell r="C172" t="str">
            <v>2011-0.227.366-6</v>
          </cell>
          <cell r="D172" t="str">
            <v>LUCIANO KLEBER SILVA PEREIRA</v>
          </cell>
          <cell r="E172" t="str">
            <v>317.463.998-05</v>
          </cell>
          <cell r="F172">
            <v>14874</v>
          </cell>
          <cell r="G172">
            <v>3509.14</v>
          </cell>
          <cell r="Z172" t="str">
            <v>2086/11</v>
          </cell>
          <cell r="AA172">
            <v>3302.7139640000005</v>
          </cell>
          <cell r="AB172">
            <v>190.96064190000016</v>
          </cell>
        </row>
        <row r="173">
          <cell r="A173" t="str">
            <v>2087/11</v>
          </cell>
          <cell r="B173">
            <v>40805</v>
          </cell>
          <cell r="C173" t="str">
            <v>2011-0.224.687-1</v>
          </cell>
          <cell r="D173" t="str">
            <v>LUIS FERNANDO RODRIGUES</v>
          </cell>
          <cell r="E173" t="str">
            <v>101.018.818-60</v>
          </cell>
          <cell r="F173">
            <v>16316</v>
          </cell>
          <cell r="G173">
            <v>3400.17</v>
          </cell>
          <cell r="Z173" t="str">
            <v>2338/11</v>
          </cell>
          <cell r="AA173">
            <v>3452.4945720000001</v>
          </cell>
          <cell r="AB173">
            <v>224.66127870000003</v>
          </cell>
        </row>
        <row r="174">
          <cell r="A174" t="str">
            <v>2461/11</v>
          </cell>
          <cell r="B174">
            <v>40812</v>
          </cell>
          <cell r="C174" t="str">
            <v>2011-0.228.973-2</v>
          </cell>
          <cell r="D174" t="str">
            <v>LUIZ BATISTA DA SILVA</v>
          </cell>
          <cell r="E174" t="str">
            <v>042.311.858-75</v>
          </cell>
          <cell r="F174">
            <v>16435</v>
          </cell>
          <cell r="G174">
            <v>3291.19</v>
          </cell>
          <cell r="Z174" t="str">
            <v>2087/11</v>
          </cell>
          <cell r="AA174">
            <v>3440.6814079999999</v>
          </cell>
          <cell r="AB174">
            <v>222.00331679999999</v>
          </cell>
        </row>
        <row r="175">
          <cell r="A175" t="str">
            <v>2886/11</v>
          </cell>
          <cell r="B175">
            <v>40833</v>
          </cell>
          <cell r="C175" t="str">
            <v>2011-0.258.068-2</v>
          </cell>
          <cell r="D175" t="str">
            <v>LUIZ CARLOS RUDINISKI</v>
          </cell>
          <cell r="E175" t="str">
            <v>007.313.058-33</v>
          </cell>
          <cell r="F175">
            <v>16230</v>
          </cell>
          <cell r="G175">
            <v>2855.3</v>
          </cell>
          <cell r="Z175" t="str">
            <v>2461/11</v>
          </cell>
          <cell r="AA175">
            <v>3094.6778919999997</v>
          </cell>
          <cell r="AB175">
            <v>157.40168379999994</v>
          </cell>
        </row>
        <row r="176">
          <cell r="A176" t="str">
            <v>2355/11</v>
          </cell>
          <cell r="B176">
            <v>40812</v>
          </cell>
          <cell r="C176" t="str">
            <v>2011-0.227.600-2</v>
          </cell>
          <cell r="D176" t="str">
            <v>LUIZ DA SILVA</v>
          </cell>
          <cell r="E176" t="str">
            <v>780.043.308-00</v>
          </cell>
          <cell r="F176">
            <v>14911</v>
          </cell>
          <cell r="G176">
            <v>2583.21</v>
          </cell>
          <cell r="Z176" t="str">
            <v>2886/11</v>
          </cell>
          <cell r="AA176">
            <v>2703.1880879999999</v>
          </cell>
          <cell r="AB176">
            <v>98.678213199999959</v>
          </cell>
        </row>
        <row r="177">
          <cell r="A177" t="str">
            <v>2753/11</v>
          </cell>
          <cell r="B177">
            <v>40826</v>
          </cell>
          <cell r="C177" t="str">
            <v>2011-0.256.764-3</v>
          </cell>
          <cell r="D177" t="str">
            <v>MANOEL INOCENCIO BEZERRA FILHO</v>
          </cell>
          <cell r="E177" t="str">
            <v>065.194.478-38</v>
          </cell>
          <cell r="F177">
            <v>15055</v>
          </cell>
          <cell r="G177">
            <v>2855.3</v>
          </cell>
          <cell r="Z177" t="str">
            <v>2355/11</v>
          </cell>
          <cell r="AA177">
            <v>2571.3948400000004</v>
          </cell>
          <cell r="AB177">
            <v>78.909226000000046</v>
          </cell>
        </row>
        <row r="178">
          <cell r="A178" t="str">
            <v>3252/11</v>
          </cell>
          <cell r="B178">
            <v>40863</v>
          </cell>
          <cell r="C178" t="str">
            <v>2011-0.293.443-3</v>
          </cell>
          <cell r="D178" t="str">
            <v>MANOEL LINS DE ASSUMPCÃO</v>
          </cell>
          <cell r="E178">
            <v>65198719820</v>
          </cell>
          <cell r="F178">
            <v>16572</v>
          </cell>
          <cell r="G178">
            <v>2297</v>
          </cell>
          <cell r="Z178" t="str">
            <v>2753/11</v>
          </cell>
          <cell r="AA178">
            <v>3298.47838</v>
          </cell>
          <cell r="AB178">
            <v>190.00763549999999</v>
          </cell>
        </row>
        <row r="179">
          <cell r="A179" t="str">
            <v>3237/11</v>
          </cell>
          <cell r="B179">
            <v>40854</v>
          </cell>
          <cell r="C179" t="str">
            <v>2011-0.293.298-8</v>
          </cell>
          <cell r="D179" t="str">
            <v>MANUEL RODRIGUES BARBOSA</v>
          </cell>
          <cell r="E179">
            <v>99694697891</v>
          </cell>
          <cell r="F179">
            <v>15137</v>
          </cell>
          <cell r="G179">
            <v>2650.9</v>
          </cell>
          <cell r="Z179" t="str">
            <v>3252/11</v>
          </cell>
          <cell r="AA179">
            <v>3084.3212880000001</v>
          </cell>
          <cell r="AB179">
            <v>155.84819319999997</v>
          </cell>
        </row>
        <row r="180">
          <cell r="A180" t="str">
            <v>2602/11</v>
          </cell>
          <cell r="B180">
            <v>40819</v>
          </cell>
          <cell r="C180" t="str">
            <v>2011-0.230.453-7</v>
          </cell>
          <cell r="D180" t="str">
            <v>MARCELO APARECIDO DA MOTA</v>
          </cell>
          <cell r="E180" t="str">
            <v>094.950.008-90</v>
          </cell>
          <cell r="F180">
            <v>16477</v>
          </cell>
          <cell r="G180">
            <v>1973.9700000000003</v>
          </cell>
          <cell r="Z180" t="str">
            <v>3237/11</v>
          </cell>
          <cell r="AA180">
            <v>2659.7617920000002</v>
          </cell>
          <cell r="AB180">
            <v>92.164268800000002</v>
          </cell>
        </row>
        <row r="181">
          <cell r="A181" t="str">
            <v>3289/11</v>
          </cell>
          <cell r="B181">
            <v>40863</v>
          </cell>
          <cell r="C181" t="str">
            <v>2011-0.293.260-0</v>
          </cell>
          <cell r="D181" t="str">
            <v>MARCELO GOMES DE OLIVEIRA</v>
          </cell>
          <cell r="E181" t="str">
            <v>335.828.938-98</v>
          </cell>
          <cell r="F181">
            <v>16580</v>
          </cell>
          <cell r="G181">
            <v>2483</v>
          </cell>
          <cell r="Z181" t="str">
            <v>2602/11</v>
          </cell>
          <cell r="AA181">
            <v>2438.520732</v>
          </cell>
          <cell r="AB181">
            <v>60.10905489999999</v>
          </cell>
        </row>
        <row r="182">
          <cell r="A182" t="str">
            <v>1935/11</v>
          </cell>
          <cell r="B182">
            <v>40791</v>
          </cell>
          <cell r="C182" t="str">
            <v>2011-0.223.351-6</v>
          </cell>
          <cell r="D182" t="str">
            <v>MARCELO MARTINS VIEIRA</v>
          </cell>
          <cell r="E182" t="str">
            <v>092.091.708-90</v>
          </cell>
          <cell r="F182">
            <v>16234</v>
          </cell>
          <cell r="G182">
            <v>3400.17</v>
          </cell>
          <cell r="Z182" t="str">
            <v>3289/11</v>
          </cell>
          <cell r="AA182">
            <v>4194.8951120000002</v>
          </cell>
          <cell r="AB182">
            <v>397.06615580000016</v>
          </cell>
        </row>
        <row r="183">
          <cell r="A183" t="str">
            <v>2305/11</v>
          </cell>
          <cell r="B183">
            <v>40812</v>
          </cell>
          <cell r="C183" t="str">
            <v>2011-0.227.354-2</v>
          </cell>
          <cell r="D183" t="str">
            <v>MARCELO SANTOS</v>
          </cell>
          <cell r="E183" t="str">
            <v>127.810.848-32</v>
          </cell>
          <cell r="F183">
            <v>14838</v>
          </cell>
          <cell r="G183">
            <v>3400.17</v>
          </cell>
          <cell r="Z183" t="str">
            <v>1935/11</v>
          </cell>
          <cell r="AA183">
            <v>3443.852316</v>
          </cell>
          <cell r="AB183">
            <v>222.71677110000007</v>
          </cell>
        </row>
        <row r="184">
          <cell r="A184" t="str">
            <v>2599/11</v>
          </cell>
          <cell r="B184">
            <v>40819</v>
          </cell>
          <cell r="C184" t="str">
            <v>2011-0.230.450-2</v>
          </cell>
          <cell r="D184" t="str">
            <v>MARCELO SILVA BRAGA</v>
          </cell>
          <cell r="E184" t="str">
            <v>176.184.468-73</v>
          </cell>
          <cell r="F184">
            <v>16475</v>
          </cell>
          <cell r="G184">
            <v>3400.17</v>
          </cell>
          <cell r="Z184" t="str">
            <v>2305/11</v>
          </cell>
          <cell r="AA184">
            <v>3688.9404999999997</v>
          </cell>
          <cell r="AB184">
            <v>277.86161249999998</v>
          </cell>
        </row>
        <row r="185">
          <cell r="A185" t="str">
            <v>2952/11</v>
          </cell>
          <cell r="B185">
            <v>40840</v>
          </cell>
          <cell r="C185" t="str">
            <v>2011-0.258.755-5</v>
          </cell>
          <cell r="D185" t="str">
            <v>MARCIO APARECIDO SIQUEIRA</v>
          </cell>
          <cell r="E185" t="str">
            <v>266.806.868-14</v>
          </cell>
          <cell r="F185">
            <v>15120</v>
          </cell>
          <cell r="G185">
            <v>1906.28</v>
          </cell>
          <cell r="Z185" t="str">
            <v>2599/11</v>
          </cell>
          <cell r="AA185">
            <v>3270.2916319999995</v>
          </cell>
          <cell r="AB185">
            <v>183.74374479999989</v>
          </cell>
        </row>
        <row r="186">
          <cell r="A186" t="str">
            <v>1810/11</v>
          </cell>
          <cell r="B186">
            <v>40784</v>
          </cell>
          <cell r="C186" t="str">
            <v>2011-0.201.426-1</v>
          </cell>
          <cell r="D186" t="str">
            <v>MARCIO GREI RAPOUSA DE OLIVEIRA</v>
          </cell>
          <cell r="E186" t="str">
            <v>151.842.098-24</v>
          </cell>
          <cell r="F186">
            <v>14631</v>
          </cell>
          <cell r="G186">
            <v>2012.4160000000002</v>
          </cell>
          <cell r="Z186" t="str">
            <v>2952/11</v>
          </cell>
          <cell r="AA186">
            <v>2537.7887640000004</v>
          </cell>
          <cell r="AB186">
            <v>73.868314600000019</v>
          </cell>
        </row>
        <row r="187">
          <cell r="A187" t="str">
            <v>2400/11</v>
          </cell>
          <cell r="B187">
            <v>40812</v>
          </cell>
          <cell r="C187" t="str">
            <v>2011-0.229.141-9</v>
          </cell>
          <cell r="D187" t="str">
            <v>MARCIO MARTINS DA SILVA</v>
          </cell>
          <cell r="E187" t="str">
            <v>184.680.178-84</v>
          </cell>
          <cell r="F187">
            <v>16396</v>
          </cell>
          <cell r="G187">
            <v>3400.17</v>
          </cell>
          <cell r="Z187" t="str">
            <v>1810/11</v>
          </cell>
          <cell r="AA187">
            <v>3025.7097759999997</v>
          </cell>
          <cell r="AB187">
            <v>147.05646639999992</v>
          </cell>
        </row>
        <row r="188">
          <cell r="A188" t="str">
            <v>2539/11</v>
          </cell>
          <cell r="B188">
            <v>40819</v>
          </cell>
          <cell r="C188" t="str">
            <v>2011-0.230.207-0</v>
          </cell>
          <cell r="D188" t="str">
            <v>MARCOS AURELIO DA CONCEICÃO</v>
          </cell>
          <cell r="E188" t="str">
            <v>130.328.138-40</v>
          </cell>
          <cell r="F188">
            <v>15038</v>
          </cell>
          <cell r="G188">
            <v>3400.17</v>
          </cell>
          <cell r="Z188" t="str">
            <v>2400/11</v>
          </cell>
          <cell r="AA188">
            <v>3363.6548159999998</v>
          </cell>
          <cell r="AB188">
            <v>204.6723336</v>
          </cell>
        </row>
        <row r="189">
          <cell r="A189" t="str">
            <v>2710/11</v>
          </cell>
          <cell r="B189">
            <v>40829</v>
          </cell>
          <cell r="C189" t="str">
            <v>2011-0.256.677-9</v>
          </cell>
          <cell r="D189" t="str">
            <v>MARCOS LOPES DE ARAUJO</v>
          </cell>
          <cell r="E189" t="str">
            <v>261.011.028-66</v>
          </cell>
          <cell r="F189">
            <v>15089</v>
          </cell>
          <cell r="G189">
            <v>2528.39</v>
          </cell>
          <cell r="Z189" t="str">
            <v>2539/11</v>
          </cell>
          <cell r="AA189">
            <v>3442.1264080000001</v>
          </cell>
          <cell r="AB189">
            <v>222.32844180000006</v>
          </cell>
        </row>
        <row r="190">
          <cell r="A190" t="str">
            <v>3050/11</v>
          </cell>
          <cell r="B190">
            <v>40847</v>
          </cell>
          <cell r="C190" t="str">
            <v>2011-0.260.323-2</v>
          </cell>
          <cell r="D190" t="str">
            <v>MARGARETE CRISTINA FERREIRA BEZERRA</v>
          </cell>
          <cell r="E190" t="str">
            <v>106.639.888-70</v>
          </cell>
          <cell r="F190">
            <v>16557</v>
          </cell>
          <cell r="G190">
            <v>3400.17</v>
          </cell>
          <cell r="Z190" t="str">
            <v>2710/11</v>
          </cell>
          <cell r="AA190">
            <v>3946.1054160000003</v>
          </cell>
          <cell r="AB190">
            <v>335.7237186000001</v>
          </cell>
        </row>
        <row r="191">
          <cell r="A191" t="str">
            <v>2824/11</v>
          </cell>
          <cell r="B191">
            <v>40826</v>
          </cell>
          <cell r="C191" t="str">
            <v>2011-0.256.905-0</v>
          </cell>
          <cell r="D191" t="str">
            <v>MARIA APARECIDA DA COSTA SERNA</v>
          </cell>
          <cell r="E191" t="str">
            <v>166.970.548-08</v>
          </cell>
          <cell r="F191">
            <v>15081</v>
          </cell>
          <cell r="G191">
            <v>2041.67</v>
          </cell>
          <cell r="Z191" t="str">
            <v>3050/11</v>
          </cell>
          <cell r="AA191">
            <v>3314.0531680000004</v>
          </cell>
          <cell r="AB191">
            <v>193.51196280000011</v>
          </cell>
        </row>
        <row r="192">
          <cell r="A192" t="str">
            <v>3202/11</v>
          </cell>
          <cell r="B192">
            <v>40854</v>
          </cell>
          <cell r="C192" t="str">
            <v>2011-0.293.300-3</v>
          </cell>
          <cell r="D192" t="str">
            <v>MARIA APARECIDA DE MORAIS</v>
          </cell>
          <cell r="E192">
            <v>11597889873</v>
          </cell>
          <cell r="F192">
            <v>16563</v>
          </cell>
          <cell r="G192">
            <v>3400.17</v>
          </cell>
          <cell r="Z192" t="str">
            <v>2824/11</v>
          </cell>
          <cell r="AA192">
            <v>2437.1196599999998</v>
          </cell>
          <cell r="AB192">
            <v>60.00397449999997</v>
          </cell>
        </row>
        <row r="193">
          <cell r="A193" t="str">
            <v>2462/11</v>
          </cell>
          <cell r="B193">
            <v>40812</v>
          </cell>
          <cell r="C193" t="str">
            <v>2011-0.228.983-0</v>
          </cell>
          <cell r="D193" t="str">
            <v>MARIA DE FATIMA FERNANDES DA SILVA</v>
          </cell>
          <cell r="E193" t="str">
            <v>144.260.458-19</v>
          </cell>
          <cell r="F193">
            <v>16447</v>
          </cell>
          <cell r="G193">
            <v>3400.17</v>
          </cell>
          <cell r="Z193" t="str">
            <v>3202/11</v>
          </cell>
          <cell r="AA193">
            <v>3347.0673719999995</v>
          </cell>
          <cell r="AB193">
            <v>200.94015869999998</v>
          </cell>
        </row>
        <row r="194">
          <cell r="A194" t="str">
            <v>2090/11</v>
          </cell>
          <cell r="B194">
            <v>40805</v>
          </cell>
          <cell r="C194" t="str">
            <v>2011-0.224.708-8</v>
          </cell>
          <cell r="D194" t="str">
            <v>MARIA DO ROSARIO GONCALVES ALVES</v>
          </cell>
          <cell r="E194" t="str">
            <v>087.635.288-35</v>
          </cell>
          <cell r="F194">
            <v>16317</v>
          </cell>
          <cell r="G194">
            <v>3400.17</v>
          </cell>
          <cell r="Z194" t="str">
            <v>2462/11</v>
          </cell>
          <cell r="AA194">
            <v>3416.9290759999994</v>
          </cell>
          <cell r="AB194">
            <v>216.65904209999997</v>
          </cell>
        </row>
        <row r="195">
          <cell r="A195" t="str">
            <v>1837/11</v>
          </cell>
          <cell r="B195">
            <v>40785</v>
          </cell>
          <cell r="C195" t="str">
            <v>2011-0.202.184-5</v>
          </cell>
          <cell r="D195" t="str">
            <v>MARIA LUCIA ANTÃO DA SILVA</v>
          </cell>
          <cell r="E195" t="str">
            <v>020.848.734-44</v>
          </cell>
          <cell r="F195">
            <v>14640</v>
          </cell>
          <cell r="G195">
            <v>2152.6750000000002</v>
          </cell>
          <cell r="Z195" t="str">
            <v>2090/11</v>
          </cell>
          <cell r="AA195">
            <v>3310.4707240000002</v>
          </cell>
          <cell r="AB195">
            <v>192.70591290000004</v>
          </cell>
        </row>
        <row r="196">
          <cell r="A196" t="str">
            <v>3233/11</v>
          </cell>
          <cell r="B196">
            <v>40854</v>
          </cell>
          <cell r="C196" t="str">
            <v>2011-0.293.248-1</v>
          </cell>
          <cell r="D196" t="str">
            <v>MARIA SIRLEY FERNANDES DA SILVA</v>
          </cell>
          <cell r="E196" t="str">
            <v>166.477.438-63</v>
          </cell>
          <cell r="F196">
            <v>15136</v>
          </cell>
          <cell r="G196">
            <v>2583.21</v>
          </cell>
          <cell r="Z196" t="str">
            <v>1837/11</v>
          </cell>
          <cell r="AA196">
            <v>2692.2951000000003</v>
          </cell>
          <cell r="AB196">
            <v>97.044264999999996</v>
          </cell>
        </row>
        <row r="197">
          <cell r="A197" t="str">
            <v>1950/11</v>
          </cell>
          <cell r="B197">
            <v>40791</v>
          </cell>
          <cell r="C197" t="str">
            <v>2011-0.222.261-1</v>
          </cell>
          <cell r="D197" t="str">
            <v>MARIANA FRANCISCA DA SILVA</v>
          </cell>
          <cell r="E197" t="str">
            <v>039.853.048-31</v>
          </cell>
          <cell r="F197">
            <v>16243</v>
          </cell>
          <cell r="G197">
            <v>2746.33</v>
          </cell>
          <cell r="Z197" t="str">
            <v>3233/11</v>
          </cell>
          <cell r="AA197">
            <v>3500.4362040000005</v>
          </cell>
          <cell r="AB197">
            <v>235.44814590000021</v>
          </cell>
        </row>
        <row r="198">
          <cell r="A198" t="str">
            <v>2453/11</v>
          </cell>
          <cell r="B198">
            <v>40812</v>
          </cell>
          <cell r="C198" t="str">
            <v>2011-0.228.930-9</v>
          </cell>
          <cell r="D198" t="str">
            <v>MARILENE JOSÉ DA SILVA</v>
          </cell>
          <cell r="E198" t="str">
            <v>132.424.868-89</v>
          </cell>
          <cell r="F198">
            <v>14984</v>
          </cell>
          <cell r="G198">
            <v>3400.17</v>
          </cell>
          <cell r="Z198" t="str">
            <v>1950/11</v>
          </cell>
          <cell r="AA198">
            <v>2745.4375759999998</v>
          </cell>
          <cell r="AB198">
            <v>105.01563639999995</v>
          </cell>
        </row>
        <row r="199">
          <cell r="A199" t="str">
            <v>2556/11</v>
          </cell>
          <cell r="B199">
            <v>40819</v>
          </cell>
          <cell r="C199" t="str">
            <v>2011-0.230.264-0</v>
          </cell>
          <cell r="D199" t="str">
            <v>MARIO LUCIO ALVES</v>
          </cell>
          <cell r="E199" t="str">
            <v>043.507.998-00</v>
          </cell>
          <cell r="F199">
            <v>16462</v>
          </cell>
          <cell r="G199">
            <v>2583.21</v>
          </cell>
          <cell r="Z199" t="str">
            <v>2453/11</v>
          </cell>
          <cell r="AA199">
            <v>3679.1064080000001</v>
          </cell>
          <cell r="AB199">
            <v>275.6489418000001</v>
          </cell>
        </row>
        <row r="200">
          <cell r="A200" t="str">
            <v>1834/11</v>
          </cell>
          <cell r="B200">
            <v>40784</v>
          </cell>
          <cell r="C200" t="str">
            <v>2011-0.202.116-0</v>
          </cell>
          <cell r="D200" t="str">
            <v>MARLON FERREIRA GOMES</v>
          </cell>
          <cell r="E200" t="str">
            <v>284.294.118-79</v>
          </cell>
          <cell r="F200">
            <v>16211</v>
          </cell>
          <cell r="G200">
            <v>2066.5680000000002</v>
          </cell>
          <cell r="Z200" t="str">
            <v>2556/11</v>
          </cell>
          <cell r="AA200">
            <v>2459.6200440000002</v>
          </cell>
          <cell r="AB200">
            <v>62.143006600000035</v>
          </cell>
        </row>
        <row r="201">
          <cell r="A201" t="str">
            <v>2343/11</v>
          </cell>
          <cell r="B201">
            <v>40812</v>
          </cell>
          <cell r="C201" t="str">
            <v>2011-0.227.401-8</v>
          </cell>
          <cell r="D201" t="str">
            <v>MARTA FERREIRA DA SILVA</v>
          </cell>
          <cell r="E201" t="str">
            <v>103.170.708-51</v>
          </cell>
          <cell r="F201">
            <v>14904</v>
          </cell>
          <cell r="G201">
            <v>3400.17</v>
          </cell>
          <cell r="Z201" t="str">
            <v>1834/11</v>
          </cell>
          <cell r="AA201">
            <v>2287.3136199999999</v>
          </cell>
          <cell r="AB201">
            <v>48.768521499999991</v>
          </cell>
        </row>
        <row r="202">
          <cell r="A202" t="str">
            <v>2887/11</v>
          </cell>
          <cell r="B202">
            <v>40833</v>
          </cell>
          <cell r="C202" t="str">
            <v>2011-0.258.077-1</v>
          </cell>
          <cell r="D202" t="str">
            <v>MAURICIO ARRUDA BARBOSA</v>
          </cell>
          <cell r="E202" t="str">
            <v>100.817.058-59</v>
          </cell>
          <cell r="F202">
            <v>15102</v>
          </cell>
          <cell r="G202">
            <v>2419.42</v>
          </cell>
          <cell r="Z202" t="str">
            <v>2343/11</v>
          </cell>
          <cell r="AA202">
            <v>3396.167316</v>
          </cell>
          <cell r="AB202">
            <v>211.98764610000001</v>
          </cell>
        </row>
        <row r="203">
          <cell r="A203" t="str">
            <v>2183/11</v>
          </cell>
          <cell r="B203">
            <v>40805</v>
          </cell>
          <cell r="C203" t="str">
            <v>2011-0.226.038-6</v>
          </cell>
          <cell r="D203" t="str">
            <v>MAURICIO GOMES DA SILVA FILHO</v>
          </cell>
          <cell r="E203" t="str">
            <v>088.869.508-02</v>
          </cell>
          <cell r="F203">
            <v>14762</v>
          </cell>
          <cell r="G203">
            <v>3400.17</v>
          </cell>
          <cell r="Z203" t="str">
            <v>2887/11</v>
          </cell>
          <cell r="AA203">
            <v>3169.4028880000001</v>
          </cell>
          <cell r="AB203">
            <v>168.61043319999999</v>
          </cell>
        </row>
        <row r="204">
          <cell r="A204" t="str">
            <v>1799/11</v>
          </cell>
          <cell r="B204">
            <v>40784</v>
          </cell>
          <cell r="C204" t="str">
            <v>2011-0.201.407-5</v>
          </cell>
          <cell r="D204" t="str">
            <v>MAURO CESAR ZILLIG BARBOSA</v>
          </cell>
          <cell r="E204">
            <v>16698186830</v>
          </cell>
          <cell r="F204">
            <v>16213</v>
          </cell>
          <cell r="G204">
            <v>2284.2400000000002</v>
          </cell>
          <cell r="Z204" t="str">
            <v>2183/11</v>
          </cell>
          <cell r="AA204">
            <v>4137.6835159999991</v>
          </cell>
          <cell r="AB204">
            <v>381.33296689999997</v>
          </cell>
        </row>
        <row r="205">
          <cell r="A205" t="str">
            <v>2092/11</v>
          </cell>
          <cell r="B205">
            <v>40805</v>
          </cell>
          <cell r="C205" t="str">
            <v>2011-0.224.713-4</v>
          </cell>
          <cell r="D205" t="str">
            <v>MIGUEL TITARA DOS SANTOS</v>
          </cell>
          <cell r="E205" t="str">
            <v>434.736.604-34</v>
          </cell>
          <cell r="F205">
            <v>14697</v>
          </cell>
          <cell r="G205">
            <v>2447.83</v>
          </cell>
          <cell r="Z205" t="str">
            <v>1799/11</v>
          </cell>
          <cell r="AA205">
            <v>2792.7884920000001</v>
          </cell>
          <cell r="AB205">
            <v>112.1182738</v>
          </cell>
        </row>
        <row r="206">
          <cell r="A206" t="str">
            <v>2557/11</v>
          </cell>
          <cell r="B206">
            <v>40819</v>
          </cell>
          <cell r="C206" t="str">
            <v>2011-0.230.268-2</v>
          </cell>
          <cell r="D206" t="str">
            <v>MILTON PEREIRA DE CARVALHO</v>
          </cell>
          <cell r="E206" t="str">
            <v>767.114.558-00</v>
          </cell>
          <cell r="F206">
            <v>16468</v>
          </cell>
          <cell r="G206">
            <v>3400.17</v>
          </cell>
          <cell r="Z206" t="str">
            <v>2092/11</v>
          </cell>
          <cell r="AA206">
            <v>2500.3320519999997</v>
          </cell>
          <cell r="AB206">
            <v>68.249807799999928</v>
          </cell>
        </row>
        <row r="207">
          <cell r="A207" t="str">
            <v>2312/11</v>
          </cell>
          <cell r="B207">
            <v>40812</v>
          </cell>
          <cell r="C207" t="str">
            <v>2011-0.227.370-4</v>
          </cell>
          <cell r="D207" t="str">
            <v>MIRALDA DUTRA FAGUNDES DA SILVA</v>
          </cell>
          <cell r="E207" t="str">
            <v>075.210.248-69</v>
          </cell>
          <cell r="F207">
            <v>16382</v>
          </cell>
          <cell r="G207">
            <v>3400.17</v>
          </cell>
          <cell r="Z207" t="str">
            <v>2557/11</v>
          </cell>
          <cell r="AA207">
            <v>3495.0434640000003</v>
          </cell>
          <cell r="AB207">
            <v>234.23477940000009</v>
          </cell>
        </row>
        <row r="208">
          <cell r="A208" t="str">
            <v>2008/11</v>
          </cell>
          <cell r="B208">
            <v>40798</v>
          </cell>
          <cell r="C208" t="str">
            <v>2011-0.223.213-7</v>
          </cell>
          <cell r="D208" t="str">
            <v>MIRIAN TEIXEIRA DA SILVA GARCIA</v>
          </cell>
          <cell r="E208" t="str">
            <v>077.970.378-25</v>
          </cell>
          <cell r="F208">
            <v>14667</v>
          </cell>
          <cell r="G208">
            <v>3400.17</v>
          </cell>
          <cell r="Z208" t="str">
            <v>2312/11</v>
          </cell>
          <cell r="AA208">
            <v>3313.5514640000001</v>
          </cell>
          <cell r="AB208">
            <v>193.39907940000012</v>
          </cell>
        </row>
        <row r="209">
          <cell r="A209" t="str">
            <v>2313/11</v>
          </cell>
          <cell r="B209">
            <v>40812</v>
          </cell>
          <cell r="C209" t="str">
            <v>2011-0.227.375-5</v>
          </cell>
          <cell r="D209" t="str">
            <v>MIRLENE DE FATIMA SOUZA PIRES</v>
          </cell>
          <cell r="E209" t="str">
            <v>064.149.798-99</v>
          </cell>
          <cell r="F209">
            <v>14845</v>
          </cell>
          <cell r="G209">
            <v>3400.17</v>
          </cell>
          <cell r="Z209" t="str">
            <v>2008/11</v>
          </cell>
          <cell r="AA209">
            <v>3249.5778460000001</v>
          </cell>
          <cell r="AB209">
            <v>180.6366769</v>
          </cell>
        </row>
        <row r="210">
          <cell r="A210" t="str">
            <v>2540/11</v>
          </cell>
          <cell r="B210">
            <v>40819</v>
          </cell>
          <cell r="C210" t="str">
            <v>2011-0.230.210-0</v>
          </cell>
          <cell r="D210" t="str">
            <v>NATANAEL CARLOS DA PAZ</v>
          </cell>
          <cell r="E210" t="str">
            <v>063.792.078-30</v>
          </cell>
          <cell r="F210">
            <v>15040</v>
          </cell>
          <cell r="G210">
            <v>1703.2</v>
          </cell>
          <cell r="Z210" t="str">
            <v>2313/11</v>
          </cell>
          <cell r="AA210">
            <v>3440.6814079999999</v>
          </cell>
          <cell r="AB210">
            <v>222.00331679999999</v>
          </cell>
        </row>
        <row r="211">
          <cell r="A211" t="str">
            <v>2558/11</v>
          </cell>
          <cell r="B211">
            <v>40819</v>
          </cell>
          <cell r="C211" t="str">
            <v>2011-0.230.270-4</v>
          </cell>
          <cell r="D211" t="str">
            <v>NEIDMAR GOMES FERREIRA</v>
          </cell>
          <cell r="E211" t="str">
            <v>051.516.018-06</v>
          </cell>
          <cell r="F211">
            <v>16491</v>
          </cell>
          <cell r="G211">
            <v>3400.17</v>
          </cell>
          <cell r="Z211" t="str">
            <v>2540/11</v>
          </cell>
          <cell r="AA211">
            <v>1833.016024</v>
          </cell>
          <cell r="AB211">
            <v>14.696201799999983</v>
          </cell>
        </row>
        <row r="212">
          <cell r="A212" t="str">
            <v>2226/11</v>
          </cell>
          <cell r="B212">
            <v>40805</v>
          </cell>
          <cell r="C212" t="str">
            <v>2011-0.226.919-7</v>
          </cell>
          <cell r="D212" t="str">
            <v>NELSON DIAS DE OLIVEIRA</v>
          </cell>
          <cell r="E212" t="str">
            <v>128.727.208-80</v>
          </cell>
          <cell r="F212">
            <v>14780</v>
          </cell>
          <cell r="G212">
            <v>3400.17</v>
          </cell>
          <cell r="Z212" t="str">
            <v>2558/11</v>
          </cell>
          <cell r="AA212">
            <v>2968.4369120000001</v>
          </cell>
          <cell r="AB212">
            <v>138.4655368</v>
          </cell>
        </row>
        <row r="213">
          <cell r="A213" t="str">
            <v>3235/11</v>
          </cell>
          <cell r="B213">
            <v>40857</v>
          </cell>
          <cell r="C213" t="str">
            <v>2011-0.293.287-2</v>
          </cell>
          <cell r="D213" t="str">
            <v>NELSON RIBEIRO DE SOUZA</v>
          </cell>
          <cell r="E213" t="str">
            <v>094.971.998-64</v>
          </cell>
          <cell r="F213">
            <v>15140</v>
          </cell>
          <cell r="G213">
            <v>2109.35</v>
          </cell>
          <cell r="Z213" t="str">
            <v>2226/11</v>
          </cell>
          <cell r="AA213">
            <v>3374.2414640000002</v>
          </cell>
          <cell r="AB213">
            <v>207.05432940000003</v>
          </cell>
        </row>
        <row r="214">
          <cell r="A214" t="str">
            <v>2094/11</v>
          </cell>
          <cell r="B214">
            <v>40805</v>
          </cell>
          <cell r="C214" t="str">
            <v>2011-0.224.722-3</v>
          </cell>
          <cell r="D214" t="str">
            <v>NILTON CESAR SOARES DE OLIVEIRA</v>
          </cell>
          <cell r="E214" t="str">
            <v>134.621.388-71</v>
          </cell>
          <cell r="F214">
            <v>16320</v>
          </cell>
          <cell r="G214">
            <v>2583.21</v>
          </cell>
          <cell r="Z214" t="str">
            <v>3235/11</v>
          </cell>
          <cell r="AA214">
            <v>2293.2866720000002</v>
          </cell>
          <cell r="AB214">
            <v>49.216500400000001</v>
          </cell>
        </row>
        <row r="215">
          <cell r="A215" t="str">
            <v>3372/11</v>
          </cell>
          <cell r="B215">
            <v>40889</v>
          </cell>
          <cell r="C215" t="str">
            <v>2011-0.330.471-9</v>
          </cell>
          <cell r="D215" t="str">
            <v>NILTON CEZAR DORNELLAS</v>
          </cell>
          <cell r="E215">
            <v>27437980843</v>
          </cell>
          <cell r="F215">
            <v>16592</v>
          </cell>
          <cell r="G215">
            <v>1659</v>
          </cell>
          <cell r="Z215" t="str">
            <v>2094/11</v>
          </cell>
          <cell r="AA215">
            <v>2384.5101000000004</v>
          </cell>
          <cell r="AB215">
            <v>56.058257500000025</v>
          </cell>
        </row>
        <row r="216">
          <cell r="A216" t="str">
            <v>2242/11</v>
          </cell>
          <cell r="B216">
            <v>40805</v>
          </cell>
          <cell r="C216" t="str">
            <v>2011-0.226.974-0</v>
          </cell>
          <cell r="D216" t="str">
            <v>ODUVALDO BATISTA PIERETTO</v>
          </cell>
          <cell r="E216" t="str">
            <v>088.865.468-58</v>
          </cell>
          <cell r="F216">
            <v>16348</v>
          </cell>
          <cell r="G216">
            <v>3400.17</v>
          </cell>
          <cell r="Z216" t="str">
            <v>1660/11</v>
          </cell>
          <cell r="AA216">
            <v>1096.7831293333334</v>
          </cell>
          <cell r="AB216">
            <v>0</v>
          </cell>
        </row>
        <row r="217">
          <cell r="A217" t="str">
            <v>2849/11</v>
          </cell>
          <cell r="B217">
            <v>40826</v>
          </cell>
          <cell r="C217" t="str">
            <v>2011-0.257.102-0</v>
          </cell>
          <cell r="D217" t="str">
            <v>ORLEANS ALVES PEREIRA</v>
          </cell>
          <cell r="E217" t="str">
            <v>257.277.158-65</v>
          </cell>
          <cell r="F217">
            <v>15086</v>
          </cell>
          <cell r="G217">
            <v>2515.52</v>
          </cell>
          <cell r="Z217" t="str">
            <v>3372/11</v>
          </cell>
          <cell r="AA217">
            <v>1490.3695320000002</v>
          </cell>
          <cell r="AB217">
            <v>81.272899199999927</v>
          </cell>
        </row>
        <row r="218">
          <cell r="A218" t="str">
            <v>2238/11</v>
          </cell>
          <cell r="B218">
            <v>40805</v>
          </cell>
          <cell r="C218" t="str">
            <v>2011-0.226.958-8</v>
          </cell>
          <cell r="D218" t="str">
            <v>OSMAR DOS SANTOS SOUSA</v>
          </cell>
          <cell r="E218" t="str">
            <v>148.933.278-28</v>
          </cell>
          <cell r="F218">
            <v>16345</v>
          </cell>
          <cell r="G218">
            <v>3400.17</v>
          </cell>
          <cell r="Z218" t="str">
            <v>2242/11</v>
          </cell>
          <cell r="AA218">
            <v>3400.3416319999997</v>
          </cell>
          <cell r="AB218">
            <v>212.92686719999995</v>
          </cell>
        </row>
        <row r="219">
          <cell r="A219" t="str">
            <v>3210/11</v>
          </cell>
          <cell r="B219">
            <v>40854</v>
          </cell>
          <cell r="C219" t="str">
            <v>2011-0.293.337-2</v>
          </cell>
          <cell r="D219" t="str">
            <v>PATRICIA DESENZI RUY AFONSO</v>
          </cell>
          <cell r="E219" t="str">
            <v>075.446.358-30</v>
          </cell>
          <cell r="F219">
            <v>16565</v>
          </cell>
          <cell r="G219">
            <v>3182.21</v>
          </cell>
          <cell r="Z219" t="str">
            <v>2849/11</v>
          </cell>
          <cell r="AA219">
            <v>2512.5423019999998</v>
          </cell>
          <cell r="AB219">
            <v>70.081345299999953</v>
          </cell>
        </row>
        <row r="220">
          <cell r="A220" t="str">
            <v>1828/11</v>
          </cell>
          <cell r="B220">
            <v>40784</v>
          </cell>
          <cell r="C220" t="str">
            <v>2011-0.202.099-7</v>
          </cell>
          <cell r="D220" t="str">
            <v>PAULO CELSO ZABARELLI</v>
          </cell>
          <cell r="E220" t="str">
            <v>022.345.658-63</v>
          </cell>
          <cell r="F220">
            <v>14635</v>
          </cell>
          <cell r="G220">
            <v>2012.4160000000002</v>
          </cell>
          <cell r="Z220" t="str">
            <v>2238/11</v>
          </cell>
          <cell r="AA220">
            <v>3328.8141319999995</v>
          </cell>
          <cell r="AB220">
            <v>196.83317969999996</v>
          </cell>
        </row>
        <row r="221">
          <cell r="A221" t="str">
            <v>3256/11</v>
          </cell>
          <cell r="B221">
            <v>40863</v>
          </cell>
          <cell r="C221" t="str">
            <v>2011-0.293.459-0</v>
          </cell>
          <cell r="D221" t="str">
            <v>PAULO WANDUILSON GOMES</v>
          </cell>
          <cell r="E221">
            <v>27103972850</v>
          </cell>
          <cell r="F221">
            <v>16576</v>
          </cell>
          <cell r="G221">
            <v>2483</v>
          </cell>
          <cell r="Z221" t="str">
            <v>3210/11</v>
          </cell>
          <cell r="AA221">
            <v>3055.4484540000003</v>
          </cell>
          <cell r="AB221">
            <v>151.51726810000002</v>
          </cell>
        </row>
        <row r="222">
          <cell r="A222" t="str">
            <v>2704/11</v>
          </cell>
          <cell r="B222">
            <v>40821</v>
          </cell>
          <cell r="C222" t="str">
            <v>2011-0.256.667-1</v>
          </cell>
          <cell r="D222" t="str">
            <v>PRISCILA BOLLITO TERRA</v>
          </cell>
          <cell r="E222" t="str">
            <v>279.787.448-09</v>
          </cell>
          <cell r="F222">
            <v>15047</v>
          </cell>
          <cell r="G222">
            <v>2650.9</v>
          </cell>
          <cell r="Z222" t="str">
            <v>1828/11</v>
          </cell>
          <cell r="AA222">
            <v>2250.972448</v>
          </cell>
          <cell r="AB222">
            <v>46.042933599999998</v>
          </cell>
        </row>
        <row r="223">
          <cell r="A223" t="str">
            <v>2596/11</v>
          </cell>
          <cell r="B223">
            <v>40819</v>
          </cell>
          <cell r="C223" t="str">
            <v>2011-0.230.446-4</v>
          </cell>
          <cell r="D223" t="str">
            <v>RAIMUNDO LOIOLA DOS SANTOS</v>
          </cell>
          <cell r="E223" t="str">
            <v>011.772.848-98</v>
          </cell>
          <cell r="F223">
            <v>16493</v>
          </cell>
          <cell r="G223">
            <v>3618.12</v>
          </cell>
          <cell r="Z223" t="str">
            <v>3256/11</v>
          </cell>
          <cell r="AA223">
            <v>3641.8647120000001</v>
          </cell>
          <cell r="AB223">
            <v>267.2695602</v>
          </cell>
        </row>
        <row r="224">
          <cell r="A224" t="str">
            <v>2603/11</v>
          </cell>
          <cell r="B224">
            <v>40819</v>
          </cell>
          <cell r="C224" t="str">
            <v>2011-0.230.454-5</v>
          </cell>
          <cell r="D224" t="str">
            <v>RAIMUNDO MENDES DE SOUZA</v>
          </cell>
          <cell r="E224" t="str">
            <v>522.500.246-34</v>
          </cell>
          <cell r="F224">
            <v>16480</v>
          </cell>
          <cell r="G224">
            <v>3400.17</v>
          </cell>
          <cell r="Z224" t="str">
            <v>2704/11</v>
          </cell>
          <cell r="AA224">
            <v>2430.6391239999998</v>
          </cell>
          <cell r="AB224">
            <v>59.517934299999979</v>
          </cell>
        </row>
        <row r="225">
          <cell r="A225" t="str">
            <v>2712/11</v>
          </cell>
          <cell r="B225">
            <v>40826</v>
          </cell>
          <cell r="C225" t="str">
            <v>2011-0.256.679-5</v>
          </cell>
          <cell r="D225" t="str">
            <v>REGINALDO SOARES DA SILVA MELO</v>
          </cell>
          <cell r="E225" t="str">
            <v>253.720.038-12</v>
          </cell>
          <cell r="F225">
            <v>16207</v>
          </cell>
          <cell r="G225">
            <v>3400.17</v>
          </cell>
          <cell r="Z225" t="str">
            <v>2596/11</v>
          </cell>
          <cell r="AA225">
            <v>2971.3939599999999</v>
          </cell>
          <cell r="AB225">
            <v>138.90909399999998</v>
          </cell>
        </row>
        <row r="226">
          <cell r="A226" t="str">
            <v>3310/11</v>
          </cell>
          <cell r="B226">
            <v>40868</v>
          </cell>
          <cell r="C226" t="str">
            <v>2011-0.293.215-5</v>
          </cell>
          <cell r="D226" t="str">
            <v>RENATO BEZERRA DA SILVA</v>
          </cell>
          <cell r="E226" t="str">
            <v>317.171.898-73</v>
          </cell>
          <cell r="F226">
            <v>15143</v>
          </cell>
          <cell r="G226">
            <v>2515.52</v>
          </cell>
          <cell r="Z226" t="str">
            <v>2603/11</v>
          </cell>
          <cell r="AA226">
            <v>3155.4141319999994</v>
          </cell>
          <cell r="AB226">
            <v>166.51211979999988</v>
          </cell>
        </row>
        <row r="227">
          <cell r="A227" t="str">
            <v>2401/11</v>
          </cell>
          <cell r="B227">
            <v>40812</v>
          </cell>
          <cell r="C227" t="str">
            <v>2011-0.229.153-2</v>
          </cell>
          <cell r="D227" t="str">
            <v>RENATO DE OLIVEIRA SOUSA</v>
          </cell>
          <cell r="E227" t="str">
            <v>283.024.638-17</v>
          </cell>
          <cell r="F227">
            <v>14961</v>
          </cell>
          <cell r="G227">
            <v>3400.17</v>
          </cell>
          <cell r="Z227" t="str">
            <v>2712/11</v>
          </cell>
          <cell r="AA227">
            <v>3260.4355759999999</v>
          </cell>
          <cell r="AB227">
            <v>182.26533639999997</v>
          </cell>
        </row>
        <row r="228">
          <cell r="A228" t="str">
            <v>2463/11</v>
          </cell>
          <cell r="B228">
            <v>40812</v>
          </cell>
          <cell r="C228" t="str">
            <v>2011-0.228.988-0</v>
          </cell>
          <cell r="D228" t="str">
            <v>RICARDO BEZERRA DA SILVA</v>
          </cell>
          <cell r="E228" t="str">
            <v>272.847.568-70</v>
          </cell>
          <cell r="F228">
            <v>15013</v>
          </cell>
          <cell r="G228">
            <v>3400.17</v>
          </cell>
          <cell r="Z228" t="str">
            <v>3310/11</v>
          </cell>
          <cell r="AA228">
            <v>2671.873204</v>
          </cell>
          <cell r="AB228">
            <v>93.980980599999953</v>
          </cell>
        </row>
        <row r="229">
          <cell r="A229" t="str">
            <v>2371/11</v>
          </cell>
          <cell r="B229">
            <v>40812</v>
          </cell>
          <cell r="C229" t="str">
            <v>2011-0.228.605-9</v>
          </cell>
          <cell r="D229" t="str">
            <v>RICARDO GUIMARAES PAIVA</v>
          </cell>
          <cell r="E229" t="str">
            <v>281.930.398-66</v>
          </cell>
          <cell r="F229">
            <v>14915</v>
          </cell>
          <cell r="G229">
            <v>3400.17</v>
          </cell>
          <cell r="Z229" t="str">
            <v>2401/11</v>
          </cell>
          <cell r="AA229">
            <v>3455.4204079999995</v>
          </cell>
          <cell r="AB229">
            <v>225.3195917999999</v>
          </cell>
        </row>
        <row r="230">
          <cell r="A230" t="str">
            <v>2390/11</v>
          </cell>
          <cell r="B230">
            <v>40812</v>
          </cell>
          <cell r="C230" t="str">
            <v>2011-0.228.952-0</v>
          </cell>
          <cell r="D230" t="str">
            <v>ROBERTO CARLOS DA GAMA</v>
          </cell>
          <cell r="E230" t="str">
            <v>048.693.508-66</v>
          </cell>
          <cell r="F230">
            <v>16393</v>
          </cell>
          <cell r="G230">
            <v>2583.21</v>
          </cell>
          <cell r="Z230" t="str">
            <v>2463/11</v>
          </cell>
          <cell r="AA230">
            <v>3499.8662959999997</v>
          </cell>
          <cell r="AB230">
            <v>235.31991659999994</v>
          </cell>
        </row>
        <row r="231">
          <cell r="A231" t="str">
            <v>2801/11</v>
          </cell>
          <cell r="B231">
            <v>40826</v>
          </cell>
          <cell r="C231" t="str">
            <v>2011-0.256.874-7</v>
          </cell>
          <cell r="D231" t="str">
            <v>ROBERTO GONCALVES DA SILVA</v>
          </cell>
          <cell r="E231" t="str">
            <v>022.375.588-50</v>
          </cell>
          <cell r="F231">
            <v>16222</v>
          </cell>
          <cell r="G231">
            <v>3400.17</v>
          </cell>
          <cell r="Z231" t="str">
            <v>2371/11</v>
          </cell>
          <cell r="AA231">
            <v>3531.0320559999996</v>
          </cell>
          <cell r="AB231">
            <v>242.33221259999993</v>
          </cell>
        </row>
        <row r="232">
          <cell r="A232" t="str">
            <v>1823/11</v>
          </cell>
          <cell r="B232">
            <v>40784</v>
          </cell>
          <cell r="C232" t="str">
            <v>2011-0.201.808-9</v>
          </cell>
          <cell r="D232" t="str">
            <v>RODRIGO NOBRE DE SOUSA</v>
          </cell>
          <cell r="E232" t="str">
            <v>297.498.788-50</v>
          </cell>
          <cell r="F232">
            <v>16219</v>
          </cell>
          <cell r="G232">
            <v>2066.5680000000002</v>
          </cell>
          <cell r="Z232" t="str">
            <v>2390/11</v>
          </cell>
          <cell r="AA232">
            <v>2669.0248200000001</v>
          </cell>
          <cell r="AB232">
            <v>93.553722999999991</v>
          </cell>
        </row>
        <row r="233">
          <cell r="A233" t="str">
            <v>1732/11</v>
          </cell>
          <cell r="B233">
            <v>40763</v>
          </cell>
          <cell r="C233" t="str">
            <v>2011-0.200.799-0</v>
          </cell>
          <cell r="D233" t="str">
            <v>ROGERIO DOS REIS</v>
          </cell>
          <cell r="E233">
            <v>25931154833</v>
          </cell>
          <cell r="F233">
            <v>14604</v>
          </cell>
          <cell r="G233" t="e">
            <v>#DIV/0!</v>
          </cell>
          <cell r="Z233" t="str">
            <v>2801/11</v>
          </cell>
          <cell r="AA233">
            <v>2903.000376</v>
          </cell>
          <cell r="AB233">
            <v>128.65005639999998</v>
          </cell>
        </row>
        <row r="234">
          <cell r="A234" t="str">
            <v>2888/11</v>
          </cell>
          <cell r="B234">
            <v>40833</v>
          </cell>
          <cell r="C234" t="str">
            <v>2011-0.258.088-7</v>
          </cell>
          <cell r="D234" t="str">
            <v>ROGERIO FRANCISCO DA SILVA</v>
          </cell>
          <cell r="E234" t="str">
            <v>184.704.968-08</v>
          </cell>
          <cell r="F234">
            <v>16232</v>
          </cell>
          <cell r="G234">
            <v>3400.17</v>
          </cell>
          <cell r="Z234" t="str">
            <v>1823/11</v>
          </cell>
          <cell r="AA234">
            <v>2505.3803040000003</v>
          </cell>
          <cell r="AB234">
            <v>69.007045600000026</v>
          </cell>
        </row>
        <row r="235">
          <cell r="A235" t="str">
            <v>2626/11</v>
          </cell>
          <cell r="B235">
            <v>40819</v>
          </cell>
          <cell r="C235" t="str">
            <v>2011-0.230.479-0</v>
          </cell>
          <cell r="D235" t="str">
            <v>ROGERIO SOARES DA SILVA</v>
          </cell>
          <cell r="E235" t="str">
            <v>303.995.208-05</v>
          </cell>
          <cell r="F235">
            <v>16487</v>
          </cell>
          <cell r="G235">
            <v>2515.52</v>
          </cell>
          <cell r="Z235" t="str">
            <v>1732/11</v>
          </cell>
          <cell r="AA235">
            <v>3919.2214799999997</v>
          </cell>
          <cell r="AB235">
            <v>329.67483299999992</v>
          </cell>
        </row>
        <row r="236">
          <cell r="A236" t="str">
            <v>2315/11</v>
          </cell>
          <cell r="B236">
            <v>40812</v>
          </cell>
          <cell r="C236" t="str">
            <v>2011-0.227.184-1</v>
          </cell>
          <cell r="D236" t="str">
            <v>RONALDO GUIMARAES DOS SANTOS</v>
          </cell>
          <cell r="E236" t="str">
            <v>118.534.048-37</v>
          </cell>
          <cell r="F236">
            <v>14851</v>
          </cell>
          <cell r="G236">
            <v>3400.17</v>
          </cell>
          <cell r="Z236" t="str">
            <v>2888/11</v>
          </cell>
          <cell r="AA236">
            <v>3332.8081119999997</v>
          </cell>
          <cell r="AB236">
            <v>197.7318252</v>
          </cell>
        </row>
        <row r="237">
          <cell r="A237" t="str">
            <v>2464/11</v>
          </cell>
          <cell r="B237">
            <v>40812</v>
          </cell>
          <cell r="C237" t="str">
            <v>2011-0.228.994-5</v>
          </cell>
          <cell r="D237" t="str">
            <v>RONALDO PEREIRA MACHADO</v>
          </cell>
          <cell r="E237" t="str">
            <v>135.178.588-54</v>
          </cell>
          <cell r="F237">
            <v>16451</v>
          </cell>
          <cell r="G237">
            <v>3400.17</v>
          </cell>
          <cell r="Z237" t="str">
            <v>2626/11</v>
          </cell>
          <cell r="AA237">
            <v>2357.8885759999998</v>
          </cell>
          <cell r="AB237">
            <v>54.061643199999992</v>
          </cell>
        </row>
        <row r="238">
          <cell r="A238" t="str">
            <v>1835/11</v>
          </cell>
          <cell r="B238">
            <v>40784</v>
          </cell>
          <cell r="C238" t="str">
            <v>2011-0.202.120-9</v>
          </cell>
          <cell r="D238" t="str">
            <v>ROSELI DE MELLO GALDINO DA SILVA</v>
          </cell>
          <cell r="E238" t="str">
            <v>086.383.988-67</v>
          </cell>
          <cell r="F238">
            <v>16220</v>
          </cell>
          <cell r="G238">
            <v>2012.4160000000002</v>
          </cell>
          <cell r="Z238" t="str">
            <v>1655/11</v>
          </cell>
          <cell r="AA238">
            <v>3207.234144</v>
          </cell>
          <cell r="AB238">
            <v>174.28512159999997</v>
          </cell>
        </row>
        <row r="239">
          <cell r="A239" t="str">
            <v>2443/11</v>
          </cell>
          <cell r="B239">
            <v>40812</v>
          </cell>
          <cell r="C239" t="str">
            <v>2011-0.229.883-9</v>
          </cell>
          <cell r="D239" t="str">
            <v>ROSEMARY CRISTINA SANTOS</v>
          </cell>
          <cell r="E239" t="str">
            <v>184.742.488-09</v>
          </cell>
          <cell r="F239">
            <v>14973</v>
          </cell>
          <cell r="G239">
            <v>3291.19</v>
          </cell>
          <cell r="Z239" t="str">
            <v>2315/11</v>
          </cell>
          <cell r="AA239">
            <v>3598.0176319999991</v>
          </cell>
          <cell r="AB239">
            <v>257.4039671999999</v>
          </cell>
        </row>
        <row r="240">
          <cell r="A240" t="str">
            <v>2063/11</v>
          </cell>
          <cell r="B240">
            <v>40805</v>
          </cell>
          <cell r="C240" t="str">
            <v>2011-0.223.369-9</v>
          </cell>
          <cell r="D240" t="str">
            <v>ROSENILDA DA SILVA FALCÃO</v>
          </cell>
          <cell r="E240" t="str">
            <v>144.274.698-09</v>
          </cell>
          <cell r="F240">
            <v>16292</v>
          </cell>
          <cell r="G240">
            <v>3400.17</v>
          </cell>
          <cell r="Z240" t="str">
            <v>2464/11</v>
          </cell>
          <cell r="AA240">
            <v>3061.639412</v>
          </cell>
          <cell r="AB240">
            <v>152.44591179999998</v>
          </cell>
        </row>
        <row r="241">
          <cell r="A241" t="str">
            <v>2812/11</v>
          </cell>
          <cell r="B241">
            <v>40826</v>
          </cell>
          <cell r="C241" t="str">
            <v>2011-0.256.918-2</v>
          </cell>
          <cell r="D241" t="str">
            <v>SATURNINO JOSÉ DE MIRANDA</v>
          </cell>
          <cell r="E241" t="str">
            <v>010.765.978-66</v>
          </cell>
          <cell r="F241">
            <v>15073</v>
          </cell>
          <cell r="G241">
            <v>3509.14</v>
          </cell>
          <cell r="Z241" t="str">
            <v>1835/11</v>
          </cell>
          <cell r="AA241">
            <v>2866.4083519999999</v>
          </cell>
          <cell r="AB241">
            <v>123.16125279999994</v>
          </cell>
        </row>
        <row r="242">
          <cell r="A242" t="str">
            <v>3231/11</v>
          </cell>
          <cell r="B242">
            <v>40854</v>
          </cell>
          <cell r="C242" t="str">
            <v>2011-0.293.241-4</v>
          </cell>
          <cell r="D242" t="str">
            <v xml:space="preserve">SELMA GOMES DE OLIVEIRA </v>
          </cell>
          <cell r="E242">
            <v>27440565886</v>
          </cell>
          <cell r="F242">
            <v>16567</v>
          </cell>
          <cell r="G242">
            <v>2483</v>
          </cell>
          <cell r="Z242" t="str">
            <v>2443/11</v>
          </cell>
          <cell r="AA242">
            <v>2536.3680399999998</v>
          </cell>
          <cell r="AB242">
            <v>73.655205999999964</v>
          </cell>
        </row>
        <row r="243">
          <cell r="A243" t="str">
            <v>3204/11</v>
          </cell>
          <cell r="B243">
            <v>40854</v>
          </cell>
          <cell r="C243" t="str">
            <v>2011-0.293.309-7</v>
          </cell>
          <cell r="D243" t="str">
            <v>SERGIO FELICIANO DA SILVA</v>
          </cell>
          <cell r="E243">
            <v>27349604866</v>
          </cell>
          <cell r="F243">
            <v>16564</v>
          </cell>
          <cell r="G243">
            <v>1526</v>
          </cell>
          <cell r="Z243" t="str">
            <v>2063/11</v>
          </cell>
          <cell r="AA243">
            <v>3431.1444079999997</v>
          </cell>
          <cell r="AB243">
            <v>219.85749179999993</v>
          </cell>
        </row>
        <row r="244">
          <cell r="A244" t="str">
            <v>2825/11</v>
          </cell>
          <cell r="B244">
            <v>40826</v>
          </cell>
          <cell r="C244" t="str">
            <v>2011-0.256.907-7</v>
          </cell>
          <cell r="D244" t="str">
            <v>SERGIO JOSÉ DA SILVA</v>
          </cell>
          <cell r="E244" t="str">
            <v>130.263.878-51</v>
          </cell>
          <cell r="F244">
            <v>16226</v>
          </cell>
          <cell r="G244">
            <v>3727.1</v>
          </cell>
          <cell r="Z244" t="str">
            <v>2812/11</v>
          </cell>
          <cell r="AA244">
            <v>3551.4631999999992</v>
          </cell>
          <cell r="AB244">
            <v>246.92921999999987</v>
          </cell>
        </row>
        <row r="245">
          <cell r="A245" t="str">
            <v>1967/11</v>
          </cell>
          <cell r="B245">
            <v>40798</v>
          </cell>
          <cell r="C245" t="str">
            <v>2011-0.222.345-6</v>
          </cell>
          <cell r="D245" t="str">
            <v>SERGIO LIMA DA SILVA</v>
          </cell>
          <cell r="E245" t="str">
            <v>282.878.738-94</v>
          </cell>
          <cell r="F245">
            <v>16261</v>
          </cell>
          <cell r="G245">
            <v>2650.9</v>
          </cell>
          <cell r="Z245" t="str">
            <v>3231/11</v>
          </cell>
          <cell r="AA245">
            <v>4354.0046400000001</v>
          </cell>
          <cell r="AB245">
            <v>440.82127600000013</v>
          </cell>
        </row>
        <row r="246">
          <cell r="A246" t="str">
            <v>2065/11</v>
          </cell>
          <cell r="B246">
            <v>40805</v>
          </cell>
          <cell r="C246" t="str">
            <v>2011-0.223.378-8</v>
          </cell>
          <cell r="D246" t="str">
            <v>SEVERINO AVELINO BATISTA FILHO</v>
          </cell>
          <cell r="E246" t="str">
            <v>026.970.634-80</v>
          </cell>
          <cell r="F246">
            <v>16293</v>
          </cell>
          <cell r="G246">
            <v>3400.17</v>
          </cell>
          <cell r="Z246" t="str">
            <v>3204/11</v>
          </cell>
          <cell r="AA246">
            <v>3328.1413399999997</v>
          </cell>
          <cell r="AB246">
            <v>196.68180150000001</v>
          </cell>
        </row>
        <row r="247">
          <cell r="A247" t="str">
            <v>2402/11</v>
          </cell>
          <cell r="B247">
            <v>40812</v>
          </cell>
          <cell r="C247" t="str">
            <v>2011-0.229.159-1</v>
          </cell>
          <cell r="D247" t="str">
            <v>SIDNEI ROBERSON GALVÃO</v>
          </cell>
          <cell r="E247" t="str">
            <v>040.834.038-02</v>
          </cell>
          <cell r="F247">
            <v>16403</v>
          </cell>
          <cell r="G247">
            <v>1703.2</v>
          </cell>
          <cell r="Z247" t="str">
            <v>2825/11</v>
          </cell>
          <cell r="AA247">
            <v>3142.9825080000001</v>
          </cell>
          <cell r="AB247">
            <v>164.6473762</v>
          </cell>
        </row>
        <row r="248">
          <cell r="A248" t="str">
            <v>2943/11</v>
          </cell>
          <cell r="B248">
            <v>40833</v>
          </cell>
          <cell r="C248" t="str">
            <v>2011-0.258.723-7</v>
          </cell>
          <cell r="D248" t="str">
            <v>SIMONE GOMES DE OLIVEIRA</v>
          </cell>
          <cell r="E248" t="str">
            <v>153.956.438-00</v>
          </cell>
          <cell r="F248">
            <v>15117</v>
          </cell>
          <cell r="G248">
            <v>2515.52</v>
          </cell>
          <cell r="Z248" t="str">
            <v>1967/11</v>
          </cell>
          <cell r="AA248">
            <v>2482.0730320000002</v>
          </cell>
          <cell r="AB248">
            <v>65.510954800000036</v>
          </cell>
        </row>
        <row r="249">
          <cell r="A249" t="str">
            <v>2620/11</v>
          </cell>
          <cell r="B249">
            <v>40819</v>
          </cell>
          <cell r="C249" t="str">
            <v>2011-0.230.472-3</v>
          </cell>
          <cell r="D249" t="str">
            <v>SIMONI BOSCACHI NASCIMENTO</v>
          </cell>
          <cell r="E249" t="str">
            <v>065.492.798-79</v>
          </cell>
          <cell r="F249">
            <v>15031</v>
          </cell>
          <cell r="G249">
            <v>3400.17</v>
          </cell>
          <cell r="Z249" t="str">
            <v>2065/11</v>
          </cell>
          <cell r="AA249">
            <v>3465.3666319999993</v>
          </cell>
          <cell r="AB249">
            <v>227.55749219999984</v>
          </cell>
        </row>
        <row r="250">
          <cell r="A250" t="str">
            <v>1813/11</v>
          </cell>
          <cell r="B250">
            <v>40784</v>
          </cell>
          <cell r="C250" t="str">
            <v>2011-0.201.748-1</v>
          </cell>
          <cell r="D250" t="str">
            <v>UBIRAJARA RODRIGUES PAIXÃO</v>
          </cell>
          <cell r="E250">
            <v>11764044827</v>
          </cell>
          <cell r="F250">
            <v>14637</v>
          </cell>
          <cell r="G250">
            <v>2981.68</v>
          </cell>
          <cell r="Z250" t="str">
            <v>2402/11</v>
          </cell>
          <cell r="AA250">
            <v>2286.5957440000002</v>
          </cell>
          <cell r="AB250">
            <v>48.714680799999996</v>
          </cell>
        </row>
        <row r="251">
          <cell r="A251" t="str">
            <v>2559/11</v>
          </cell>
          <cell r="B251">
            <v>40819</v>
          </cell>
          <cell r="C251" t="str">
            <v>2011-0.230.272-0</v>
          </cell>
          <cell r="D251" t="str">
            <v>VAGNER CRISTIANO SPIGARIOL</v>
          </cell>
          <cell r="E251" t="str">
            <v>290.979.198-00</v>
          </cell>
          <cell r="F251">
            <v>16472</v>
          </cell>
          <cell r="G251">
            <v>3400.17</v>
          </cell>
          <cell r="Z251" t="str">
            <v>2943/11</v>
          </cell>
          <cell r="AA251">
            <v>2866.1355359999998</v>
          </cell>
          <cell r="AB251">
            <v>123.12033039999994</v>
          </cell>
        </row>
        <row r="252">
          <cell r="A252" t="str">
            <v>2103/11</v>
          </cell>
          <cell r="B252">
            <v>40805</v>
          </cell>
          <cell r="C252" t="str">
            <v>2011-0.224.746-0</v>
          </cell>
          <cell r="D252" t="str">
            <v>VALDECI PEDRO ALVES</v>
          </cell>
          <cell r="E252" t="str">
            <v>882.810.949-15</v>
          </cell>
          <cell r="F252">
            <v>16323</v>
          </cell>
          <cell r="G252">
            <v>3400.17</v>
          </cell>
          <cell r="Z252" t="str">
            <v>2620/11</v>
          </cell>
          <cell r="AA252">
            <v>3376.4991319999995</v>
          </cell>
          <cell r="AB252">
            <v>207.56230469999991</v>
          </cell>
        </row>
        <row r="253">
          <cell r="A253" t="str">
            <v>2234/11</v>
          </cell>
          <cell r="B253">
            <v>40805</v>
          </cell>
          <cell r="C253" t="str">
            <v>2011-0.226.938-3</v>
          </cell>
          <cell r="D253" t="str">
            <v>VALDEMIR SANTIAGO FARIAS</v>
          </cell>
          <cell r="E253" t="str">
            <v>038.635.778-17</v>
          </cell>
          <cell r="F253">
            <v>14782</v>
          </cell>
          <cell r="G253">
            <v>3509.14</v>
          </cell>
          <cell r="Z253" t="str">
            <v>1813/11</v>
          </cell>
          <cell r="AA253">
            <v>3584.0467939999999</v>
          </cell>
          <cell r="AB253">
            <v>254.26052864999997</v>
          </cell>
        </row>
        <row r="254">
          <cell r="A254" t="str">
            <v>2351/11</v>
          </cell>
          <cell r="B254">
            <v>40812</v>
          </cell>
          <cell r="C254" t="str">
            <v>2011-0.227.526-0</v>
          </cell>
          <cell r="D254" t="str">
            <v xml:space="preserve">VALDETE FRANCISCA DE OLIVEIRA GUERRA </v>
          </cell>
          <cell r="E254" t="str">
            <v>076.949.448-03</v>
          </cell>
          <cell r="F254">
            <v>16390</v>
          </cell>
          <cell r="G254">
            <v>3400.17</v>
          </cell>
          <cell r="Z254" t="str">
            <v>2559/11</v>
          </cell>
          <cell r="AA254">
            <v>3464.5239080000001</v>
          </cell>
          <cell r="AB254">
            <v>227.36787930000003</v>
          </cell>
        </row>
        <row r="255">
          <cell r="A255" t="str">
            <v>2104/11</v>
          </cell>
          <cell r="B255">
            <v>40805</v>
          </cell>
          <cell r="C255" t="str">
            <v>2011-0.224.408-9</v>
          </cell>
          <cell r="D255" t="str">
            <v>VALDIR LEITE PEREIRA</v>
          </cell>
          <cell r="E255" t="str">
            <v>509.651.155-34</v>
          </cell>
          <cell r="F255">
            <v>16329</v>
          </cell>
          <cell r="G255">
            <v>3291.19</v>
          </cell>
          <cell r="Z255" t="str">
            <v>2103/11</v>
          </cell>
          <cell r="AA255">
            <v>3221.7234479999997</v>
          </cell>
          <cell r="AB255">
            <v>176.4585171999999</v>
          </cell>
        </row>
        <row r="256">
          <cell r="A256" t="str">
            <v>2917/11</v>
          </cell>
          <cell r="B256">
            <v>40833</v>
          </cell>
          <cell r="C256" t="str">
            <v>2011-0.258.657-5</v>
          </cell>
          <cell r="D256" t="str">
            <v>VALDIRENE DA SILVA</v>
          </cell>
          <cell r="E256" t="str">
            <v>115.979.288-79</v>
          </cell>
          <cell r="F256">
            <v>15108</v>
          </cell>
          <cell r="G256">
            <v>2447.83</v>
          </cell>
          <cell r="Z256" t="str">
            <v>2234/11</v>
          </cell>
          <cell r="AA256">
            <v>3751.6095719999998</v>
          </cell>
          <cell r="AB256">
            <v>291.96215370000004</v>
          </cell>
        </row>
        <row r="257">
          <cell r="A257" t="str">
            <v>1956/11</v>
          </cell>
          <cell r="B257">
            <v>40791</v>
          </cell>
          <cell r="C257" t="str">
            <v>2011-0.222.271-9</v>
          </cell>
          <cell r="D257" t="str">
            <v>VALERIA ALVES BARAUNA</v>
          </cell>
          <cell r="E257" t="str">
            <v>081.997.808-60</v>
          </cell>
          <cell r="F257">
            <v>16249</v>
          </cell>
          <cell r="G257">
            <v>3509.14</v>
          </cell>
          <cell r="Z257" t="str">
            <v>2351/11</v>
          </cell>
          <cell r="AA257">
            <v>3052.7185600000003</v>
          </cell>
          <cell r="AB257">
            <v>151.10778400000004</v>
          </cell>
        </row>
        <row r="258">
          <cell r="A258" t="str">
            <v>2613/11</v>
          </cell>
          <cell r="B258">
            <v>40819</v>
          </cell>
          <cell r="C258" t="str">
            <v>2011-0.230.464-2</v>
          </cell>
          <cell r="D258" t="str">
            <v>VALMIRO MACHADO OLIVEIRA</v>
          </cell>
          <cell r="E258" t="str">
            <v>260.731.208-69</v>
          </cell>
          <cell r="F258">
            <v>16483</v>
          </cell>
          <cell r="G258">
            <v>3618.12</v>
          </cell>
          <cell r="Z258" t="str">
            <v>2104/11</v>
          </cell>
          <cell r="AA258">
            <v>2837.0494200000003</v>
          </cell>
          <cell r="AB258">
            <v>118.75741300000004</v>
          </cell>
        </row>
        <row r="259">
          <cell r="A259" t="str">
            <v>2403/11</v>
          </cell>
          <cell r="B259">
            <v>40812</v>
          </cell>
          <cell r="C259" t="str">
            <v>2011-0.229.163-0</v>
          </cell>
          <cell r="D259" t="str">
            <v>VALTECIO SOUZA PEREIRA</v>
          </cell>
          <cell r="E259" t="str">
            <v>560.669.885-49</v>
          </cell>
          <cell r="F259">
            <v>16414</v>
          </cell>
          <cell r="G259">
            <v>3400.17</v>
          </cell>
          <cell r="Z259" t="str">
            <v>2917/11</v>
          </cell>
          <cell r="AA259">
            <v>2766.4328479999999</v>
          </cell>
          <cell r="AB259">
            <v>108.16492719999997</v>
          </cell>
        </row>
        <row r="260">
          <cell r="A260" t="str">
            <v>3038/11</v>
          </cell>
          <cell r="B260">
            <v>40847</v>
          </cell>
          <cell r="C260" t="str">
            <v>2011-0.259.748-8</v>
          </cell>
          <cell r="D260" t="str">
            <v>VANDERLIN PEREIRA SANTIAGO</v>
          </cell>
          <cell r="E260" t="str">
            <v>57.394.848-80</v>
          </cell>
          <cell r="F260">
            <v>16555</v>
          </cell>
          <cell r="G260">
            <v>2964.26</v>
          </cell>
          <cell r="Z260" t="str">
            <v>1956/11</v>
          </cell>
          <cell r="AA260">
            <v>3314.3525719999998</v>
          </cell>
          <cell r="AB260">
            <v>193.57932870000002</v>
          </cell>
        </row>
        <row r="261">
          <cell r="A261" t="str">
            <v>3326/11</v>
          </cell>
          <cell r="B261">
            <v>40875</v>
          </cell>
          <cell r="C261" t="str">
            <v>2011-0.293.368-2</v>
          </cell>
          <cell r="D261" t="str">
            <v>VANUSA MARTINS MINUTENTAG</v>
          </cell>
          <cell r="E261">
            <v>28690623892</v>
          </cell>
          <cell r="F261">
            <v>16591</v>
          </cell>
          <cell r="G261">
            <v>2297</v>
          </cell>
          <cell r="Z261" t="str">
            <v>2613/11</v>
          </cell>
          <cell r="AA261">
            <v>4126.6101920000001</v>
          </cell>
          <cell r="AB261">
            <v>378.28780280000024</v>
          </cell>
        </row>
        <row r="262">
          <cell r="A262" t="str">
            <v>1735/11</v>
          </cell>
          <cell r="B262">
            <v>40763</v>
          </cell>
          <cell r="C262" t="str">
            <v>2011-0.200.413-4</v>
          </cell>
          <cell r="D262" t="str">
            <v>VENANCIO APARECIDO DOS ANJOS</v>
          </cell>
          <cell r="E262" t="str">
            <v>001.465.838-09</v>
          </cell>
          <cell r="F262">
            <v>16193</v>
          </cell>
          <cell r="G262" t="e">
            <v>#DIV/0!</v>
          </cell>
          <cell r="Z262" t="str">
            <v>2403/11</v>
          </cell>
          <cell r="AA262">
            <v>3355.4865200000004</v>
          </cell>
          <cell r="AB262">
            <v>202.83446700000013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Z263" t="str">
            <v>3038/11</v>
          </cell>
          <cell r="AA263">
            <v>2561.2694359999996</v>
          </cell>
          <cell r="AB263">
            <v>77.390415399999938</v>
          </cell>
        </row>
        <row r="264">
          <cell r="A264" t="str">
            <v>2068/11</v>
          </cell>
          <cell r="B264">
            <v>40805</v>
          </cell>
          <cell r="C264" t="str">
            <v>2011-0.223.393-1</v>
          </cell>
          <cell r="D264" t="str">
            <v>WILSON SANCHES GARCIA</v>
          </cell>
          <cell r="E264" t="str">
            <v>064.889.208-55</v>
          </cell>
          <cell r="F264">
            <v>16294</v>
          </cell>
          <cell r="G264">
            <v>3400.17</v>
          </cell>
          <cell r="Z264" t="str">
            <v>3326/11</v>
          </cell>
          <cell r="AA264">
            <v>3787.1727559999995</v>
          </cell>
          <cell r="AB264">
            <v>299.96387009999989</v>
          </cell>
        </row>
        <row r="265">
          <cell r="Z265" t="str">
            <v>1735/11</v>
          </cell>
          <cell r="AA265">
            <v>3387.0123739999999</v>
          </cell>
          <cell r="AB265">
            <v>209.92778414999998</v>
          </cell>
        </row>
        <row r="266">
          <cell r="A266" t="str">
            <v>Diretor da DRE</v>
          </cell>
          <cell r="E266" t="str">
            <v>Responsável pelo Ateste do Serviço na DRE</v>
          </cell>
          <cell r="Z266" t="str">
            <v>1719/11</v>
          </cell>
          <cell r="AA266">
            <v>3344.7420780000002</v>
          </cell>
          <cell r="AB266">
            <v>200.41696755000009</v>
          </cell>
        </row>
        <row r="267">
          <cell r="A267" t="str">
            <v>Nome:</v>
          </cell>
          <cell r="E267" t="str">
            <v>Nome:</v>
          </cell>
          <cell r="Z267" t="str">
            <v>2068/11</v>
          </cell>
          <cell r="AA267">
            <v>3261.6216319999994</v>
          </cell>
          <cell r="AB267">
            <v>182.44324479999989</v>
          </cell>
        </row>
        <row r="268">
          <cell r="A268" t="str">
            <v>RF:</v>
          </cell>
          <cell r="E268" t="str">
            <v>RF:</v>
          </cell>
        </row>
        <row r="269">
          <cell r="A269" t="str">
            <v>Cargo:</v>
          </cell>
          <cell r="E269" t="str">
            <v>Cargo:</v>
          </cell>
        </row>
        <row r="271">
          <cell r="D271" t="str">
            <v>OSMAR NASCIMENTO DE JESUS =&gt;</v>
          </cell>
          <cell r="E271" t="str">
            <v>DIF DE DEZ/2010 =&gt;</v>
          </cell>
          <cell r="G271">
            <v>1100</v>
          </cell>
        </row>
        <row r="272">
          <cell r="E272" t="str">
            <v>PAGTO DE FEV  =&gt;</v>
          </cell>
          <cell r="G272">
            <v>4004.7559999999999</v>
          </cell>
        </row>
        <row r="274">
          <cell r="E274" t="str">
            <v>ACUMULADO     =&gt;</v>
          </cell>
          <cell r="G274">
            <v>5104.7559999999994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 NORMAL"/>
      <sheetName val="TABELA"/>
      <sheetName val="CALC AMPLIAR"/>
      <sheetName val="TOTAIS AMPLIAR"/>
      <sheetName val="CONTS ACIMA DA MÉDIA"/>
      <sheetName val="ATESTE-LIQ"/>
      <sheetName val="ATESTE"/>
      <sheetName val="DEMO"/>
      <sheetName val="DEMO REV PAGTO SIDNEI"/>
      <sheetName val="LIQUID SOF"/>
      <sheetName val="ADITAMENTO"/>
      <sheetName val="APONTAMENTO REPOSIÇÃO"/>
      <sheetName val="Plan1"/>
      <sheetName val="009-APONTAMENTO_CS_PF_SETEMBRO_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C1" t="str">
            <v/>
          </cell>
        </row>
        <row r="2">
          <cell r="B2" t="str">
            <v/>
          </cell>
        </row>
        <row r="3">
          <cell r="B3" t="str">
            <v/>
          </cell>
        </row>
        <row r="5">
          <cell r="C5" t="str">
            <v xml:space="preserve">CÁLCULO CRIANÇAS </v>
          </cell>
          <cell r="E5" t="str">
            <v>CÁLCULO KM</v>
          </cell>
        </row>
        <row r="6">
          <cell r="B6" t="str">
            <v>QTD DIAS</v>
          </cell>
          <cell r="C6" t="str">
            <v>QTD Cçs</v>
          </cell>
          <cell r="D6" t="str">
            <v>VL Cçs</v>
          </cell>
          <cell r="E6" t="str">
            <v>QTD KM</v>
          </cell>
          <cell r="F6" t="str">
            <v>VL Km</v>
          </cell>
          <cell r="G6" t="str">
            <v>TOTAL</v>
          </cell>
        </row>
        <row r="7">
          <cell r="B7">
            <v>4</v>
          </cell>
          <cell r="D7" t="e">
            <v>#VALUE!</v>
          </cell>
          <cell r="F7" t="e">
            <v>#VALUE!</v>
          </cell>
          <cell r="G7" t="e">
            <v>#VALUE!</v>
          </cell>
        </row>
        <row r="8">
          <cell r="B8">
            <v>5</v>
          </cell>
          <cell r="D8" t="e">
            <v>#VALUE!</v>
          </cell>
          <cell r="F8" t="e">
            <v>#VALUE!</v>
          </cell>
          <cell r="G8" t="e">
            <v>#VALUE!</v>
          </cell>
        </row>
        <row r="9">
          <cell r="B9">
            <v>4</v>
          </cell>
          <cell r="D9" t="e">
            <v>#VALUE!</v>
          </cell>
          <cell r="F9" t="e">
            <v>#VALUE!</v>
          </cell>
          <cell r="G9" t="e">
            <v>#VALUE!</v>
          </cell>
        </row>
        <row r="10">
          <cell r="B10">
            <v>4</v>
          </cell>
          <cell r="D10" t="e">
            <v>#VALUE!</v>
          </cell>
          <cell r="F10" t="e">
            <v>#VALUE!</v>
          </cell>
          <cell r="G10" t="e">
            <v>#VALUE!</v>
          </cell>
        </row>
        <row r="11">
          <cell r="B11">
            <v>4</v>
          </cell>
          <cell r="D11" t="e">
            <v>#VALUE!</v>
          </cell>
          <cell r="F11" t="e">
            <v>#VALUE!</v>
          </cell>
          <cell r="G11" t="e">
            <v>#VALUE!</v>
          </cell>
        </row>
        <row r="12">
          <cell r="B12">
            <v>21</v>
          </cell>
          <cell r="C12">
            <v>0</v>
          </cell>
          <cell r="D12" t="e">
            <v>#VALUE!</v>
          </cell>
          <cell r="E12">
            <v>0</v>
          </cell>
          <cell r="F12" t="e">
            <v>#VALUE!</v>
          </cell>
          <cell r="G12" t="e">
            <v>#VALUE!</v>
          </cell>
        </row>
        <row r="18">
          <cell r="B18" t="str">
            <v>2744/12</v>
          </cell>
          <cell r="C18" t="e">
            <v>#N/A</v>
          </cell>
          <cell r="F18" t="e">
            <v>#N/A</v>
          </cell>
          <cell r="G18" t="e">
            <v>#N/A</v>
          </cell>
        </row>
        <row r="19">
          <cell r="B19" t="e">
            <v>#N/A</v>
          </cell>
          <cell r="F19">
            <v>4</v>
          </cell>
          <cell r="G19">
            <v>34</v>
          </cell>
        </row>
        <row r="20">
          <cell r="B20" t="e">
            <v>#N/A</v>
          </cell>
        </row>
        <row r="22">
          <cell r="C22" t="str">
            <v xml:space="preserve">CÁLCULO CRIANÇAS </v>
          </cell>
          <cell r="E22" t="str">
            <v>CÁLCULO KM</v>
          </cell>
        </row>
        <row r="23">
          <cell r="B23" t="str">
            <v>QTD DIAS</v>
          </cell>
          <cell r="C23" t="str">
            <v>QTD Cçs</v>
          </cell>
          <cell r="D23" t="str">
            <v>VL Cçs</v>
          </cell>
          <cell r="E23" t="str">
            <v>QTD KM</v>
          </cell>
          <cell r="F23" t="str">
            <v>VL Km</v>
          </cell>
          <cell r="G23" t="str">
            <v>TOTAL</v>
          </cell>
        </row>
        <row r="24">
          <cell r="B24">
            <v>4</v>
          </cell>
          <cell r="D24" t="e">
            <v>#N/A</v>
          </cell>
          <cell r="F24" t="e">
            <v>#N/A</v>
          </cell>
          <cell r="G24" t="e">
            <v>#N/A</v>
          </cell>
        </row>
        <row r="25">
          <cell r="B25">
            <v>3</v>
          </cell>
          <cell r="D25" t="e">
            <v>#N/A</v>
          </cell>
          <cell r="F25" t="e">
            <v>#N/A</v>
          </cell>
          <cell r="G25" t="e">
            <v>#N/A</v>
          </cell>
        </row>
        <row r="26">
          <cell r="B26">
            <v>4</v>
          </cell>
          <cell r="C26">
            <v>4</v>
          </cell>
          <cell r="D26" t="e">
            <v>#N/A</v>
          </cell>
          <cell r="E26">
            <v>34</v>
          </cell>
          <cell r="F26" t="e">
            <v>#N/A</v>
          </cell>
          <cell r="G26" t="e">
            <v>#N/A</v>
          </cell>
        </row>
        <row r="27">
          <cell r="B27">
            <v>4</v>
          </cell>
          <cell r="D27" t="e">
            <v>#N/A</v>
          </cell>
          <cell r="F27" t="e">
            <v>#N/A</v>
          </cell>
          <cell r="G27" t="e">
            <v>#N/A</v>
          </cell>
        </row>
        <row r="28">
          <cell r="B28">
            <v>4</v>
          </cell>
          <cell r="D28" t="e">
            <v>#N/A</v>
          </cell>
          <cell r="F28" t="e">
            <v>#N/A</v>
          </cell>
          <cell r="G28" t="e">
            <v>#N/A</v>
          </cell>
        </row>
        <row r="29">
          <cell r="B29">
            <v>19</v>
          </cell>
          <cell r="C29">
            <v>4</v>
          </cell>
          <cell r="D29" t="e">
            <v>#N/A</v>
          </cell>
          <cell r="E29">
            <v>34</v>
          </cell>
          <cell r="F29" t="e">
            <v>#N/A</v>
          </cell>
          <cell r="G29" t="e">
            <v>#N/A</v>
          </cell>
        </row>
        <row r="32">
          <cell r="B32" t="str">
            <v>1758/12</v>
          </cell>
          <cell r="C32" t="e">
            <v>#N/A</v>
          </cell>
          <cell r="F32" t="e">
            <v>#N/A</v>
          </cell>
          <cell r="G32" t="e">
            <v>#N/A</v>
          </cell>
        </row>
        <row r="33">
          <cell r="B33" t="e">
            <v>#N/A</v>
          </cell>
          <cell r="F33">
            <v>10</v>
          </cell>
          <cell r="G33">
            <v>28</v>
          </cell>
        </row>
        <row r="34">
          <cell r="B34" t="e">
            <v>#N/A</v>
          </cell>
        </row>
        <row r="36">
          <cell r="C36" t="str">
            <v xml:space="preserve">CÁLCULO CRIANÇAS </v>
          </cell>
          <cell r="E36" t="str">
            <v>CÁLCULO KM</v>
          </cell>
        </row>
        <row r="37">
          <cell r="B37" t="str">
            <v>QTD DIAS</v>
          </cell>
          <cell r="C37" t="str">
            <v>QTD Cçs</v>
          </cell>
          <cell r="D37" t="str">
            <v>VL Cçs</v>
          </cell>
          <cell r="E37" t="str">
            <v>QTD KM</v>
          </cell>
          <cell r="F37" t="str">
            <v>VL Km</v>
          </cell>
          <cell r="G37" t="str">
            <v>TOTAL</v>
          </cell>
        </row>
        <row r="38">
          <cell r="B38">
            <v>4</v>
          </cell>
          <cell r="C38">
            <v>5</v>
          </cell>
          <cell r="D38" t="e">
            <v>#N/A</v>
          </cell>
          <cell r="E38">
            <v>14</v>
          </cell>
          <cell r="F38" t="e">
            <v>#N/A</v>
          </cell>
          <cell r="G38" t="e">
            <v>#N/A</v>
          </cell>
        </row>
        <row r="39">
          <cell r="B39">
            <v>3</v>
          </cell>
          <cell r="D39" t="e">
            <v>#N/A</v>
          </cell>
          <cell r="F39" t="e">
            <v>#N/A</v>
          </cell>
          <cell r="G39" t="e">
            <v>#N/A</v>
          </cell>
        </row>
        <row r="40">
          <cell r="B40">
            <v>4</v>
          </cell>
          <cell r="C40">
            <v>5</v>
          </cell>
          <cell r="D40" t="e">
            <v>#N/A</v>
          </cell>
          <cell r="E40">
            <v>14</v>
          </cell>
          <cell r="F40" t="e">
            <v>#N/A</v>
          </cell>
          <cell r="G40" t="e">
            <v>#N/A</v>
          </cell>
        </row>
        <row r="41">
          <cell r="B41">
            <v>4</v>
          </cell>
          <cell r="D41" t="e">
            <v>#N/A</v>
          </cell>
          <cell r="F41" t="e">
            <v>#N/A</v>
          </cell>
          <cell r="G41" t="e">
            <v>#N/A</v>
          </cell>
        </row>
        <row r="42">
          <cell r="B42">
            <v>4</v>
          </cell>
          <cell r="D42" t="e">
            <v>#N/A</v>
          </cell>
          <cell r="F42" t="e">
            <v>#N/A</v>
          </cell>
          <cell r="G42" t="e">
            <v>#N/A</v>
          </cell>
        </row>
        <row r="43">
          <cell r="B43">
            <v>19</v>
          </cell>
          <cell r="C43">
            <v>10</v>
          </cell>
          <cell r="D43" t="e">
            <v>#N/A</v>
          </cell>
          <cell r="E43">
            <v>28</v>
          </cell>
          <cell r="F43" t="e">
            <v>#N/A</v>
          </cell>
          <cell r="G43" t="e">
            <v>#N/A</v>
          </cell>
        </row>
        <row r="46">
          <cell r="B46" t="str">
            <v>2679/12</v>
          </cell>
          <cell r="C46" t="e">
            <v>#N/A</v>
          </cell>
          <cell r="F46" t="e">
            <v>#N/A</v>
          </cell>
          <cell r="G46" t="e">
            <v>#N/A</v>
          </cell>
        </row>
        <row r="47">
          <cell r="B47" t="e">
            <v>#N/A</v>
          </cell>
          <cell r="F47">
            <v>10</v>
          </cell>
          <cell r="G47">
            <v>38.700000000000003</v>
          </cell>
        </row>
        <row r="48">
          <cell r="B48" t="e">
            <v>#N/A</v>
          </cell>
        </row>
        <row r="50">
          <cell r="C50" t="str">
            <v xml:space="preserve">CÁLCULO CRIANÇAS </v>
          </cell>
          <cell r="E50" t="str">
            <v>CÁLCULO KM</v>
          </cell>
        </row>
        <row r="51">
          <cell r="B51" t="str">
            <v>QTD DIAS</v>
          </cell>
          <cell r="C51" t="str">
            <v>QTD Cçs</v>
          </cell>
          <cell r="D51" t="str">
            <v>VL Cçs</v>
          </cell>
          <cell r="E51" t="str">
            <v>QTD KM</v>
          </cell>
          <cell r="F51" t="str">
            <v>VL Km</v>
          </cell>
          <cell r="G51" t="str">
            <v>TOTAL</v>
          </cell>
        </row>
        <row r="52">
          <cell r="B52">
            <v>4</v>
          </cell>
          <cell r="D52" t="e">
            <v>#N/A</v>
          </cell>
          <cell r="F52" t="e">
            <v>#N/A</v>
          </cell>
          <cell r="G52" t="e">
            <v>#N/A</v>
          </cell>
        </row>
        <row r="53">
          <cell r="B53">
            <v>3</v>
          </cell>
          <cell r="C53">
            <v>5</v>
          </cell>
          <cell r="D53" t="e">
            <v>#N/A</v>
          </cell>
          <cell r="E53">
            <v>8.6</v>
          </cell>
          <cell r="F53" t="e">
            <v>#N/A</v>
          </cell>
          <cell r="G53" t="e">
            <v>#N/A</v>
          </cell>
        </row>
        <row r="54">
          <cell r="B54">
            <v>4</v>
          </cell>
          <cell r="C54">
            <v>5</v>
          </cell>
          <cell r="D54" t="e">
            <v>#N/A</v>
          </cell>
          <cell r="E54">
            <v>30.1</v>
          </cell>
          <cell r="F54" t="e">
            <v>#N/A</v>
          </cell>
          <cell r="G54" t="e">
            <v>#N/A</v>
          </cell>
        </row>
        <row r="55">
          <cell r="B55">
            <v>4</v>
          </cell>
          <cell r="D55" t="e">
            <v>#N/A</v>
          </cell>
          <cell r="F55" t="e">
            <v>#N/A</v>
          </cell>
          <cell r="G55" t="e">
            <v>#N/A</v>
          </cell>
        </row>
        <row r="56">
          <cell r="B56">
            <v>4</v>
          </cell>
          <cell r="D56" t="e">
            <v>#N/A</v>
          </cell>
          <cell r="F56" t="e">
            <v>#N/A</v>
          </cell>
          <cell r="G56" t="e">
            <v>#N/A</v>
          </cell>
        </row>
        <row r="57">
          <cell r="B57">
            <v>19</v>
          </cell>
          <cell r="C57">
            <v>10</v>
          </cell>
          <cell r="D57" t="e">
            <v>#N/A</v>
          </cell>
          <cell r="E57">
            <v>38.700000000000003</v>
          </cell>
          <cell r="F57" t="e">
            <v>#N/A</v>
          </cell>
          <cell r="G57" t="e">
            <v>#N/A</v>
          </cell>
        </row>
        <row r="60">
          <cell r="B60" t="str">
            <v>1392/13</v>
          </cell>
          <cell r="C60" t="str">
            <v>JOSE AMANCIO DA SILVA</v>
          </cell>
          <cell r="F60">
            <v>90.970666666666673</v>
          </cell>
          <cell r="G60">
            <v>69.5</v>
          </cell>
        </row>
        <row r="61">
          <cell r="B61">
            <v>36.880000000000003</v>
          </cell>
          <cell r="F61">
            <v>74</v>
          </cell>
          <cell r="G61">
            <v>278</v>
          </cell>
        </row>
        <row r="62">
          <cell r="B62">
            <v>0.25</v>
          </cell>
        </row>
        <row r="64">
          <cell r="C64" t="str">
            <v xml:space="preserve">CÁLCULO CRIANÇAS </v>
          </cell>
          <cell r="E64" t="str">
            <v>CÁLCULO KM</v>
          </cell>
        </row>
        <row r="65">
          <cell r="B65" t="str">
            <v>QTD DIAS</v>
          </cell>
          <cell r="C65" t="str">
            <v>QTD Cçs</v>
          </cell>
          <cell r="D65" t="str">
            <v>VL Cçs</v>
          </cell>
          <cell r="E65" t="str">
            <v>QTD KM</v>
          </cell>
          <cell r="F65" t="str">
            <v>VL Km</v>
          </cell>
          <cell r="G65" t="str">
            <v>TOTAL</v>
          </cell>
        </row>
        <row r="66">
          <cell r="B66">
            <v>1</v>
          </cell>
          <cell r="C66">
            <v>30</v>
          </cell>
          <cell r="D66">
            <v>36.880000000000003</v>
          </cell>
          <cell r="E66">
            <v>92</v>
          </cell>
          <cell r="F66">
            <v>23</v>
          </cell>
          <cell r="G66">
            <v>59.88</v>
          </cell>
        </row>
        <row r="67">
          <cell r="B67">
            <v>1</v>
          </cell>
          <cell r="C67">
            <v>20</v>
          </cell>
          <cell r="D67">
            <v>24.586666666666666</v>
          </cell>
          <cell r="E67">
            <v>94</v>
          </cell>
          <cell r="F67">
            <v>23.5</v>
          </cell>
          <cell r="G67">
            <v>48.086666666666666</v>
          </cell>
        </row>
        <row r="68">
          <cell r="B68">
            <v>1</v>
          </cell>
          <cell r="C68">
            <v>24</v>
          </cell>
          <cell r="D68">
            <v>29.504000000000001</v>
          </cell>
          <cell r="E68">
            <v>92</v>
          </cell>
          <cell r="F68">
            <v>23</v>
          </cell>
          <cell r="G68">
            <v>52.504000000000005</v>
          </cell>
        </row>
        <row r="69">
          <cell r="D69" t="str">
            <v/>
          </cell>
          <cell r="F69" t="str">
            <v/>
          </cell>
          <cell r="G69" t="str">
            <v/>
          </cell>
        </row>
        <row r="70">
          <cell r="D70" t="str">
            <v/>
          </cell>
          <cell r="F70" t="str">
            <v/>
          </cell>
          <cell r="G70" t="str">
            <v/>
          </cell>
        </row>
        <row r="71">
          <cell r="B71">
            <v>3</v>
          </cell>
          <cell r="C71">
            <v>74</v>
          </cell>
          <cell r="D71">
            <v>90.970666666666673</v>
          </cell>
          <cell r="E71">
            <v>278</v>
          </cell>
          <cell r="F71">
            <v>69.5</v>
          </cell>
          <cell r="G71">
            <v>160.47066666666666</v>
          </cell>
        </row>
        <row r="74">
          <cell r="B74" t="str">
            <v>2084/12</v>
          </cell>
          <cell r="C74" t="e">
            <v>#N/A</v>
          </cell>
          <cell r="F74" t="e">
            <v>#N/A</v>
          </cell>
          <cell r="G74" t="e">
            <v>#N/A</v>
          </cell>
        </row>
        <row r="75">
          <cell r="B75" t="e">
            <v>#N/A</v>
          </cell>
          <cell r="F75">
            <v>24</v>
          </cell>
          <cell r="G75">
            <v>7</v>
          </cell>
        </row>
        <row r="76">
          <cell r="B76" t="e">
            <v>#N/A</v>
          </cell>
        </row>
        <row r="78">
          <cell r="C78" t="str">
            <v xml:space="preserve">CÁLCULO CRIANÇAS </v>
          </cell>
          <cell r="E78" t="str">
            <v>CÁLCULO KM</v>
          </cell>
        </row>
        <row r="79">
          <cell r="B79" t="str">
            <v>QTD DIAS</v>
          </cell>
          <cell r="C79" t="str">
            <v>QTD Cçs</v>
          </cell>
          <cell r="D79" t="str">
            <v>VL Cçs</v>
          </cell>
          <cell r="E79" t="str">
            <v>QTD KM</v>
          </cell>
          <cell r="F79" t="str">
            <v>VL Km</v>
          </cell>
          <cell r="G79" t="str">
            <v>TOTAL</v>
          </cell>
        </row>
        <row r="80">
          <cell r="B80">
            <v>4</v>
          </cell>
          <cell r="C80">
            <v>7</v>
          </cell>
          <cell r="D80" t="e">
            <v>#N/A</v>
          </cell>
          <cell r="E80">
            <v>2</v>
          </cell>
          <cell r="F80" t="e">
            <v>#N/A</v>
          </cell>
          <cell r="G80" t="e">
            <v>#N/A</v>
          </cell>
        </row>
        <row r="81">
          <cell r="B81">
            <v>3</v>
          </cell>
          <cell r="C81">
            <v>8</v>
          </cell>
          <cell r="D81" t="e">
            <v>#N/A</v>
          </cell>
          <cell r="E81">
            <v>2</v>
          </cell>
          <cell r="F81" t="e">
            <v>#N/A</v>
          </cell>
          <cell r="G81" t="e">
            <v>#N/A</v>
          </cell>
        </row>
        <row r="82">
          <cell r="B82">
            <v>4</v>
          </cell>
          <cell r="C82">
            <v>3</v>
          </cell>
          <cell r="D82" t="e">
            <v>#N/A</v>
          </cell>
          <cell r="E82">
            <v>1</v>
          </cell>
          <cell r="F82" t="e">
            <v>#N/A</v>
          </cell>
          <cell r="G82" t="e">
            <v>#N/A</v>
          </cell>
        </row>
        <row r="83">
          <cell r="B83">
            <v>4</v>
          </cell>
          <cell r="C83">
            <v>6</v>
          </cell>
          <cell r="D83" t="e">
            <v>#N/A</v>
          </cell>
          <cell r="E83">
            <v>2</v>
          </cell>
          <cell r="F83" t="e">
            <v>#N/A</v>
          </cell>
          <cell r="G83" t="e">
            <v>#N/A</v>
          </cell>
        </row>
        <row r="84">
          <cell r="B84">
            <v>4</v>
          </cell>
          <cell r="D84" t="e">
            <v>#N/A</v>
          </cell>
          <cell r="F84" t="e">
            <v>#N/A</v>
          </cell>
          <cell r="G84" t="e">
            <v>#N/A</v>
          </cell>
        </row>
        <row r="85">
          <cell r="B85">
            <v>19</v>
          </cell>
          <cell r="C85">
            <v>24</v>
          </cell>
          <cell r="D85" t="e">
            <v>#N/A</v>
          </cell>
          <cell r="E85">
            <v>7</v>
          </cell>
          <cell r="F85" t="e">
            <v>#N/A</v>
          </cell>
          <cell r="G85" t="e">
            <v>#N/A</v>
          </cell>
        </row>
        <row r="88">
          <cell r="B88" t="str">
            <v>2420/12</v>
          </cell>
          <cell r="C88" t="e">
            <v>#N/A</v>
          </cell>
          <cell r="F88" t="e">
            <v>#N/A</v>
          </cell>
          <cell r="G88" t="e">
            <v>#N/A</v>
          </cell>
        </row>
        <row r="89">
          <cell r="B89" t="e">
            <v>#N/A</v>
          </cell>
          <cell r="F89">
            <v>53</v>
          </cell>
          <cell r="G89">
            <v>70</v>
          </cell>
        </row>
        <row r="90">
          <cell r="B90" t="e">
            <v>#N/A</v>
          </cell>
        </row>
        <row r="92">
          <cell r="C92" t="str">
            <v xml:space="preserve">CÁLCULO CRIANÇAS </v>
          </cell>
          <cell r="E92" t="str">
            <v>CÁLCULO KM</v>
          </cell>
        </row>
        <row r="93">
          <cell r="B93" t="str">
            <v>QTD DIAS</v>
          </cell>
          <cell r="C93" t="str">
            <v>QTD Cçs</v>
          </cell>
          <cell r="D93" t="str">
            <v>VL Cçs</v>
          </cell>
          <cell r="E93" t="str">
            <v>QTD KM</v>
          </cell>
          <cell r="F93" t="str">
            <v>VL Km</v>
          </cell>
          <cell r="G93" t="str">
            <v>TOTAL</v>
          </cell>
        </row>
        <row r="94">
          <cell r="B94">
            <v>4</v>
          </cell>
          <cell r="D94" t="e">
            <v>#N/A</v>
          </cell>
          <cell r="F94" t="e">
            <v>#N/A</v>
          </cell>
          <cell r="G94" t="e">
            <v>#N/A</v>
          </cell>
        </row>
        <row r="95">
          <cell r="B95">
            <v>3</v>
          </cell>
          <cell r="D95" t="e">
            <v>#N/A</v>
          </cell>
          <cell r="F95" t="e">
            <v>#N/A</v>
          </cell>
          <cell r="G95" t="e">
            <v>#N/A</v>
          </cell>
        </row>
        <row r="96">
          <cell r="B96">
            <v>4</v>
          </cell>
          <cell r="C96">
            <v>20</v>
          </cell>
          <cell r="D96" t="e">
            <v>#N/A</v>
          </cell>
          <cell r="E96">
            <v>15</v>
          </cell>
          <cell r="F96" t="e">
            <v>#N/A</v>
          </cell>
          <cell r="G96" t="e">
            <v>#N/A</v>
          </cell>
        </row>
        <row r="97">
          <cell r="B97">
            <v>4</v>
          </cell>
          <cell r="C97">
            <v>20</v>
          </cell>
          <cell r="D97" t="e">
            <v>#N/A</v>
          </cell>
          <cell r="E97">
            <v>34</v>
          </cell>
          <cell r="F97" t="e">
            <v>#N/A</v>
          </cell>
          <cell r="G97" t="e">
            <v>#N/A</v>
          </cell>
        </row>
        <row r="98">
          <cell r="B98">
            <v>4</v>
          </cell>
          <cell r="C98">
            <v>13</v>
          </cell>
          <cell r="D98" t="e">
            <v>#N/A</v>
          </cell>
          <cell r="E98">
            <v>21</v>
          </cell>
          <cell r="F98" t="e">
            <v>#N/A</v>
          </cell>
          <cell r="G98" t="e">
            <v>#N/A</v>
          </cell>
        </row>
        <row r="99">
          <cell r="B99">
            <v>19</v>
          </cell>
          <cell r="C99">
            <v>53</v>
          </cell>
          <cell r="D99" t="e">
            <v>#N/A</v>
          </cell>
          <cell r="E99">
            <v>70</v>
          </cell>
          <cell r="F99" t="e">
            <v>#N/A</v>
          </cell>
          <cell r="G99" t="e">
            <v>#N/A</v>
          </cell>
        </row>
        <row r="102">
          <cell r="B102" t="str">
            <v>2185/12</v>
          </cell>
          <cell r="C102" t="e">
            <v>#N/A</v>
          </cell>
          <cell r="F102" t="e">
            <v>#N/A</v>
          </cell>
          <cell r="G102" t="e">
            <v>#N/A</v>
          </cell>
        </row>
        <row r="103">
          <cell r="B103" t="e">
            <v>#N/A</v>
          </cell>
          <cell r="F103">
            <v>3</v>
          </cell>
          <cell r="G103">
            <v>12</v>
          </cell>
        </row>
        <row r="104">
          <cell r="B104" t="e">
            <v>#N/A</v>
          </cell>
        </row>
        <row r="106">
          <cell r="C106" t="str">
            <v xml:space="preserve">CÁLCULO CRIANÇAS </v>
          </cell>
          <cell r="E106" t="str">
            <v>CÁLCULO KM</v>
          </cell>
        </row>
        <row r="107">
          <cell r="B107" t="str">
            <v>QTD DIAS</v>
          </cell>
          <cell r="C107" t="str">
            <v>QTD Cçs</v>
          </cell>
          <cell r="D107" t="str">
            <v>VL Cçs</v>
          </cell>
          <cell r="E107" t="str">
            <v>QTD KM</v>
          </cell>
          <cell r="F107" t="str">
            <v>VL Km</v>
          </cell>
          <cell r="G107" t="str">
            <v>TOTAL</v>
          </cell>
        </row>
        <row r="108">
          <cell r="B108">
            <v>4</v>
          </cell>
          <cell r="C108">
            <v>1</v>
          </cell>
          <cell r="D108" t="e">
            <v>#N/A</v>
          </cell>
          <cell r="E108">
            <v>4</v>
          </cell>
          <cell r="F108" t="e">
            <v>#N/A</v>
          </cell>
          <cell r="G108" t="e">
            <v>#N/A</v>
          </cell>
        </row>
        <row r="109">
          <cell r="B109">
            <v>3</v>
          </cell>
          <cell r="C109">
            <v>1</v>
          </cell>
          <cell r="D109" t="e">
            <v>#N/A</v>
          </cell>
          <cell r="E109">
            <v>4</v>
          </cell>
          <cell r="F109" t="e">
            <v>#N/A</v>
          </cell>
          <cell r="G109" t="e">
            <v>#N/A</v>
          </cell>
        </row>
        <row r="110">
          <cell r="B110">
            <v>4</v>
          </cell>
          <cell r="D110" t="e">
            <v>#N/A</v>
          </cell>
          <cell r="F110" t="e">
            <v>#N/A</v>
          </cell>
          <cell r="G110" t="e">
            <v>#N/A</v>
          </cell>
        </row>
        <row r="111">
          <cell r="B111">
            <v>4</v>
          </cell>
          <cell r="D111" t="e">
            <v>#N/A</v>
          </cell>
          <cell r="F111" t="e">
            <v>#N/A</v>
          </cell>
          <cell r="G111" t="e">
            <v>#N/A</v>
          </cell>
        </row>
        <row r="112">
          <cell r="B112">
            <v>4</v>
          </cell>
          <cell r="C112">
            <v>1</v>
          </cell>
          <cell r="D112" t="e">
            <v>#N/A</v>
          </cell>
          <cell r="E112">
            <v>4</v>
          </cell>
          <cell r="F112" t="e">
            <v>#N/A</v>
          </cell>
          <cell r="G112" t="e">
            <v>#N/A</v>
          </cell>
        </row>
        <row r="113">
          <cell r="B113">
            <v>19</v>
          </cell>
          <cell r="C113">
            <v>3</v>
          </cell>
          <cell r="D113" t="e">
            <v>#N/A</v>
          </cell>
          <cell r="E113">
            <v>12</v>
          </cell>
          <cell r="F113" t="e">
            <v>#N/A</v>
          </cell>
          <cell r="G113" t="e">
            <v>#N/A</v>
          </cell>
        </row>
        <row r="116">
          <cell r="B116" t="str">
            <v>2641/12</v>
          </cell>
          <cell r="C116" t="e">
            <v>#N/A</v>
          </cell>
          <cell r="F116" t="e">
            <v>#N/A</v>
          </cell>
          <cell r="G116" t="e">
            <v>#N/A</v>
          </cell>
        </row>
        <row r="117">
          <cell r="B117" t="e">
            <v>#N/A</v>
          </cell>
          <cell r="F117">
            <v>27</v>
          </cell>
          <cell r="G117">
            <v>30</v>
          </cell>
        </row>
        <row r="118">
          <cell r="B118" t="e">
            <v>#N/A</v>
          </cell>
        </row>
        <row r="120">
          <cell r="C120" t="str">
            <v xml:space="preserve">CÁLCULO CRIANÇAS </v>
          </cell>
          <cell r="E120" t="str">
            <v>CÁLCULO KM</v>
          </cell>
        </row>
        <row r="121">
          <cell r="B121" t="str">
            <v>QTD DIAS</v>
          </cell>
          <cell r="C121" t="str">
            <v>QTD Cçs</v>
          </cell>
          <cell r="D121" t="str">
            <v>VL Cçs</v>
          </cell>
          <cell r="E121" t="str">
            <v>QTD KM</v>
          </cell>
          <cell r="F121" t="str">
            <v>VL Km</v>
          </cell>
          <cell r="G121" t="str">
            <v>TOTAL</v>
          </cell>
        </row>
        <row r="122">
          <cell r="B122">
            <v>4</v>
          </cell>
          <cell r="C122">
            <v>7</v>
          </cell>
          <cell r="D122" t="e">
            <v>#N/A</v>
          </cell>
          <cell r="E122">
            <v>8</v>
          </cell>
          <cell r="F122" t="e">
            <v>#N/A</v>
          </cell>
          <cell r="G122" t="e">
            <v>#N/A</v>
          </cell>
        </row>
        <row r="123">
          <cell r="B123">
            <v>3</v>
          </cell>
          <cell r="D123" t="e">
            <v>#N/A</v>
          </cell>
          <cell r="F123" t="e">
            <v>#N/A</v>
          </cell>
          <cell r="G123" t="e">
            <v>#N/A</v>
          </cell>
        </row>
        <row r="124">
          <cell r="B124">
            <v>4</v>
          </cell>
          <cell r="C124">
            <v>9</v>
          </cell>
          <cell r="D124" t="e">
            <v>#N/A</v>
          </cell>
          <cell r="E124">
            <v>10</v>
          </cell>
          <cell r="F124" t="e">
            <v>#N/A</v>
          </cell>
          <cell r="G124" t="e">
            <v>#N/A</v>
          </cell>
        </row>
        <row r="125">
          <cell r="B125">
            <v>4</v>
          </cell>
          <cell r="D125" t="e">
            <v>#N/A</v>
          </cell>
          <cell r="F125" t="e">
            <v>#N/A</v>
          </cell>
          <cell r="G125" t="e">
            <v>#N/A</v>
          </cell>
        </row>
        <row r="126">
          <cell r="B126">
            <v>4</v>
          </cell>
          <cell r="C126">
            <v>11</v>
          </cell>
          <cell r="D126" t="e">
            <v>#N/A</v>
          </cell>
          <cell r="E126">
            <v>12</v>
          </cell>
          <cell r="F126" t="e">
            <v>#N/A</v>
          </cell>
          <cell r="G126" t="e">
            <v>#N/A</v>
          </cell>
        </row>
        <row r="127">
          <cell r="B127">
            <v>19</v>
          </cell>
          <cell r="C127">
            <v>27</v>
          </cell>
          <cell r="D127" t="e">
            <v>#N/A</v>
          </cell>
          <cell r="E127">
            <v>30</v>
          </cell>
          <cell r="F127" t="e">
            <v>#N/A</v>
          </cell>
          <cell r="G127" t="e">
            <v>#N/A</v>
          </cell>
        </row>
        <row r="130">
          <cell r="B130" t="str">
            <v>2460/12</v>
          </cell>
          <cell r="C130" t="e">
            <v>#N/A</v>
          </cell>
          <cell r="F130" t="e">
            <v>#N/A</v>
          </cell>
          <cell r="G130" t="e">
            <v>#N/A</v>
          </cell>
        </row>
        <row r="131">
          <cell r="B131" t="e">
            <v>#N/A</v>
          </cell>
          <cell r="F131">
            <v>8</v>
          </cell>
          <cell r="G131">
            <v>35.6</v>
          </cell>
        </row>
        <row r="132">
          <cell r="B132" t="e">
            <v>#N/A</v>
          </cell>
        </row>
        <row r="134">
          <cell r="C134" t="str">
            <v xml:space="preserve">CÁLCULO CRIANÇAS </v>
          </cell>
          <cell r="E134" t="str">
            <v>CÁLCULO KM</v>
          </cell>
        </row>
        <row r="135">
          <cell r="B135" t="str">
            <v>QTD DIAS</v>
          </cell>
          <cell r="C135" t="str">
            <v>QTD Cçs</v>
          </cell>
          <cell r="D135" t="str">
            <v>VL Cçs</v>
          </cell>
          <cell r="E135" t="str">
            <v>QTD KM</v>
          </cell>
          <cell r="F135" t="str">
            <v>VL Km</v>
          </cell>
          <cell r="G135" t="str">
            <v>TOTAL</v>
          </cell>
        </row>
        <row r="136">
          <cell r="B136">
            <v>4</v>
          </cell>
          <cell r="C136">
            <v>3</v>
          </cell>
          <cell r="D136" t="e">
            <v>#N/A</v>
          </cell>
          <cell r="E136">
            <v>11.8</v>
          </cell>
          <cell r="F136" t="e">
            <v>#N/A</v>
          </cell>
          <cell r="G136" t="e">
            <v>#N/A</v>
          </cell>
        </row>
        <row r="137">
          <cell r="B137">
            <v>3</v>
          </cell>
          <cell r="D137" t="e">
            <v>#N/A</v>
          </cell>
          <cell r="F137" t="e">
            <v>#N/A</v>
          </cell>
          <cell r="G137" t="e">
            <v>#N/A</v>
          </cell>
        </row>
        <row r="138">
          <cell r="B138">
            <v>4</v>
          </cell>
          <cell r="C138">
            <v>3</v>
          </cell>
          <cell r="D138" t="e">
            <v>#N/A</v>
          </cell>
          <cell r="E138">
            <v>16.399999999999999</v>
          </cell>
          <cell r="F138" t="e">
            <v>#N/A</v>
          </cell>
          <cell r="G138" t="e">
            <v>#N/A</v>
          </cell>
        </row>
        <row r="139">
          <cell r="B139">
            <v>4</v>
          </cell>
          <cell r="D139" t="e">
            <v>#N/A</v>
          </cell>
          <cell r="F139" t="e">
            <v>#N/A</v>
          </cell>
          <cell r="G139" t="e">
            <v>#N/A</v>
          </cell>
        </row>
        <row r="140">
          <cell r="B140">
            <v>4</v>
          </cell>
          <cell r="C140">
            <v>2</v>
          </cell>
          <cell r="D140" t="e">
            <v>#N/A</v>
          </cell>
          <cell r="E140">
            <v>7.4</v>
          </cell>
          <cell r="F140" t="e">
            <v>#N/A</v>
          </cell>
          <cell r="G140" t="e">
            <v>#N/A</v>
          </cell>
        </row>
        <row r="141">
          <cell r="B141">
            <v>19</v>
          </cell>
          <cell r="C141">
            <v>8</v>
          </cell>
          <cell r="D141" t="e">
            <v>#N/A</v>
          </cell>
          <cell r="E141">
            <v>35.6</v>
          </cell>
          <cell r="F141" t="e">
            <v>#N/A</v>
          </cell>
          <cell r="G141" t="e">
            <v>#N/A</v>
          </cell>
        </row>
        <row r="145">
          <cell r="B145" t="str">
            <v>2525/12</v>
          </cell>
          <cell r="C145" t="e">
            <v>#N/A</v>
          </cell>
          <cell r="F145" t="e">
            <v>#N/A</v>
          </cell>
          <cell r="G145" t="e">
            <v>#N/A</v>
          </cell>
        </row>
        <row r="146">
          <cell r="B146" t="e">
            <v>#N/A</v>
          </cell>
          <cell r="F146">
            <v>6</v>
          </cell>
          <cell r="G146">
            <v>22.46</v>
          </cell>
        </row>
        <row r="147">
          <cell r="B147" t="e">
            <v>#N/A</v>
          </cell>
        </row>
        <row r="149">
          <cell r="C149" t="str">
            <v xml:space="preserve">CÁLCULO CRIANÇAS </v>
          </cell>
          <cell r="E149" t="str">
            <v>CÁLCULO KM</v>
          </cell>
        </row>
        <row r="150">
          <cell r="B150" t="str">
            <v>QTD DIAS</v>
          </cell>
          <cell r="C150" t="str">
            <v>QTD Cçs</v>
          </cell>
          <cell r="D150" t="str">
            <v>VL Cçs</v>
          </cell>
          <cell r="E150" t="str">
            <v>QTD KM</v>
          </cell>
          <cell r="F150" t="str">
            <v>VL Km</v>
          </cell>
          <cell r="G150" t="str">
            <v>TOTAL</v>
          </cell>
        </row>
        <row r="151">
          <cell r="B151">
            <v>4</v>
          </cell>
          <cell r="C151">
            <v>2</v>
          </cell>
          <cell r="D151" t="e">
            <v>#N/A</v>
          </cell>
          <cell r="E151">
            <v>5.0599999999999996</v>
          </cell>
          <cell r="F151" t="e">
            <v>#N/A</v>
          </cell>
          <cell r="G151" t="e">
            <v>#N/A</v>
          </cell>
        </row>
        <row r="152">
          <cell r="B152">
            <v>3</v>
          </cell>
          <cell r="C152">
            <v>1</v>
          </cell>
          <cell r="D152" t="e">
            <v>#N/A</v>
          </cell>
          <cell r="E152">
            <v>4.2</v>
          </cell>
          <cell r="F152" t="e">
            <v>#N/A</v>
          </cell>
          <cell r="G152" t="e">
            <v>#N/A</v>
          </cell>
        </row>
        <row r="153">
          <cell r="B153">
            <v>4</v>
          </cell>
          <cell r="C153">
            <v>1</v>
          </cell>
          <cell r="D153" t="e">
            <v>#N/A</v>
          </cell>
          <cell r="E153">
            <v>4.2</v>
          </cell>
          <cell r="F153" t="e">
            <v>#N/A</v>
          </cell>
          <cell r="G153" t="e">
            <v>#N/A</v>
          </cell>
        </row>
        <row r="154">
          <cell r="B154">
            <v>4</v>
          </cell>
          <cell r="C154">
            <v>1</v>
          </cell>
          <cell r="D154" t="e">
            <v>#N/A</v>
          </cell>
          <cell r="E154">
            <v>4.4000000000000004</v>
          </cell>
          <cell r="F154" t="e">
            <v>#N/A</v>
          </cell>
          <cell r="G154" t="e">
            <v>#N/A</v>
          </cell>
        </row>
        <row r="155">
          <cell r="B155">
            <v>4</v>
          </cell>
          <cell r="C155">
            <v>1</v>
          </cell>
          <cell r="D155" t="e">
            <v>#N/A</v>
          </cell>
          <cell r="E155">
            <v>4.5999999999999996</v>
          </cell>
          <cell r="F155" t="e">
            <v>#N/A</v>
          </cell>
          <cell r="G155" t="e">
            <v>#N/A</v>
          </cell>
        </row>
        <row r="156">
          <cell r="B156">
            <v>19</v>
          </cell>
          <cell r="C156">
            <v>6</v>
          </cell>
          <cell r="D156" t="e">
            <v>#N/A</v>
          </cell>
          <cell r="E156">
            <v>22.46</v>
          </cell>
          <cell r="F156" t="e">
            <v>#N/A</v>
          </cell>
          <cell r="G156" t="e">
            <v>#N/A</v>
          </cell>
        </row>
        <row r="159">
          <cell r="B159" t="str">
            <v>2224/12</v>
          </cell>
          <cell r="C159" t="e">
            <v>#N/A</v>
          </cell>
          <cell r="F159" t="e">
            <v>#N/A</v>
          </cell>
          <cell r="G159" t="e">
            <v>#N/A</v>
          </cell>
        </row>
        <row r="160">
          <cell r="B160" t="e">
            <v>#N/A</v>
          </cell>
          <cell r="F160">
            <v>45</v>
          </cell>
          <cell r="G160">
            <v>55</v>
          </cell>
        </row>
        <row r="161">
          <cell r="B161" t="e">
            <v>#N/A</v>
          </cell>
        </row>
        <row r="163">
          <cell r="C163" t="str">
            <v xml:space="preserve">CÁLCULO CRIANÇAS </v>
          </cell>
          <cell r="E163" t="str">
            <v>CÁLCULO KM</v>
          </cell>
        </row>
        <row r="164">
          <cell r="B164" t="str">
            <v>QTD DIAS</v>
          </cell>
          <cell r="C164" t="str">
            <v>QTD Cçs</v>
          </cell>
          <cell r="D164" t="str">
            <v>VL Cçs</v>
          </cell>
          <cell r="E164" t="str">
            <v>QTD KM</v>
          </cell>
          <cell r="F164" t="str">
            <v>VL Km</v>
          </cell>
          <cell r="G164" t="str">
            <v>TOTAL</v>
          </cell>
        </row>
        <row r="165">
          <cell r="B165">
            <v>4</v>
          </cell>
          <cell r="D165" t="e">
            <v>#N/A</v>
          </cell>
          <cell r="F165" t="e">
            <v>#N/A</v>
          </cell>
          <cell r="G165" t="e">
            <v>#N/A</v>
          </cell>
        </row>
        <row r="166">
          <cell r="B166">
            <v>3</v>
          </cell>
          <cell r="D166" t="e">
            <v>#N/A</v>
          </cell>
          <cell r="F166" t="e">
            <v>#N/A</v>
          </cell>
          <cell r="G166" t="e">
            <v>#N/A</v>
          </cell>
        </row>
        <row r="167">
          <cell r="B167">
            <v>4</v>
          </cell>
          <cell r="C167">
            <v>10</v>
          </cell>
          <cell r="D167" t="e">
            <v>#N/A</v>
          </cell>
          <cell r="E167">
            <v>16</v>
          </cell>
          <cell r="F167" t="e">
            <v>#N/A</v>
          </cell>
          <cell r="G167" t="e">
            <v>#N/A</v>
          </cell>
        </row>
        <row r="168">
          <cell r="B168">
            <v>4</v>
          </cell>
          <cell r="C168">
            <v>15</v>
          </cell>
          <cell r="D168" t="e">
            <v>#N/A</v>
          </cell>
          <cell r="E168">
            <v>21</v>
          </cell>
          <cell r="F168" t="e">
            <v>#N/A</v>
          </cell>
          <cell r="G168" t="e">
            <v>#N/A</v>
          </cell>
        </row>
        <row r="169">
          <cell r="B169">
            <v>4</v>
          </cell>
          <cell r="C169">
            <v>20</v>
          </cell>
          <cell r="D169" t="e">
            <v>#N/A</v>
          </cell>
          <cell r="E169">
            <v>18</v>
          </cell>
          <cell r="F169" t="e">
            <v>#N/A</v>
          </cell>
          <cell r="G169" t="e">
            <v>#N/A</v>
          </cell>
        </row>
        <row r="170">
          <cell r="B170">
            <v>19</v>
          </cell>
          <cell r="C170">
            <v>45</v>
          </cell>
          <cell r="D170" t="e">
            <v>#N/A</v>
          </cell>
          <cell r="E170">
            <v>55</v>
          </cell>
          <cell r="F170" t="e">
            <v>#N/A</v>
          </cell>
          <cell r="G170" t="e">
            <v>#N/A</v>
          </cell>
        </row>
        <row r="173">
          <cell r="B173" t="str">
            <v>2727/12</v>
          </cell>
          <cell r="C173" t="e">
            <v>#N/A</v>
          </cell>
          <cell r="F173" t="e">
            <v>#N/A</v>
          </cell>
          <cell r="G173" t="e">
            <v>#N/A</v>
          </cell>
        </row>
        <row r="174">
          <cell r="B174" t="e">
            <v>#N/A</v>
          </cell>
          <cell r="F174">
            <v>94</v>
          </cell>
          <cell r="G174">
            <v>157.5</v>
          </cell>
        </row>
        <row r="175">
          <cell r="B175" t="e">
            <v>#N/A</v>
          </cell>
        </row>
        <row r="177">
          <cell r="C177" t="str">
            <v xml:space="preserve">CÁLCULO CRIANÇAS </v>
          </cell>
          <cell r="E177" t="str">
            <v>CÁLCULO KM</v>
          </cell>
        </row>
        <row r="178">
          <cell r="B178" t="str">
            <v>QTD DIAS</v>
          </cell>
          <cell r="C178" t="str">
            <v>QTD Cçs</v>
          </cell>
          <cell r="D178" t="str">
            <v>VL Cçs</v>
          </cell>
          <cell r="E178" t="str">
            <v>QTD KM</v>
          </cell>
          <cell r="F178" t="str">
            <v>VL Km</v>
          </cell>
          <cell r="G178" t="str">
            <v>TOTAL</v>
          </cell>
        </row>
        <row r="179">
          <cell r="B179">
            <v>4</v>
          </cell>
          <cell r="C179">
            <v>15</v>
          </cell>
          <cell r="D179" t="e">
            <v>#N/A</v>
          </cell>
          <cell r="E179">
            <v>24</v>
          </cell>
          <cell r="F179" t="e">
            <v>#N/A</v>
          </cell>
          <cell r="G179" t="e">
            <v>#N/A</v>
          </cell>
        </row>
        <row r="180">
          <cell r="B180">
            <v>3</v>
          </cell>
          <cell r="C180">
            <v>14</v>
          </cell>
          <cell r="D180" t="e">
            <v>#N/A</v>
          </cell>
          <cell r="E180">
            <v>15.9</v>
          </cell>
          <cell r="F180" t="e">
            <v>#N/A</v>
          </cell>
          <cell r="G180" t="e">
            <v>#N/A</v>
          </cell>
        </row>
        <row r="181">
          <cell r="B181">
            <v>4</v>
          </cell>
          <cell r="C181">
            <v>21</v>
          </cell>
          <cell r="D181" t="e">
            <v>#N/A</v>
          </cell>
          <cell r="E181">
            <v>42</v>
          </cell>
          <cell r="F181" t="e">
            <v>#N/A</v>
          </cell>
          <cell r="G181" t="e">
            <v>#N/A</v>
          </cell>
        </row>
        <row r="182">
          <cell r="B182">
            <v>4</v>
          </cell>
          <cell r="C182">
            <v>26</v>
          </cell>
          <cell r="D182" t="e">
            <v>#N/A</v>
          </cell>
          <cell r="E182">
            <v>36.799999999999997</v>
          </cell>
          <cell r="F182" t="e">
            <v>#N/A</v>
          </cell>
          <cell r="G182" t="e">
            <v>#N/A</v>
          </cell>
        </row>
        <row r="183">
          <cell r="B183">
            <v>4</v>
          </cell>
          <cell r="C183">
            <v>18</v>
          </cell>
          <cell r="D183" t="e">
            <v>#N/A</v>
          </cell>
          <cell r="E183">
            <v>38.799999999999997</v>
          </cell>
          <cell r="F183" t="e">
            <v>#N/A</v>
          </cell>
          <cell r="G183" t="e">
            <v>#N/A</v>
          </cell>
        </row>
        <row r="184">
          <cell r="B184">
            <v>19</v>
          </cell>
          <cell r="C184">
            <v>94</v>
          </cell>
          <cell r="D184" t="e">
            <v>#N/A</v>
          </cell>
          <cell r="E184">
            <v>157.5</v>
          </cell>
          <cell r="F184" t="e">
            <v>#N/A</v>
          </cell>
          <cell r="G184" t="e">
            <v>#N/A</v>
          </cell>
        </row>
        <row r="187">
          <cell r="B187" t="str">
            <v>2767/12</v>
          </cell>
          <cell r="C187" t="e">
            <v>#N/A</v>
          </cell>
          <cell r="F187" t="e">
            <v>#N/A</v>
          </cell>
          <cell r="G187" t="e">
            <v>#N/A</v>
          </cell>
        </row>
        <row r="188">
          <cell r="B188" t="e">
            <v>#N/A</v>
          </cell>
          <cell r="F188">
            <v>108</v>
          </cell>
          <cell r="G188">
            <v>162.80000000000001</v>
          </cell>
        </row>
        <row r="189">
          <cell r="B189" t="e">
            <v>#N/A</v>
          </cell>
        </row>
        <row r="191">
          <cell r="C191" t="str">
            <v xml:space="preserve">CÁLCULO CRIANÇAS </v>
          </cell>
          <cell r="E191" t="str">
            <v>CÁLCULO KM</v>
          </cell>
        </row>
        <row r="192">
          <cell r="B192" t="str">
            <v>QTD DIAS</v>
          </cell>
          <cell r="C192" t="str">
            <v>QTD Cçs</v>
          </cell>
          <cell r="D192" t="str">
            <v>VL Cçs</v>
          </cell>
          <cell r="E192" t="str">
            <v>QTD KM</v>
          </cell>
          <cell r="F192" t="str">
            <v>VL Km</v>
          </cell>
          <cell r="G192" t="str">
            <v>TOTAL</v>
          </cell>
        </row>
        <row r="193">
          <cell r="B193">
            <v>4</v>
          </cell>
          <cell r="C193">
            <v>16</v>
          </cell>
          <cell r="D193" t="e">
            <v>#N/A</v>
          </cell>
          <cell r="E193">
            <v>21.8</v>
          </cell>
          <cell r="F193" t="e">
            <v>#N/A</v>
          </cell>
          <cell r="G193" t="e">
            <v>#N/A</v>
          </cell>
        </row>
        <row r="194">
          <cell r="B194">
            <v>3</v>
          </cell>
          <cell r="C194">
            <v>17</v>
          </cell>
          <cell r="D194" t="e">
            <v>#N/A</v>
          </cell>
          <cell r="E194">
            <v>25.6</v>
          </cell>
          <cell r="F194" t="e">
            <v>#N/A</v>
          </cell>
          <cell r="G194" t="e">
            <v>#N/A</v>
          </cell>
        </row>
        <row r="195">
          <cell r="B195">
            <v>4</v>
          </cell>
          <cell r="C195">
            <v>26</v>
          </cell>
          <cell r="D195" t="e">
            <v>#N/A</v>
          </cell>
          <cell r="E195">
            <v>35</v>
          </cell>
          <cell r="F195" t="e">
            <v>#N/A</v>
          </cell>
          <cell r="G195" t="e">
            <v>#N/A</v>
          </cell>
        </row>
        <row r="196">
          <cell r="B196">
            <v>4</v>
          </cell>
          <cell r="C196">
            <v>28</v>
          </cell>
          <cell r="D196" t="e">
            <v>#N/A</v>
          </cell>
          <cell r="E196">
            <v>47.2</v>
          </cell>
          <cell r="F196" t="e">
            <v>#N/A</v>
          </cell>
          <cell r="G196" t="e">
            <v>#N/A</v>
          </cell>
        </row>
        <row r="197">
          <cell r="B197">
            <v>4</v>
          </cell>
          <cell r="C197">
            <v>21</v>
          </cell>
          <cell r="D197" t="e">
            <v>#N/A</v>
          </cell>
          <cell r="E197">
            <v>33.200000000000003</v>
          </cell>
          <cell r="F197" t="e">
            <v>#N/A</v>
          </cell>
          <cell r="G197" t="e">
            <v>#N/A</v>
          </cell>
        </row>
        <row r="198">
          <cell r="B198">
            <v>19</v>
          </cell>
          <cell r="C198">
            <v>108</v>
          </cell>
          <cell r="D198" t="e">
            <v>#N/A</v>
          </cell>
          <cell r="E198">
            <v>162.80000000000001</v>
          </cell>
          <cell r="F198" t="e">
            <v>#N/A</v>
          </cell>
          <cell r="G198" t="e">
            <v>#N/A</v>
          </cell>
        </row>
        <row r="201">
          <cell r="B201" t="str">
            <v>2680/12</v>
          </cell>
          <cell r="C201" t="e">
            <v>#N/A</v>
          </cell>
          <cell r="F201" t="e">
            <v>#N/A</v>
          </cell>
          <cell r="G201" t="e">
            <v>#N/A</v>
          </cell>
        </row>
        <row r="202">
          <cell r="B202" t="e">
            <v>#N/A</v>
          </cell>
          <cell r="F202">
            <v>25</v>
          </cell>
          <cell r="G202">
            <v>37</v>
          </cell>
        </row>
        <row r="203">
          <cell r="B203" t="e">
            <v>#N/A</v>
          </cell>
        </row>
        <row r="205">
          <cell r="C205" t="str">
            <v xml:space="preserve">CÁLCULO CRIANÇAS </v>
          </cell>
          <cell r="E205" t="str">
            <v>CÁLCULO KM</v>
          </cell>
        </row>
        <row r="206">
          <cell r="B206" t="str">
            <v>QTD DIAS</v>
          </cell>
          <cell r="C206" t="str">
            <v>QTD Cçs</v>
          </cell>
          <cell r="D206" t="str">
            <v>VL Cçs</v>
          </cell>
          <cell r="E206" t="str">
            <v>QTD KM</v>
          </cell>
          <cell r="F206" t="str">
            <v>VL Km</v>
          </cell>
          <cell r="G206" t="str">
            <v>TOTAL</v>
          </cell>
        </row>
        <row r="207">
          <cell r="B207">
            <v>4</v>
          </cell>
          <cell r="C207">
            <v>8</v>
          </cell>
          <cell r="D207" t="e">
            <v>#N/A</v>
          </cell>
          <cell r="E207">
            <v>9</v>
          </cell>
          <cell r="F207" t="e">
            <v>#N/A</v>
          </cell>
          <cell r="G207" t="e">
            <v>#N/A</v>
          </cell>
        </row>
        <row r="208">
          <cell r="B208">
            <v>3</v>
          </cell>
          <cell r="C208">
            <v>3</v>
          </cell>
          <cell r="D208" t="e">
            <v>#N/A</v>
          </cell>
          <cell r="E208">
            <v>8</v>
          </cell>
          <cell r="F208" t="e">
            <v>#N/A</v>
          </cell>
          <cell r="G208" t="e">
            <v>#N/A</v>
          </cell>
        </row>
        <row r="209">
          <cell r="B209">
            <v>4</v>
          </cell>
          <cell r="C209">
            <v>4</v>
          </cell>
          <cell r="D209" t="e">
            <v>#N/A</v>
          </cell>
          <cell r="E209">
            <v>4</v>
          </cell>
          <cell r="F209" t="e">
            <v>#N/A</v>
          </cell>
          <cell r="G209" t="e">
            <v>#N/A</v>
          </cell>
        </row>
        <row r="210">
          <cell r="B210">
            <v>4</v>
          </cell>
          <cell r="C210">
            <v>5</v>
          </cell>
          <cell r="D210" t="e">
            <v>#N/A</v>
          </cell>
          <cell r="E210">
            <v>9</v>
          </cell>
          <cell r="F210" t="e">
            <v>#N/A</v>
          </cell>
          <cell r="G210" t="e">
            <v>#N/A</v>
          </cell>
        </row>
        <row r="211">
          <cell r="B211">
            <v>4</v>
          </cell>
          <cell r="C211">
            <v>5</v>
          </cell>
          <cell r="D211" t="e">
            <v>#N/A</v>
          </cell>
          <cell r="E211">
            <v>7</v>
          </cell>
          <cell r="F211" t="e">
            <v>#N/A</v>
          </cell>
          <cell r="G211" t="e">
            <v>#N/A</v>
          </cell>
        </row>
        <row r="212">
          <cell r="B212">
            <v>19</v>
          </cell>
          <cell r="C212">
            <v>25</v>
          </cell>
          <cell r="D212" t="e">
            <v>#N/A</v>
          </cell>
          <cell r="E212">
            <v>37</v>
          </cell>
          <cell r="F212" t="e">
            <v>#N/A</v>
          </cell>
          <cell r="G212" t="e">
            <v>#N/A</v>
          </cell>
        </row>
        <row r="215">
          <cell r="B215" t="str">
            <v>2413/12</v>
          </cell>
          <cell r="C215" t="e">
            <v>#N/A</v>
          </cell>
          <cell r="F215" t="e">
            <v>#N/A</v>
          </cell>
          <cell r="G215" t="e">
            <v>#N/A</v>
          </cell>
        </row>
        <row r="216">
          <cell r="B216" t="e">
            <v>#N/A</v>
          </cell>
          <cell r="F216">
            <v>31</v>
          </cell>
          <cell r="G216">
            <v>101.45</v>
          </cell>
        </row>
        <row r="217">
          <cell r="B217" t="e">
            <v>#N/A</v>
          </cell>
        </row>
        <row r="219">
          <cell r="C219" t="str">
            <v xml:space="preserve">CÁLCULO CRIANÇAS </v>
          </cell>
          <cell r="E219" t="str">
            <v>CÁLCULO KM</v>
          </cell>
        </row>
        <row r="220">
          <cell r="B220" t="str">
            <v>QTD DIAS</v>
          </cell>
          <cell r="C220" t="str">
            <v>QTD Cçs</v>
          </cell>
          <cell r="D220" t="str">
            <v>VL Cçs</v>
          </cell>
          <cell r="E220" t="str">
            <v>QTD KM</v>
          </cell>
          <cell r="F220" t="str">
            <v>VL Km</v>
          </cell>
          <cell r="G220" t="str">
            <v>TOTAL</v>
          </cell>
        </row>
        <row r="221">
          <cell r="B221">
            <v>4</v>
          </cell>
          <cell r="C221">
            <v>7</v>
          </cell>
          <cell r="D221" t="e">
            <v>#N/A</v>
          </cell>
          <cell r="E221">
            <v>23.9</v>
          </cell>
          <cell r="F221" t="e">
            <v>#N/A</v>
          </cell>
          <cell r="G221" t="e">
            <v>#N/A</v>
          </cell>
        </row>
        <row r="222">
          <cell r="B222">
            <v>3</v>
          </cell>
          <cell r="C222">
            <v>8</v>
          </cell>
          <cell r="D222" t="e">
            <v>#N/A</v>
          </cell>
          <cell r="E222">
            <v>41.1</v>
          </cell>
          <cell r="F222" t="e">
            <v>#N/A</v>
          </cell>
          <cell r="G222" t="e">
            <v>#N/A</v>
          </cell>
        </row>
        <row r="223">
          <cell r="B223">
            <v>4</v>
          </cell>
          <cell r="C223">
            <v>7</v>
          </cell>
          <cell r="D223" t="e">
            <v>#N/A</v>
          </cell>
          <cell r="E223">
            <v>15.4</v>
          </cell>
          <cell r="F223" t="e">
            <v>#N/A</v>
          </cell>
          <cell r="G223" t="e">
            <v>#N/A</v>
          </cell>
        </row>
        <row r="224">
          <cell r="B224">
            <v>4</v>
          </cell>
          <cell r="C224">
            <v>4</v>
          </cell>
          <cell r="D224" t="e">
            <v>#N/A</v>
          </cell>
          <cell r="E224">
            <v>5.75</v>
          </cell>
          <cell r="F224" t="e">
            <v>#N/A</v>
          </cell>
          <cell r="G224" t="e">
            <v>#N/A</v>
          </cell>
        </row>
        <row r="225">
          <cell r="B225">
            <v>4</v>
          </cell>
          <cell r="C225">
            <v>5</v>
          </cell>
          <cell r="D225" t="e">
            <v>#N/A</v>
          </cell>
          <cell r="E225">
            <v>15.3</v>
          </cell>
          <cell r="F225" t="e">
            <v>#N/A</v>
          </cell>
          <cell r="G225" t="e">
            <v>#N/A</v>
          </cell>
        </row>
        <row r="226">
          <cell r="B226">
            <v>19</v>
          </cell>
          <cell r="C226">
            <v>31</v>
          </cell>
          <cell r="D226" t="e">
            <v>#N/A</v>
          </cell>
          <cell r="E226">
            <v>101.45</v>
          </cell>
          <cell r="F226" t="e">
            <v>#N/A</v>
          </cell>
          <cell r="G226" t="e">
            <v>#N/A</v>
          </cell>
        </row>
        <row r="229">
          <cell r="B229" t="str">
            <v>1785/12</v>
          </cell>
          <cell r="C229" t="e">
            <v>#N/A</v>
          </cell>
          <cell r="F229" t="e">
            <v>#N/A</v>
          </cell>
          <cell r="G229" t="e">
            <v>#N/A</v>
          </cell>
        </row>
        <row r="230">
          <cell r="B230" t="e">
            <v>#N/A</v>
          </cell>
          <cell r="F230">
            <v>36</v>
          </cell>
          <cell r="G230">
            <v>97</v>
          </cell>
        </row>
        <row r="231">
          <cell r="B231" t="e">
            <v>#N/A</v>
          </cell>
        </row>
        <row r="233">
          <cell r="C233" t="str">
            <v xml:space="preserve">CÁLCULO CRIANÇAS </v>
          </cell>
          <cell r="E233" t="str">
            <v>CÁLCULO KM</v>
          </cell>
        </row>
        <row r="234">
          <cell r="B234" t="str">
            <v>QTD DIAS</v>
          </cell>
          <cell r="C234" t="str">
            <v>QTD Cçs</v>
          </cell>
          <cell r="D234" t="str">
            <v>VL Cçs</v>
          </cell>
          <cell r="E234" t="str">
            <v>QTD KM</v>
          </cell>
          <cell r="F234" t="str">
            <v>VL Km</v>
          </cell>
          <cell r="G234" t="str">
            <v>TOTAL</v>
          </cell>
        </row>
        <row r="235">
          <cell r="B235">
            <v>4</v>
          </cell>
          <cell r="C235">
            <v>8</v>
          </cell>
          <cell r="D235" t="e">
            <v>#N/A</v>
          </cell>
          <cell r="E235">
            <v>20.100000000000001</v>
          </cell>
          <cell r="F235" t="e">
            <v>#N/A</v>
          </cell>
          <cell r="G235" t="e">
            <v>#N/A</v>
          </cell>
        </row>
        <row r="236">
          <cell r="B236">
            <v>3</v>
          </cell>
          <cell r="C236">
            <v>10</v>
          </cell>
          <cell r="D236" t="e">
            <v>#N/A</v>
          </cell>
          <cell r="E236">
            <v>20.3</v>
          </cell>
          <cell r="F236" t="e">
            <v>#N/A</v>
          </cell>
          <cell r="G236" t="e">
            <v>#N/A</v>
          </cell>
        </row>
        <row r="237">
          <cell r="B237">
            <v>4</v>
          </cell>
          <cell r="C237">
            <v>7</v>
          </cell>
          <cell r="D237" t="e">
            <v>#N/A</v>
          </cell>
          <cell r="E237">
            <v>24.1</v>
          </cell>
          <cell r="F237" t="e">
            <v>#N/A</v>
          </cell>
          <cell r="G237" t="e">
            <v>#N/A</v>
          </cell>
        </row>
        <row r="238">
          <cell r="B238">
            <v>4</v>
          </cell>
          <cell r="C238">
            <v>11</v>
          </cell>
          <cell r="D238" t="e">
            <v>#N/A</v>
          </cell>
          <cell r="E238">
            <v>32.5</v>
          </cell>
          <cell r="F238" t="e">
            <v>#N/A</v>
          </cell>
          <cell r="G238" t="e">
            <v>#N/A</v>
          </cell>
        </row>
        <row r="239">
          <cell r="B239">
            <v>4</v>
          </cell>
          <cell r="D239" t="e">
            <v>#N/A</v>
          </cell>
          <cell r="F239" t="e">
            <v>#N/A</v>
          </cell>
          <cell r="G239" t="e">
            <v>#N/A</v>
          </cell>
        </row>
        <row r="240">
          <cell r="B240">
            <v>19</v>
          </cell>
          <cell r="C240">
            <v>36</v>
          </cell>
          <cell r="D240" t="e">
            <v>#N/A</v>
          </cell>
          <cell r="E240">
            <v>97</v>
          </cell>
          <cell r="F240" t="e">
            <v>#N/A</v>
          </cell>
          <cell r="G240" t="e">
            <v>#N/A</v>
          </cell>
        </row>
        <row r="243">
          <cell r="B243" t="str">
            <v>1596/12</v>
          </cell>
          <cell r="C243" t="e">
            <v>#N/A</v>
          </cell>
          <cell r="F243" t="e">
            <v>#N/A</v>
          </cell>
          <cell r="G243" t="e">
            <v>#N/A</v>
          </cell>
        </row>
        <row r="244">
          <cell r="B244" t="e">
            <v>#N/A</v>
          </cell>
          <cell r="F244">
            <v>10</v>
          </cell>
          <cell r="G244">
            <v>58.2</v>
          </cell>
        </row>
        <row r="245">
          <cell r="B245" t="e">
            <v>#N/A</v>
          </cell>
        </row>
        <row r="247">
          <cell r="C247" t="str">
            <v xml:space="preserve">CÁLCULO CRIANÇAS </v>
          </cell>
          <cell r="E247" t="str">
            <v>CÁLCULO KM</v>
          </cell>
        </row>
        <row r="248">
          <cell r="B248" t="str">
            <v>QTD DIAS</v>
          </cell>
          <cell r="C248" t="str">
            <v>QTD Cçs</v>
          </cell>
          <cell r="D248" t="str">
            <v>VL Cçs</v>
          </cell>
          <cell r="E248" t="str">
            <v>QTD KM</v>
          </cell>
          <cell r="F248" t="str">
            <v>VL Km</v>
          </cell>
          <cell r="G248" t="str">
            <v>TOTAL</v>
          </cell>
        </row>
        <row r="249">
          <cell r="B249">
            <v>4</v>
          </cell>
          <cell r="C249">
            <v>5</v>
          </cell>
          <cell r="D249" t="e">
            <v>#N/A</v>
          </cell>
          <cell r="E249">
            <v>29.1</v>
          </cell>
          <cell r="F249" t="e">
            <v>#N/A</v>
          </cell>
          <cell r="G249" t="e">
            <v>#N/A</v>
          </cell>
        </row>
        <row r="250">
          <cell r="B250">
            <v>3</v>
          </cell>
          <cell r="D250" t="e">
            <v>#N/A</v>
          </cell>
          <cell r="F250" t="e">
            <v>#N/A</v>
          </cell>
          <cell r="G250" t="e">
            <v>#N/A</v>
          </cell>
        </row>
        <row r="251">
          <cell r="B251">
            <v>4</v>
          </cell>
          <cell r="D251" t="e">
            <v>#N/A</v>
          </cell>
          <cell r="F251" t="e">
            <v>#N/A</v>
          </cell>
          <cell r="G251" t="e">
            <v>#N/A</v>
          </cell>
        </row>
        <row r="252">
          <cell r="B252">
            <v>4</v>
          </cell>
          <cell r="D252" t="e">
            <v>#N/A</v>
          </cell>
          <cell r="F252" t="e">
            <v>#N/A</v>
          </cell>
          <cell r="G252" t="e">
            <v>#N/A</v>
          </cell>
        </row>
        <row r="253">
          <cell r="B253">
            <v>4</v>
          </cell>
          <cell r="C253">
            <v>5</v>
          </cell>
          <cell r="D253" t="e">
            <v>#N/A</v>
          </cell>
          <cell r="E253">
            <v>29.1</v>
          </cell>
          <cell r="F253" t="e">
            <v>#N/A</v>
          </cell>
          <cell r="G253" t="e">
            <v>#N/A</v>
          </cell>
        </row>
        <row r="254">
          <cell r="B254">
            <v>19</v>
          </cell>
          <cell r="C254">
            <v>10</v>
          </cell>
          <cell r="D254" t="e">
            <v>#N/A</v>
          </cell>
          <cell r="E254">
            <v>58.2</v>
          </cell>
          <cell r="F254" t="e">
            <v>#N/A</v>
          </cell>
          <cell r="G254" t="e">
            <v>#N/A</v>
          </cell>
        </row>
        <row r="257">
          <cell r="B257" t="str">
            <v>1967/12</v>
          </cell>
          <cell r="C257" t="e">
            <v>#N/A</v>
          </cell>
          <cell r="F257" t="e">
            <v>#N/A</v>
          </cell>
          <cell r="G257" t="e">
            <v>#N/A</v>
          </cell>
        </row>
        <row r="258">
          <cell r="B258" t="e">
            <v>#N/A</v>
          </cell>
          <cell r="F258">
            <v>6</v>
          </cell>
          <cell r="G258">
            <v>13.120000000000001</v>
          </cell>
        </row>
        <row r="259">
          <cell r="B259" t="e">
            <v>#N/A</v>
          </cell>
        </row>
        <row r="261">
          <cell r="C261" t="str">
            <v xml:space="preserve">CÁLCULO CRIANÇAS </v>
          </cell>
          <cell r="E261" t="str">
            <v>CÁLCULO KM</v>
          </cell>
        </row>
        <row r="262">
          <cell r="B262" t="str">
            <v>QTD DIAS</v>
          </cell>
          <cell r="C262" t="str">
            <v>QTD Cçs</v>
          </cell>
          <cell r="D262" t="str">
            <v>VL Cçs</v>
          </cell>
          <cell r="E262" t="str">
            <v>QTD KM</v>
          </cell>
          <cell r="F262" t="str">
            <v>VL Km</v>
          </cell>
          <cell r="G262" t="str">
            <v>TOTAL</v>
          </cell>
        </row>
        <row r="263">
          <cell r="B263">
            <v>4</v>
          </cell>
          <cell r="C263">
            <v>1</v>
          </cell>
          <cell r="D263" t="e">
            <v>#N/A</v>
          </cell>
          <cell r="E263">
            <v>3.3</v>
          </cell>
          <cell r="F263" t="e">
            <v>#N/A</v>
          </cell>
          <cell r="G263" t="e">
            <v>#N/A</v>
          </cell>
        </row>
        <row r="264">
          <cell r="B264">
            <v>3</v>
          </cell>
          <cell r="C264">
            <v>2</v>
          </cell>
          <cell r="D264" t="e">
            <v>#N/A</v>
          </cell>
          <cell r="E264">
            <v>3.55</v>
          </cell>
          <cell r="F264" t="e">
            <v>#N/A</v>
          </cell>
          <cell r="G264" t="e">
            <v>#N/A</v>
          </cell>
        </row>
        <row r="265">
          <cell r="B265">
            <v>4</v>
          </cell>
          <cell r="C265">
            <v>2</v>
          </cell>
          <cell r="D265" t="e">
            <v>#N/A</v>
          </cell>
          <cell r="E265">
            <v>3.57</v>
          </cell>
          <cell r="F265" t="e">
            <v>#N/A</v>
          </cell>
          <cell r="G265" t="e">
            <v>#N/A</v>
          </cell>
        </row>
        <row r="266">
          <cell r="B266">
            <v>4</v>
          </cell>
          <cell r="D266" t="e">
            <v>#N/A</v>
          </cell>
          <cell r="F266" t="e">
            <v>#N/A</v>
          </cell>
          <cell r="G266" t="e">
            <v>#N/A</v>
          </cell>
        </row>
        <row r="267">
          <cell r="B267">
            <v>4</v>
          </cell>
          <cell r="C267">
            <v>1</v>
          </cell>
          <cell r="D267" t="e">
            <v>#N/A</v>
          </cell>
          <cell r="E267">
            <v>2.7</v>
          </cell>
          <cell r="F267" t="e">
            <v>#N/A</v>
          </cell>
          <cell r="G267" t="e">
            <v>#N/A</v>
          </cell>
        </row>
        <row r="268">
          <cell r="B268">
            <v>19</v>
          </cell>
          <cell r="C268">
            <v>6</v>
          </cell>
          <cell r="D268" t="e">
            <v>#N/A</v>
          </cell>
          <cell r="E268">
            <v>13.120000000000001</v>
          </cell>
          <cell r="F268" t="e">
            <v>#N/A</v>
          </cell>
          <cell r="G268" t="e">
            <v>#N/A</v>
          </cell>
        </row>
        <row r="271">
          <cell r="B271" t="str">
            <v>2732/12</v>
          </cell>
          <cell r="C271" t="e">
            <v>#N/A</v>
          </cell>
          <cell r="F271" t="e">
            <v>#N/A</v>
          </cell>
          <cell r="G271" t="e">
            <v>#N/A</v>
          </cell>
        </row>
        <row r="272">
          <cell r="B272" t="e">
            <v>#N/A</v>
          </cell>
          <cell r="F272">
            <v>20</v>
          </cell>
          <cell r="G272">
            <v>20</v>
          </cell>
        </row>
        <row r="273">
          <cell r="B273" t="e">
            <v>#N/A</v>
          </cell>
        </row>
        <row r="275">
          <cell r="C275" t="str">
            <v xml:space="preserve">CÁLCULO CRIANÇAS </v>
          </cell>
          <cell r="E275" t="str">
            <v>CÁLCULO KM</v>
          </cell>
        </row>
        <row r="276">
          <cell r="B276" t="str">
            <v>QTD DIAS</v>
          </cell>
          <cell r="C276" t="str">
            <v>QTD Cçs</v>
          </cell>
          <cell r="D276" t="str">
            <v>VL Cçs</v>
          </cell>
          <cell r="E276" t="str">
            <v>QTD KM</v>
          </cell>
          <cell r="F276" t="str">
            <v>VL Km</v>
          </cell>
          <cell r="G276" t="str">
            <v>TOTAL</v>
          </cell>
        </row>
        <row r="277">
          <cell r="B277">
            <v>4</v>
          </cell>
          <cell r="D277" t="e">
            <v>#N/A</v>
          </cell>
          <cell r="F277" t="e">
            <v>#N/A</v>
          </cell>
          <cell r="G277" t="e">
            <v>#N/A</v>
          </cell>
        </row>
        <row r="278">
          <cell r="B278">
            <v>3</v>
          </cell>
          <cell r="D278" t="e">
            <v>#N/A</v>
          </cell>
          <cell r="F278" t="e">
            <v>#N/A</v>
          </cell>
          <cell r="G278" t="e">
            <v>#N/A</v>
          </cell>
        </row>
        <row r="279">
          <cell r="B279">
            <v>4</v>
          </cell>
          <cell r="D279" t="e">
            <v>#N/A</v>
          </cell>
          <cell r="F279" t="e">
            <v>#N/A</v>
          </cell>
          <cell r="G279" t="e">
            <v>#N/A</v>
          </cell>
        </row>
        <row r="280">
          <cell r="B280">
            <v>4</v>
          </cell>
          <cell r="C280">
            <v>20</v>
          </cell>
          <cell r="D280" t="e">
            <v>#N/A</v>
          </cell>
          <cell r="E280">
            <v>20</v>
          </cell>
          <cell r="F280" t="e">
            <v>#N/A</v>
          </cell>
          <cell r="G280" t="e">
            <v>#N/A</v>
          </cell>
        </row>
        <row r="281">
          <cell r="B281">
            <v>4</v>
          </cell>
          <cell r="D281" t="e">
            <v>#N/A</v>
          </cell>
          <cell r="F281" t="e">
            <v>#N/A</v>
          </cell>
          <cell r="G281" t="e">
            <v>#N/A</v>
          </cell>
        </row>
        <row r="282">
          <cell r="B282">
            <v>19</v>
          </cell>
          <cell r="C282">
            <v>20</v>
          </cell>
          <cell r="D282" t="e">
            <v>#N/A</v>
          </cell>
          <cell r="E282">
            <v>20</v>
          </cell>
          <cell r="F282" t="e">
            <v>#N/A</v>
          </cell>
          <cell r="G282" t="e">
            <v>#N/A</v>
          </cell>
        </row>
        <row r="285">
          <cell r="B285" t="str">
            <v>1835/12</v>
          </cell>
          <cell r="C285" t="e">
            <v>#N/A</v>
          </cell>
          <cell r="F285" t="e">
            <v>#N/A</v>
          </cell>
          <cell r="G285" t="e">
            <v>#N/A</v>
          </cell>
        </row>
        <row r="286">
          <cell r="B286" t="e">
            <v>#N/A</v>
          </cell>
          <cell r="F286">
            <v>11</v>
          </cell>
          <cell r="G286">
            <v>34.799999999999997</v>
          </cell>
        </row>
        <row r="287">
          <cell r="B287" t="e">
            <v>#N/A</v>
          </cell>
        </row>
        <row r="289">
          <cell r="C289" t="str">
            <v xml:space="preserve">CÁLCULO CRIANÇAS </v>
          </cell>
          <cell r="E289" t="str">
            <v>CÁLCULO KM</v>
          </cell>
        </row>
        <row r="290">
          <cell r="B290" t="str">
            <v>QTD DIAS</v>
          </cell>
          <cell r="C290" t="str">
            <v>QTD Cçs</v>
          </cell>
          <cell r="D290" t="str">
            <v>VL Cçs</v>
          </cell>
          <cell r="E290" t="str">
            <v>QTD KM</v>
          </cell>
          <cell r="F290" t="str">
            <v>VL Km</v>
          </cell>
          <cell r="G290" t="str">
            <v>TOTAL</v>
          </cell>
        </row>
        <row r="291">
          <cell r="B291">
            <v>4</v>
          </cell>
          <cell r="C291">
            <v>3</v>
          </cell>
          <cell r="D291" t="e">
            <v>#N/A</v>
          </cell>
          <cell r="E291">
            <v>6.1</v>
          </cell>
          <cell r="F291" t="e">
            <v>#N/A</v>
          </cell>
          <cell r="G291" t="e">
            <v>#N/A</v>
          </cell>
        </row>
        <row r="292">
          <cell r="B292">
            <v>3</v>
          </cell>
          <cell r="D292" t="e">
            <v>#N/A</v>
          </cell>
          <cell r="F292" t="e">
            <v>#N/A</v>
          </cell>
          <cell r="G292" t="e">
            <v>#N/A</v>
          </cell>
        </row>
        <row r="293">
          <cell r="B293">
            <v>4</v>
          </cell>
          <cell r="C293">
            <v>2</v>
          </cell>
          <cell r="D293" t="e">
            <v>#N/A</v>
          </cell>
          <cell r="E293">
            <v>11.6</v>
          </cell>
          <cell r="F293" t="e">
            <v>#N/A</v>
          </cell>
          <cell r="G293" t="e">
            <v>#N/A</v>
          </cell>
        </row>
        <row r="294">
          <cell r="B294">
            <v>4</v>
          </cell>
          <cell r="C294">
            <v>2</v>
          </cell>
          <cell r="D294" t="e">
            <v>#N/A</v>
          </cell>
          <cell r="E294">
            <v>6.1</v>
          </cell>
          <cell r="F294" t="e">
            <v>#N/A</v>
          </cell>
          <cell r="G294" t="e">
            <v>#N/A</v>
          </cell>
        </row>
        <row r="295">
          <cell r="B295">
            <v>4</v>
          </cell>
          <cell r="C295">
            <v>4</v>
          </cell>
          <cell r="D295" t="e">
            <v>#N/A</v>
          </cell>
          <cell r="E295">
            <v>11</v>
          </cell>
          <cell r="F295" t="e">
            <v>#N/A</v>
          </cell>
          <cell r="G295" t="e">
            <v>#N/A</v>
          </cell>
        </row>
        <row r="296">
          <cell r="B296">
            <v>19</v>
          </cell>
          <cell r="C296">
            <v>11</v>
          </cell>
          <cell r="D296" t="e">
            <v>#N/A</v>
          </cell>
          <cell r="E296">
            <v>34.799999999999997</v>
          </cell>
          <cell r="F296" t="e">
            <v>#N/A</v>
          </cell>
          <cell r="G296" t="e">
            <v>#N/A</v>
          </cell>
        </row>
        <row r="299">
          <cell r="B299" t="str">
            <v>2177/12</v>
          </cell>
          <cell r="C299" t="e">
            <v>#N/A</v>
          </cell>
          <cell r="F299" t="e">
            <v>#N/A</v>
          </cell>
          <cell r="G299" t="e">
            <v>#N/A</v>
          </cell>
        </row>
        <row r="300">
          <cell r="B300" t="e">
            <v>#N/A</v>
          </cell>
          <cell r="F300">
            <v>10</v>
          </cell>
          <cell r="G300">
            <v>6</v>
          </cell>
        </row>
        <row r="301">
          <cell r="B301" t="e">
            <v>#N/A</v>
          </cell>
        </row>
        <row r="303">
          <cell r="C303" t="str">
            <v xml:space="preserve">CÁLCULO CRIANÇAS </v>
          </cell>
          <cell r="E303" t="str">
            <v>CÁLCULO KM</v>
          </cell>
        </row>
        <row r="304">
          <cell r="B304" t="str">
            <v>QTD DIAS</v>
          </cell>
          <cell r="C304" t="str">
            <v>QTD Cçs</v>
          </cell>
          <cell r="D304" t="str">
            <v>VL Cçs</v>
          </cell>
          <cell r="E304" t="str">
            <v>QTD KM</v>
          </cell>
          <cell r="F304" t="str">
            <v>VL Km</v>
          </cell>
          <cell r="G304" t="str">
            <v>TOTAL</v>
          </cell>
        </row>
        <row r="305">
          <cell r="B305">
            <v>4</v>
          </cell>
          <cell r="C305">
            <v>4</v>
          </cell>
          <cell r="D305" t="e">
            <v>#N/A</v>
          </cell>
          <cell r="E305">
            <v>2</v>
          </cell>
          <cell r="F305" t="e">
            <v>#N/A</v>
          </cell>
          <cell r="G305" t="e">
            <v>#N/A</v>
          </cell>
        </row>
        <row r="306">
          <cell r="B306">
            <v>3</v>
          </cell>
          <cell r="D306" t="e">
            <v>#N/A</v>
          </cell>
          <cell r="F306" t="e">
            <v>#N/A</v>
          </cell>
          <cell r="G306" t="e">
            <v>#N/A</v>
          </cell>
        </row>
        <row r="307">
          <cell r="B307">
            <v>4</v>
          </cell>
          <cell r="C307">
            <v>5</v>
          </cell>
          <cell r="D307" t="e">
            <v>#N/A</v>
          </cell>
          <cell r="E307">
            <v>3</v>
          </cell>
          <cell r="F307" t="e">
            <v>#N/A</v>
          </cell>
          <cell r="G307" t="e">
            <v>#N/A</v>
          </cell>
        </row>
        <row r="308">
          <cell r="B308">
            <v>4</v>
          </cell>
          <cell r="D308" t="e">
            <v>#N/A</v>
          </cell>
          <cell r="F308" t="e">
            <v>#N/A</v>
          </cell>
          <cell r="G308" t="e">
            <v>#N/A</v>
          </cell>
        </row>
        <row r="309">
          <cell r="B309">
            <v>4</v>
          </cell>
          <cell r="C309">
            <v>1</v>
          </cell>
          <cell r="D309" t="e">
            <v>#N/A</v>
          </cell>
          <cell r="E309">
            <v>1</v>
          </cell>
          <cell r="F309" t="e">
            <v>#N/A</v>
          </cell>
          <cell r="G309" t="e">
            <v>#N/A</v>
          </cell>
        </row>
        <row r="310">
          <cell r="B310">
            <v>19</v>
          </cell>
          <cell r="C310">
            <v>10</v>
          </cell>
          <cell r="D310" t="e">
            <v>#N/A</v>
          </cell>
          <cell r="E310">
            <v>6</v>
          </cell>
          <cell r="F310" t="e">
            <v>#N/A</v>
          </cell>
          <cell r="G310" t="e">
            <v>#N/A</v>
          </cell>
        </row>
        <row r="313">
          <cell r="B313" t="str">
            <v>2079/12</v>
          </cell>
          <cell r="C313" t="e">
            <v>#N/A</v>
          </cell>
          <cell r="F313" t="e">
            <v>#N/A</v>
          </cell>
          <cell r="G313" t="e">
            <v>#N/A</v>
          </cell>
        </row>
        <row r="314">
          <cell r="B314" t="e">
            <v>#N/A</v>
          </cell>
          <cell r="F314">
            <v>12</v>
          </cell>
          <cell r="G314">
            <v>26</v>
          </cell>
        </row>
        <row r="315">
          <cell r="B315" t="e">
            <v>#N/A</v>
          </cell>
        </row>
        <row r="317">
          <cell r="C317" t="str">
            <v xml:space="preserve">CÁLCULO CRIANÇAS </v>
          </cell>
          <cell r="E317" t="str">
            <v>CÁLCULO KM</v>
          </cell>
        </row>
        <row r="318">
          <cell r="B318" t="str">
            <v>QTD DIAS</v>
          </cell>
          <cell r="C318" t="str">
            <v>QTD Cçs</v>
          </cell>
          <cell r="D318" t="str">
            <v>VL Cçs</v>
          </cell>
          <cell r="E318" t="str">
            <v>QTD KM</v>
          </cell>
          <cell r="F318" t="str">
            <v>VL Km</v>
          </cell>
          <cell r="G318" t="str">
            <v>TOTAL</v>
          </cell>
        </row>
        <row r="319">
          <cell r="B319">
            <v>4</v>
          </cell>
          <cell r="C319">
            <v>12</v>
          </cell>
          <cell r="D319" t="e">
            <v>#N/A</v>
          </cell>
          <cell r="E319">
            <v>26</v>
          </cell>
          <cell r="F319" t="e">
            <v>#N/A</v>
          </cell>
          <cell r="G319" t="e">
            <v>#N/A</v>
          </cell>
        </row>
        <row r="320">
          <cell r="B320">
            <v>3</v>
          </cell>
          <cell r="D320" t="e">
            <v>#N/A</v>
          </cell>
          <cell r="F320" t="e">
            <v>#N/A</v>
          </cell>
          <cell r="G320" t="e">
            <v>#N/A</v>
          </cell>
        </row>
        <row r="321">
          <cell r="B321">
            <v>4</v>
          </cell>
          <cell r="D321" t="e">
            <v>#N/A</v>
          </cell>
          <cell r="F321" t="e">
            <v>#N/A</v>
          </cell>
          <cell r="G321" t="e">
            <v>#N/A</v>
          </cell>
        </row>
        <row r="322">
          <cell r="B322">
            <v>4</v>
          </cell>
          <cell r="D322" t="e">
            <v>#N/A</v>
          </cell>
          <cell r="F322" t="e">
            <v>#N/A</v>
          </cell>
          <cell r="G322" t="e">
            <v>#N/A</v>
          </cell>
        </row>
        <row r="323">
          <cell r="B323">
            <v>4</v>
          </cell>
          <cell r="D323" t="e">
            <v>#N/A</v>
          </cell>
          <cell r="F323" t="e">
            <v>#N/A</v>
          </cell>
          <cell r="G323" t="e">
            <v>#N/A</v>
          </cell>
        </row>
        <row r="324">
          <cell r="B324">
            <v>19</v>
          </cell>
          <cell r="C324">
            <v>12</v>
          </cell>
          <cell r="D324" t="e">
            <v>#N/A</v>
          </cell>
          <cell r="E324">
            <v>26</v>
          </cell>
          <cell r="F324" t="e">
            <v>#N/A</v>
          </cell>
          <cell r="G324" t="e">
            <v>#N/A</v>
          </cell>
        </row>
        <row r="327">
          <cell r="B327" t="str">
            <v>2645/12</v>
          </cell>
          <cell r="C327" t="e">
            <v>#N/A</v>
          </cell>
          <cell r="F327" t="e">
            <v>#N/A</v>
          </cell>
          <cell r="G327" t="e">
            <v>#N/A</v>
          </cell>
        </row>
        <row r="328">
          <cell r="B328" t="e">
            <v>#N/A</v>
          </cell>
          <cell r="F328">
            <v>50</v>
          </cell>
          <cell r="G328">
            <v>36</v>
          </cell>
        </row>
        <row r="329">
          <cell r="B329" t="e">
            <v>#N/A</v>
          </cell>
        </row>
        <row r="331">
          <cell r="C331" t="str">
            <v xml:space="preserve">CÁLCULO CRIANÇAS </v>
          </cell>
          <cell r="E331" t="str">
            <v>CÁLCULO KM</v>
          </cell>
        </row>
        <row r="332">
          <cell r="B332" t="str">
            <v>QTD DIAS</v>
          </cell>
          <cell r="C332" t="str">
            <v>QTD Cçs</v>
          </cell>
          <cell r="D332" t="str">
            <v>VL Cçs</v>
          </cell>
          <cell r="E332" t="str">
            <v>QTD KM</v>
          </cell>
          <cell r="F332" t="str">
            <v>VL Km</v>
          </cell>
          <cell r="G332" t="str">
            <v>TOTAL</v>
          </cell>
        </row>
        <row r="333">
          <cell r="B333">
            <v>4</v>
          </cell>
          <cell r="C333">
            <v>23</v>
          </cell>
          <cell r="D333" t="e">
            <v>#N/A</v>
          </cell>
          <cell r="E333">
            <v>13</v>
          </cell>
          <cell r="F333" t="e">
            <v>#N/A</v>
          </cell>
          <cell r="G333" t="e">
            <v>#N/A</v>
          </cell>
        </row>
        <row r="334">
          <cell r="B334">
            <v>3</v>
          </cell>
          <cell r="C334">
            <v>5</v>
          </cell>
          <cell r="D334" t="e">
            <v>#N/A</v>
          </cell>
          <cell r="E334">
            <v>4</v>
          </cell>
          <cell r="F334" t="e">
            <v>#N/A</v>
          </cell>
          <cell r="G334" t="e">
            <v>#N/A</v>
          </cell>
        </row>
        <row r="335">
          <cell r="B335">
            <v>4</v>
          </cell>
          <cell r="C335">
            <v>1</v>
          </cell>
          <cell r="D335" t="e">
            <v>#N/A</v>
          </cell>
          <cell r="E335">
            <v>2</v>
          </cell>
          <cell r="F335" t="e">
            <v>#N/A</v>
          </cell>
          <cell r="G335" t="e">
            <v>#N/A</v>
          </cell>
        </row>
        <row r="336">
          <cell r="B336">
            <v>4</v>
          </cell>
          <cell r="C336">
            <v>7</v>
          </cell>
          <cell r="D336" t="e">
            <v>#N/A</v>
          </cell>
          <cell r="E336">
            <v>7</v>
          </cell>
          <cell r="F336" t="e">
            <v>#N/A</v>
          </cell>
          <cell r="G336" t="e">
            <v>#N/A</v>
          </cell>
        </row>
        <row r="337">
          <cell r="B337">
            <v>4</v>
          </cell>
          <cell r="C337">
            <v>14</v>
          </cell>
          <cell r="D337" t="e">
            <v>#N/A</v>
          </cell>
          <cell r="E337">
            <v>10</v>
          </cell>
          <cell r="F337" t="e">
            <v>#N/A</v>
          </cell>
          <cell r="G337" t="e">
            <v>#N/A</v>
          </cell>
        </row>
        <row r="338">
          <cell r="B338">
            <v>19</v>
          </cell>
          <cell r="C338">
            <v>50</v>
          </cell>
          <cell r="D338" t="e">
            <v>#N/A</v>
          </cell>
          <cell r="E338">
            <v>36</v>
          </cell>
          <cell r="F338" t="e">
            <v>#N/A</v>
          </cell>
          <cell r="G338" t="e">
            <v>#N/A</v>
          </cell>
        </row>
        <row r="341">
          <cell r="B341" t="str">
            <v>1790/12</v>
          </cell>
          <cell r="C341" t="e">
            <v>#N/A</v>
          </cell>
          <cell r="F341" t="e">
            <v>#N/A</v>
          </cell>
          <cell r="G341" t="e">
            <v>#N/A</v>
          </cell>
        </row>
        <row r="342">
          <cell r="B342" t="e">
            <v>#N/A</v>
          </cell>
          <cell r="F342">
            <v>17</v>
          </cell>
          <cell r="G342">
            <v>63</v>
          </cell>
        </row>
        <row r="343">
          <cell r="B343" t="e">
            <v>#N/A</v>
          </cell>
        </row>
        <row r="345">
          <cell r="C345" t="str">
            <v xml:space="preserve">CÁLCULO CRIANÇAS </v>
          </cell>
          <cell r="E345" t="str">
            <v>CÁLCULO KM</v>
          </cell>
        </row>
        <row r="346">
          <cell r="B346" t="str">
            <v>QTD DIAS</v>
          </cell>
          <cell r="C346" t="str">
            <v>QTD Cçs</v>
          </cell>
          <cell r="D346" t="str">
            <v>VL Cçs</v>
          </cell>
          <cell r="E346" t="str">
            <v>QTD KM</v>
          </cell>
          <cell r="F346" t="str">
            <v>VL Km</v>
          </cell>
          <cell r="G346" t="str">
            <v>TOTAL</v>
          </cell>
        </row>
        <row r="347">
          <cell r="B347">
            <v>4</v>
          </cell>
          <cell r="C347">
            <v>2</v>
          </cell>
          <cell r="D347" t="e">
            <v>#N/A</v>
          </cell>
          <cell r="E347">
            <v>5</v>
          </cell>
          <cell r="F347" t="e">
            <v>#N/A</v>
          </cell>
          <cell r="G347" t="e">
            <v>#N/A</v>
          </cell>
        </row>
        <row r="348">
          <cell r="B348">
            <v>3</v>
          </cell>
          <cell r="C348">
            <v>2</v>
          </cell>
          <cell r="D348" t="e">
            <v>#N/A</v>
          </cell>
          <cell r="E348">
            <v>5</v>
          </cell>
          <cell r="F348" t="e">
            <v>#N/A</v>
          </cell>
          <cell r="G348" t="e">
            <v>#N/A</v>
          </cell>
        </row>
        <row r="349">
          <cell r="B349">
            <v>4</v>
          </cell>
          <cell r="D349" t="e">
            <v>#N/A</v>
          </cell>
          <cell r="F349" t="e">
            <v>#N/A</v>
          </cell>
          <cell r="G349" t="e">
            <v>#N/A</v>
          </cell>
        </row>
        <row r="350">
          <cell r="B350">
            <v>4</v>
          </cell>
          <cell r="C350">
            <v>2</v>
          </cell>
          <cell r="D350" t="e">
            <v>#N/A</v>
          </cell>
          <cell r="E350">
            <v>9.6</v>
          </cell>
          <cell r="F350" t="e">
            <v>#N/A</v>
          </cell>
          <cell r="G350" t="e">
            <v>#N/A</v>
          </cell>
        </row>
        <row r="351">
          <cell r="B351">
            <v>4</v>
          </cell>
          <cell r="C351">
            <v>11</v>
          </cell>
          <cell r="D351" t="e">
            <v>#N/A</v>
          </cell>
          <cell r="E351">
            <v>43.4</v>
          </cell>
          <cell r="F351" t="e">
            <v>#N/A</v>
          </cell>
          <cell r="G351" t="e">
            <v>#N/A</v>
          </cell>
        </row>
        <row r="352">
          <cell r="B352">
            <v>19</v>
          </cell>
          <cell r="C352">
            <v>17</v>
          </cell>
          <cell r="D352" t="e">
            <v>#N/A</v>
          </cell>
          <cell r="E352">
            <v>63</v>
          </cell>
          <cell r="F352" t="e">
            <v>#N/A</v>
          </cell>
          <cell r="G352" t="e">
            <v>#N/A</v>
          </cell>
        </row>
        <row r="355">
          <cell r="B355" t="str">
            <v>2055/12</v>
          </cell>
          <cell r="C355" t="e">
            <v>#N/A</v>
          </cell>
          <cell r="F355" t="e">
            <v>#N/A</v>
          </cell>
          <cell r="G355" t="e">
            <v>#N/A</v>
          </cell>
        </row>
        <row r="356">
          <cell r="B356" t="e">
            <v>#N/A</v>
          </cell>
          <cell r="F356">
            <v>11</v>
          </cell>
          <cell r="G356">
            <v>67</v>
          </cell>
        </row>
        <row r="357">
          <cell r="B357" t="e">
            <v>#N/A</v>
          </cell>
        </row>
        <row r="359">
          <cell r="C359" t="str">
            <v xml:space="preserve">CÁLCULO CRIANÇAS </v>
          </cell>
          <cell r="E359" t="str">
            <v>CÁLCULO KM</v>
          </cell>
        </row>
        <row r="360">
          <cell r="B360" t="str">
            <v>QTD DIAS</v>
          </cell>
          <cell r="C360" t="str">
            <v>QTD Cçs</v>
          </cell>
          <cell r="D360" t="str">
            <v>VL Cçs</v>
          </cell>
          <cell r="E360" t="str">
            <v>QTD KM</v>
          </cell>
          <cell r="F360" t="str">
            <v>VL Km</v>
          </cell>
          <cell r="G360" t="str">
            <v>TOTAL</v>
          </cell>
        </row>
        <row r="361">
          <cell r="B361">
            <v>4</v>
          </cell>
          <cell r="D361" t="e">
            <v>#N/A</v>
          </cell>
          <cell r="F361" t="e">
            <v>#N/A</v>
          </cell>
          <cell r="G361" t="e">
            <v>#N/A</v>
          </cell>
        </row>
        <row r="362">
          <cell r="B362">
            <v>3</v>
          </cell>
          <cell r="C362">
            <v>4</v>
          </cell>
          <cell r="D362" t="e">
            <v>#N/A</v>
          </cell>
          <cell r="E362">
            <v>21.6</v>
          </cell>
          <cell r="F362" t="e">
            <v>#N/A</v>
          </cell>
          <cell r="G362" t="e">
            <v>#N/A</v>
          </cell>
        </row>
        <row r="363">
          <cell r="B363">
            <v>4</v>
          </cell>
          <cell r="C363">
            <v>7</v>
          </cell>
          <cell r="D363" t="e">
            <v>#N/A</v>
          </cell>
          <cell r="E363">
            <v>45.4</v>
          </cell>
          <cell r="F363" t="e">
            <v>#N/A</v>
          </cell>
          <cell r="G363" t="e">
            <v>#N/A</v>
          </cell>
        </row>
        <row r="364">
          <cell r="B364">
            <v>4</v>
          </cell>
          <cell r="D364" t="e">
            <v>#N/A</v>
          </cell>
          <cell r="F364" t="e">
            <v>#N/A</v>
          </cell>
          <cell r="G364" t="e">
            <v>#N/A</v>
          </cell>
        </row>
        <row r="365">
          <cell r="B365">
            <v>4</v>
          </cell>
          <cell r="D365" t="e">
            <v>#N/A</v>
          </cell>
          <cell r="F365" t="e">
            <v>#N/A</v>
          </cell>
          <cell r="G365" t="e">
            <v>#N/A</v>
          </cell>
        </row>
        <row r="366">
          <cell r="B366">
            <v>19</v>
          </cell>
          <cell r="C366">
            <v>11</v>
          </cell>
          <cell r="D366" t="e">
            <v>#N/A</v>
          </cell>
          <cell r="E366">
            <v>67</v>
          </cell>
          <cell r="F366" t="e">
            <v>#N/A</v>
          </cell>
          <cell r="G366" t="e">
            <v>#N/A</v>
          </cell>
        </row>
        <row r="369">
          <cell r="B369" t="str">
            <v>3037/12</v>
          </cell>
          <cell r="C369" t="e">
            <v>#N/A</v>
          </cell>
          <cell r="F369" t="e">
            <v>#N/A</v>
          </cell>
          <cell r="G369" t="e">
            <v>#N/A</v>
          </cell>
        </row>
        <row r="370">
          <cell r="B370" t="e">
            <v>#N/A</v>
          </cell>
          <cell r="F370">
            <v>36</v>
          </cell>
          <cell r="G370">
            <v>57</v>
          </cell>
        </row>
        <row r="371">
          <cell r="B371" t="e">
            <v>#N/A</v>
          </cell>
        </row>
        <row r="373">
          <cell r="C373" t="str">
            <v xml:space="preserve">CÁLCULO CRIANÇAS </v>
          </cell>
          <cell r="E373" t="str">
            <v>CÁLCULO KM</v>
          </cell>
        </row>
        <row r="374">
          <cell r="B374" t="str">
            <v>QTD DIAS</v>
          </cell>
          <cell r="C374" t="str">
            <v>QTD Cçs</v>
          </cell>
          <cell r="D374" t="str">
            <v>VL Cçs</v>
          </cell>
          <cell r="E374" t="str">
            <v>QTD KM</v>
          </cell>
          <cell r="F374" t="str">
            <v>VL Km</v>
          </cell>
          <cell r="G374" t="str">
            <v>TOTAL</v>
          </cell>
        </row>
        <row r="375">
          <cell r="B375">
            <v>4</v>
          </cell>
          <cell r="D375" t="e">
            <v>#N/A</v>
          </cell>
          <cell r="F375" t="e">
            <v>#N/A</v>
          </cell>
          <cell r="G375" t="e">
            <v>#N/A</v>
          </cell>
        </row>
        <row r="376">
          <cell r="B376">
            <v>3</v>
          </cell>
          <cell r="D376" t="e">
            <v>#N/A</v>
          </cell>
          <cell r="F376" t="e">
            <v>#N/A</v>
          </cell>
          <cell r="G376" t="e">
            <v>#N/A</v>
          </cell>
        </row>
        <row r="377">
          <cell r="B377">
            <v>4</v>
          </cell>
          <cell r="C377">
            <v>18</v>
          </cell>
          <cell r="D377" t="e">
            <v>#N/A</v>
          </cell>
          <cell r="E377">
            <v>28.5</v>
          </cell>
          <cell r="F377" t="e">
            <v>#N/A</v>
          </cell>
          <cell r="G377" t="e">
            <v>#N/A</v>
          </cell>
        </row>
        <row r="378">
          <cell r="B378">
            <v>4</v>
          </cell>
          <cell r="D378" t="e">
            <v>#N/A</v>
          </cell>
          <cell r="F378" t="e">
            <v>#N/A</v>
          </cell>
          <cell r="G378" t="e">
            <v>#N/A</v>
          </cell>
        </row>
        <row r="379">
          <cell r="B379">
            <v>4</v>
          </cell>
          <cell r="C379">
            <v>18</v>
          </cell>
          <cell r="D379" t="e">
            <v>#N/A</v>
          </cell>
          <cell r="E379">
            <v>28.5</v>
          </cell>
          <cell r="F379" t="e">
            <v>#N/A</v>
          </cell>
          <cell r="G379" t="e">
            <v>#N/A</v>
          </cell>
        </row>
        <row r="380">
          <cell r="B380">
            <v>19</v>
          </cell>
          <cell r="C380">
            <v>36</v>
          </cell>
          <cell r="D380" t="e">
            <v>#N/A</v>
          </cell>
          <cell r="E380">
            <v>57</v>
          </cell>
          <cell r="F380" t="e">
            <v>#N/A</v>
          </cell>
          <cell r="G380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"/>
      <sheetName val="PJ"/>
      <sheetName val="DADOS"/>
      <sheetName val="GERENCIAL"/>
      <sheetName val="ATESTE"/>
      <sheetName val="AUTORIZACAO"/>
      <sheetName val="APONTAMENTO"/>
    </sheetNames>
    <sheetDataSet>
      <sheetData sheetId="0">
        <row r="1000">
          <cell r="AR1000">
            <v>0</v>
          </cell>
          <cell r="AS1000">
            <v>14</v>
          </cell>
          <cell r="AT1000">
            <v>1</v>
          </cell>
          <cell r="AU1000">
            <v>0</v>
          </cell>
          <cell r="AV1000">
            <v>1</v>
          </cell>
          <cell r="AW1000">
            <v>84</v>
          </cell>
        </row>
        <row r="1001"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 t="e">
            <v>#VALUE!</v>
          </cell>
        </row>
        <row r="1002"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</row>
        <row r="1003"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</row>
        <row r="1004"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</row>
        <row r="1005"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</row>
        <row r="1006"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 t="e">
            <v>#VALUE!</v>
          </cell>
        </row>
        <row r="1007"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</row>
        <row r="1008"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</row>
        <row r="1009"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</row>
        <row r="1010">
          <cell r="AR1010">
            <v>0</v>
          </cell>
          <cell r="AS1010">
            <v>226</v>
          </cell>
          <cell r="AT1010">
            <v>23</v>
          </cell>
          <cell r="AU1010">
            <v>0</v>
          </cell>
          <cell r="AV1010">
            <v>23</v>
          </cell>
          <cell r="AW1010">
            <v>2486</v>
          </cell>
        </row>
        <row r="1011"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</row>
        <row r="1012"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</row>
        <row r="1013"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enhos"/>
      <sheetName val="EMPENHOS PF DRE"/>
      <sheetName val="NOVOS"/>
      <sheetName val="ATUALIZ DUARTE"/>
      <sheetName val="CONTRATOS OUT"/>
      <sheetName val="SEFIP"/>
      <sheetName val="RENOVAÇÕES1"/>
      <sheetName val="SALDO SOF"/>
      <sheetName val="REF ADIT PF"/>
      <sheetName val="OPER DRE"/>
      <sheetName val="Plan2"/>
      <sheetName val="RENOVAÇÕES"/>
      <sheetName val="Plan1"/>
      <sheetName val="Plan4"/>
      <sheetName val="ateste-liq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CONTRATO</v>
          </cell>
          <cell r="E1" t="str">
            <v>INICIO</v>
          </cell>
          <cell r="F1" t="str">
            <v>TERM ORIG</v>
          </cell>
          <cell r="G1" t="str">
            <v>TERM CAL</v>
          </cell>
          <cell r="H1" t="str">
            <v>PA</v>
          </cell>
          <cell r="I1" t="str">
            <v>VL CONTRATO</v>
          </cell>
          <cell r="J1" t="str">
            <v>DOTAÇÃO</v>
          </cell>
          <cell r="K1" t="str">
            <v>NOVA DATA</v>
          </cell>
          <cell r="L1" t="str">
            <v>DIAS</v>
          </cell>
          <cell r="M1" t="str">
            <v>NECESSIDADE</v>
          </cell>
          <cell r="N1" t="str">
            <v>RESERVA</v>
          </cell>
          <cell r="O1" t="str">
            <v>REFERÊNCIA</v>
          </cell>
          <cell r="P1" t="str">
            <v>SUB</v>
          </cell>
          <cell r="Q1" t="str">
            <v>ELE</v>
          </cell>
          <cell r="R1" t="str">
            <v>VL EMPENHO</v>
          </cell>
          <cell r="S1" t="str">
            <v>SETEMBRO</v>
          </cell>
          <cell r="T1" t="str">
            <v>OUTUBRO</v>
          </cell>
          <cell r="U1" t="str">
            <v>NOVEMBRO</v>
          </cell>
          <cell r="V1" t="str">
            <v>DEZEMBRO</v>
          </cell>
          <cell r="W1" t="str">
            <v>DIAS</v>
          </cell>
          <cell r="X1" t="str">
            <v>RESTO A PAGAR (DEZ)</v>
          </cell>
          <cell r="Y1" t="str">
            <v>EMPENHO</v>
          </cell>
          <cell r="Z1" t="str">
            <v>SALDO EMPENHO</v>
          </cell>
          <cell r="AA1" t="str">
            <v>VALOR</v>
          </cell>
          <cell r="AB1" t="str">
            <v>VALOR DIA</v>
          </cell>
          <cell r="AC1" t="str">
            <v>CALCULO POR DIA</v>
          </cell>
          <cell r="AD1" t="str">
            <v>PAGTO SETEMBRO</v>
          </cell>
          <cell r="AE1" t="str">
            <v>COMPARA</v>
          </cell>
          <cell r="AL1" t="str">
            <v>NÃO MEXER</v>
          </cell>
        </row>
        <row r="2">
          <cell r="D2" t="str">
            <v>0947/11</v>
          </cell>
          <cell r="E2" t="str">
            <v>04/04/2011</v>
          </cell>
          <cell r="F2">
            <v>40816</v>
          </cell>
          <cell r="G2">
            <v>40816</v>
          </cell>
          <cell r="H2" t="str">
            <v>2011-0.072.975-1</v>
          </cell>
          <cell r="I2">
            <v>37607.879999999997</v>
          </cell>
          <cell r="J2" t="str">
            <v xml:space="preserve">              123611122                  2848                    33903600</v>
          </cell>
          <cell r="K2">
            <v>40787</v>
          </cell>
          <cell r="L2">
            <v>30</v>
          </cell>
          <cell r="M2">
            <v>6300</v>
          </cell>
          <cell r="N2">
            <v>57278</v>
          </cell>
          <cell r="O2">
            <v>12969</v>
          </cell>
          <cell r="P2">
            <v>16</v>
          </cell>
          <cell r="Q2">
            <v>3</v>
          </cell>
          <cell r="T2">
            <v>6300</v>
          </cell>
          <cell r="W2">
            <v>30</v>
          </cell>
          <cell r="AA2">
            <v>0</v>
          </cell>
          <cell r="AB2">
            <v>208.93266666666665</v>
          </cell>
          <cell r="AD2">
            <v>5054.49</v>
          </cell>
          <cell r="AL2" t="str">
            <v xml:space="preserve">              123611122                  2848                    33903600</v>
          </cell>
          <cell r="AN2" t="str">
            <v xml:space="preserve">Contrato emergencial nº </v>
          </cell>
          <cell r="AO2" t="str">
            <v>BT</v>
          </cell>
        </row>
        <row r="3">
          <cell r="D3" t="str">
            <v>0867/11</v>
          </cell>
          <cell r="E3" t="str">
            <v>04/04/2011</v>
          </cell>
          <cell r="F3">
            <v>40816</v>
          </cell>
          <cell r="G3">
            <v>40816</v>
          </cell>
          <cell r="H3" t="str">
            <v>2011-0.070.689-1</v>
          </cell>
          <cell r="I3">
            <v>44978.400000000001</v>
          </cell>
          <cell r="J3" t="str">
            <v xml:space="preserve">              123651121                 2847                    33903600</v>
          </cell>
          <cell r="K3">
            <v>40787</v>
          </cell>
          <cell r="L3">
            <v>30</v>
          </cell>
          <cell r="M3">
            <v>7500</v>
          </cell>
          <cell r="N3">
            <v>57273</v>
          </cell>
          <cell r="O3">
            <v>12230</v>
          </cell>
          <cell r="P3">
            <v>16</v>
          </cell>
          <cell r="Q3">
            <v>2</v>
          </cell>
          <cell r="T3">
            <v>688.37</v>
          </cell>
          <cell r="W3">
            <v>30</v>
          </cell>
          <cell r="AA3">
            <v>0</v>
          </cell>
          <cell r="AB3">
            <v>249.88</v>
          </cell>
          <cell r="AD3">
            <v>6700.67</v>
          </cell>
          <cell r="AL3" t="str">
            <v xml:space="preserve">              123651121                 2847                    33903600</v>
          </cell>
          <cell r="AN3" t="str">
            <v xml:space="preserve">Contrato emergencial nº </v>
          </cell>
          <cell r="AO3" t="str">
            <v>CL</v>
          </cell>
        </row>
        <row r="4">
          <cell r="D4" t="str">
            <v>0935/11</v>
          </cell>
          <cell r="E4" t="str">
            <v>04/04/2011</v>
          </cell>
          <cell r="F4">
            <v>40816</v>
          </cell>
          <cell r="G4">
            <v>40816</v>
          </cell>
          <cell r="H4" t="str">
            <v>2011-0.072.924-7</v>
          </cell>
          <cell r="I4">
            <v>25633.26</v>
          </cell>
          <cell r="J4" t="str">
            <v xml:space="preserve">              123611122                  2848                    33903600</v>
          </cell>
          <cell r="K4">
            <v>40787</v>
          </cell>
          <cell r="L4">
            <v>30</v>
          </cell>
          <cell r="M4">
            <v>4300</v>
          </cell>
          <cell r="N4">
            <v>57278</v>
          </cell>
          <cell r="O4">
            <v>12921</v>
          </cell>
          <cell r="P4">
            <v>16</v>
          </cell>
          <cell r="Q4">
            <v>3</v>
          </cell>
          <cell r="T4">
            <v>1753.64</v>
          </cell>
          <cell r="W4">
            <v>30</v>
          </cell>
          <cell r="AA4">
            <v>0</v>
          </cell>
          <cell r="AB4">
            <v>142.40699999999998</v>
          </cell>
          <cell r="AD4">
            <v>4033.51</v>
          </cell>
          <cell r="AL4" t="str">
            <v xml:space="preserve">             123671125                  2863                   33903600</v>
          </cell>
          <cell r="AN4" t="str">
            <v xml:space="preserve">Contrato emergencial nº </v>
          </cell>
          <cell r="AO4" t="str">
            <v>CL</v>
          </cell>
        </row>
        <row r="5">
          <cell r="D5" t="str">
            <v>0936/11</v>
          </cell>
          <cell r="E5" t="str">
            <v>04/04/2011</v>
          </cell>
          <cell r="F5">
            <v>40816</v>
          </cell>
          <cell r="G5">
            <v>40816</v>
          </cell>
          <cell r="H5" t="str">
            <v>2011-0.072.926-3</v>
          </cell>
          <cell r="I5">
            <v>38261.760000000002</v>
          </cell>
          <cell r="J5" t="str">
            <v xml:space="preserve">              123611122                  2848                    33903600</v>
          </cell>
          <cell r="K5">
            <v>40787</v>
          </cell>
          <cell r="L5">
            <v>30</v>
          </cell>
          <cell r="M5">
            <v>6400</v>
          </cell>
          <cell r="N5">
            <v>57278</v>
          </cell>
          <cell r="O5">
            <v>12937</v>
          </cell>
          <cell r="P5">
            <v>16</v>
          </cell>
          <cell r="Q5">
            <v>3</v>
          </cell>
          <cell r="T5" t="str">
            <v xml:space="preserve"> </v>
          </cell>
          <cell r="W5">
            <v>30</v>
          </cell>
          <cell r="AA5">
            <v>0</v>
          </cell>
          <cell r="AB5">
            <v>212.56533333333334</v>
          </cell>
          <cell r="AD5">
            <v>5105.1899999999996</v>
          </cell>
          <cell r="AN5" t="str">
            <v xml:space="preserve">Contrato emergencial nº </v>
          </cell>
          <cell r="AO5" t="str">
            <v>CL</v>
          </cell>
        </row>
        <row r="6">
          <cell r="D6" t="str">
            <v>0981/11</v>
          </cell>
          <cell r="E6" t="str">
            <v>04/04/2011</v>
          </cell>
          <cell r="F6">
            <v>40816</v>
          </cell>
          <cell r="G6">
            <v>40816</v>
          </cell>
          <cell r="H6" t="str">
            <v>2011-0.073.354-6</v>
          </cell>
          <cell r="I6">
            <v>30150.54</v>
          </cell>
          <cell r="J6" t="str">
            <v xml:space="preserve">              123611122                  2848                    33903600</v>
          </cell>
          <cell r="K6">
            <v>40787</v>
          </cell>
          <cell r="L6">
            <v>30</v>
          </cell>
          <cell r="M6">
            <v>5100</v>
          </cell>
          <cell r="N6">
            <v>57278</v>
          </cell>
          <cell r="O6">
            <v>13640</v>
          </cell>
          <cell r="P6">
            <v>16</v>
          </cell>
          <cell r="Q6">
            <v>3</v>
          </cell>
          <cell r="S6">
            <v>4668.1899999999996</v>
          </cell>
          <cell r="T6">
            <v>433.81</v>
          </cell>
          <cell r="W6">
            <v>30</v>
          </cell>
          <cell r="AA6">
            <v>0</v>
          </cell>
          <cell r="AB6">
            <v>167.50300000000001</v>
          </cell>
          <cell r="AD6">
            <v>6016.4</v>
          </cell>
          <cell r="AN6" t="str">
            <v xml:space="preserve">Contrato emergencial nº </v>
          </cell>
          <cell r="AO6" t="str">
            <v>CL</v>
          </cell>
        </row>
        <row r="7">
          <cell r="D7" t="str">
            <v>0868/11</v>
          </cell>
          <cell r="E7" t="str">
            <v>04/04/2011</v>
          </cell>
          <cell r="F7">
            <v>40816</v>
          </cell>
          <cell r="G7">
            <v>40816</v>
          </cell>
          <cell r="H7" t="str">
            <v>2011-0.070.692-1</v>
          </cell>
          <cell r="I7">
            <v>38261.760000000002</v>
          </cell>
          <cell r="J7" t="str">
            <v xml:space="preserve">              123651121                 2847                    33903600</v>
          </cell>
          <cell r="K7">
            <v>40787</v>
          </cell>
          <cell r="L7">
            <v>30</v>
          </cell>
          <cell r="M7">
            <v>6400</v>
          </cell>
          <cell r="N7">
            <v>57273</v>
          </cell>
          <cell r="O7">
            <v>12233</v>
          </cell>
          <cell r="P7">
            <v>16</v>
          </cell>
          <cell r="Q7">
            <v>2</v>
          </cell>
          <cell r="T7">
            <v>5135.4399999999996</v>
          </cell>
          <cell r="W7">
            <v>30</v>
          </cell>
          <cell r="AA7">
            <v>0</v>
          </cell>
          <cell r="AB7">
            <v>212.56533333333334</v>
          </cell>
          <cell r="AD7">
            <v>6499.53</v>
          </cell>
          <cell r="AN7" t="str">
            <v xml:space="preserve">Contrato emergencial nº </v>
          </cell>
          <cell r="AO7" t="str">
            <v>CS</v>
          </cell>
        </row>
        <row r="8">
          <cell r="D8" t="str">
            <v>0869/11</v>
          </cell>
          <cell r="E8" t="str">
            <v>04/04/2011</v>
          </cell>
          <cell r="F8">
            <v>40816</v>
          </cell>
          <cell r="G8">
            <v>40816</v>
          </cell>
          <cell r="H8" t="str">
            <v>2011-0.070.696-4</v>
          </cell>
          <cell r="I8">
            <v>37607.879999999997</v>
          </cell>
          <cell r="J8" t="str">
            <v xml:space="preserve">              123651121                 2847                    33903600</v>
          </cell>
          <cell r="K8">
            <v>40787</v>
          </cell>
          <cell r="L8">
            <v>30</v>
          </cell>
          <cell r="M8">
            <v>6300</v>
          </cell>
          <cell r="N8">
            <v>57273</v>
          </cell>
          <cell r="O8">
            <v>12235</v>
          </cell>
          <cell r="P8">
            <v>16</v>
          </cell>
          <cell r="Q8">
            <v>2</v>
          </cell>
          <cell r="T8">
            <v>2452.0500000000002</v>
          </cell>
          <cell r="W8">
            <v>30</v>
          </cell>
          <cell r="AA8">
            <v>0</v>
          </cell>
          <cell r="AB8">
            <v>208.93266666666665</v>
          </cell>
          <cell r="AD8">
            <v>5833.4800000000005</v>
          </cell>
          <cell r="AN8" t="str">
            <v xml:space="preserve">Contrato emergencial nº </v>
          </cell>
          <cell r="AO8" t="str">
            <v>CS</v>
          </cell>
        </row>
        <row r="9">
          <cell r="D9" t="str">
            <v>0870/11</v>
          </cell>
          <cell r="E9" t="str">
            <v>04/04/2011</v>
          </cell>
          <cell r="F9">
            <v>40816</v>
          </cell>
          <cell r="G9">
            <v>40816</v>
          </cell>
          <cell r="H9" t="str">
            <v>2011-0.070.699-9</v>
          </cell>
          <cell r="I9">
            <v>44324.52</v>
          </cell>
          <cell r="J9" t="str">
            <v xml:space="preserve">              123651121                 2847                    33903600</v>
          </cell>
          <cell r="K9">
            <v>40787</v>
          </cell>
          <cell r="L9">
            <v>30</v>
          </cell>
          <cell r="M9">
            <v>7400</v>
          </cell>
          <cell r="N9">
            <v>57273</v>
          </cell>
          <cell r="O9">
            <v>12240</v>
          </cell>
          <cell r="P9">
            <v>16</v>
          </cell>
          <cell r="Q9">
            <v>2</v>
          </cell>
          <cell r="S9">
            <v>884.8</v>
          </cell>
          <cell r="T9">
            <v>884.8</v>
          </cell>
          <cell r="W9">
            <v>30</v>
          </cell>
          <cell r="AA9">
            <v>0</v>
          </cell>
          <cell r="AB9">
            <v>246.2473333333333</v>
          </cell>
          <cell r="AD9">
            <v>8324.2999999999993</v>
          </cell>
          <cell r="AN9" t="str">
            <v xml:space="preserve">Contrato emergencial nº </v>
          </cell>
          <cell r="AO9" t="str">
            <v>CS</v>
          </cell>
        </row>
        <row r="10">
          <cell r="D10" t="str">
            <v>0871/11</v>
          </cell>
          <cell r="E10" t="str">
            <v>04/04/2011</v>
          </cell>
          <cell r="F10">
            <v>40816</v>
          </cell>
          <cell r="G10">
            <v>40816</v>
          </cell>
          <cell r="H10" t="str">
            <v>2011-0.070.704-9</v>
          </cell>
          <cell r="I10">
            <v>44324.52</v>
          </cell>
          <cell r="J10" t="str">
            <v xml:space="preserve">              123651121                 2847                    33903600</v>
          </cell>
          <cell r="K10">
            <v>40787</v>
          </cell>
          <cell r="L10">
            <v>30</v>
          </cell>
          <cell r="M10">
            <v>7400</v>
          </cell>
          <cell r="N10">
            <v>57273</v>
          </cell>
          <cell r="O10">
            <v>12245</v>
          </cell>
          <cell r="P10">
            <v>16</v>
          </cell>
          <cell r="Q10">
            <v>2</v>
          </cell>
          <cell r="T10">
            <v>4679.91</v>
          </cell>
          <cell r="W10">
            <v>30</v>
          </cell>
          <cell r="AA10">
            <v>0</v>
          </cell>
          <cell r="AB10">
            <v>246.2473333333333</v>
          </cell>
          <cell r="AD10">
            <v>7179.0499999999993</v>
          </cell>
          <cell r="AN10" t="str">
            <v xml:space="preserve">Contrato emergencial nº </v>
          </cell>
          <cell r="AO10" t="str">
            <v>CS</v>
          </cell>
        </row>
        <row r="11">
          <cell r="D11" t="str">
            <v>0894/11</v>
          </cell>
          <cell r="E11" t="str">
            <v>04/04/2011</v>
          </cell>
          <cell r="F11">
            <v>40816</v>
          </cell>
          <cell r="G11">
            <v>40816</v>
          </cell>
          <cell r="H11" t="str">
            <v>2011-0.072.428-8</v>
          </cell>
          <cell r="I11">
            <v>43670.7</v>
          </cell>
          <cell r="J11" t="str">
            <v xml:space="preserve">              123651121                 2847                    33903600</v>
          </cell>
          <cell r="K11">
            <v>40787</v>
          </cell>
          <cell r="L11">
            <v>30</v>
          </cell>
          <cell r="M11">
            <v>7300</v>
          </cell>
          <cell r="N11">
            <v>57273</v>
          </cell>
          <cell r="O11">
            <v>12357</v>
          </cell>
          <cell r="P11">
            <v>16</v>
          </cell>
          <cell r="Q11">
            <v>2</v>
          </cell>
          <cell r="T11">
            <v>2828.6</v>
          </cell>
          <cell r="W11">
            <v>30</v>
          </cell>
          <cell r="AA11">
            <v>0</v>
          </cell>
          <cell r="AB11">
            <v>242.61499999999998</v>
          </cell>
          <cell r="AD11">
            <v>6799.95</v>
          </cell>
          <cell r="AN11" t="str">
            <v xml:space="preserve">Contrato emergencial nº </v>
          </cell>
          <cell r="AO11" t="str">
            <v>CS</v>
          </cell>
        </row>
        <row r="12">
          <cell r="D12" t="str">
            <v>0895/11</v>
          </cell>
          <cell r="E12" t="str">
            <v>04/04/2011</v>
          </cell>
          <cell r="F12">
            <v>40816</v>
          </cell>
          <cell r="G12">
            <v>40816</v>
          </cell>
          <cell r="H12" t="str">
            <v>2011-0.072.432-6</v>
          </cell>
          <cell r="I12">
            <v>40223.339999999997</v>
          </cell>
          <cell r="J12" t="str">
            <v xml:space="preserve">              123651121                 2847                    33903600</v>
          </cell>
          <cell r="K12">
            <v>40787</v>
          </cell>
          <cell r="L12">
            <v>30</v>
          </cell>
          <cell r="M12">
            <v>6800</v>
          </cell>
          <cell r="N12">
            <v>57273</v>
          </cell>
          <cell r="O12">
            <v>12361</v>
          </cell>
          <cell r="P12">
            <v>16</v>
          </cell>
          <cell r="Q12">
            <v>2</v>
          </cell>
          <cell r="T12">
            <v>2046.65</v>
          </cell>
          <cell r="W12">
            <v>30</v>
          </cell>
          <cell r="AA12">
            <v>0</v>
          </cell>
          <cell r="AB12">
            <v>223.46299999999999</v>
          </cell>
          <cell r="AD12">
            <v>6327</v>
          </cell>
          <cell r="AN12" t="str">
            <v xml:space="preserve">Contrato emergencial nº </v>
          </cell>
          <cell r="AO12" t="str">
            <v>CS</v>
          </cell>
        </row>
        <row r="13">
          <cell r="D13" t="str">
            <v>0896/11</v>
          </cell>
          <cell r="E13" t="str">
            <v>04/04/2011</v>
          </cell>
          <cell r="F13">
            <v>40816</v>
          </cell>
          <cell r="G13">
            <v>40816</v>
          </cell>
          <cell r="H13" t="str">
            <v>2011-0.072.434-2</v>
          </cell>
          <cell r="I13">
            <v>38261.760000000002</v>
          </cell>
          <cell r="J13" t="str">
            <v xml:space="preserve">              123651121                 2847                    33903600</v>
          </cell>
          <cell r="K13">
            <v>40787</v>
          </cell>
          <cell r="L13">
            <v>30</v>
          </cell>
          <cell r="M13">
            <v>6400</v>
          </cell>
          <cell r="N13">
            <v>57273</v>
          </cell>
          <cell r="O13">
            <v>12364</v>
          </cell>
          <cell r="P13">
            <v>16</v>
          </cell>
          <cell r="Q13">
            <v>2</v>
          </cell>
          <cell r="T13">
            <v>6400</v>
          </cell>
          <cell r="W13">
            <v>30</v>
          </cell>
          <cell r="AA13">
            <v>0</v>
          </cell>
          <cell r="AB13">
            <v>212.56533333333334</v>
          </cell>
          <cell r="AD13">
            <v>5336.9899999999989</v>
          </cell>
          <cell r="AN13" t="str">
            <v xml:space="preserve">Contrato emergencial nº </v>
          </cell>
          <cell r="AO13" t="str">
            <v>CS</v>
          </cell>
        </row>
        <row r="14">
          <cell r="D14" t="str">
            <v>0897/11</v>
          </cell>
          <cell r="E14" t="str">
            <v>04/04/2011</v>
          </cell>
          <cell r="F14">
            <v>40816</v>
          </cell>
          <cell r="G14">
            <v>40816</v>
          </cell>
          <cell r="H14" t="str">
            <v>2011-0.072.440-7</v>
          </cell>
          <cell r="I14">
            <v>38261.760000000002</v>
          </cell>
          <cell r="J14" t="str">
            <v xml:space="preserve">              123651121                 2847                    33903600</v>
          </cell>
          <cell r="K14">
            <v>40787</v>
          </cell>
          <cell r="L14">
            <v>30</v>
          </cell>
          <cell r="M14">
            <v>6400</v>
          </cell>
          <cell r="N14">
            <v>57273</v>
          </cell>
          <cell r="O14">
            <v>12367</v>
          </cell>
          <cell r="P14">
            <v>16</v>
          </cell>
          <cell r="Q14">
            <v>2</v>
          </cell>
          <cell r="T14">
            <v>6400</v>
          </cell>
          <cell r="W14">
            <v>30</v>
          </cell>
          <cell r="AA14">
            <v>0</v>
          </cell>
          <cell r="AB14">
            <v>212.56533333333334</v>
          </cell>
          <cell r="AD14">
            <v>5270.2199999999993</v>
          </cell>
          <cell r="AN14" t="str">
            <v xml:space="preserve">Contrato emergencial nº </v>
          </cell>
          <cell r="AO14" t="str">
            <v>CS</v>
          </cell>
        </row>
        <row r="15">
          <cell r="D15" t="str">
            <v>0898/11</v>
          </cell>
          <cell r="E15" t="str">
            <v>04/04/2011</v>
          </cell>
          <cell r="F15">
            <v>40816</v>
          </cell>
          <cell r="G15">
            <v>40816</v>
          </cell>
          <cell r="H15" t="str">
            <v>2011-0.072.487-3</v>
          </cell>
          <cell r="I15">
            <v>44324.52</v>
          </cell>
          <cell r="J15" t="str">
            <v xml:space="preserve">              123651121                 2847                    33903600</v>
          </cell>
          <cell r="K15">
            <v>40787</v>
          </cell>
          <cell r="L15">
            <v>30</v>
          </cell>
          <cell r="M15">
            <v>7400</v>
          </cell>
          <cell r="N15">
            <v>57273</v>
          </cell>
          <cell r="O15">
            <v>12371</v>
          </cell>
          <cell r="P15">
            <v>16</v>
          </cell>
          <cell r="Q15">
            <v>2</v>
          </cell>
          <cell r="T15">
            <v>7142.17</v>
          </cell>
          <cell r="W15">
            <v>30</v>
          </cell>
          <cell r="AA15">
            <v>0</v>
          </cell>
          <cell r="AB15">
            <v>246.2473333333333</v>
          </cell>
          <cell r="AD15">
            <v>7172.92</v>
          </cell>
          <cell r="AN15" t="str">
            <v xml:space="preserve">Contrato emergencial nº </v>
          </cell>
          <cell r="AO15" t="str">
            <v>CS</v>
          </cell>
        </row>
        <row r="16">
          <cell r="D16" t="str">
            <v>0899/11</v>
          </cell>
          <cell r="E16" t="str">
            <v>04/04/2011</v>
          </cell>
          <cell r="F16">
            <v>40816</v>
          </cell>
          <cell r="G16">
            <v>40816</v>
          </cell>
          <cell r="H16" t="str">
            <v>2011-0.072.489-0</v>
          </cell>
          <cell r="I16">
            <v>44324.52</v>
          </cell>
          <cell r="J16" t="str">
            <v xml:space="preserve">              123651121                 2847                    33903600</v>
          </cell>
          <cell r="K16">
            <v>40787</v>
          </cell>
          <cell r="L16">
            <v>30</v>
          </cell>
          <cell r="M16">
            <v>7400</v>
          </cell>
          <cell r="N16">
            <v>57273</v>
          </cell>
          <cell r="O16">
            <v>12374</v>
          </cell>
          <cell r="P16">
            <v>16</v>
          </cell>
          <cell r="Q16">
            <v>2</v>
          </cell>
          <cell r="T16">
            <v>3886.76</v>
          </cell>
          <cell r="W16">
            <v>30</v>
          </cell>
          <cell r="AA16">
            <v>0</v>
          </cell>
          <cell r="AB16">
            <v>246.2473333333333</v>
          </cell>
          <cell r="AD16">
            <v>6910.42</v>
          </cell>
          <cell r="AN16" t="str">
            <v xml:space="preserve">Contrato emergencial nº </v>
          </cell>
          <cell r="AO16" t="str">
            <v>CS</v>
          </cell>
        </row>
        <row r="17">
          <cell r="D17" t="str">
            <v>0932/11</v>
          </cell>
          <cell r="E17" t="str">
            <v>04/04/2011</v>
          </cell>
          <cell r="F17">
            <v>40816</v>
          </cell>
          <cell r="G17">
            <v>40816</v>
          </cell>
          <cell r="H17" t="str">
            <v>2011-0.072.918-2</v>
          </cell>
          <cell r="I17">
            <v>30150.54</v>
          </cell>
          <cell r="J17" t="str">
            <v xml:space="preserve">              123651121                 2847                    33903600</v>
          </cell>
          <cell r="K17">
            <v>40787</v>
          </cell>
          <cell r="L17">
            <v>30</v>
          </cell>
          <cell r="M17">
            <v>5100</v>
          </cell>
          <cell r="N17">
            <v>57273</v>
          </cell>
          <cell r="O17">
            <v>32810</v>
          </cell>
          <cell r="P17">
            <v>16</v>
          </cell>
          <cell r="Q17">
            <v>2</v>
          </cell>
          <cell r="T17">
            <v>2900.46</v>
          </cell>
          <cell r="W17">
            <v>30</v>
          </cell>
          <cell r="AA17">
            <v>0</v>
          </cell>
          <cell r="AB17">
            <v>167.50300000000001</v>
          </cell>
          <cell r="AD17">
            <v>4798</v>
          </cell>
          <cell r="AN17" t="str">
            <v xml:space="preserve">Contrato emergencial nº </v>
          </cell>
          <cell r="AO17" t="str">
            <v>CS</v>
          </cell>
        </row>
        <row r="18">
          <cell r="D18" t="str">
            <v>0948/11</v>
          </cell>
          <cell r="E18" t="str">
            <v>04/04/2011</v>
          </cell>
          <cell r="F18">
            <v>40816</v>
          </cell>
          <cell r="G18">
            <v>40816</v>
          </cell>
          <cell r="H18" t="str">
            <v>2011-0.072.978-6</v>
          </cell>
          <cell r="I18">
            <v>44324.52</v>
          </cell>
          <cell r="J18" t="str">
            <v xml:space="preserve">              123651121                 2847                    33903600</v>
          </cell>
          <cell r="K18">
            <v>40787</v>
          </cell>
          <cell r="L18">
            <v>30</v>
          </cell>
          <cell r="M18">
            <v>7400</v>
          </cell>
          <cell r="N18">
            <v>57273</v>
          </cell>
          <cell r="O18">
            <v>12971</v>
          </cell>
          <cell r="P18">
            <v>16</v>
          </cell>
          <cell r="Q18">
            <v>2</v>
          </cell>
          <cell r="T18">
            <v>7400</v>
          </cell>
          <cell r="W18">
            <v>30</v>
          </cell>
          <cell r="AA18">
            <v>0</v>
          </cell>
          <cell r="AB18">
            <v>246.2473333333333</v>
          </cell>
          <cell r="AD18">
            <v>5690.41</v>
          </cell>
          <cell r="AN18" t="str">
            <v xml:space="preserve">Contrato emergencial nº </v>
          </cell>
          <cell r="AO18" t="str">
            <v>CS</v>
          </cell>
        </row>
        <row r="19">
          <cell r="D19" t="str">
            <v>0967/11</v>
          </cell>
          <cell r="E19" t="str">
            <v>04/04/2011</v>
          </cell>
          <cell r="F19">
            <v>40816</v>
          </cell>
          <cell r="G19">
            <v>40816</v>
          </cell>
          <cell r="H19" t="str">
            <v>2011-0.073.175-6</v>
          </cell>
          <cell r="I19">
            <v>45186.36</v>
          </cell>
          <cell r="J19" t="str">
            <v xml:space="preserve">              123651121                 2847                    33903600</v>
          </cell>
          <cell r="K19">
            <v>40787</v>
          </cell>
          <cell r="L19">
            <v>30</v>
          </cell>
          <cell r="M19">
            <v>7600</v>
          </cell>
          <cell r="N19">
            <v>57273</v>
          </cell>
          <cell r="O19">
            <v>13027</v>
          </cell>
          <cell r="P19">
            <v>16</v>
          </cell>
          <cell r="Q19">
            <v>2</v>
          </cell>
          <cell r="T19">
            <v>5166.47</v>
          </cell>
          <cell r="W19">
            <v>30</v>
          </cell>
          <cell r="AA19">
            <v>0</v>
          </cell>
          <cell r="AB19">
            <v>251.03533333333334</v>
          </cell>
          <cell r="AD19">
            <v>7400.38</v>
          </cell>
          <cell r="AN19" t="str">
            <v xml:space="preserve">Contrato emergencial nº </v>
          </cell>
          <cell r="AO19" t="str">
            <v>CS</v>
          </cell>
        </row>
        <row r="20">
          <cell r="D20" t="str">
            <v>0884/11</v>
          </cell>
          <cell r="E20" t="str">
            <v>04/04/2011</v>
          </cell>
          <cell r="F20">
            <v>40816</v>
          </cell>
          <cell r="G20">
            <v>40816</v>
          </cell>
          <cell r="H20" t="str">
            <v>2011-0.072.394-0</v>
          </cell>
          <cell r="I20">
            <v>20105.580000000002</v>
          </cell>
          <cell r="J20" t="str">
            <v xml:space="preserve">              123611122                  2848                    33903600</v>
          </cell>
          <cell r="K20">
            <v>40787</v>
          </cell>
          <cell r="L20">
            <v>30</v>
          </cell>
          <cell r="M20">
            <v>3400</v>
          </cell>
          <cell r="N20">
            <v>57278</v>
          </cell>
          <cell r="O20">
            <v>12313</v>
          </cell>
          <cell r="P20">
            <v>16</v>
          </cell>
          <cell r="Q20">
            <v>3</v>
          </cell>
          <cell r="T20">
            <v>406.93</v>
          </cell>
          <cell r="W20">
            <v>30</v>
          </cell>
          <cell r="AA20">
            <v>0</v>
          </cell>
          <cell r="AB20">
            <v>111.69766666666668</v>
          </cell>
          <cell r="AD20">
            <v>2775.3699999999994</v>
          </cell>
          <cell r="AN20" t="str">
            <v xml:space="preserve">Contrato emergencial nº </v>
          </cell>
          <cell r="AO20" t="str">
            <v>CS</v>
          </cell>
        </row>
        <row r="21">
          <cell r="D21" t="str">
            <v>0900/11</v>
          </cell>
          <cell r="E21" t="str">
            <v>04/04/2011</v>
          </cell>
          <cell r="F21">
            <v>40816</v>
          </cell>
          <cell r="G21">
            <v>40816</v>
          </cell>
          <cell r="H21" t="str">
            <v>2011-0.072.492-0</v>
          </cell>
          <cell r="I21">
            <v>30556.68</v>
          </cell>
          <cell r="J21" t="str">
            <v xml:space="preserve">              123611122                  2848                    33903600</v>
          </cell>
          <cell r="K21">
            <v>40787</v>
          </cell>
          <cell r="L21">
            <v>30</v>
          </cell>
          <cell r="M21">
            <v>5100</v>
          </cell>
          <cell r="N21">
            <v>57278</v>
          </cell>
          <cell r="O21">
            <v>12567</v>
          </cell>
          <cell r="P21">
            <v>16</v>
          </cell>
          <cell r="Q21">
            <v>3</v>
          </cell>
          <cell r="T21">
            <v>2084.9899999999998</v>
          </cell>
          <cell r="W21">
            <v>30</v>
          </cell>
          <cell r="AA21">
            <v>0</v>
          </cell>
          <cell r="AB21">
            <v>169.75933333333333</v>
          </cell>
          <cell r="AD21">
            <v>4801.2800000000007</v>
          </cell>
          <cell r="AN21" t="str">
            <v xml:space="preserve">Contrato emergencial nº </v>
          </cell>
          <cell r="AO21" t="str">
            <v>CS</v>
          </cell>
        </row>
        <row r="22">
          <cell r="D22" t="str">
            <v>0901/11</v>
          </cell>
          <cell r="E22" t="str">
            <v>04/04/2011</v>
          </cell>
          <cell r="F22">
            <v>40816</v>
          </cell>
          <cell r="G22">
            <v>40816</v>
          </cell>
          <cell r="H22" t="str">
            <v>2011-0.072.497-0</v>
          </cell>
          <cell r="I22">
            <v>44324.52</v>
          </cell>
          <cell r="J22" t="str">
            <v xml:space="preserve">              123611122                  2848                    33903600</v>
          </cell>
          <cell r="K22">
            <v>40787</v>
          </cell>
          <cell r="L22">
            <v>30</v>
          </cell>
          <cell r="M22">
            <v>7400</v>
          </cell>
          <cell r="N22">
            <v>57278</v>
          </cell>
          <cell r="O22">
            <v>12569</v>
          </cell>
          <cell r="P22">
            <v>16</v>
          </cell>
          <cell r="Q22">
            <v>3</v>
          </cell>
          <cell r="T22">
            <v>852.58</v>
          </cell>
          <cell r="W22">
            <v>30</v>
          </cell>
          <cell r="AA22">
            <v>0</v>
          </cell>
          <cell r="AB22">
            <v>246.2473333333333</v>
          </cell>
          <cell r="AD22">
            <v>7032.7500000000009</v>
          </cell>
          <cell r="AN22" t="str">
            <v xml:space="preserve">Contrato emergencial nº </v>
          </cell>
          <cell r="AO22" t="str">
            <v>CS</v>
          </cell>
        </row>
        <row r="23">
          <cell r="D23" t="str">
            <v>0902/11</v>
          </cell>
          <cell r="E23" t="str">
            <v>04/04/2011</v>
          </cell>
          <cell r="F23">
            <v>40816</v>
          </cell>
          <cell r="G23">
            <v>40816</v>
          </cell>
          <cell r="H23" t="str">
            <v>2011-0.072.500-4</v>
          </cell>
          <cell r="I23">
            <v>44324.52</v>
          </cell>
          <cell r="J23" t="str">
            <v xml:space="preserve">              123611122                  2848                    33903600</v>
          </cell>
          <cell r="K23">
            <v>40787</v>
          </cell>
          <cell r="L23">
            <v>30</v>
          </cell>
          <cell r="M23">
            <v>7400</v>
          </cell>
          <cell r="N23">
            <v>57278</v>
          </cell>
          <cell r="O23">
            <v>12571</v>
          </cell>
          <cell r="P23">
            <v>16</v>
          </cell>
          <cell r="Q23">
            <v>3</v>
          </cell>
          <cell r="T23">
            <v>7400</v>
          </cell>
          <cell r="W23">
            <v>30</v>
          </cell>
          <cell r="AA23">
            <v>0</v>
          </cell>
          <cell r="AB23">
            <v>246.2473333333333</v>
          </cell>
          <cell r="AD23">
            <v>5841.66</v>
          </cell>
          <cell r="AN23" t="str">
            <v xml:space="preserve">Contrato emergencial nº </v>
          </cell>
          <cell r="AO23" t="str">
            <v>CS</v>
          </cell>
        </row>
        <row r="24">
          <cell r="D24" t="str">
            <v>0903/11</v>
          </cell>
          <cell r="E24" t="str">
            <v>04/04/2011</v>
          </cell>
          <cell r="F24">
            <v>40816</v>
          </cell>
          <cell r="G24">
            <v>40816</v>
          </cell>
          <cell r="H24" t="str">
            <v>2011-0.072.803-8</v>
          </cell>
          <cell r="I24">
            <v>44324.52</v>
          </cell>
          <cell r="J24" t="str">
            <v xml:space="preserve">              123611122                  2848                    33903600</v>
          </cell>
          <cell r="K24">
            <v>40787</v>
          </cell>
          <cell r="L24">
            <v>30</v>
          </cell>
          <cell r="M24">
            <v>7400</v>
          </cell>
          <cell r="N24">
            <v>57278</v>
          </cell>
          <cell r="O24">
            <v>12574</v>
          </cell>
          <cell r="P24">
            <v>16</v>
          </cell>
          <cell r="Q24">
            <v>3</v>
          </cell>
          <cell r="T24">
            <v>3928.16</v>
          </cell>
          <cell r="W24">
            <v>30</v>
          </cell>
          <cell r="AA24">
            <v>0</v>
          </cell>
          <cell r="AB24">
            <v>246.2473333333333</v>
          </cell>
          <cell r="AD24">
            <v>7073.92</v>
          </cell>
          <cell r="AN24" t="str">
            <v xml:space="preserve">Contrato emergencial nº </v>
          </cell>
          <cell r="AO24" t="str">
            <v>CS</v>
          </cell>
        </row>
        <row r="25">
          <cell r="D25" t="str">
            <v>0943/11</v>
          </cell>
          <cell r="E25" t="str">
            <v>04/04/2011</v>
          </cell>
          <cell r="F25">
            <v>40816</v>
          </cell>
          <cell r="G25">
            <v>40816</v>
          </cell>
          <cell r="H25" t="str">
            <v>2011-0.072.948-4</v>
          </cell>
          <cell r="I25">
            <v>43908.6</v>
          </cell>
          <cell r="J25" t="str">
            <v xml:space="preserve">              123611122                  2848                    33903600</v>
          </cell>
          <cell r="K25">
            <v>40787</v>
          </cell>
          <cell r="L25">
            <v>30</v>
          </cell>
          <cell r="M25">
            <v>7400</v>
          </cell>
          <cell r="N25">
            <v>57278</v>
          </cell>
          <cell r="O25">
            <v>12952</v>
          </cell>
          <cell r="P25">
            <v>16</v>
          </cell>
          <cell r="Q25">
            <v>3</v>
          </cell>
          <cell r="T25">
            <v>7400</v>
          </cell>
          <cell r="W25">
            <v>30</v>
          </cell>
          <cell r="AA25">
            <v>0</v>
          </cell>
          <cell r="AB25">
            <v>243.93666666666667</v>
          </cell>
          <cell r="AD25">
            <v>6074.72</v>
          </cell>
          <cell r="AN25" t="str">
            <v xml:space="preserve">Contrato emergencial nº </v>
          </cell>
          <cell r="AO25" t="str">
            <v>CS</v>
          </cell>
        </row>
        <row r="26">
          <cell r="D26" t="str">
            <v>0946/11</v>
          </cell>
          <cell r="E26" t="str">
            <v>04/04/2011</v>
          </cell>
          <cell r="F26">
            <v>40816</v>
          </cell>
          <cell r="G26">
            <v>40816</v>
          </cell>
          <cell r="H26" t="str">
            <v>2011-0.072.973-5</v>
          </cell>
          <cell r="I26">
            <v>44324.52</v>
          </cell>
          <cell r="J26" t="str">
            <v xml:space="preserve">              123611122                  2848                    33903600</v>
          </cell>
          <cell r="K26">
            <v>40787</v>
          </cell>
          <cell r="L26">
            <v>30</v>
          </cell>
          <cell r="M26">
            <v>7400</v>
          </cell>
          <cell r="N26">
            <v>57278</v>
          </cell>
          <cell r="O26">
            <v>12967</v>
          </cell>
          <cell r="P26">
            <v>16</v>
          </cell>
          <cell r="Q26">
            <v>3</v>
          </cell>
          <cell r="T26">
            <v>1353.59</v>
          </cell>
          <cell r="W26">
            <v>30</v>
          </cell>
          <cell r="AA26">
            <v>0</v>
          </cell>
          <cell r="AB26">
            <v>246.2473333333333</v>
          </cell>
          <cell r="AD26">
            <v>6592.8600000000006</v>
          </cell>
          <cell r="AN26" t="str">
            <v xml:space="preserve">Contrato emergencial nº </v>
          </cell>
          <cell r="AO26" t="str">
            <v>CS</v>
          </cell>
        </row>
        <row r="27">
          <cell r="D27" t="str">
            <v>0949/11</v>
          </cell>
          <cell r="E27" t="str">
            <v>04/04/2011</v>
          </cell>
          <cell r="F27">
            <v>40816</v>
          </cell>
          <cell r="G27">
            <v>40816</v>
          </cell>
          <cell r="H27" t="str">
            <v>2011-0.072.981-6</v>
          </cell>
          <cell r="I27">
            <v>26039.46</v>
          </cell>
          <cell r="J27" t="str">
            <v xml:space="preserve">              123611122                  2848                    33903600</v>
          </cell>
          <cell r="K27">
            <v>40787</v>
          </cell>
          <cell r="L27">
            <v>30</v>
          </cell>
          <cell r="M27">
            <v>4400</v>
          </cell>
          <cell r="N27">
            <v>57278</v>
          </cell>
          <cell r="O27">
            <v>12974</v>
          </cell>
          <cell r="P27">
            <v>16</v>
          </cell>
          <cell r="Q27">
            <v>3</v>
          </cell>
          <cell r="S27">
            <v>1174.76</v>
          </cell>
          <cell r="T27">
            <v>736.99</v>
          </cell>
          <cell r="W27">
            <v>30</v>
          </cell>
          <cell r="AA27">
            <v>0</v>
          </cell>
          <cell r="AB27">
            <v>144.66366666666667</v>
          </cell>
          <cell r="AD27">
            <v>5171.9899999999989</v>
          </cell>
          <cell r="AN27" t="str">
            <v xml:space="preserve">Contrato emergencial nº </v>
          </cell>
          <cell r="AO27" t="str">
            <v>CS</v>
          </cell>
        </row>
        <row r="28">
          <cell r="D28" t="str">
            <v>0950/11</v>
          </cell>
          <cell r="E28" t="str">
            <v>04/04/2011</v>
          </cell>
          <cell r="F28">
            <v>40816</v>
          </cell>
          <cell r="G28">
            <v>40816</v>
          </cell>
          <cell r="H28" t="str">
            <v>2011-0.072.984-0</v>
          </cell>
          <cell r="I28">
            <v>40877.160000000003</v>
          </cell>
          <cell r="J28" t="str">
            <v xml:space="preserve">              123611122                  2848                    33903600</v>
          </cell>
          <cell r="K28">
            <v>40787</v>
          </cell>
          <cell r="L28">
            <v>30</v>
          </cell>
          <cell r="M28">
            <v>6900</v>
          </cell>
          <cell r="N28">
            <v>57278</v>
          </cell>
          <cell r="O28">
            <v>12977</v>
          </cell>
          <cell r="P28">
            <v>16</v>
          </cell>
          <cell r="Q28">
            <v>3</v>
          </cell>
          <cell r="T28">
            <v>3632.27</v>
          </cell>
          <cell r="W28">
            <v>30</v>
          </cell>
          <cell r="AA28">
            <v>0</v>
          </cell>
          <cell r="AB28">
            <v>227.09533333333334</v>
          </cell>
          <cell r="AD28">
            <v>6312.6100000000006</v>
          </cell>
          <cell r="AN28" t="str">
            <v xml:space="preserve">Contrato emergencial nº </v>
          </cell>
          <cell r="AO28" t="str">
            <v>CS</v>
          </cell>
        </row>
        <row r="29">
          <cell r="D29" t="str">
            <v>0960/11</v>
          </cell>
          <cell r="E29" t="str">
            <v>04/04/2011</v>
          </cell>
          <cell r="F29">
            <v>40816</v>
          </cell>
          <cell r="G29">
            <v>40816</v>
          </cell>
          <cell r="H29" t="str">
            <v>2011-0.073.157-8</v>
          </cell>
          <cell r="I29">
            <v>54250.68</v>
          </cell>
          <cell r="J29" t="str">
            <v xml:space="preserve">              123611122                  2848                    33903600</v>
          </cell>
          <cell r="K29">
            <v>40787</v>
          </cell>
          <cell r="L29">
            <v>30</v>
          </cell>
          <cell r="M29">
            <v>9100</v>
          </cell>
          <cell r="N29">
            <v>57278</v>
          </cell>
          <cell r="O29">
            <v>13011</v>
          </cell>
          <cell r="P29">
            <v>16</v>
          </cell>
          <cell r="Q29">
            <v>3</v>
          </cell>
          <cell r="T29">
            <v>4095.13</v>
          </cell>
          <cell r="W29">
            <v>30</v>
          </cell>
          <cell r="AA29">
            <v>0</v>
          </cell>
          <cell r="AB29">
            <v>301.39266666666668</v>
          </cell>
          <cell r="AD29">
            <v>8745.76</v>
          </cell>
          <cell r="AN29" t="str">
            <v xml:space="preserve">Contrato emergencial nº </v>
          </cell>
          <cell r="AO29" t="str">
            <v>CS</v>
          </cell>
        </row>
        <row r="30">
          <cell r="D30" t="str">
            <v>0969/11</v>
          </cell>
          <cell r="E30" t="str">
            <v>04/04/2011</v>
          </cell>
          <cell r="F30">
            <v>40816</v>
          </cell>
          <cell r="G30">
            <v>40816</v>
          </cell>
          <cell r="H30" t="str">
            <v>2011-0.073.182-9</v>
          </cell>
          <cell r="I30">
            <v>44324.52</v>
          </cell>
          <cell r="J30" t="str">
            <v xml:space="preserve">              123611122                  2848                    33903600</v>
          </cell>
          <cell r="K30">
            <v>40787</v>
          </cell>
          <cell r="L30">
            <v>30</v>
          </cell>
          <cell r="M30">
            <v>7400</v>
          </cell>
          <cell r="N30">
            <v>57278</v>
          </cell>
          <cell r="O30">
            <v>13032</v>
          </cell>
          <cell r="P30">
            <v>16</v>
          </cell>
          <cell r="Q30">
            <v>3</v>
          </cell>
          <cell r="T30">
            <v>2692.09</v>
          </cell>
          <cell r="W30">
            <v>30</v>
          </cell>
          <cell r="AA30">
            <v>0</v>
          </cell>
          <cell r="AB30">
            <v>246.2473333333333</v>
          </cell>
          <cell r="AD30">
            <v>6876.11</v>
          </cell>
          <cell r="AN30" t="str">
            <v xml:space="preserve">Contrato emergencial nº </v>
          </cell>
          <cell r="AO30" t="str">
            <v>CS</v>
          </cell>
        </row>
        <row r="31">
          <cell r="D31" t="str">
            <v>0975/11</v>
          </cell>
          <cell r="E31" t="str">
            <v>04/04/2011</v>
          </cell>
          <cell r="F31">
            <v>40816</v>
          </cell>
          <cell r="G31">
            <v>40816</v>
          </cell>
          <cell r="H31" t="str">
            <v>2011-0.073.202-7</v>
          </cell>
          <cell r="I31">
            <v>30150.54</v>
          </cell>
          <cell r="J31" t="str">
            <v xml:space="preserve">              123611122                  2848                    33903600</v>
          </cell>
          <cell r="K31">
            <v>40787</v>
          </cell>
          <cell r="L31">
            <v>30</v>
          </cell>
          <cell r="M31">
            <v>5100</v>
          </cell>
          <cell r="N31">
            <v>57278</v>
          </cell>
          <cell r="O31">
            <v>13625</v>
          </cell>
          <cell r="P31">
            <v>16</v>
          </cell>
          <cell r="Q31">
            <v>3</v>
          </cell>
          <cell r="T31">
            <v>2311.84</v>
          </cell>
          <cell r="W31">
            <v>30</v>
          </cell>
          <cell r="AA31">
            <v>0</v>
          </cell>
          <cell r="AB31">
            <v>167.50300000000001</v>
          </cell>
          <cell r="AD31">
            <v>4736.72</v>
          </cell>
          <cell r="AN31" t="str">
            <v xml:space="preserve">Contrato emergencial nº </v>
          </cell>
          <cell r="AO31" t="str">
            <v>CS</v>
          </cell>
        </row>
        <row r="32">
          <cell r="D32" t="str">
            <v>0883/11</v>
          </cell>
          <cell r="E32" t="str">
            <v>04/04/2011</v>
          </cell>
          <cell r="F32">
            <v>40816</v>
          </cell>
          <cell r="G32">
            <v>40816</v>
          </cell>
          <cell r="H32" t="str">
            <v>2011-0.070.748-0</v>
          </cell>
          <cell r="I32">
            <v>44324.52</v>
          </cell>
          <cell r="J32" t="str">
            <v xml:space="preserve">             123671125                  2863                   33903600</v>
          </cell>
          <cell r="K32">
            <v>40787</v>
          </cell>
          <cell r="L32">
            <v>30</v>
          </cell>
          <cell r="M32">
            <v>7400</v>
          </cell>
          <cell r="N32">
            <v>57287</v>
          </cell>
          <cell r="O32">
            <v>12311</v>
          </cell>
          <cell r="P32">
            <v>16</v>
          </cell>
          <cell r="Q32">
            <v>4</v>
          </cell>
          <cell r="T32">
            <v>57.52</v>
          </cell>
          <cell r="W32">
            <v>30</v>
          </cell>
          <cell r="AA32">
            <v>0</v>
          </cell>
          <cell r="AB32">
            <v>246.2473333333333</v>
          </cell>
          <cell r="AD32">
            <v>7046.42</v>
          </cell>
          <cell r="AN32" t="str">
            <v xml:space="preserve">Contrato emergencial nº </v>
          </cell>
          <cell r="AO32" t="str">
            <v>CS</v>
          </cell>
        </row>
        <row r="33">
          <cell r="D33" t="str">
            <v>0872/11</v>
          </cell>
          <cell r="E33" t="str">
            <v>04/04/2011</v>
          </cell>
          <cell r="F33">
            <v>40816</v>
          </cell>
          <cell r="G33">
            <v>40816</v>
          </cell>
          <cell r="H33" t="str">
            <v>2011-0.070.707-3</v>
          </cell>
          <cell r="I33">
            <v>30556.68</v>
          </cell>
          <cell r="J33" t="str">
            <v xml:space="preserve">              123651121                 2847                    33903600</v>
          </cell>
          <cell r="K33">
            <v>40787</v>
          </cell>
          <cell r="L33">
            <v>30</v>
          </cell>
          <cell r="M33">
            <v>5100</v>
          </cell>
          <cell r="N33">
            <v>57273</v>
          </cell>
          <cell r="O33">
            <v>12259</v>
          </cell>
          <cell r="P33">
            <v>16</v>
          </cell>
          <cell r="Q33">
            <v>2</v>
          </cell>
          <cell r="T33">
            <v>2637.53</v>
          </cell>
          <cell r="W33">
            <v>30</v>
          </cell>
          <cell r="AA33">
            <v>0</v>
          </cell>
          <cell r="AB33">
            <v>169.75933333333333</v>
          </cell>
          <cell r="AD33">
            <v>4669.54</v>
          </cell>
          <cell r="AN33" t="str">
            <v xml:space="preserve">Contrato emergencial nº </v>
          </cell>
          <cell r="AO33" t="str">
            <v>FO</v>
          </cell>
        </row>
        <row r="34">
          <cell r="D34" t="str">
            <v>0873/11</v>
          </cell>
          <cell r="E34" t="str">
            <v>04/04/2011</v>
          </cell>
          <cell r="F34">
            <v>40816</v>
          </cell>
          <cell r="G34">
            <v>40816</v>
          </cell>
          <cell r="H34" t="str">
            <v>2011-0.070.712-0</v>
          </cell>
          <cell r="I34">
            <v>26703.18</v>
          </cell>
          <cell r="J34" t="str">
            <v xml:space="preserve">              123651121                 2847                    33903600</v>
          </cell>
          <cell r="K34">
            <v>40787</v>
          </cell>
          <cell r="L34">
            <v>30</v>
          </cell>
          <cell r="M34">
            <v>4500</v>
          </cell>
          <cell r="N34">
            <v>57273</v>
          </cell>
          <cell r="O34">
            <v>12260</v>
          </cell>
          <cell r="P34">
            <v>16</v>
          </cell>
          <cell r="Q34">
            <v>2</v>
          </cell>
          <cell r="T34">
            <v>4375.3950000000004</v>
          </cell>
          <cell r="W34">
            <v>30</v>
          </cell>
          <cell r="AA34">
            <v>0</v>
          </cell>
          <cell r="AB34">
            <v>148.351</v>
          </cell>
          <cell r="AD34">
            <v>4658.2</v>
          </cell>
          <cell r="AN34" t="str">
            <v xml:space="preserve">Contrato emergencial nº </v>
          </cell>
          <cell r="AO34" t="str">
            <v>FO</v>
          </cell>
        </row>
        <row r="35">
          <cell r="D35" t="str">
            <v>0874/11</v>
          </cell>
          <cell r="E35" t="str">
            <v>04/04/2011</v>
          </cell>
          <cell r="F35">
            <v>40816</v>
          </cell>
          <cell r="G35">
            <v>40816</v>
          </cell>
          <cell r="H35" t="str">
            <v>2011-0.070.717-0</v>
          </cell>
          <cell r="I35">
            <v>26297.040000000001</v>
          </cell>
          <cell r="J35" t="str">
            <v xml:space="preserve">              123651121                 2847                    33903600</v>
          </cell>
          <cell r="K35">
            <v>40787</v>
          </cell>
          <cell r="L35">
            <v>30</v>
          </cell>
          <cell r="M35">
            <v>4400</v>
          </cell>
          <cell r="N35">
            <v>57273</v>
          </cell>
          <cell r="O35">
            <v>12264</v>
          </cell>
          <cell r="P35">
            <v>16</v>
          </cell>
          <cell r="Q35">
            <v>2</v>
          </cell>
          <cell r="T35">
            <v>4105.99</v>
          </cell>
          <cell r="W35">
            <v>30</v>
          </cell>
          <cell r="AA35">
            <v>0</v>
          </cell>
          <cell r="AB35">
            <v>146.09466666666668</v>
          </cell>
          <cell r="AD35">
            <v>4683.3249999999998</v>
          </cell>
          <cell r="AN35" t="str">
            <v xml:space="preserve">Contrato emergencial nº </v>
          </cell>
          <cell r="AO35" t="str">
            <v>FO</v>
          </cell>
        </row>
        <row r="36">
          <cell r="D36" t="str">
            <v>0904/11</v>
          </cell>
          <cell r="E36" t="str">
            <v>04/04/2011</v>
          </cell>
          <cell r="F36">
            <v>40816</v>
          </cell>
          <cell r="G36">
            <v>40816</v>
          </cell>
          <cell r="H36" t="str">
            <v>2011-0.072.860-7</v>
          </cell>
          <cell r="I36">
            <v>27257.94</v>
          </cell>
          <cell r="J36" t="str">
            <v xml:space="preserve">              123651121                 2847                    33903600</v>
          </cell>
          <cell r="K36">
            <v>40787</v>
          </cell>
          <cell r="L36">
            <v>30</v>
          </cell>
          <cell r="M36">
            <v>4600</v>
          </cell>
          <cell r="N36">
            <v>57273</v>
          </cell>
          <cell r="O36">
            <v>12577</v>
          </cell>
          <cell r="P36">
            <v>16</v>
          </cell>
          <cell r="Q36">
            <v>2</v>
          </cell>
          <cell r="T36">
            <v>1798.74</v>
          </cell>
          <cell r="W36">
            <v>30</v>
          </cell>
          <cell r="AA36">
            <v>0</v>
          </cell>
          <cell r="AB36">
            <v>151.43299999999999</v>
          </cell>
          <cell r="AD36">
            <v>4370.8399999999992</v>
          </cell>
          <cell r="AN36" t="str">
            <v xml:space="preserve">Contrato emergencial nº </v>
          </cell>
          <cell r="AO36" t="str">
            <v>FO</v>
          </cell>
        </row>
        <row r="37">
          <cell r="D37" t="str">
            <v>0951/11</v>
          </cell>
          <cell r="E37" t="str">
            <v>04/04/2011</v>
          </cell>
          <cell r="F37">
            <v>40816</v>
          </cell>
          <cell r="G37">
            <v>40816</v>
          </cell>
          <cell r="H37" t="str">
            <v>2011-0.072.990-5</v>
          </cell>
          <cell r="I37">
            <v>37607.879999999997</v>
          </cell>
          <cell r="J37" t="str">
            <v xml:space="preserve">              123651121                 2847                    33903600</v>
          </cell>
          <cell r="K37">
            <v>40787</v>
          </cell>
          <cell r="L37">
            <v>30</v>
          </cell>
          <cell r="M37">
            <v>6300</v>
          </cell>
          <cell r="N37">
            <v>57273</v>
          </cell>
          <cell r="O37">
            <v>12979</v>
          </cell>
          <cell r="P37">
            <v>16</v>
          </cell>
          <cell r="Q37">
            <v>2</v>
          </cell>
          <cell r="T37">
            <v>6300</v>
          </cell>
          <cell r="W37">
            <v>30</v>
          </cell>
          <cell r="AA37">
            <v>0</v>
          </cell>
          <cell r="AB37">
            <v>208.93266666666665</v>
          </cell>
          <cell r="AD37">
            <v>4535.3779999999997</v>
          </cell>
          <cell r="AN37" t="str">
            <v xml:space="preserve">Contrato emergencial nº </v>
          </cell>
          <cell r="AO37" t="str">
            <v>FO</v>
          </cell>
        </row>
        <row r="38">
          <cell r="D38" t="str">
            <v>0952/11</v>
          </cell>
          <cell r="E38" t="str">
            <v>04/04/2011</v>
          </cell>
          <cell r="F38">
            <v>40816</v>
          </cell>
          <cell r="G38">
            <v>40816</v>
          </cell>
          <cell r="H38" t="str">
            <v>2011-0.072.996-4</v>
          </cell>
          <cell r="I38">
            <v>37607.879999999997</v>
          </cell>
          <cell r="J38" t="str">
            <v xml:space="preserve">              123651121                 2847                    33903600</v>
          </cell>
          <cell r="K38">
            <v>40787</v>
          </cell>
          <cell r="L38">
            <v>30</v>
          </cell>
          <cell r="M38">
            <v>6300</v>
          </cell>
          <cell r="N38">
            <v>57273</v>
          </cell>
          <cell r="O38">
            <v>12982</v>
          </cell>
          <cell r="P38">
            <v>16</v>
          </cell>
          <cell r="Q38">
            <v>2</v>
          </cell>
          <cell r="T38">
            <v>6300</v>
          </cell>
          <cell r="W38">
            <v>30</v>
          </cell>
          <cell r="AA38">
            <v>0</v>
          </cell>
          <cell r="AB38">
            <v>208.93266666666665</v>
          </cell>
          <cell r="AD38">
            <v>4882.942</v>
          </cell>
          <cell r="AN38" t="str">
            <v xml:space="preserve">Contrato emergencial nº </v>
          </cell>
          <cell r="AO38" t="str">
            <v>FO</v>
          </cell>
        </row>
        <row r="39">
          <cell r="D39" t="str">
            <v>0905/11</v>
          </cell>
          <cell r="E39" t="str">
            <v>04/04/2011</v>
          </cell>
          <cell r="F39">
            <v>40816</v>
          </cell>
          <cell r="G39">
            <v>40816</v>
          </cell>
          <cell r="H39" t="str">
            <v>2011-0.072.864-0</v>
          </cell>
          <cell r="I39">
            <v>37607.879999999997</v>
          </cell>
          <cell r="J39" t="str">
            <v xml:space="preserve">              123651121                 2847                    33903600</v>
          </cell>
          <cell r="K39">
            <v>40787</v>
          </cell>
          <cell r="L39">
            <v>30</v>
          </cell>
          <cell r="M39">
            <v>6300</v>
          </cell>
          <cell r="N39">
            <v>57273</v>
          </cell>
          <cell r="O39">
            <v>12579</v>
          </cell>
          <cell r="P39">
            <v>16</v>
          </cell>
          <cell r="Q39">
            <v>2</v>
          </cell>
          <cell r="T39">
            <v>6300</v>
          </cell>
          <cell r="W39">
            <v>30</v>
          </cell>
          <cell r="AA39">
            <v>0</v>
          </cell>
          <cell r="AB39">
            <v>208.93266666666665</v>
          </cell>
          <cell r="AD39">
            <v>4682.4349999999995</v>
          </cell>
          <cell r="AN39" t="str">
            <v xml:space="preserve">Contrato emergencial nº </v>
          </cell>
          <cell r="AO39" t="str">
            <v>FO</v>
          </cell>
        </row>
        <row r="40">
          <cell r="D40" t="str">
            <v>1463/11</v>
          </cell>
          <cell r="E40" t="str">
            <v>04/04/2011</v>
          </cell>
          <cell r="F40">
            <v>40816</v>
          </cell>
          <cell r="G40">
            <v>40816</v>
          </cell>
          <cell r="H40" t="str">
            <v>2011-0.100.564-1</v>
          </cell>
          <cell r="I40">
            <v>27565.02</v>
          </cell>
          <cell r="J40" t="str">
            <v xml:space="preserve">              123651121                 2847                    33903600</v>
          </cell>
          <cell r="K40">
            <v>40787</v>
          </cell>
          <cell r="L40">
            <v>30</v>
          </cell>
          <cell r="M40">
            <v>4600</v>
          </cell>
          <cell r="N40">
            <v>57273</v>
          </cell>
          <cell r="P40">
            <v>16</v>
          </cell>
          <cell r="Q40">
            <v>2</v>
          </cell>
          <cell r="T40">
            <v>4600</v>
          </cell>
          <cell r="W40">
            <v>30</v>
          </cell>
          <cell r="AA40">
            <v>0</v>
          </cell>
          <cell r="AB40">
            <v>153.13900000000001</v>
          </cell>
          <cell r="AN40" t="str">
            <v xml:space="preserve">Contrato emergencial nº </v>
          </cell>
          <cell r="AO40" t="str">
            <v>FO</v>
          </cell>
        </row>
        <row r="41">
          <cell r="D41" t="str">
            <v>0875/11</v>
          </cell>
          <cell r="E41" t="str">
            <v>04/04/2011</v>
          </cell>
          <cell r="F41">
            <v>40816</v>
          </cell>
          <cell r="G41">
            <v>40816</v>
          </cell>
          <cell r="H41" t="str">
            <v>2011-0.070.718-9</v>
          </cell>
          <cell r="I41">
            <v>37607.879999999997</v>
          </cell>
          <cell r="J41" t="str">
            <v xml:space="preserve">              123611122                  2848                    33903600</v>
          </cell>
          <cell r="K41">
            <v>40787</v>
          </cell>
          <cell r="L41">
            <v>30</v>
          </cell>
          <cell r="M41">
            <v>6300</v>
          </cell>
          <cell r="N41">
            <v>57278</v>
          </cell>
          <cell r="O41">
            <v>12267</v>
          </cell>
          <cell r="P41">
            <v>16</v>
          </cell>
          <cell r="Q41">
            <v>3</v>
          </cell>
          <cell r="T41">
            <v>705.28</v>
          </cell>
          <cell r="W41">
            <v>30</v>
          </cell>
          <cell r="AA41">
            <v>0</v>
          </cell>
          <cell r="AB41">
            <v>208.93266666666665</v>
          </cell>
          <cell r="AD41">
            <v>5728.6449999999995</v>
          </cell>
          <cell r="AN41" t="str">
            <v xml:space="preserve">Contrato emergencial nº </v>
          </cell>
          <cell r="AO41" t="str">
            <v>FO</v>
          </cell>
        </row>
        <row r="42">
          <cell r="D42" t="str">
            <v>0885/11</v>
          </cell>
          <cell r="E42" t="str">
            <v>04/04/2011</v>
          </cell>
          <cell r="F42">
            <v>40816</v>
          </cell>
          <cell r="G42">
            <v>40816</v>
          </cell>
          <cell r="H42" t="str">
            <v>2011-0.072.403-2</v>
          </cell>
          <cell r="I42">
            <v>20967.419999999998</v>
          </cell>
          <cell r="J42" t="str">
            <v xml:space="preserve">              123611122                  2848                    33903600</v>
          </cell>
          <cell r="K42">
            <v>40787</v>
          </cell>
          <cell r="L42">
            <v>30</v>
          </cell>
          <cell r="M42">
            <v>4350.88</v>
          </cell>
          <cell r="N42">
            <v>57278</v>
          </cell>
          <cell r="O42">
            <v>12315</v>
          </cell>
          <cell r="P42">
            <v>16</v>
          </cell>
          <cell r="Q42">
            <v>3</v>
          </cell>
          <cell r="S42">
            <v>850.88</v>
          </cell>
          <cell r="T42">
            <v>4350.88</v>
          </cell>
          <cell r="W42">
            <v>30</v>
          </cell>
          <cell r="AA42">
            <v>0</v>
          </cell>
          <cell r="AB42">
            <v>116.48566666666666</v>
          </cell>
          <cell r="AD42">
            <v>3944.7799999999997</v>
          </cell>
          <cell r="AN42" t="str">
            <v xml:space="preserve">Contrato emergencial nº </v>
          </cell>
          <cell r="AO42" t="str">
            <v>FO</v>
          </cell>
        </row>
        <row r="43">
          <cell r="D43" t="str">
            <v>0886/11</v>
          </cell>
          <cell r="E43" t="str">
            <v>04/04/2011</v>
          </cell>
          <cell r="F43">
            <v>40816</v>
          </cell>
          <cell r="G43">
            <v>40816</v>
          </cell>
          <cell r="H43" t="str">
            <v>2011-0.072.406-7</v>
          </cell>
          <cell r="I43">
            <v>40877.160000000003</v>
          </cell>
          <cell r="J43" t="str">
            <v xml:space="preserve">              123611122                  2848                    33903600</v>
          </cell>
          <cell r="K43">
            <v>40787</v>
          </cell>
          <cell r="L43">
            <v>30</v>
          </cell>
          <cell r="M43">
            <v>6900</v>
          </cell>
          <cell r="N43">
            <v>57278</v>
          </cell>
          <cell r="O43">
            <v>12320</v>
          </cell>
          <cell r="P43">
            <v>16</v>
          </cell>
          <cell r="Q43">
            <v>3</v>
          </cell>
          <cell r="T43">
            <v>6900</v>
          </cell>
          <cell r="W43">
            <v>30</v>
          </cell>
          <cell r="AA43">
            <v>0</v>
          </cell>
          <cell r="AB43">
            <v>227.09533333333334</v>
          </cell>
          <cell r="AD43">
            <v>4585.0199999999995</v>
          </cell>
          <cell r="AN43" t="str">
            <v xml:space="preserve">Contrato emergencial nº </v>
          </cell>
          <cell r="AO43" t="str">
            <v>FO</v>
          </cell>
        </row>
        <row r="44">
          <cell r="D44" t="str">
            <v>0906/11</v>
          </cell>
          <cell r="E44" t="str">
            <v>04/04/2011</v>
          </cell>
          <cell r="F44">
            <v>40816</v>
          </cell>
          <cell r="G44">
            <v>40816</v>
          </cell>
          <cell r="H44" t="str">
            <v>2011-0.072.869-0</v>
          </cell>
          <cell r="I44">
            <v>38261.760000000002</v>
          </cell>
          <cell r="J44" t="str">
            <v xml:space="preserve">              123611122                  2848                    33903600</v>
          </cell>
          <cell r="K44">
            <v>40787</v>
          </cell>
          <cell r="L44">
            <v>30</v>
          </cell>
          <cell r="M44">
            <v>6400</v>
          </cell>
          <cell r="N44">
            <v>57278</v>
          </cell>
          <cell r="O44">
            <v>12581</v>
          </cell>
          <cell r="P44">
            <v>16</v>
          </cell>
          <cell r="Q44">
            <v>3</v>
          </cell>
          <cell r="T44">
            <v>1837.24</v>
          </cell>
          <cell r="W44">
            <v>30</v>
          </cell>
          <cell r="AA44">
            <v>0</v>
          </cell>
          <cell r="AB44">
            <v>212.56533333333334</v>
          </cell>
          <cell r="AD44">
            <v>5789.7599999999993</v>
          </cell>
          <cell r="AN44" t="str">
            <v xml:space="preserve">Contrato emergencial nº </v>
          </cell>
          <cell r="AO44" t="str">
            <v>FO</v>
          </cell>
        </row>
        <row r="45">
          <cell r="D45" t="str">
            <v>0907/11</v>
          </cell>
          <cell r="E45" t="str">
            <v>04/04/2011</v>
          </cell>
          <cell r="F45">
            <v>40816</v>
          </cell>
          <cell r="G45">
            <v>40816</v>
          </cell>
          <cell r="H45" t="str">
            <v>2011-0.072.872-0</v>
          </cell>
          <cell r="I45">
            <v>26039.46</v>
          </cell>
          <cell r="J45" t="str">
            <v xml:space="preserve">              123611122                  2848                    33903600</v>
          </cell>
          <cell r="K45">
            <v>40787</v>
          </cell>
          <cell r="L45">
            <v>30</v>
          </cell>
          <cell r="M45">
            <v>4400</v>
          </cell>
          <cell r="N45">
            <v>57278</v>
          </cell>
          <cell r="O45">
            <v>12583</v>
          </cell>
          <cell r="P45">
            <v>16</v>
          </cell>
          <cell r="Q45">
            <v>3</v>
          </cell>
          <cell r="T45">
            <v>4037.21</v>
          </cell>
          <cell r="W45">
            <v>30</v>
          </cell>
          <cell r="AA45">
            <v>0</v>
          </cell>
          <cell r="AB45">
            <v>144.66366666666667</v>
          </cell>
          <cell r="AD45">
            <v>4306.41</v>
          </cell>
          <cell r="AN45" t="str">
            <v xml:space="preserve">Contrato emergencial nº </v>
          </cell>
          <cell r="AO45" t="str">
            <v>FO</v>
          </cell>
        </row>
        <row r="46">
          <cell r="D46" t="str">
            <v>0908/11</v>
          </cell>
          <cell r="E46" t="str">
            <v>04/04/2011</v>
          </cell>
          <cell r="F46">
            <v>40816</v>
          </cell>
          <cell r="G46">
            <v>40816</v>
          </cell>
          <cell r="H46" t="str">
            <v>2011-0.072.882-8</v>
          </cell>
          <cell r="I46">
            <v>37607.879999999997</v>
          </cell>
          <cell r="J46" t="str">
            <v xml:space="preserve">              123611122                  2848                    33903600</v>
          </cell>
          <cell r="K46">
            <v>40787</v>
          </cell>
          <cell r="L46">
            <v>30</v>
          </cell>
          <cell r="M46">
            <v>6300</v>
          </cell>
          <cell r="N46">
            <v>57278</v>
          </cell>
          <cell r="O46">
            <v>12584</v>
          </cell>
          <cell r="P46">
            <v>16</v>
          </cell>
          <cell r="Q46">
            <v>3</v>
          </cell>
          <cell r="T46">
            <v>1935.12</v>
          </cell>
          <cell r="W46">
            <v>30</v>
          </cell>
          <cell r="AA46">
            <v>0</v>
          </cell>
          <cell r="AB46">
            <v>208.93266666666665</v>
          </cell>
          <cell r="AD46">
            <v>5670.62</v>
          </cell>
          <cell r="AN46" t="str">
            <v xml:space="preserve">Contrato emergencial nº </v>
          </cell>
          <cell r="AO46" t="str">
            <v>FO</v>
          </cell>
        </row>
        <row r="47">
          <cell r="D47" t="str">
            <v>0909/11</v>
          </cell>
          <cell r="E47" t="str">
            <v>04/04/2011</v>
          </cell>
          <cell r="F47">
            <v>40816</v>
          </cell>
          <cell r="G47">
            <v>40816</v>
          </cell>
          <cell r="H47" t="str">
            <v>2011-0.072.894-1</v>
          </cell>
          <cell r="I47">
            <v>30150.54</v>
          </cell>
          <cell r="J47" t="str">
            <v xml:space="preserve">              123611122                  2848                    33903600</v>
          </cell>
          <cell r="K47">
            <v>40787</v>
          </cell>
          <cell r="L47">
            <v>30</v>
          </cell>
          <cell r="M47">
            <v>5100</v>
          </cell>
          <cell r="N47">
            <v>57278</v>
          </cell>
          <cell r="O47">
            <v>12586</v>
          </cell>
          <cell r="P47">
            <v>16</v>
          </cell>
          <cell r="Q47">
            <v>3</v>
          </cell>
          <cell r="T47">
            <v>3554.18</v>
          </cell>
          <cell r="W47">
            <v>30</v>
          </cell>
          <cell r="AA47">
            <v>0</v>
          </cell>
          <cell r="AB47">
            <v>167.50300000000001</v>
          </cell>
          <cell r="AD47">
            <v>4888.3249999999998</v>
          </cell>
          <cell r="AN47" t="str">
            <v xml:space="preserve">Contrato emergencial nº </v>
          </cell>
          <cell r="AO47" t="str">
            <v>FO</v>
          </cell>
        </row>
        <row r="48">
          <cell r="D48" t="str">
            <v>0910/11</v>
          </cell>
          <cell r="E48" t="str">
            <v>04/04/2011</v>
          </cell>
          <cell r="F48">
            <v>40816</v>
          </cell>
          <cell r="G48">
            <v>40816</v>
          </cell>
          <cell r="H48" t="str">
            <v>2011-0.073.778-9</v>
          </cell>
          <cell r="I48">
            <v>31824.66</v>
          </cell>
          <cell r="J48" t="str">
            <v xml:space="preserve">              123611122                  2848                    33903600</v>
          </cell>
          <cell r="K48">
            <v>40787</v>
          </cell>
          <cell r="L48">
            <v>30</v>
          </cell>
          <cell r="M48">
            <v>5400</v>
          </cell>
          <cell r="N48">
            <v>57278</v>
          </cell>
          <cell r="O48">
            <v>12588</v>
          </cell>
          <cell r="P48">
            <v>16</v>
          </cell>
          <cell r="Q48">
            <v>3</v>
          </cell>
          <cell r="T48">
            <v>309.14</v>
          </cell>
          <cell r="W48">
            <v>30</v>
          </cell>
          <cell r="AA48">
            <v>0</v>
          </cell>
          <cell r="AB48">
            <v>176.80366666666666</v>
          </cell>
          <cell r="AD48">
            <v>4518.0600000000004</v>
          </cell>
          <cell r="AN48" t="str">
            <v xml:space="preserve">Contrato emergencial nº </v>
          </cell>
          <cell r="AO48" t="str">
            <v>FO</v>
          </cell>
        </row>
        <row r="49">
          <cell r="D49" t="str">
            <v>0911/11</v>
          </cell>
          <cell r="E49" t="str">
            <v>04/04/2011</v>
          </cell>
          <cell r="F49">
            <v>40816</v>
          </cell>
          <cell r="G49">
            <v>40816</v>
          </cell>
          <cell r="H49" t="str">
            <v>2011-0.072.955-7</v>
          </cell>
          <cell r="I49">
            <v>27109.32</v>
          </cell>
          <cell r="J49" t="str">
            <v xml:space="preserve">              123611122                  2848                    33903600</v>
          </cell>
          <cell r="K49">
            <v>40787</v>
          </cell>
          <cell r="L49">
            <v>30</v>
          </cell>
          <cell r="M49">
            <v>4600</v>
          </cell>
          <cell r="N49">
            <v>57278</v>
          </cell>
          <cell r="O49">
            <v>12590</v>
          </cell>
          <cell r="P49">
            <v>16</v>
          </cell>
          <cell r="Q49">
            <v>3</v>
          </cell>
          <cell r="S49">
            <v>465.59</v>
          </cell>
          <cell r="T49">
            <v>4600</v>
          </cell>
          <cell r="W49">
            <v>30</v>
          </cell>
          <cell r="AA49">
            <v>0</v>
          </cell>
          <cell r="AB49">
            <v>150.60733333333334</v>
          </cell>
          <cell r="AD49">
            <v>4576.3900000000003</v>
          </cell>
          <cell r="AN49" t="str">
            <v xml:space="preserve">Contrato emergencial nº </v>
          </cell>
          <cell r="AO49" t="str">
            <v>FO</v>
          </cell>
        </row>
        <row r="50">
          <cell r="D50" t="str">
            <v>0912/11</v>
          </cell>
          <cell r="E50" t="str">
            <v>04/04/2011</v>
          </cell>
          <cell r="F50">
            <v>40816</v>
          </cell>
          <cell r="G50">
            <v>40816</v>
          </cell>
          <cell r="H50" t="str">
            <v>2011-0.072.960-3</v>
          </cell>
          <cell r="I50">
            <v>27158.880000000001</v>
          </cell>
          <cell r="J50" t="str">
            <v xml:space="preserve">              123611122                  2848                    33903600</v>
          </cell>
          <cell r="K50">
            <v>40787</v>
          </cell>
          <cell r="L50">
            <v>30</v>
          </cell>
          <cell r="M50">
            <v>4600</v>
          </cell>
          <cell r="N50">
            <v>57278</v>
          </cell>
          <cell r="O50">
            <v>12592</v>
          </cell>
          <cell r="P50">
            <v>16</v>
          </cell>
          <cell r="Q50">
            <v>3</v>
          </cell>
          <cell r="S50">
            <v>2386.7199999999998</v>
          </cell>
          <cell r="T50">
            <v>410.26</v>
          </cell>
          <cell r="W50">
            <v>30</v>
          </cell>
          <cell r="AA50">
            <v>0</v>
          </cell>
          <cell r="AB50">
            <v>150.88266666666667</v>
          </cell>
          <cell r="AD50">
            <v>5079.26</v>
          </cell>
          <cell r="AN50" t="str">
            <v xml:space="preserve">Contrato emergencial nº </v>
          </cell>
          <cell r="AO50" t="str">
            <v>FO</v>
          </cell>
        </row>
        <row r="51">
          <cell r="D51" t="str">
            <v>0913/11</v>
          </cell>
          <cell r="E51" t="str">
            <v>04/04/2011</v>
          </cell>
          <cell r="F51">
            <v>40816</v>
          </cell>
          <cell r="G51">
            <v>40816</v>
          </cell>
          <cell r="H51" t="str">
            <v>2011-0.072.961-1</v>
          </cell>
          <cell r="I51">
            <v>37607.879999999997</v>
          </cell>
          <cell r="J51" t="str">
            <v xml:space="preserve">              123611122                  2848                    33903600</v>
          </cell>
          <cell r="K51">
            <v>40787</v>
          </cell>
          <cell r="L51">
            <v>30</v>
          </cell>
          <cell r="M51">
            <v>6300</v>
          </cell>
          <cell r="N51">
            <v>57278</v>
          </cell>
          <cell r="O51">
            <v>12754</v>
          </cell>
          <cell r="P51">
            <v>16</v>
          </cell>
          <cell r="Q51">
            <v>3</v>
          </cell>
          <cell r="T51">
            <v>6300</v>
          </cell>
          <cell r="W51">
            <v>30</v>
          </cell>
          <cell r="AA51">
            <v>0</v>
          </cell>
          <cell r="AB51">
            <v>208.93266666666665</v>
          </cell>
          <cell r="AD51">
            <v>4887.1050000000005</v>
          </cell>
          <cell r="AN51" t="str">
            <v xml:space="preserve">Contrato emergencial nº </v>
          </cell>
          <cell r="AO51" t="str">
            <v>FO</v>
          </cell>
        </row>
        <row r="52">
          <cell r="D52" t="str">
            <v>0914/11</v>
          </cell>
          <cell r="E52" t="str">
            <v>04/04/2011</v>
          </cell>
          <cell r="F52">
            <v>40816</v>
          </cell>
          <cell r="G52">
            <v>40816</v>
          </cell>
          <cell r="H52" t="str">
            <v>2011-0.072.963-8</v>
          </cell>
          <cell r="I52">
            <v>21373.56</v>
          </cell>
          <cell r="J52" t="str">
            <v xml:space="preserve">              123611122                  2848                    33903600</v>
          </cell>
          <cell r="K52">
            <v>40787</v>
          </cell>
          <cell r="L52">
            <v>30</v>
          </cell>
          <cell r="M52">
            <v>3600</v>
          </cell>
          <cell r="N52">
            <v>57278</v>
          </cell>
          <cell r="O52">
            <v>12758</v>
          </cell>
          <cell r="P52">
            <v>16</v>
          </cell>
          <cell r="Q52">
            <v>3</v>
          </cell>
          <cell r="S52">
            <v>3209.09</v>
          </cell>
          <cell r="T52">
            <v>852.62</v>
          </cell>
          <cell r="W52">
            <v>30</v>
          </cell>
          <cell r="AA52">
            <v>0</v>
          </cell>
          <cell r="AB52">
            <v>118.742</v>
          </cell>
          <cell r="AD52">
            <v>4494.32</v>
          </cell>
          <cell r="AN52" t="str">
            <v xml:space="preserve">Contrato emergencial nº </v>
          </cell>
          <cell r="AO52" t="str">
            <v>FO</v>
          </cell>
        </row>
        <row r="53">
          <cell r="D53" t="str">
            <v>0971/11</v>
          </cell>
          <cell r="E53" t="str">
            <v>04/04/2011</v>
          </cell>
          <cell r="F53">
            <v>40816</v>
          </cell>
          <cell r="G53">
            <v>40816</v>
          </cell>
          <cell r="H53" t="str">
            <v>2011-0.073.189-6</v>
          </cell>
          <cell r="I53">
            <v>28377.3</v>
          </cell>
          <cell r="J53" t="str">
            <v xml:space="preserve">              123611122                  2848                    33903600</v>
          </cell>
          <cell r="K53">
            <v>40787</v>
          </cell>
          <cell r="L53">
            <v>30</v>
          </cell>
          <cell r="M53">
            <v>4800</v>
          </cell>
          <cell r="N53">
            <v>57278</v>
          </cell>
          <cell r="O53">
            <v>13607</v>
          </cell>
          <cell r="P53">
            <v>16</v>
          </cell>
          <cell r="Q53">
            <v>3</v>
          </cell>
          <cell r="S53">
            <v>979.2</v>
          </cell>
          <cell r="T53">
            <v>727.33</v>
          </cell>
          <cell r="W53">
            <v>30</v>
          </cell>
          <cell r="AA53">
            <v>0</v>
          </cell>
          <cell r="AB53">
            <v>157.65166666666667</v>
          </cell>
          <cell r="AD53">
            <v>5013.1449999999995</v>
          </cell>
          <cell r="AN53" t="str">
            <v xml:space="preserve">Contrato emergencial nº </v>
          </cell>
          <cell r="AO53" t="str">
            <v>FO</v>
          </cell>
        </row>
        <row r="54">
          <cell r="D54" t="str">
            <v>0915/11</v>
          </cell>
          <cell r="E54" t="str">
            <v>04/04/2011</v>
          </cell>
          <cell r="F54">
            <v>40816</v>
          </cell>
          <cell r="G54">
            <v>40816</v>
          </cell>
          <cell r="H54" t="str">
            <v>2011-0.072.966-2</v>
          </cell>
          <cell r="I54">
            <v>44324.52</v>
          </cell>
          <cell r="J54" t="str">
            <v xml:space="preserve">              123651121                 2847                    33903600</v>
          </cell>
          <cell r="K54">
            <v>40787</v>
          </cell>
          <cell r="L54">
            <v>30</v>
          </cell>
          <cell r="M54">
            <v>7400</v>
          </cell>
          <cell r="N54">
            <v>57273</v>
          </cell>
          <cell r="O54">
            <v>12763</v>
          </cell>
          <cell r="P54">
            <v>16</v>
          </cell>
          <cell r="Q54">
            <v>2</v>
          </cell>
          <cell r="T54">
            <v>139.36000000000001</v>
          </cell>
          <cell r="W54">
            <v>30</v>
          </cell>
          <cell r="AA54">
            <v>0</v>
          </cell>
          <cell r="AB54">
            <v>246.2473333333333</v>
          </cell>
          <cell r="AD54">
            <v>6509.7199999999993</v>
          </cell>
          <cell r="AN54" t="str">
            <v xml:space="preserve">Contrato emergencial nº </v>
          </cell>
          <cell r="AO54" t="str">
            <v>G</v>
          </cell>
        </row>
        <row r="55">
          <cell r="D55" t="str">
            <v>0933/11</v>
          </cell>
          <cell r="E55" t="str">
            <v>04/04/2011</v>
          </cell>
          <cell r="F55">
            <v>40816</v>
          </cell>
          <cell r="G55">
            <v>40816</v>
          </cell>
          <cell r="H55" t="str">
            <v>2011-0.072.920-4</v>
          </cell>
          <cell r="I55">
            <v>26297.040000000001</v>
          </cell>
          <cell r="J55" t="str">
            <v xml:space="preserve">              123651121                 2847                    33903600</v>
          </cell>
          <cell r="K55">
            <v>40787</v>
          </cell>
          <cell r="L55">
            <v>30</v>
          </cell>
          <cell r="M55">
            <v>4400</v>
          </cell>
          <cell r="N55">
            <v>57273</v>
          </cell>
          <cell r="O55">
            <v>12911</v>
          </cell>
          <cell r="P55">
            <v>16</v>
          </cell>
          <cell r="Q55">
            <v>2</v>
          </cell>
          <cell r="S55">
            <v>1976.28</v>
          </cell>
          <cell r="T55">
            <v>2334.56</v>
          </cell>
          <cell r="W55">
            <v>30</v>
          </cell>
          <cell r="AA55">
            <v>0</v>
          </cell>
          <cell r="AB55">
            <v>146.09466666666668</v>
          </cell>
          <cell r="AD55">
            <v>5368.1600000000008</v>
          </cell>
          <cell r="AN55" t="str">
            <v xml:space="preserve">Contrato emergencial nº </v>
          </cell>
          <cell r="AO55" t="str">
            <v>G</v>
          </cell>
        </row>
        <row r="56">
          <cell r="D56" t="str">
            <v>0938/11</v>
          </cell>
          <cell r="E56" t="str">
            <v>04/04/2011</v>
          </cell>
          <cell r="F56">
            <v>40816</v>
          </cell>
          <cell r="G56">
            <v>40816</v>
          </cell>
          <cell r="H56" t="str">
            <v>2011-0.072.934-4</v>
          </cell>
          <cell r="I56">
            <v>37607.879999999997</v>
          </cell>
          <cell r="J56" t="str">
            <v xml:space="preserve">              123651121                 2847                    33903600</v>
          </cell>
          <cell r="K56">
            <v>40787</v>
          </cell>
          <cell r="L56">
            <v>30</v>
          </cell>
          <cell r="M56">
            <v>6300</v>
          </cell>
          <cell r="N56">
            <v>57273</v>
          </cell>
          <cell r="O56">
            <v>12940</v>
          </cell>
          <cell r="P56">
            <v>16</v>
          </cell>
          <cell r="Q56">
            <v>2</v>
          </cell>
          <cell r="T56">
            <v>4432.45</v>
          </cell>
          <cell r="W56">
            <v>30</v>
          </cell>
          <cell r="AA56">
            <v>0</v>
          </cell>
          <cell r="AB56">
            <v>208.93266666666665</v>
          </cell>
          <cell r="AD56">
            <v>6243.83</v>
          </cell>
          <cell r="AN56" t="str">
            <v xml:space="preserve">Contrato emergencial nº </v>
          </cell>
          <cell r="AO56" t="str">
            <v>G</v>
          </cell>
        </row>
        <row r="57">
          <cell r="D57" t="str">
            <v>0978/11</v>
          </cell>
          <cell r="E57" t="str">
            <v>04/04/2011</v>
          </cell>
          <cell r="F57">
            <v>40816</v>
          </cell>
          <cell r="G57">
            <v>40816</v>
          </cell>
          <cell r="H57" t="str">
            <v>2011-0.073.347-3</v>
          </cell>
          <cell r="I57">
            <v>39569.46</v>
          </cell>
          <cell r="J57" t="str">
            <v xml:space="preserve">              123651121                 2847                    33903600</v>
          </cell>
          <cell r="K57">
            <v>40787</v>
          </cell>
          <cell r="L57">
            <v>30</v>
          </cell>
          <cell r="M57">
            <v>6600</v>
          </cell>
          <cell r="N57">
            <v>57273</v>
          </cell>
          <cell r="O57">
            <v>13635</v>
          </cell>
          <cell r="P57">
            <v>16</v>
          </cell>
          <cell r="Q57">
            <v>2</v>
          </cell>
          <cell r="T57">
            <v>6600</v>
          </cell>
          <cell r="W57">
            <v>30</v>
          </cell>
          <cell r="AA57">
            <v>0</v>
          </cell>
          <cell r="AB57">
            <v>219.83033333333333</v>
          </cell>
          <cell r="AD57">
            <v>5306.67</v>
          </cell>
          <cell r="AN57" t="str">
            <v xml:space="preserve">Contrato emergencial nº </v>
          </cell>
          <cell r="AO57" t="str">
            <v>G</v>
          </cell>
        </row>
        <row r="58">
          <cell r="D58" t="str">
            <v>0887/11</v>
          </cell>
          <cell r="E58" t="str">
            <v>04/04/2011</v>
          </cell>
          <cell r="F58">
            <v>40816</v>
          </cell>
          <cell r="G58">
            <v>40816</v>
          </cell>
          <cell r="H58" t="str">
            <v>2011-0.072.410-5</v>
          </cell>
          <cell r="I58">
            <v>38261.760000000002</v>
          </cell>
          <cell r="J58" t="str">
            <v xml:space="preserve">              123611122                  2848                    33903600</v>
          </cell>
          <cell r="K58">
            <v>40787</v>
          </cell>
          <cell r="L58">
            <v>30</v>
          </cell>
          <cell r="M58">
            <v>6400</v>
          </cell>
          <cell r="N58">
            <v>57278</v>
          </cell>
          <cell r="O58">
            <v>12325</v>
          </cell>
          <cell r="P58">
            <v>16</v>
          </cell>
          <cell r="Q58">
            <v>3</v>
          </cell>
          <cell r="T58">
            <v>6400</v>
          </cell>
          <cell r="W58">
            <v>30</v>
          </cell>
          <cell r="AA58">
            <v>0</v>
          </cell>
          <cell r="AB58">
            <v>212.56533333333334</v>
          </cell>
          <cell r="AD58">
            <v>5209.7199999999993</v>
          </cell>
          <cell r="AN58" t="str">
            <v xml:space="preserve">Contrato emergencial nº </v>
          </cell>
          <cell r="AO58" t="str">
            <v>G</v>
          </cell>
        </row>
        <row r="59">
          <cell r="D59" t="str">
            <v>0976/11</v>
          </cell>
          <cell r="E59" t="str">
            <v>04/04/2011</v>
          </cell>
          <cell r="F59">
            <v>40816</v>
          </cell>
          <cell r="G59">
            <v>40816</v>
          </cell>
          <cell r="H59" t="str">
            <v>2011-0.073.336-8</v>
          </cell>
          <cell r="I59">
            <v>22185.9</v>
          </cell>
          <cell r="J59" t="str">
            <v xml:space="preserve">              123611122                  2848                    33903600</v>
          </cell>
          <cell r="K59">
            <v>40787</v>
          </cell>
          <cell r="L59">
            <v>30</v>
          </cell>
          <cell r="M59">
            <v>3700</v>
          </cell>
          <cell r="N59">
            <v>57278</v>
          </cell>
          <cell r="O59">
            <v>13629</v>
          </cell>
          <cell r="P59">
            <v>16</v>
          </cell>
          <cell r="Q59">
            <v>3</v>
          </cell>
          <cell r="S59">
            <v>1826.5</v>
          </cell>
          <cell r="T59">
            <v>659.59</v>
          </cell>
          <cell r="W59">
            <v>30</v>
          </cell>
          <cell r="AA59">
            <v>0</v>
          </cell>
          <cell r="AB59">
            <v>123.25500000000001</v>
          </cell>
          <cell r="AD59">
            <v>4404.21</v>
          </cell>
          <cell r="AN59" t="str">
            <v xml:space="preserve">Contrato emergencial nº </v>
          </cell>
          <cell r="AO59" t="str">
            <v>G</v>
          </cell>
        </row>
        <row r="60">
          <cell r="D60" t="str">
            <v>0916/11</v>
          </cell>
          <cell r="E60" t="str">
            <v>04/04/2011</v>
          </cell>
          <cell r="F60">
            <v>40816</v>
          </cell>
          <cell r="G60">
            <v>40816</v>
          </cell>
          <cell r="H60" t="str">
            <v>2011-0.072.971-9</v>
          </cell>
          <cell r="I60">
            <v>27109.32</v>
          </cell>
          <cell r="J60" t="str">
            <v xml:space="preserve">              123611122                  2848                    33903600</v>
          </cell>
          <cell r="K60">
            <v>40787</v>
          </cell>
          <cell r="L60">
            <v>30</v>
          </cell>
          <cell r="M60">
            <v>4600</v>
          </cell>
          <cell r="N60">
            <v>57278</v>
          </cell>
          <cell r="O60">
            <v>12789</v>
          </cell>
          <cell r="P60">
            <v>16</v>
          </cell>
          <cell r="Q60">
            <v>3</v>
          </cell>
          <cell r="T60">
            <v>925.11</v>
          </cell>
          <cell r="W60">
            <v>30</v>
          </cell>
          <cell r="AA60">
            <v>0</v>
          </cell>
          <cell r="AB60">
            <v>150.60733333333334</v>
          </cell>
          <cell r="AD60">
            <v>4016.78</v>
          </cell>
          <cell r="AN60" t="str">
            <v xml:space="preserve">Contrato emergencial nº </v>
          </cell>
          <cell r="AO60" t="str">
            <v>IP</v>
          </cell>
        </row>
        <row r="61">
          <cell r="D61" t="str">
            <v>0917/11</v>
          </cell>
          <cell r="E61" t="str">
            <v>04/04/2011</v>
          </cell>
          <cell r="F61">
            <v>40816</v>
          </cell>
          <cell r="G61">
            <v>40816</v>
          </cell>
          <cell r="H61" t="str">
            <v>2011-0.072.972-7</v>
          </cell>
          <cell r="I61">
            <v>36954.120000000003</v>
          </cell>
          <cell r="J61" t="str">
            <v xml:space="preserve">              123651121                 2847                    33903600</v>
          </cell>
          <cell r="K61">
            <v>40787</v>
          </cell>
          <cell r="L61">
            <v>30</v>
          </cell>
          <cell r="M61">
            <v>6200</v>
          </cell>
          <cell r="N61">
            <v>57273</v>
          </cell>
          <cell r="O61">
            <v>12790</v>
          </cell>
          <cell r="P61">
            <v>16</v>
          </cell>
          <cell r="Q61">
            <v>2</v>
          </cell>
          <cell r="T61">
            <v>6200</v>
          </cell>
          <cell r="W61">
            <v>30</v>
          </cell>
          <cell r="AA61">
            <v>0</v>
          </cell>
          <cell r="AB61">
            <v>205.30066666666667</v>
          </cell>
          <cell r="AD61">
            <v>4924.4949999999999</v>
          </cell>
          <cell r="AN61" t="str">
            <v xml:space="preserve">Contrato emergencial nº </v>
          </cell>
          <cell r="AO61" t="str">
            <v>IQ</v>
          </cell>
        </row>
        <row r="62">
          <cell r="D62" t="str">
            <v>0918/11</v>
          </cell>
          <cell r="E62" t="str">
            <v>04/04/2011</v>
          </cell>
          <cell r="F62">
            <v>40816</v>
          </cell>
          <cell r="G62">
            <v>40816</v>
          </cell>
          <cell r="H62" t="str">
            <v>2011-0.072.974-3</v>
          </cell>
          <cell r="I62">
            <v>30556.68</v>
          </cell>
          <cell r="J62" t="str">
            <v xml:space="preserve">              123651121                 2847                    33903600</v>
          </cell>
          <cell r="K62">
            <v>40787</v>
          </cell>
          <cell r="L62">
            <v>30</v>
          </cell>
          <cell r="M62">
            <v>5100</v>
          </cell>
          <cell r="N62">
            <v>57273</v>
          </cell>
          <cell r="O62">
            <v>12793</v>
          </cell>
          <cell r="P62">
            <v>16</v>
          </cell>
          <cell r="Q62">
            <v>2</v>
          </cell>
          <cell r="S62">
            <v>1444.99</v>
          </cell>
          <cell r="T62">
            <v>5100</v>
          </cell>
          <cell r="W62">
            <v>30</v>
          </cell>
          <cell r="AA62">
            <v>0</v>
          </cell>
          <cell r="AB62">
            <v>169.75933333333333</v>
          </cell>
          <cell r="AD62">
            <v>5407.8399999999992</v>
          </cell>
          <cell r="AN62" t="str">
            <v xml:space="preserve">Contrato emergencial nº </v>
          </cell>
          <cell r="AO62" t="str">
            <v>IQ</v>
          </cell>
        </row>
        <row r="63">
          <cell r="D63" t="str">
            <v>0939/11</v>
          </cell>
          <cell r="E63" t="str">
            <v>04/04/2011</v>
          </cell>
          <cell r="F63">
            <v>40816</v>
          </cell>
          <cell r="G63">
            <v>40816</v>
          </cell>
          <cell r="H63" t="str">
            <v>2011-0.072.936-0</v>
          </cell>
          <cell r="I63">
            <v>38261.760000000002</v>
          </cell>
          <cell r="J63" t="str">
            <v xml:space="preserve">              123651121                 2847                    33903600</v>
          </cell>
          <cell r="K63">
            <v>40787</v>
          </cell>
          <cell r="L63">
            <v>30</v>
          </cell>
          <cell r="M63">
            <v>6400</v>
          </cell>
          <cell r="N63">
            <v>57273</v>
          </cell>
          <cell r="O63">
            <v>12943</v>
          </cell>
          <cell r="P63">
            <v>16</v>
          </cell>
          <cell r="Q63">
            <v>2</v>
          </cell>
          <cell r="T63">
            <v>6400</v>
          </cell>
          <cell r="W63">
            <v>30</v>
          </cell>
          <cell r="AA63">
            <v>0</v>
          </cell>
          <cell r="AB63">
            <v>212.56533333333334</v>
          </cell>
          <cell r="AD63">
            <v>4974.34</v>
          </cell>
          <cell r="AN63" t="str">
            <v xml:space="preserve">Contrato emergencial nº </v>
          </cell>
          <cell r="AO63" t="str">
            <v>IQ</v>
          </cell>
        </row>
        <row r="64">
          <cell r="D64" t="str">
            <v>0945/11</v>
          </cell>
          <cell r="E64" t="str">
            <v>04/04/2011</v>
          </cell>
          <cell r="F64">
            <v>40816</v>
          </cell>
          <cell r="G64">
            <v>40816</v>
          </cell>
          <cell r="H64" t="str">
            <v>2011-0.072.968-9</v>
          </cell>
          <cell r="I64">
            <v>32379.48</v>
          </cell>
          <cell r="J64" t="str">
            <v xml:space="preserve">              123651121                 2847                    33903600</v>
          </cell>
          <cell r="K64">
            <v>40787</v>
          </cell>
          <cell r="L64">
            <v>30</v>
          </cell>
          <cell r="M64">
            <v>5400</v>
          </cell>
          <cell r="N64">
            <v>57273</v>
          </cell>
          <cell r="O64">
            <v>12963</v>
          </cell>
          <cell r="P64">
            <v>16</v>
          </cell>
          <cell r="Q64">
            <v>2</v>
          </cell>
          <cell r="T64">
            <v>5400</v>
          </cell>
          <cell r="W64">
            <v>30</v>
          </cell>
          <cell r="AA64">
            <v>0</v>
          </cell>
          <cell r="AB64">
            <v>179.886</v>
          </cell>
          <cell r="AD64">
            <v>4525.0200000000004</v>
          </cell>
          <cell r="AN64" t="str">
            <v xml:space="preserve">Contrato emergencial nº </v>
          </cell>
          <cell r="AO64" t="str">
            <v>IQ</v>
          </cell>
        </row>
        <row r="65">
          <cell r="D65" t="str">
            <v>0962/11</v>
          </cell>
          <cell r="E65" t="str">
            <v>04/04/2011</v>
          </cell>
          <cell r="F65">
            <v>40816</v>
          </cell>
          <cell r="G65">
            <v>40816</v>
          </cell>
          <cell r="H65" t="str">
            <v>2011-0.073.163-2</v>
          </cell>
          <cell r="I65">
            <v>37607.879999999997</v>
          </cell>
          <cell r="J65" t="str">
            <v xml:space="preserve">              123651121                 2847                    33903600</v>
          </cell>
          <cell r="K65">
            <v>40787</v>
          </cell>
          <cell r="L65">
            <v>30</v>
          </cell>
          <cell r="M65">
            <v>6300</v>
          </cell>
          <cell r="N65">
            <v>57273</v>
          </cell>
          <cell r="O65">
            <v>13016</v>
          </cell>
          <cell r="P65">
            <v>16</v>
          </cell>
          <cell r="Q65">
            <v>2</v>
          </cell>
          <cell r="T65">
            <v>6300</v>
          </cell>
          <cell r="W65">
            <v>30</v>
          </cell>
          <cell r="AA65">
            <v>0</v>
          </cell>
          <cell r="AB65">
            <v>208.93266666666665</v>
          </cell>
          <cell r="AD65">
            <v>4790.32</v>
          </cell>
          <cell r="AN65" t="str">
            <v xml:space="preserve">Contrato emergencial nº </v>
          </cell>
          <cell r="AO65" t="str">
            <v>IQ</v>
          </cell>
        </row>
        <row r="66">
          <cell r="D66" t="str">
            <v>0953/11</v>
          </cell>
          <cell r="E66" t="str">
            <v>04/04/2011</v>
          </cell>
          <cell r="F66">
            <v>40816</v>
          </cell>
          <cell r="G66">
            <v>40816</v>
          </cell>
          <cell r="H66" t="str">
            <v>2011-0.072.999-9</v>
          </cell>
          <cell r="I66">
            <v>38261.760000000002</v>
          </cell>
          <cell r="J66" t="str">
            <v xml:space="preserve">              123611122                  2848                    33903600</v>
          </cell>
          <cell r="K66">
            <v>40787</v>
          </cell>
          <cell r="L66">
            <v>30</v>
          </cell>
          <cell r="M66">
            <v>6400</v>
          </cell>
          <cell r="N66">
            <v>57278</v>
          </cell>
          <cell r="O66">
            <v>12992</v>
          </cell>
          <cell r="P66">
            <v>16</v>
          </cell>
          <cell r="Q66">
            <v>3</v>
          </cell>
          <cell r="T66">
            <v>6400</v>
          </cell>
          <cell r="W66">
            <v>30</v>
          </cell>
          <cell r="AA66">
            <v>0</v>
          </cell>
          <cell r="AB66">
            <v>212.56533333333334</v>
          </cell>
          <cell r="AD66">
            <v>5174.5200000000004</v>
          </cell>
          <cell r="AN66" t="str">
            <v xml:space="preserve">Contrato emergencial nº </v>
          </cell>
          <cell r="AO66" t="str">
            <v>IQ</v>
          </cell>
        </row>
        <row r="67">
          <cell r="D67" t="str">
            <v>0980/11</v>
          </cell>
          <cell r="E67" t="str">
            <v>04/04/2011</v>
          </cell>
          <cell r="F67">
            <v>40816</v>
          </cell>
          <cell r="G67">
            <v>40816</v>
          </cell>
          <cell r="H67" t="str">
            <v>2011-0.073.352-0</v>
          </cell>
          <cell r="I67">
            <v>36954.120000000003</v>
          </cell>
          <cell r="J67" t="str">
            <v xml:space="preserve">              123611122                  2848                    33903600</v>
          </cell>
          <cell r="K67">
            <v>40787</v>
          </cell>
          <cell r="L67">
            <v>30</v>
          </cell>
          <cell r="M67">
            <v>6200</v>
          </cell>
          <cell r="N67">
            <v>57278</v>
          </cell>
          <cell r="P67">
            <v>16</v>
          </cell>
          <cell r="Q67">
            <v>3</v>
          </cell>
          <cell r="T67">
            <v>6200</v>
          </cell>
          <cell r="W67">
            <v>30</v>
          </cell>
          <cell r="AA67">
            <v>0</v>
          </cell>
          <cell r="AB67">
            <v>205.30066666666667</v>
          </cell>
          <cell r="AN67" t="str">
            <v xml:space="preserve">Contrato emergencial nº </v>
          </cell>
          <cell r="AO67" t="str">
            <v>IQ</v>
          </cell>
        </row>
        <row r="68">
          <cell r="D68" t="str">
            <v>0866/11</v>
          </cell>
          <cell r="E68" t="str">
            <v>04/04/2011</v>
          </cell>
          <cell r="F68">
            <v>40816</v>
          </cell>
          <cell r="G68">
            <v>40816</v>
          </cell>
          <cell r="H68" t="str">
            <v>2011-0.070.687-5</v>
          </cell>
          <cell r="I68">
            <v>28932.12</v>
          </cell>
          <cell r="J68" t="str">
            <v xml:space="preserve">              123651121                 2847                    33903600</v>
          </cell>
          <cell r="K68">
            <v>40787</v>
          </cell>
          <cell r="L68">
            <v>30</v>
          </cell>
          <cell r="M68">
            <v>4900</v>
          </cell>
          <cell r="N68">
            <v>57273</v>
          </cell>
          <cell r="O68">
            <v>12215</v>
          </cell>
          <cell r="P68">
            <v>16</v>
          </cell>
          <cell r="Q68">
            <v>2</v>
          </cell>
          <cell r="T68">
            <v>4900</v>
          </cell>
          <cell r="W68">
            <v>30</v>
          </cell>
          <cell r="AA68">
            <v>0</v>
          </cell>
          <cell r="AB68">
            <v>160.73399999999998</v>
          </cell>
          <cell r="AN68" t="str">
            <v xml:space="preserve">Contrato emergencial nº </v>
          </cell>
          <cell r="AO68" t="str">
            <v>JT</v>
          </cell>
        </row>
        <row r="69">
          <cell r="D69" t="str">
            <v>0920/11</v>
          </cell>
          <cell r="E69" t="str">
            <v>04/04/2011</v>
          </cell>
          <cell r="F69">
            <v>40816</v>
          </cell>
          <cell r="G69">
            <v>40816</v>
          </cell>
          <cell r="H69" t="str">
            <v>2011-0.072.986-7</v>
          </cell>
          <cell r="I69">
            <v>30606.240000000002</v>
          </cell>
          <cell r="J69" t="str">
            <v xml:space="preserve">              123651121                 2847                    33903600</v>
          </cell>
          <cell r="K69">
            <v>40787</v>
          </cell>
          <cell r="L69">
            <v>30</v>
          </cell>
          <cell r="M69">
            <v>5200</v>
          </cell>
          <cell r="N69">
            <v>57273</v>
          </cell>
          <cell r="O69">
            <v>12800</v>
          </cell>
          <cell r="P69">
            <v>16</v>
          </cell>
          <cell r="Q69">
            <v>2</v>
          </cell>
          <cell r="T69">
            <v>5200</v>
          </cell>
          <cell r="W69">
            <v>30</v>
          </cell>
          <cell r="AA69">
            <v>0</v>
          </cell>
          <cell r="AB69">
            <v>170.03466666666668</v>
          </cell>
          <cell r="AD69">
            <v>3726.63</v>
          </cell>
          <cell r="AN69" t="str">
            <v xml:space="preserve">Contrato emergencial nº </v>
          </cell>
          <cell r="AO69" t="str">
            <v>JT</v>
          </cell>
        </row>
        <row r="70">
          <cell r="D70" t="str">
            <v>0934/11</v>
          </cell>
          <cell r="E70" t="str">
            <v>04/04/2011</v>
          </cell>
          <cell r="F70">
            <v>40816</v>
          </cell>
          <cell r="G70">
            <v>40816</v>
          </cell>
          <cell r="H70" t="str">
            <v>2011-0.072.922-0</v>
          </cell>
          <cell r="I70">
            <v>30556.68</v>
          </cell>
          <cell r="J70" t="str">
            <v xml:space="preserve">              123651121                 2847                    33903600</v>
          </cell>
          <cell r="K70">
            <v>40787</v>
          </cell>
          <cell r="L70">
            <v>30</v>
          </cell>
          <cell r="M70">
            <v>5100</v>
          </cell>
          <cell r="N70">
            <v>57273</v>
          </cell>
          <cell r="O70">
            <v>12916</v>
          </cell>
          <cell r="P70">
            <v>16</v>
          </cell>
          <cell r="Q70">
            <v>2</v>
          </cell>
          <cell r="S70">
            <v>143.77000000000001</v>
          </cell>
          <cell r="T70">
            <v>435.32</v>
          </cell>
          <cell r="W70">
            <v>30</v>
          </cell>
          <cell r="AA70">
            <v>0</v>
          </cell>
          <cell r="AB70">
            <v>169.75933333333333</v>
          </cell>
          <cell r="AD70">
            <v>5597.24</v>
          </cell>
          <cell r="AN70" t="str">
            <v xml:space="preserve">Contrato emergencial nº </v>
          </cell>
          <cell r="AO70" t="str">
            <v>JT</v>
          </cell>
        </row>
        <row r="71">
          <cell r="D71" t="str">
            <v>0961/11</v>
          </cell>
          <cell r="E71" t="str">
            <v>04/04/2011</v>
          </cell>
          <cell r="F71">
            <v>40816</v>
          </cell>
          <cell r="G71">
            <v>40816</v>
          </cell>
          <cell r="H71" t="str">
            <v>2011-0.073.160-8</v>
          </cell>
          <cell r="I71">
            <v>30606.240000000002</v>
          </cell>
          <cell r="J71" t="str">
            <v xml:space="preserve">              123651121                 2847                    33903600</v>
          </cell>
          <cell r="K71">
            <v>40787</v>
          </cell>
          <cell r="L71">
            <v>30</v>
          </cell>
          <cell r="M71">
            <v>5200</v>
          </cell>
          <cell r="N71">
            <v>57273</v>
          </cell>
          <cell r="O71">
            <v>13013</v>
          </cell>
          <cell r="P71">
            <v>16</v>
          </cell>
          <cell r="Q71">
            <v>2</v>
          </cell>
          <cell r="T71">
            <v>459.81</v>
          </cell>
          <cell r="W71">
            <v>30</v>
          </cell>
          <cell r="AA71">
            <v>0</v>
          </cell>
          <cell r="AB71">
            <v>170.03466666666668</v>
          </cell>
          <cell r="AD71">
            <v>4582.5017777777775</v>
          </cell>
          <cell r="AN71" t="str">
            <v xml:space="preserve">Contrato emergencial nº </v>
          </cell>
          <cell r="AO71" t="str">
            <v>JT</v>
          </cell>
        </row>
        <row r="72">
          <cell r="D72" t="str">
            <v>0919/11</v>
          </cell>
          <cell r="E72" t="str">
            <v>04/04/2011</v>
          </cell>
          <cell r="F72">
            <v>40816</v>
          </cell>
          <cell r="G72">
            <v>40816</v>
          </cell>
          <cell r="H72" t="str">
            <v>2011-0.072.977-8</v>
          </cell>
          <cell r="I72">
            <v>40877.160000000003</v>
          </cell>
          <cell r="J72" t="str">
            <v xml:space="preserve">              123611122                  2848                    33903600</v>
          </cell>
          <cell r="K72">
            <v>40787</v>
          </cell>
          <cell r="L72">
            <v>30</v>
          </cell>
          <cell r="M72">
            <v>6900</v>
          </cell>
          <cell r="N72">
            <v>57278</v>
          </cell>
          <cell r="O72">
            <v>12797</v>
          </cell>
          <cell r="P72">
            <v>16</v>
          </cell>
          <cell r="Q72">
            <v>3</v>
          </cell>
          <cell r="T72">
            <v>6435.4179999999997</v>
          </cell>
          <cell r="W72">
            <v>30</v>
          </cell>
          <cell r="AA72">
            <v>0</v>
          </cell>
          <cell r="AB72">
            <v>227.09533333333334</v>
          </cell>
          <cell r="AD72">
            <v>6608.84</v>
          </cell>
          <cell r="AN72" t="str">
            <v xml:space="preserve">Contrato emergencial nº </v>
          </cell>
          <cell r="AO72" t="str">
            <v>JT</v>
          </cell>
        </row>
        <row r="73">
          <cell r="D73" t="str">
            <v>0954/11</v>
          </cell>
          <cell r="E73" t="str">
            <v>04/04/2011</v>
          </cell>
          <cell r="F73">
            <v>40816</v>
          </cell>
          <cell r="G73">
            <v>40816</v>
          </cell>
          <cell r="H73" t="str">
            <v>2011-0.073.004-0</v>
          </cell>
          <cell r="I73">
            <v>39569.46</v>
          </cell>
          <cell r="J73" t="str">
            <v xml:space="preserve">              123651121                 2847                    33903600</v>
          </cell>
          <cell r="K73">
            <v>40787</v>
          </cell>
          <cell r="L73">
            <v>30</v>
          </cell>
          <cell r="M73">
            <v>6600</v>
          </cell>
          <cell r="N73">
            <v>57273</v>
          </cell>
          <cell r="O73">
            <v>12994</v>
          </cell>
          <cell r="P73">
            <v>16</v>
          </cell>
          <cell r="Q73">
            <v>2</v>
          </cell>
          <cell r="T73">
            <v>6600</v>
          </cell>
          <cell r="W73">
            <v>30</v>
          </cell>
          <cell r="AA73">
            <v>0</v>
          </cell>
          <cell r="AB73">
            <v>219.83033333333333</v>
          </cell>
          <cell r="AD73">
            <v>4962.2950000000001</v>
          </cell>
          <cell r="AN73" t="str">
            <v xml:space="preserve">Contrato emergencial nº </v>
          </cell>
          <cell r="AO73" t="str">
            <v>MP</v>
          </cell>
        </row>
        <row r="74">
          <cell r="D74" t="str">
            <v>0955/11</v>
          </cell>
          <cell r="E74" t="str">
            <v>04/04/2011</v>
          </cell>
          <cell r="F74">
            <v>40816</v>
          </cell>
          <cell r="G74">
            <v>40816</v>
          </cell>
          <cell r="H74" t="str">
            <v>2011-0.073.082-2</v>
          </cell>
          <cell r="I74">
            <v>30150.54</v>
          </cell>
          <cell r="J74" t="str">
            <v xml:space="preserve">              123651121                 2847                    33903600</v>
          </cell>
          <cell r="K74">
            <v>40787</v>
          </cell>
          <cell r="L74">
            <v>30</v>
          </cell>
          <cell r="M74">
            <v>5100</v>
          </cell>
          <cell r="N74">
            <v>57273</v>
          </cell>
          <cell r="O74">
            <v>12997</v>
          </cell>
          <cell r="P74">
            <v>16</v>
          </cell>
          <cell r="Q74">
            <v>2</v>
          </cell>
          <cell r="T74">
            <v>5100</v>
          </cell>
          <cell r="W74">
            <v>30</v>
          </cell>
          <cell r="AA74">
            <v>0</v>
          </cell>
          <cell r="AB74">
            <v>167.50300000000001</v>
          </cell>
          <cell r="AD74">
            <v>4194.63</v>
          </cell>
          <cell r="AN74" t="str">
            <v xml:space="preserve">Contrato emergencial nº </v>
          </cell>
          <cell r="AO74" t="str">
            <v>MP</v>
          </cell>
        </row>
        <row r="75">
          <cell r="D75" t="str">
            <v>0876/11</v>
          </cell>
          <cell r="E75" t="str">
            <v>04/04/2011</v>
          </cell>
          <cell r="F75">
            <v>40816</v>
          </cell>
          <cell r="G75">
            <v>40816</v>
          </cell>
          <cell r="H75" t="str">
            <v>2011-0.070.720-0</v>
          </cell>
          <cell r="I75">
            <v>37607.879999999997</v>
          </cell>
          <cell r="J75" t="str">
            <v xml:space="preserve">              123611122                  2848                    33903600</v>
          </cell>
          <cell r="K75">
            <v>40787</v>
          </cell>
          <cell r="L75">
            <v>30</v>
          </cell>
          <cell r="M75">
            <v>6300</v>
          </cell>
          <cell r="N75">
            <v>57278</v>
          </cell>
          <cell r="O75">
            <v>12269</v>
          </cell>
          <cell r="P75">
            <v>16</v>
          </cell>
          <cell r="Q75">
            <v>3</v>
          </cell>
          <cell r="T75">
            <v>6300</v>
          </cell>
          <cell r="W75">
            <v>30</v>
          </cell>
          <cell r="AA75">
            <v>0</v>
          </cell>
          <cell r="AB75">
            <v>208.93266666666665</v>
          </cell>
          <cell r="AD75">
            <v>6046.9400000000005</v>
          </cell>
          <cell r="AN75" t="str">
            <v xml:space="preserve">Contrato emergencial nº </v>
          </cell>
          <cell r="AO75" t="str">
            <v>MP</v>
          </cell>
        </row>
        <row r="76">
          <cell r="D76" t="str">
            <v>0921/11</v>
          </cell>
          <cell r="E76" t="str">
            <v>04/04/2011</v>
          </cell>
          <cell r="F76">
            <v>40816</v>
          </cell>
          <cell r="G76">
            <v>40816</v>
          </cell>
          <cell r="H76" t="str">
            <v>2011-0.072.992-1</v>
          </cell>
          <cell r="I76">
            <v>40877.160000000003</v>
          </cell>
          <cell r="J76" t="str">
            <v xml:space="preserve">              123611122                  2848                    33903600</v>
          </cell>
          <cell r="K76">
            <v>40787</v>
          </cell>
          <cell r="L76">
            <v>30</v>
          </cell>
          <cell r="M76">
            <v>6900</v>
          </cell>
          <cell r="N76">
            <v>57278</v>
          </cell>
          <cell r="O76">
            <v>12803</v>
          </cell>
          <cell r="P76">
            <v>16</v>
          </cell>
          <cell r="Q76">
            <v>3</v>
          </cell>
          <cell r="T76">
            <v>6900</v>
          </cell>
          <cell r="W76">
            <v>30</v>
          </cell>
          <cell r="AA76">
            <v>0</v>
          </cell>
          <cell r="AB76">
            <v>227.09533333333334</v>
          </cell>
          <cell r="AD76">
            <v>5885.0149999999994</v>
          </cell>
          <cell r="AN76" t="str">
            <v xml:space="preserve">Contrato emergencial nº </v>
          </cell>
          <cell r="AO76" t="str">
            <v>MP</v>
          </cell>
        </row>
        <row r="77">
          <cell r="D77" t="str">
            <v>0972/11</v>
          </cell>
          <cell r="E77" t="str">
            <v>04/04/2011</v>
          </cell>
          <cell r="F77">
            <v>40816</v>
          </cell>
          <cell r="G77">
            <v>40816</v>
          </cell>
          <cell r="H77" t="str">
            <v>2011-0.073.795-0</v>
          </cell>
          <cell r="I77">
            <v>37607.879999999997</v>
          </cell>
          <cell r="J77" t="str">
            <v xml:space="preserve">              123611122                  2848                    33903600</v>
          </cell>
          <cell r="K77">
            <v>40787</v>
          </cell>
          <cell r="L77">
            <v>30</v>
          </cell>
          <cell r="M77">
            <v>6300</v>
          </cell>
          <cell r="N77">
            <v>57278</v>
          </cell>
          <cell r="O77">
            <v>13616</v>
          </cell>
          <cell r="P77">
            <v>16</v>
          </cell>
          <cell r="Q77">
            <v>3</v>
          </cell>
          <cell r="T77">
            <v>6300</v>
          </cell>
          <cell r="W77">
            <v>30</v>
          </cell>
          <cell r="AA77">
            <v>0</v>
          </cell>
          <cell r="AB77">
            <v>208.93266666666665</v>
          </cell>
          <cell r="AD77">
            <v>5103.46</v>
          </cell>
          <cell r="AN77" t="str">
            <v xml:space="preserve">Contrato emergencial nº </v>
          </cell>
          <cell r="AO77" t="str">
            <v>MP</v>
          </cell>
        </row>
        <row r="78">
          <cell r="D78" t="str">
            <v>0877/11</v>
          </cell>
          <cell r="E78" t="str">
            <v>04/04/2011</v>
          </cell>
          <cell r="F78">
            <v>40816</v>
          </cell>
          <cell r="G78">
            <v>40816</v>
          </cell>
          <cell r="H78" t="str">
            <v>2011-0.070.724-3</v>
          </cell>
          <cell r="I78">
            <v>29744.400000000001</v>
          </cell>
          <cell r="J78" t="str">
            <v xml:space="preserve">              123651121                 2847                    33903600</v>
          </cell>
          <cell r="K78">
            <v>40787</v>
          </cell>
          <cell r="L78">
            <v>30</v>
          </cell>
          <cell r="M78">
            <v>5000</v>
          </cell>
          <cell r="N78">
            <v>57273</v>
          </cell>
          <cell r="O78">
            <v>12273</v>
          </cell>
          <cell r="P78">
            <v>16</v>
          </cell>
          <cell r="Q78">
            <v>2</v>
          </cell>
          <cell r="S78">
            <v>2738.02</v>
          </cell>
          <cell r="T78">
            <v>5000</v>
          </cell>
          <cell r="W78">
            <v>30</v>
          </cell>
          <cell r="AA78">
            <v>0</v>
          </cell>
          <cell r="AB78">
            <v>165.24666666666667</v>
          </cell>
          <cell r="AD78">
            <v>5902.6599999999989</v>
          </cell>
          <cell r="AN78" t="str">
            <v xml:space="preserve">Contrato emergencial nº </v>
          </cell>
          <cell r="AO78" t="str">
            <v>PE</v>
          </cell>
        </row>
        <row r="79">
          <cell r="D79" t="str">
            <v>0878/11</v>
          </cell>
          <cell r="E79" t="str">
            <v>04/04/2011</v>
          </cell>
          <cell r="F79">
            <v>40816</v>
          </cell>
          <cell r="G79">
            <v>40816</v>
          </cell>
          <cell r="H79" t="str">
            <v>2011-0.070.727-8</v>
          </cell>
          <cell r="I79">
            <v>38261.760000000002</v>
          </cell>
          <cell r="J79" t="str">
            <v xml:space="preserve">              123651121                 2847                    33903600</v>
          </cell>
          <cell r="K79">
            <v>40787</v>
          </cell>
          <cell r="L79">
            <v>30</v>
          </cell>
          <cell r="M79">
            <v>6400</v>
          </cell>
          <cell r="N79">
            <v>57273</v>
          </cell>
          <cell r="O79">
            <v>12285</v>
          </cell>
          <cell r="P79">
            <v>16</v>
          </cell>
          <cell r="Q79">
            <v>2</v>
          </cell>
          <cell r="S79">
            <v>929.42</v>
          </cell>
          <cell r="T79">
            <v>554.04999999999995</v>
          </cell>
          <cell r="W79">
            <v>30</v>
          </cell>
          <cell r="AA79">
            <v>0</v>
          </cell>
          <cell r="AB79">
            <v>212.56533333333334</v>
          </cell>
          <cell r="AD79">
            <v>6953.3</v>
          </cell>
          <cell r="AN79" t="str">
            <v xml:space="preserve">Contrato emergencial nº </v>
          </cell>
          <cell r="AO79" t="str">
            <v>PE</v>
          </cell>
        </row>
        <row r="80">
          <cell r="D80" t="str">
            <v>0888/11</v>
          </cell>
          <cell r="E80" t="str">
            <v>04/04/2011</v>
          </cell>
          <cell r="F80">
            <v>40816</v>
          </cell>
          <cell r="G80">
            <v>40816</v>
          </cell>
          <cell r="H80" t="str">
            <v>2011-0.072.411-3</v>
          </cell>
          <cell r="I80">
            <v>34992.660000000003</v>
          </cell>
          <cell r="J80" t="str">
            <v xml:space="preserve">              123611122                  2848                    33903600</v>
          </cell>
          <cell r="K80">
            <v>40787</v>
          </cell>
          <cell r="L80">
            <v>30</v>
          </cell>
          <cell r="M80">
            <v>5900</v>
          </cell>
          <cell r="N80">
            <v>57278</v>
          </cell>
          <cell r="O80">
            <v>12328</v>
          </cell>
          <cell r="P80">
            <v>16</v>
          </cell>
          <cell r="Q80">
            <v>3</v>
          </cell>
          <cell r="T80">
            <v>5900</v>
          </cell>
          <cell r="W80">
            <v>30</v>
          </cell>
          <cell r="AA80">
            <v>0</v>
          </cell>
          <cell r="AB80">
            <v>194.40366666666668</v>
          </cell>
          <cell r="AD80">
            <v>4771.6149999999998</v>
          </cell>
          <cell r="AN80" t="str">
            <v xml:space="preserve">Contrato emergencial nº </v>
          </cell>
          <cell r="AO80" t="str">
            <v>PE</v>
          </cell>
        </row>
        <row r="81">
          <cell r="D81" t="str">
            <v>0922/11</v>
          </cell>
          <cell r="E81" t="str">
            <v>04/04/2011</v>
          </cell>
          <cell r="F81">
            <v>40816</v>
          </cell>
          <cell r="G81">
            <v>40816</v>
          </cell>
          <cell r="H81" t="str">
            <v>2011-0.072.994-8</v>
          </cell>
          <cell r="I81">
            <v>21373.56</v>
          </cell>
          <cell r="J81" t="str">
            <v xml:space="preserve">              123611122                  2848                    33903600</v>
          </cell>
          <cell r="K81">
            <v>40787</v>
          </cell>
          <cell r="L81">
            <v>30</v>
          </cell>
          <cell r="M81">
            <v>3600</v>
          </cell>
          <cell r="N81">
            <v>57278</v>
          </cell>
          <cell r="O81">
            <v>12806</v>
          </cell>
          <cell r="P81">
            <v>16</v>
          </cell>
          <cell r="Q81">
            <v>3</v>
          </cell>
          <cell r="S81">
            <v>1503.24</v>
          </cell>
          <cell r="T81">
            <v>415.85</v>
          </cell>
          <cell r="W81">
            <v>30</v>
          </cell>
          <cell r="AA81">
            <v>0</v>
          </cell>
          <cell r="AB81">
            <v>118.742</v>
          </cell>
          <cell r="AD81">
            <v>4054.6174999999998</v>
          </cell>
          <cell r="AN81" t="str">
            <v xml:space="preserve">Contrato emergencial nº </v>
          </cell>
          <cell r="AO81" t="str">
            <v>PE</v>
          </cell>
        </row>
        <row r="82">
          <cell r="D82" t="str">
            <v>0923/11</v>
          </cell>
          <cell r="E82" t="str">
            <v>04/04/2011</v>
          </cell>
          <cell r="F82">
            <v>40816</v>
          </cell>
          <cell r="G82">
            <v>40816</v>
          </cell>
          <cell r="H82" t="str">
            <v>2011-0.072.997-2</v>
          </cell>
          <cell r="I82">
            <v>44324.52</v>
          </cell>
          <cell r="J82" t="str">
            <v xml:space="preserve">              123611122                  2848                    33903600</v>
          </cell>
          <cell r="K82">
            <v>40787</v>
          </cell>
          <cell r="L82">
            <v>30</v>
          </cell>
          <cell r="M82">
            <v>7400</v>
          </cell>
          <cell r="N82">
            <v>57278</v>
          </cell>
          <cell r="O82">
            <v>12876</v>
          </cell>
          <cell r="P82">
            <v>16</v>
          </cell>
          <cell r="Q82">
            <v>3</v>
          </cell>
          <cell r="T82">
            <v>7400</v>
          </cell>
          <cell r="W82">
            <v>30</v>
          </cell>
          <cell r="AA82">
            <v>0</v>
          </cell>
          <cell r="AB82">
            <v>246.2473333333333</v>
          </cell>
          <cell r="AD82">
            <v>5225.7</v>
          </cell>
          <cell r="AN82" t="str">
            <v xml:space="preserve">Contrato emergencial nº </v>
          </cell>
          <cell r="AO82" t="str">
            <v>PE</v>
          </cell>
        </row>
        <row r="83">
          <cell r="D83" t="str">
            <v>0970/11</v>
          </cell>
          <cell r="E83" t="str">
            <v>04/04/2011</v>
          </cell>
          <cell r="F83">
            <v>40816</v>
          </cell>
          <cell r="G83">
            <v>40816</v>
          </cell>
          <cell r="H83" t="str">
            <v>2011-0.073.184-5</v>
          </cell>
          <cell r="I83">
            <v>41531.040000000001</v>
          </cell>
          <cell r="J83" t="str">
            <v xml:space="preserve">              123611122                  2848                    33903600</v>
          </cell>
          <cell r="K83">
            <v>40787</v>
          </cell>
          <cell r="L83">
            <v>30</v>
          </cell>
          <cell r="M83">
            <v>7000</v>
          </cell>
          <cell r="N83">
            <v>57278</v>
          </cell>
          <cell r="O83">
            <v>13035</v>
          </cell>
          <cell r="P83">
            <v>16</v>
          </cell>
          <cell r="Q83">
            <v>3</v>
          </cell>
          <cell r="T83">
            <v>5782.0950000000003</v>
          </cell>
          <cell r="W83">
            <v>30</v>
          </cell>
          <cell r="AA83">
            <v>0</v>
          </cell>
          <cell r="AB83">
            <v>230.72800000000001</v>
          </cell>
          <cell r="AD83">
            <v>6712.8400000000011</v>
          </cell>
          <cell r="AN83" t="str">
            <v xml:space="preserve">Contrato emergencial nº </v>
          </cell>
          <cell r="AO83" t="str">
            <v>PE</v>
          </cell>
        </row>
        <row r="84">
          <cell r="D84" t="str">
            <v>0879/11</v>
          </cell>
          <cell r="E84" t="str">
            <v>04/04/2011</v>
          </cell>
          <cell r="F84">
            <v>40816</v>
          </cell>
          <cell r="G84">
            <v>40816</v>
          </cell>
          <cell r="H84" t="str">
            <v>2011-0.070.732-4</v>
          </cell>
          <cell r="I84">
            <v>35646.480000000003</v>
          </cell>
          <cell r="J84" t="str">
            <v xml:space="preserve">              123611122                  2848                    33903600</v>
          </cell>
          <cell r="K84">
            <v>40787</v>
          </cell>
          <cell r="L84">
            <v>30</v>
          </cell>
          <cell r="M84">
            <v>6000</v>
          </cell>
          <cell r="N84">
            <v>57278</v>
          </cell>
          <cell r="P84">
            <v>16</v>
          </cell>
          <cell r="Q84">
            <v>3</v>
          </cell>
          <cell r="T84">
            <v>6000</v>
          </cell>
          <cell r="W84">
            <v>30</v>
          </cell>
          <cell r="AA84">
            <v>0</v>
          </cell>
          <cell r="AB84">
            <v>198.03600000000003</v>
          </cell>
          <cell r="AN84" t="str">
            <v xml:space="preserve">Contrato emergencial nº </v>
          </cell>
          <cell r="AO84" t="str">
            <v>PE</v>
          </cell>
        </row>
        <row r="85">
          <cell r="D85" t="str">
            <v>0889/11</v>
          </cell>
          <cell r="E85" t="str">
            <v>04/04/2011</v>
          </cell>
          <cell r="F85">
            <v>40816</v>
          </cell>
          <cell r="G85">
            <v>40816</v>
          </cell>
          <cell r="H85" t="str">
            <v>2011-0.072.412-1</v>
          </cell>
          <cell r="I85">
            <v>44324.52</v>
          </cell>
          <cell r="J85" t="str">
            <v xml:space="preserve">              123611122                  2848                    33903600</v>
          </cell>
          <cell r="K85">
            <v>40787</v>
          </cell>
          <cell r="L85">
            <v>30</v>
          </cell>
          <cell r="M85">
            <v>7400</v>
          </cell>
          <cell r="N85">
            <v>57278</v>
          </cell>
          <cell r="O85">
            <v>12330</v>
          </cell>
          <cell r="P85">
            <v>16</v>
          </cell>
          <cell r="Q85">
            <v>3</v>
          </cell>
          <cell r="T85">
            <v>7400</v>
          </cell>
          <cell r="W85">
            <v>30</v>
          </cell>
          <cell r="AA85">
            <v>0</v>
          </cell>
          <cell r="AB85">
            <v>246.2473333333333</v>
          </cell>
          <cell r="AD85">
            <v>6241.9450000000006</v>
          </cell>
          <cell r="AN85" t="str">
            <v xml:space="preserve">Contrato emergencial nº </v>
          </cell>
          <cell r="AO85" t="str">
            <v>PJ</v>
          </cell>
        </row>
        <row r="86">
          <cell r="D86" t="str">
            <v>0924/11</v>
          </cell>
          <cell r="E86" t="str">
            <v>04/04/2011</v>
          </cell>
          <cell r="F86">
            <v>40816</v>
          </cell>
          <cell r="G86">
            <v>40816</v>
          </cell>
          <cell r="H86" t="str">
            <v>2011-0.073.003-2</v>
          </cell>
          <cell r="I86">
            <v>38261.760000000002</v>
          </cell>
          <cell r="J86" t="str">
            <v xml:space="preserve">              123611122                  2848                    33903600</v>
          </cell>
          <cell r="K86">
            <v>40787</v>
          </cell>
          <cell r="L86">
            <v>30</v>
          </cell>
          <cell r="M86">
            <v>6400</v>
          </cell>
          <cell r="N86">
            <v>57278</v>
          </cell>
          <cell r="O86">
            <v>12880</v>
          </cell>
          <cell r="P86">
            <v>16</v>
          </cell>
          <cell r="Q86">
            <v>3</v>
          </cell>
          <cell r="T86">
            <v>6400</v>
          </cell>
          <cell r="W86">
            <v>30</v>
          </cell>
          <cell r="AA86">
            <v>0</v>
          </cell>
          <cell r="AB86">
            <v>212.56533333333334</v>
          </cell>
          <cell r="AD86">
            <v>5615.9500000000007</v>
          </cell>
          <cell r="AN86" t="str">
            <v xml:space="preserve">Contrato emergencial nº </v>
          </cell>
          <cell r="AO86" t="str">
            <v>PJ</v>
          </cell>
        </row>
        <row r="87">
          <cell r="D87" t="str">
            <v>0925/11</v>
          </cell>
          <cell r="E87" t="str">
            <v>04/04/2011</v>
          </cell>
          <cell r="F87">
            <v>40816</v>
          </cell>
          <cell r="G87">
            <v>40816</v>
          </cell>
          <cell r="H87" t="str">
            <v>2011-0.073.006-7</v>
          </cell>
          <cell r="I87">
            <v>38261.760000000002</v>
          </cell>
          <cell r="J87" t="str">
            <v xml:space="preserve">              123611122                  2848                    33903600</v>
          </cell>
          <cell r="K87">
            <v>40787</v>
          </cell>
          <cell r="L87">
            <v>30</v>
          </cell>
          <cell r="M87">
            <v>6400</v>
          </cell>
          <cell r="N87">
            <v>57278</v>
          </cell>
          <cell r="O87">
            <v>12883</v>
          </cell>
          <cell r="P87">
            <v>16</v>
          </cell>
          <cell r="Q87">
            <v>3</v>
          </cell>
          <cell r="T87">
            <v>6400</v>
          </cell>
          <cell r="W87">
            <v>30</v>
          </cell>
          <cell r="AA87">
            <v>0</v>
          </cell>
          <cell r="AB87">
            <v>212.56533333333334</v>
          </cell>
          <cell r="AD87">
            <v>5780.58</v>
          </cell>
          <cell r="AN87" t="str">
            <v xml:space="preserve">Contrato emergencial nº </v>
          </cell>
          <cell r="AO87" t="str">
            <v>PJ</v>
          </cell>
        </row>
        <row r="88">
          <cell r="D88" t="str">
            <v>0941/11</v>
          </cell>
          <cell r="E88" t="str">
            <v>04/04/2011</v>
          </cell>
          <cell r="F88">
            <v>40816</v>
          </cell>
          <cell r="G88">
            <v>40816</v>
          </cell>
          <cell r="H88" t="str">
            <v>2011-0.072.940-9</v>
          </cell>
          <cell r="I88">
            <v>37607.879999999997</v>
          </cell>
          <cell r="J88" t="str">
            <v xml:space="preserve">              123611122                  2848                    33903600</v>
          </cell>
          <cell r="K88">
            <v>40787</v>
          </cell>
          <cell r="L88">
            <v>30</v>
          </cell>
          <cell r="M88">
            <v>6300</v>
          </cell>
          <cell r="N88">
            <v>57278</v>
          </cell>
          <cell r="O88">
            <v>12946</v>
          </cell>
          <cell r="P88">
            <v>16</v>
          </cell>
          <cell r="Q88">
            <v>3</v>
          </cell>
          <cell r="T88">
            <v>6300</v>
          </cell>
          <cell r="W88">
            <v>30</v>
          </cell>
          <cell r="AA88">
            <v>0</v>
          </cell>
          <cell r="AB88">
            <v>208.93266666666665</v>
          </cell>
          <cell r="AD88">
            <v>5386.5800000000008</v>
          </cell>
          <cell r="AN88" t="str">
            <v xml:space="preserve">Contrato emergencial nº </v>
          </cell>
          <cell r="AO88" t="str">
            <v>PJ</v>
          </cell>
        </row>
        <row r="89">
          <cell r="D89" t="str">
            <v>0964/11</v>
          </cell>
          <cell r="E89" t="str">
            <v>04/04/2011</v>
          </cell>
          <cell r="F89">
            <v>40816</v>
          </cell>
          <cell r="G89">
            <v>40816</v>
          </cell>
          <cell r="H89" t="str">
            <v>2011-0.073.168-3</v>
          </cell>
          <cell r="I89">
            <v>30150.54</v>
          </cell>
          <cell r="J89" t="str">
            <v xml:space="preserve">              123611122                  2848                    33903600</v>
          </cell>
          <cell r="K89">
            <v>40787</v>
          </cell>
          <cell r="L89">
            <v>30</v>
          </cell>
          <cell r="M89">
            <v>5100</v>
          </cell>
          <cell r="N89">
            <v>57278</v>
          </cell>
          <cell r="O89">
            <v>13021</v>
          </cell>
          <cell r="P89">
            <v>16</v>
          </cell>
          <cell r="Q89">
            <v>3</v>
          </cell>
          <cell r="T89">
            <v>5100</v>
          </cell>
          <cell r="W89">
            <v>30</v>
          </cell>
          <cell r="AA89">
            <v>0</v>
          </cell>
          <cell r="AB89">
            <v>167.50300000000001</v>
          </cell>
          <cell r="AD89">
            <v>4950.288333333333</v>
          </cell>
          <cell r="AN89" t="str">
            <v xml:space="preserve">Contrato emergencial nº </v>
          </cell>
          <cell r="AO89" t="str">
            <v>PJ</v>
          </cell>
        </row>
        <row r="90">
          <cell r="D90" t="str">
            <v>0983/11</v>
          </cell>
          <cell r="E90" t="str">
            <v>04/04/2011</v>
          </cell>
          <cell r="F90">
            <v>40816</v>
          </cell>
          <cell r="G90">
            <v>40816</v>
          </cell>
          <cell r="H90" t="str">
            <v>2011-0.073.355-4</v>
          </cell>
          <cell r="I90">
            <v>25633.26</v>
          </cell>
          <cell r="J90" t="str">
            <v xml:space="preserve">              123611122                  2848                    33903600</v>
          </cell>
          <cell r="K90">
            <v>40787</v>
          </cell>
          <cell r="L90">
            <v>30</v>
          </cell>
          <cell r="M90">
            <v>4300</v>
          </cell>
          <cell r="N90">
            <v>57278</v>
          </cell>
          <cell r="O90">
            <v>13643</v>
          </cell>
          <cell r="P90">
            <v>16</v>
          </cell>
          <cell r="Q90">
            <v>3</v>
          </cell>
          <cell r="T90">
            <v>4300</v>
          </cell>
          <cell r="W90">
            <v>30</v>
          </cell>
          <cell r="AA90">
            <v>0</v>
          </cell>
          <cell r="AB90">
            <v>142.40699999999998</v>
          </cell>
          <cell r="AD90">
            <v>4092.2600000000011</v>
          </cell>
          <cell r="AN90" t="str">
            <v xml:space="preserve">Contrato emergencial nº </v>
          </cell>
          <cell r="AO90" t="str">
            <v>PJ</v>
          </cell>
        </row>
        <row r="91">
          <cell r="D91" t="str">
            <v>0880/11</v>
          </cell>
          <cell r="E91" t="str">
            <v>04/04/2011</v>
          </cell>
          <cell r="F91">
            <v>40816</v>
          </cell>
          <cell r="G91">
            <v>40816</v>
          </cell>
          <cell r="H91" t="str">
            <v>2011-0.070.735-9</v>
          </cell>
          <cell r="I91">
            <v>37607.879999999997</v>
          </cell>
          <cell r="J91" t="str">
            <v xml:space="preserve">              123651121                 2847                    33903600</v>
          </cell>
          <cell r="K91">
            <v>40787</v>
          </cell>
          <cell r="L91">
            <v>30</v>
          </cell>
          <cell r="M91">
            <v>6300</v>
          </cell>
          <cell r="N91">
            <v>57273</v>
          </cell>
          <cell r="O91">
            <v>12288</v>
          </cell>
          <cell r="P91">
            <v>16</v>
          </cell>
          <cell r="Q91">
            <v>2</v>
          </cell>
          <cell r="T91">
            <v>6300</v>
          </cell>
          <cell r="W91">
            <v>30</v>
          </cell>
          <cell r="AA91">
            <v>0</v>
          </cell>
          <cell r="AB91">
            <v>208.93266666666665</v>
          </cell>
          <cell r="AD91">
            <v>6096.93</v>
          </cell>
          <cell r="AN91" t="str">
            <v xml:space="preserve">Contrato emergencial nº </v>
          </cell>
          <cell r="AO91" t="str">
            <v>PJ</v>
          </cell>
        </row>
        <row r="92">
          <cell r="D92" t="str">
            <v>0881/11</v>
          </cell>
          <cell r="E92" t="str">
            <v>04/04/2011</v>
          </cell>
          <cell r="F92">
            <v>40816</v>
          </cell>
          <cell r="G92">
            <v>40816</v>
          </cell>
          <cell r="H92" t="str">
            <v>2011-0.070.742-1</v>
          </cell>
          <cell r="I92">
            <v>38261.760000000002</v>
          </cell>
          <cell r="J92" t="str">
            <v xml:space="preserve">              123651121                 2847                    33903600</v>
          </cell>
          <cell r="K92">
            <v>40787</v>
          </cell>
          <cell r="L92">
            <v>30</v>
          </cell>
          <cell r="M92">
            <v>6400</v>
          </cell>
          <cell r="N92">
            <v>57273</v>
          </cell>
          <cell r="O92">
            <v>12292</v>
          </cell>
          <cell r="P92">
            <v>16</v>
          </cell>
          <cell r="Q92">
            <v>2</v>
          </cell>
          <cell r="T92">
            <v>6400</v>
          </cell>
          <cell r="W92">
            <v>30</v>
          </cell>
          <cell r="AA92">
            <v>0</v>
          </cell>
          <cell r="AB92">
            <v>212.56533333333334</v>
          </cell>
          <cell r="AD92">
            <v>5599.88</v>
          </cell>
          <cell r="AN92" t="str">
            <v xml:space="preserve">Contrato emergencial nº </v>
          </cell>
          <cell r="AO92" t="str">
            <v>PJ</v>
          </cell>
        </row>
        <row r="93">
          <cell r="D93" t="str">
            <v>0944/11</v>
          </cell>
          <cell r="E93" t="str">
            <v>04/04/2011</v>
          </cell>
          <cell r="F93">
            <v>40816</v>
          </cell>
          <cell r="G93">
            <v>40816</v>
          </cell>
          <cell r="H93" t="str">
            <v>2011-0.072.965-4</v>
          </cell>
          <cell r="I93">
            <v>27109.32</v>
          </cell>
          <cell r="J93" t="str">
            <v xml:space="preserve">              123651121                 2847                    33903600</v>
          </cell>
          <cell r="K93">
            <v>40787</v>
          </cell>
          <cell r="L93">
            <v>30</v>
          </cell>
          <cell r="M93">
            <v>4600</v>
          </cell>
          <cell r="N93">
            <v>57273</v>
          </cell>
          <cell r="O93">
            <v>12959</v>
          </cell>
          <cell r="P93">
            <v>16</v>
          </cell>
          <cell r="Q93">
            <v>2</v>
          </cell>
          <cell r="T93">
            <v>5073.1400000000003</v>
          </cell>
          <cell r="W93">
            <v>30</v>
          </cell>
          <cell r="AA93">
            <v>0</v>
          </cell>
          <cell r="AB93">
            <v>150.60733333333334</v>
          </cell>
          <cell r="AD93">
            <v>5062.2935555555559</v>
          </cell>
          <cell r="AN93" t="str">
            <v xml:space="preserve">Contrato emergencial nº </v>
          </cell>
          <cell r="AO93" t="str">
            <v>PJ</v>
          </cell>
        </row>
        <row r="94">
          <cell r="D94" t="str">
            <v>0973/11</v>
          </cell>
          <cell r="E94" t="str">
            <v>04/04/2011</v>
          </cell>
          <cell r="F94">
            <v>40816</v>
          </cell>
          <cell r="G94">
            <v>40816</v>
          </cell>
          <cell r="H94" t="str">
            <v>2011-0.073.196-9</v>
          </cell>
          <cell r="I94">
            <v>24414.78</v>
          </cell>
          <cell r="J94" t="str">
            <v xml:space="preserve">              123651121                 2847                    33903600</v>
          </cell>
          <cell r="K94">
            <v>40787</v>
          </cell>
          <cell r="L94">
            <v>30</v>
          </cell>
          <cell r="M94">
            <v>4100</v>
          </cell>
          <cell r="N94">
            <v>57273</v>
          </cell>
          <cell r="O94">
            <v>13618</v>
          </cell>
          <cell r="P94">
            <v>16</v>
          </cell>
          <cell r="Q94">
            <v>2</v>
          </cell>
          <cell r="T94">
            <v>4731.21</v>
          </cell>
          <cell r="W94">
            <v>30</v>
          </cell>
          <cell r="AA94">
            <v>0</v>
          </cell>
          <cell r="AB94">
            <v>135.63766666666666</v>
          </cell>
          <cell r="AD94">
            <v>4791.21</v>
          </cell>
          <cell r="AN94" t="str">
            <v xml:space="preserve">Contrato emergencial nº </v>
          </cell>
          <cell r="AO94" t="str">
            <v>PJ</v>
          </cell>
        </row>
        <row r="95">
          <cell r="D95" t="str">
            <v>0977/11</v>
          </cell>
          <cell r="E95" t="str">
            <v>04/04/2011</v>
          </cell>
          <cell r="F95">
            <v>40816</v>
          </cell>
          <cell r="G95">
            <v>40816</v>
          </cell>
          <cell r="H95" t="str">
            <v>2011-0.073.340-6</v>
          </cell>
          <cell r="I95">
            <v>45632.28</v>
          </cell>
          <cell r="J95" t="str">
            <v xml:space="preserve">              123651121                 2847                    33903600</v>
          </cell>
          <cell r="K95">
            <v>40787</v>
          </cell>
          <cell r="L95">
            <v>30</v>
          </cell>
          <cell r="M95">
            <v>7700</v>
          </cell>
          <cell r="N95">
            <v>57273</v>
          </cell>
          <cell r="O95">
            <v>13631</v>
          </cell>
          <cell r="P95">
            <v>16</v>
          </cell>
          <cell r="Q95">
            <v>2</v>
          </cell>
          <cell r="T95">
            <v>7700</v>
          </cell>
          <cell r="W95">
            <v>30</v>
          </cell>
          <cell r="AA95">
            <v>0</v>
          </cell>
          <cell r="AB95">
            <v>253.51266666666666</v>
          </cell>
          <cell r="AD95">
            <v>7057.58</v>
          </cell>
          <cell r="AN95" t="str">
            <v xml:space="preserve">Contrato emergencial nº </v>
          </cell>
          <cell r="AO95" t="str">
            <v>PJ</v>
          </cell>
        </row>
        <row r="96">
          <cell r="D96" t="str">
            <v>0966/11</v>
          </cell>
          <cell r="E96" t="str">
            <v>04/04/2011</v>
          </cell>
          <cell r="F96">
            <v>40816</v>
          </cell>
          <cell r="G96">
            <v>40816</v>
          </cell>
          <cell r="H96" t="str">
            <v>2011-0.073.170-5</v>
          </cell>
          <cell r="I96">
            <v>24414.78</v>
          </cell>
          <cell r="J96" t="str">
            <v xml:space="preserve">              123651121                 2847                    33903600</v>
          </cell>
          <cell r="K96">
            <v>40787</v>
          </cell>
          <cell r="L96">
            <v>30</v>
          </cell>
          <cell r="M96">
            <v>4100</v>
          </cell>
          <cell r="N96">
            <v>57273</v>
          </cell>
          <cell r="O96">
            <v>14708</v>
          </cell>
          <cell r="P96">
            <v>16</v>
          </cell>
          <cell r="Q96">
            <v>2</v>
          </cell>
          <cell r="S96">
            <v>3762.44</v>
          </cell>
          <cell r="T96">
            <v>4100</v>
          </cell>
          <cell r="U96">
            <v>0</v>
          </cell>
          <cell r="W96">
            <v>30</v>
          </cell>
          <cell r="Y96">
            <v>92596</v>
          </cell>
          <cell r="Z96">
            <v>2130.23</v>
          </cell>
          <cell r="AA96">
            <v>-2130.23</v>
          </cell>
          <cell r="AB96">
            <v>135.63766666666666</v>
          </cell>
          <cell r="AD96">
            <v>7245.22</v>
          </cell>
          <cell r="AN96" t="str">
            <v xml:space="preserve">Contrato emergencial nº </v>
          </cell>
          <cell r="AO96" t="str">
            <v>PJ</v>
          </cell>
        </row>
        <row r="97">
          <cell r="D97" t="str">
            <v>0891/11</v>
          </cell>
          <cell r="E97" t="str">
            <v>04/04/2011</v>
          </cell>
          <cell r="F97">
            <v>40816</v>
          </cell>
          <cell r="G97">
            <v>40816</v>
          </cell>
          <cell r="H97" t="str">
            <v>2011-0.072.416-4</v>
          </cell>
          <cell r="I97">
            <v>44978.400000000001</v>
          </cell>
          <cell r="J97" t="str">
            <v xml:space="preserve">              123611122                  2848                    33903600</v>
          </cell>
          <cell r="K97">
            <v>40787</v>
          </cell>
          <cell r="L97">
            <v>30</v>
          </cell>
          <cell r="M97">
            <v>7500</v>
          </cell>
          <cell r="N97">
            <v>57278</v>
          </cell>
          <cell r="O97">
            <v>12345</v>
          </cell>
          <cell r="P97">
            <v>16</v>
          </cell>
          <cell r="Q97">
            <v>3</v>
          </cell>
          <cell r="T97">
            <v>1537.13</v>
          </cell>
          <cell r="W97">
            <v>30</v>
          </cell>
          <cell r="AA97">
            <v>0</v>
          </cell>
          <cell r="AB97">
            <v>249.88</v>
          </cell>
          <cell r="AD97">
            <v>6714.84</v>
          </cell>
          <cell r="AN97" t="str">
            <v xml:space="preserve">Contrato emergencial nº </v>
          </cell>
          <cell r="AO97" t="str">
            <v>SA</v>
          </cell>
        </row>
        <row r="98">
          <cell r="D98" t="str">
            <v>0926/11</v>
          </cell>
          <cell r="E98" t="str">
            <v>04/04/2011</v>
          </cell>
          <cell r="F98">
            <v>40816</v>
          </cell>
          <cell r="G98">
            <v>40816</v>
          </cell>
          <cell r="H98" t="str">
            <v>2011-0.073.010-5</v>
          </cell>
          <cell r="I98">
            <v>42838.74</v>
          </cell>
          <cell r="J98" t="str">
            <v xml:space="preserve">              123611122                  2848                    33903600</v>
          </cell>
          <cell r="K98">
            <v>40787</v>
          </cell>
          <cell r="L98">
            <v>30</v>
          </cell>
          <cell r="M98">
            <v>7200</v>
          </cell>
          <cell r="N98">
            <v>57278</v>
          </cell>
          <cell r="O98">
            <v>12887</v>
          </cell>
          <cell r="P98">
            <v>16</v>
          </cell>
          <cell r="Q98">
            <v>3</v>
          </cell>
          <cell r="T98">
            <v>5910.2000000000007</v>
          </cell>
          <cell r="W98">
            <v>30</v>
          </cell>
          <cell r="AA98">
            <v>0</v>
          </cell>
          <cell r="AB98">
            <v>237.99299999999999</v>
          </cell>
          <cell r="AD98">
            <v>7106.2000000000007</v>
          </cell>
          <cell r="AN98" t="str">
            <v xml:space="preserve">Contrato emergencial nº </v>
          </cell>
          <cell r="AO98" t="str">
            <v>SA</v>
          </cell>
        </row>
        <row r="99">
          <cell r="D99" t="str">
            <v>0958/11</v>
          </cell>
          <cell r="E99" t="str">
            <v>04/04/2011</v>
          </cell>
          <cell r="F99">
            <v>40816</v>
          </cell>
          <cell r="G99">
            <v>40816</v>
          </cell>
          <cell r="H99" t="str">
            <v>2011-0.073.147-0</v>
          </cell>
          <cell r="I99">
            <v>29744.400000000001</v>
          </cell>
          <cell r="J99" t="str">
            <v xml:space="preserve">              123611122                  2848                    33903600</v>
          </cell>
          <cell r="K99">
            <v>40787</v>
          </cell>
          <cell r="L99">
            <v>30</v>
          </cell>
          <cell r="M99">
            <v>5000</v>
          </cell>
          <cell r="N99">
            <v>57278</v>
          </cell>
          <cell r="O99">
            <v>13007</v>
          </cell>
          <cell r="P99">
            <v>16</v>
          </cell>
          <cell r="Q99">
            <v>3</v>
          </cell>
          <cell r="T99">
            <v>1470.54</v>
          </cell>
          <cell r="W99">
            <v>30</v>
          </cell>
          <cell r="AA99">
            <v>0</v>
          </cell>
          <cell r="AB99">
            <v>165.24666666666667</v>
          </cell>
          <cell r="AD99">
            <v>4544.1100000000006</v>
          </cell>
          <cell r="AN99" t="str">
            <v xml:space="preserve">Contrato emergencial nº </v>
          </cell>
          <cell r="AO99" t="str">
            <v>SA</v>
          </cell>
        </row>
        <row r="100">
          <cell r="D100" t="str">
            <v>0865/11</v>
          </cell>
          <cell r="E100" t="str">
            <v>04/04/2011</v>
          </cell>
          <cell r="F100">
            <v>40816</v>
          </cell>
          <cell r="G100">
            <v>40816</v>
          </cell>
          <cell r="H100" t="str">
            <v>2011-0.070.684-0</v>
          </cell>
          <cell r="I100">
            <v>30150.54</v>
          </cell>
          <cell r="J100" t="str">
            <v xml:space="preserve">              123651121                 2847                    33903600</v>
          </cell>
          <cell r="K100">
            <v>40787</v>
          </cell>
          <cell r="L100">
            <v>30</v>
          </cell>
          <cell r="M100">
            <v>5100</v>
          </cell>
          <cell r="N100">
            <v>57273</v>
          </cell>
          <cell r="O100">
            <v>12201</v>
          </cell>
          <cell r="P100">
            <v>16</v>
          </cell>
          <cell r="Q100">
            <v>2</v>
          </cell>
          <cell r="T100">
            <v>509.72000000000025</v>
          </cell>
          <cell r="W100">
            <v>30</v>
          </cell>
          <cell r="AA100">
            <v>0</v>
          </cell>
          <cell r="AB100">
            <v>167.50300000000001</v>
          </cell>
          <cell r="AD100">
            <v>5109.57</v>
          </cell>
          <cell r="AN100" t="str">
            <v xml:space="preserve">Contrato emergencial nº </v>
          </cell>
          <cell r="AO100" t="str">
            <v>SA</v>
          </cell>
        </row>
        <row r="101">
          <cell r="D101" t="str">
            <v>0928/11</v>
          </cell>
          <cell r="E101" t="str">
            <v>04/04/2011</v>
          </cell>
          <cell r="F101">
            <v>40816</v>
          </cell>
          <cell r="G101">
            <v>40816</v>
          </cell>
          <cell r="H101" t="str">
            <v>2011-0.073.017-2</v>
          </cell>
          <cell r="I101">
            <v>30556.68</v>
          </cell>
          <cell r="J101" t="str">
            <v xml:space="preserve">              123651121                 2847                    33903600</v>
          </cell>
          <cell r="K101">
            <v>40787</v>
          </cell>
          <cell r="L101">
            <v>30</v>
          </cell>
          <cell r="M101">
            <v>5100</v>
          </cell>
          <cell r="N101">
            <v>57273</v>
          </cell>
          <cell r="O101">
            <v>12895</v>
          </cell>
          <cell r="P101">
            <v>16</v>
          </cell>
          <cell r="Q101">
            <v>2</v>
          </cell>
          <cell r="T101">
            <v>1726.9100000000003</v>
          </cell>
          <cell r="W101">
            <v>30</v>
          </cell>
          <cell r="AA101">
            <v>0</v>
          </cell>
          <cell r="AB101">
            <v>169.75933333333333</v>
          </cell>
          <cell r="AD101">
            <v>4750.9500000000007</v>
          </cell>
          <cell r="AN101" t="str">
            <v xml:space="preserve">Contrato emergencial nº </v>
          </cell>
          <cell r="AO101" t="str">
            <v>SA</v>
          </cell>
        </row>
        <row r="102">
          <cell r="D102" t="str">
            <v>0929/11</v>
          </cell>
          <cell r="E102" t="str">
            <v>04/04/2011</v>
          </cell>
          <cell r="F102">
            <v>40816</v>
          </cell>
          <cell r="G102">
            <v>40816</v>
          </cell>
          <cell r="H102" t="str">
            <v>2011-0.073.019-9</v>
          </cell>
          <cell r="I102">
            <v>40877.160000000003</v>
          </cell>
          <cell r="J102" t="str">
            <v xml:space="preserve">              123651121                 2847                    33903600</v>
          </cell>
          <cell r="K102">
            <v>40787</v>
          </cell>
          <cell r="L102">
            <v>30</v>
          </cell>
          <cell r="M102">
            <v>6900</v>
          </cell>
          <cell r="N102">
            <v>57273</v>
          </cell>
          <cell r="O102">
            <v>12899</v>
          </cell>
          <cell r="P102">
            <v>16</v>
          </cell>
          <cell r="Q102">
            <v>2</v>
          </cell>
          <cell r="T102">
            <v>6900</v>
          </cell>
          <cell r="W102">
            <v>30</v>
          </cell>
          <cell r="AA102">
            <v>0</v>
          </cell>
          <cell r="AB102">
            <v>227.09533333333334</v>
          </cell>
          <cell r="AD102">
            <v>5694.37</v>
          </cell>
          <cell r="AN102" t="str">
            <v xml:space="preserve">Contrato emergencial nº </v>
          </cell>
          <cell r="AO102" t="str">
            <v>SA</v>
          </cell>
        </row>
        <row r="103">
          <cell r="D103" t="str">
            <v>0956/11</v>
          </cell>
          <cell r="E103" t="str">
            <v>04/04/2011</v>
          </cell>
          <cell r="F103">
            <v>40816</v>
          </cell>
          <cell r="G103">
            <v>40816</v>
          </cell>
          <cell r="H103" t="str">
            <v>2011-0.073.126-8</v>
          </cell>
          <cell r="I103">
            <v>35646.480000000003</v>
          </cell>
          <cell r="J103" t="str">
            <v xml:space="preserve">              123651121                 2847                    33903600</v>
          </cell>
          <cell r="K103">
            <v>40787</v>
          </cell>
          <cell r="L103">
            <v>30</v>
          </cell>
          <cell r="M103">
            <v>6000</v>
          </cell>
          <cell r="N103">
            <v>57273</v>
          </cell>
          <cell r="O103">
            <v>13001</v>
          </cell>
          <cell r="P103">
            <v>16</v>
          </cell>
          <cell r="Q103">
            <v>2</v>
          </cell>
          <cell r="T103">
            <v>1771.9</v>
          </cell>
          <cell r="W103">
            <v>30</v>
          </cell>
          <cell r="AA103">
            <v>0</v>
          </cell>
          <cell r="AB103">
            <v>198.03600000000003</v>
          </cell>
          <cell r="AD103">
            <v>5464.5</v>
          </cell>
          <cell r="AN103" t="str">
            <v xml:space="preserve">Contrato emergencial nº </v>
          </cell>
          <cell r="AO103" t="str">
            <v>SA</v>
          </cell>
        </row>
        <row r="104">
          <cell r="D104" t="str">
            <v>0959/11</v>
          </cell>
          <cell r="E104" t="str">
            <v>04/04/2011</v>
          </cell>
          <cell r="F104">
            <v>40816</v>
          </cell>
          <cell r="G104">
            <v>40816</v>
          </cell>
          <cell r="H104" t="str">
            <v>2011-0.073.152-7</v>
          </cell>
          <cell r="I104">
            <v>30556.68</v>
          </cell>
          <cell r="J104" t="str">
            <v xml:space="preserve">              123651121                 2847                    33903600</v>
          </cell>
          <cell r="K104">
            <v>40787</v>
          </cell>
          <cell r="L104">
            <v>30</v>
          </cell>
          <cell r="M104">
            <v>5100</v>
          </cell>
          <cell r="N104">
            <v>57273</v>
          </cell>
          <cell r="O104">
            <v>13009</v>
          </cell>
          <cell r="P104">
            <v>16</v>
          </cell>
          <cell r="Q104">
            <v>2</v>
          </cell>
          <cell r="T104">
            <v>110.58000000000084</v>
          </cell>
          <cell r="W104">
            <v>30</v>
          </cell>
          <cell r="AA104">
            <v>0</v>
          </cell>
          <cell r="AB104">
            <v>169.75933333333333</v>
          </cell>
          <cell r="AN104" t="str">
            <v xml:space="preserve">Contrato emergencial nº </v>
          </cell>
          <cell r="AO104" t="str">
            <v>SA</v>
          </cell>
        </row>
        <row r="105">
          <cell r="D105" t="str">
            <v>0963/11</v>
          </cell>
          <cell r="E105" t="str">
            <v>04/04/2011</v>
          </cell>
          <cell r="F105">
            <v>40816</v>
          </cell>
          <cell r="G105">
            <v>40816</v>
          </cell>
          <cell r="H105" t="str">
            <v>2011-0.073.167-5</v>
          </cell>
          <cell r="I105">
            <v>27257.94</v>
          </cell>
          <cell r="J105" t="str">
            <v xml:space="preserve">              123651121                 2847                    33903600</v>
          </cell>
          <cell r="K105">
            <v>40787</v>
          </cell>
          <cell r="L105">
            <v>30</v>
          </cell>
          <cell r="M105">
            <v>4600</v>
          </cell>
          <cell r="N105">
            <v>57273</v>
          </cell>
          <cell r="O105">
            <v>13019</v>
          </cell>
          <cell r="P105">
            <v>16</v>
          </cell>
          <cell r="Q105">
            <v>2</v>
          </cell>
          <cell r="S105">
            <v>230.96</v>
          </cell>
          <cell r="T105">
            <v>78.329999999999927</v>
          </cell>
          <cell r="W105">
            <v>30</v>
          </cell>
          <cell r="AA105">
            <v>0</v>
          </cell>
          <cell r="AB105">
            <v>151.43299999999999</v>
          </cell>
          <cell r="AD105">
            <v>5024.53</v>
          </cell>
          <cell r="AN105" t="str">
            <v xml:space="preserve">Contrato emergencial nº </v>
          </cell>
          <cell r="AO105" t="str">
            <v>SA</v>
          </cell>
        </row>
        <row r="106">
          <cell r="D106" t="str">
            <v>0927/11</v>
          </cell>
          <cell r="E106" t="str">
            <v>04/04/2011</v>
          </cell>
          <cell r="F106">
            <v>40816</v>
          </cell>
          <cell r="G106">
            <v>40816</v>
          </cell>
          <cell r="H106" t="str">
            <v>2011-0.073.016-4</v>
          </cell>
          <cell r="I106">
            <v>37607.879999999997</v>
          </cell>
          <cell r="J106" t="str">
            <v xml:space="preserve">              123611122                  2848                    33903600</v>
          </cell>
          <cell r="K106">
            <v>40787</v>
          </cell>
          <cell r="L106">
            <v>30</v>
          </cell>
          <cell r="M106">
            <v>6300</v>
          </cell>
          <cell r="N106">
            <v>57278</v>
          </cell>
          <cell r="O106">
            <v>12890</v>
          </cell>
          <cell r="P106">
            <v>16</v>
          </cell>
          <cell r="Q106">
            <v>3</v>
          </cell>
          <cell r="T106">
            <v>6300</v>
          </cell>
          <cell r="W106">
            <v>30</v>
          </cell>
          <cell r="AA106">
            <v>0</v>
          </cell>
          <cell r="AB106">
            <v>208.93266666666665</v>
          </cell>
          <cell r="AD106">
            <v>4846.32</v>
          </cell>
          <cell r="AN106" t="str">
            <v xml:space="preserve">Contrato emergencial nº </v>
          </cell>
          <cell r="AO106" t="str">
            <v>SA</v>
          </cell>
        </row>
        <row r="107">
          <cell r="D107" t="str">
            <v>0957/11</v>
          </cell>
          <cell r="E107" t="str">
            <v>04/04/2011</v>
          </cell>
          <cell r="F107">
            <v>40816</v>
          </cell>
          <cell r="G107">
            <v>40816</v>
          </cell>
          <cell r="H107" t="str">
            <v>2011-0.073.131-4</v>
          </cell>
          <cell r="I107">
            <v>34338.839999999997</v>
          </cell>
          <cell r="J107" t="str">
            <v xml:space="preserve">              123611122                  2848                    33903600</v>
          </cell>
          <cell r="K107">
            <v>40787</v>
          </cell>
          <cell r="L107">
            <v>30</v>
          </cell>
          <cell r="M107">
            <v>5800</v>
          </cell>
          <cell r="N107">
            <v>57278</v>
          </cell>
          <cell r="O107">
            <v>13005</v>
          </cell>
          <cell r="P107">
            <v>16</v>
          </cell>
          <cell r="Q107">
            <v>3</v>
          </cell>
          <cell r="T107">
            <v>5800</v>
          </cell>
          <cell r="W107">
            <v>30</v>
          </cell>
          <cell r="AA107">
            <v>0</v>
          </cell>
          <cell r="AB107">
            <v>190.7713333333333</v>
          </cell>
          <cell r="AD107">
            <v>4403.2975000000006</v>
          </cell>
          <cell r="AN107" t="str">
            <v xml:space="preserve">Contrato emergencial nº </v>
          </cell>
          <cell r="AO107" t="str">
            <v>SA</v>
          </cell>
        </row>
        <row r="108">
          <cell r="D108" t="str">
            <v>0968/11</v>
          </cell>
          <cell r="E108" t="str">
            <v>04/04/2011</v>
          </cell>
          <cell r="F108">
            <v>40816</v>
          </cell>
          <cell r="G108">
            <v>40816</v>
          </cell>
          <cell r="H108" t="str">
            <v>2011-0.073.181-0</v>
          </cell>
          <cell r="I108">
            <v>44324.52</v>
          </cell>
          <cell r="J108" t="str">
            <v xml:space="preserve">              123611122                  2848                    33903600</v>
          </cell>
          <cell r="K108">
            <v>40787</v>
          </cell>
          <cell r="L108">
            <v>30</v>
          </cell>
          <cell r="M108">
            <v>7400</v>
          </cell>
          <cell r="N108">
            <v>57278</v>
          </cell>
          <cell r="O108">
            <v>13029</v>
          </cell>
          <cell r="P108">
            <v>16</v>
          </cell>
          <cell r="Q108">
            <v>3</v>
          </cell>
          <cell r="T108">
            <v>7400</v>
          </cell>
          <cell r="W108">
            <v>30</v>
          </cell>
          <cell r="AA108">
            <v>0</v>
          </cell>
          <cell r="AB108">
            <v>246.2473333333333</v>
          </cell>
          <cell r="AD108">
            <v>6033.0300000000007</v>
          </cell>
          <cell r="AN108" t="str">
            <v xml:space="preserve">Contrato emergencial nº </v>
          </cell>
          <cell r="AO108" t="str">
            <v>SA</v>
          </cell>
        </row>
        <row r="109">
          <cell r="D109" t="str">
            <v>0890/11</v>
          </cell>
          <cell r="E109" t="str">
            <v>04/04/2011</v>
          </cell>
          <cell r="F109">
            <v>40816</v>
          </cell>
          <cell r="G109">
            <v>40816</v>
          </cell>
          <cell r="H109" t="str">
            <v>2011-0.072.414-8</v>
          </cell>
          <cell r="I109">
            <v>29744.400000000001</v>
          </cell>
          <cell r="J109" t="str">
            <v xml:space="preserve">             123671125                  2863                   33903600</v>
          </cell>
          <cell r="K109">
            <v>40787</v>
          </cell>
          <cell r="L109">
            <v>30</v>
          </cell>
          <cell r="M109">
            <v>5000</v>
          </cell>
          <cell r="N109">
            <v>57287</v>
          </cell>
          <cell r="O109">
            <v>12341</v>
          </cell>
          <cell r="P109">
            <v>16</v>
          </cell>
          <cell r="Q109">
            <v>4</v>
          </cell>
          <cell r="T109">
            <v>3867.1849999999999</v>
          </cell>
          <cell r="W109">
            <v>30</v>
          </cell>
          <cell r="AA109">
            <v>0</v>
          </cell>
          <cell r="AB109">
            <v>165.24666666666667</v>
          </cell>
          <cell r="AD109">
            <v>4983.7049999999999</v>
          </cell>
          <cell r="AN109" t="str">
            <v xml:space="preserve">Contrato emergencial nº </v>
          </cell>
          <cell r="AO109" t="str">
            <v>SA</v>
          </cell>
        </row>
        <row r="110">
          <cell r="D110" t="str">
            <v>0892/11</v>
          </cell>
          <cell r="E110" t="str">
            <v>04/04/2011</v>
          </cell>
          <cell r="F110">
            <v>40816</v>
          </cell>
          <cell r="G110">
            <v>40816</v>
          </cell>
          <cell r="H110" t="str">
            <v>2011-0.072.420-2</v>
          </cell>
          <cell r="I110">
            <v>30150.54</v>
          </cell>
          <cell r="J110" t="str">
            <v xml:space="preserve">             123671125                  2863                   33903600</v>
          </cell>
          <cell r="K110">
            <v>40787</v>
          </cell>
          <cell r="L110">
            <v>30</v>
          </cell>
          <cell r="M110">
            <v>5100</v>
          </cell>
          <cell r="N110">
            <v>57287</v>
          </cell>
          <cell r="O110">
            <v>12349</v>
          </cell>
          <cell r="P110">
            <v>16</v>
          </cell>
          <cell r="Q110">
            <v>4</v>
          </cell>
          <cell r="T110">
            <v>1886.7700000000004</v>
          </cell>
          <cell r="W110">
            <v>30</v>
          </cell>
          <cell r="AA110">
            <v>0</v>
          </cell>
          <cell r="AB110">
            <v>167.50300000000001</v>
          </cell>
          <cell r="AD110">
            <v>4664.7000000000007</v>
          </cell>
          <cell r="AN110" t="str">
            <v xml:space="preserve">Contrato emergencial nº </v>
          </cell>
          <cell r="AO110" t="str">
            <v>SA</v>
          </cell>
        </row>
        <row r="111">
          <cell r="D111" t="str">
            <v>0930/11</v>
          </cell>
          <cell r="E111" t="str">
            <v>04/04/2011</v>
          </cell>
          <cell r="F111">
            <v>40816</v>
          </cell>
          <cell r="G111">
            <v>40816</v>
          </cell>
          <cell r="H111" t="str">
            <v>2011-0.072.909-3</v>
          </cell>
          <cell r="I111">
            <v>42184.92</v>
          </cell>
          <cell r="J111" t="str">
            <v xml:space="preserve">             123671125                  2863                   33903600</v>
          </cell>
          <cell r="K111">
            <v>40787</v>
          </cell>
          <cell r="L111">
            <v>30</v>
          </cell>
          <cell r="M111">
            <v>7100</v>
          </cell>
          <cell r="N111">
            <v>57287</v>
          </cell>
          <cell r="O111">
            <v>12903</v>
          </cell>
          <cell r="P111">
            <v>16</v>
          </cell>
          <cell r="Q111">
            <v>4</v>
          </cell>
          <cell r="S111">
            <v>281.69</v>
          </cell>
          <cell r="T111">
            <v>413.21000000000004</v>
          </cell>
          <cell r="W111">
            <v>30</v>
          </cell>
          <cell r="AA111">
            <v>0</v>
          </cell>
          <cell r="AB111">
            <v>234.36066666666665</v>
          </cell>
          <cell r="AD111">
            <v>7781.34</v>
          </cell>
          <cell r="AN111" t="str">
            <v xml:space="preserve">Contrato emergencial nº </v>
          </cell>
          <cell r="AO111" t="str">
            <v>SA</v>
          </cell>
        </row>
        <row r="112">
          <cell r="D112" t="str">
            <v>0942/11</v>
          </cell>
          <cell r="E112" t="str">
            <v>04/04/2011</v>
          </cell>
          <cell r="F112">
            <v>40816</v>
          </cell>
          <cell r="G112">
            <v>40816</v>
          </cell>
          <cell r="H112" t="str">
            <v>2011-0.072.943-3</v>
          </cell>
          <cell r="I112">
            <v>30150.54</v>
          </cell>
          <cell r="J112" t="str">
            <v xml:space="preserve">              123651121                 2847                    33903600</v>
          </cell>
          <cell r="K112">
            <v>40787</v>
          </cell>
          <cell r="L112">
            <v>30</v>
          </cell>
          <cell r="M112">
            <v>5100</v>
          </cell>
          <cell r="N112">
            <v>57273</v>
          </cell>
          <cell r="O112">
            <v>12950</v>
          </cell>
          <cell r="P112">
            <v>16</v>
          </cell>
          <cell r="Q112">
            <v>2</v>
          </cell>
          <cell r="S112">
            <v>2961.67</v>
          </cell>
          <cell r="T112">
            <v>830.39999999999964</v>
          </cell>
          <cell r="W112">
            <v>30</v>
          </cell>
          <cell r="AA112">
            <v>0</v>
          </cell>
          <cell r="AB112">
            <v>167.50300000000001</v>
          </cell>
          <cell r="AD112">
            <v>6027.9</v>
          </cell>
          <cell r="AN112" t="str">
            <v xml:space="preserve">Contrato emergencial nº </v>
          </cell>
          <cell r="AO112" t="str">
            <v xml:space="preserve">SA </v>
          </cell>
        </row>
        <row r="113">
          <cell r="D113" t="str">
            <v>0974/11</v>
          </cell>
          <cell r="E113" t="str">
            <v>04/04/2011</v>
          </cell>
          <cell r="F113">
            <v>40816</v>
          </cell>
          <cell r="G113">
            <v>40816</v>
          </cell>
          <cell r="H113" t="str">
            <v>2011-0.073.199-3</v>
          </cell>
          <cell r="I113">
            <v>30556.68</v>
          </cell>
          <cell r="J113" t="str">
            <v xml:space="preserve">              123651121                 2847                    33903600</v>
          </cell>
          <cell r="K113">
            <v>40787</v>
          </cell>
          <cell r="L113">
            <v>30</v>
          </cell>
          <cell r="M113">
            <v>5100</v>
          </cell>
          <cell r="N113">
            <v>57273</v>
          </cell>
          <cell r="O113">
            <v>13619</v>
          </cell>
          <cell r="P113">
            <v>16</v>
          </cell>
          <cell r="Q113">
            <v>2</v>
          </cell>
          <cell r="T113">
            <v>5100</v>
          </cell>
          <cell r="W113">
            <v>30</v>
          </cell>
          <cell r="AA113">
            <v>0</v>
          </cell>
          <cell r="AB113">
            <v>169.75933333333333</v>
          </cell>
          <cell r="AD113">
            <v>4526.3549999999996</v>
          </cell>
          <cell r="AN113" t="str">
            <v xml:space="preserve">Contrato emergencial nº </v>
          </cell>
          <cell r="AO113" t="str">
            <v xml:space="preserve">SA </v>
          </cell>
        </row>
        <row r="114">
          <cell r="D114" t="str">
            <v>0882/11</v>
          </cell>
          <cell r="E114" t="str">
            <v>04/04/2011</v>
          </cell>
          <cell r="F114">
            <v>40816</v>
          </cell>
          <cell r="G114">
            <v>40816</v>
          </cell>
          <cell r="H114" t="str">
            <v>2011-0.070.743-0</v>
          </cell>
          <cell r="I114">
            <v>36954.120000000003</v>
          </cell>
          <cell r="J114" t="str">
            <v xml:space="preserve">              123651121                 2847                    33903600</v>
          </cell>
          <cell r="K114">
            <v>40787</v>
          </cell>
          <cell r="L114">
            <v>30</v>
          </cell>
          <cell r="M114">
            <v>6200</v>
          </cell>
          <cell r="N114">
            <v>57273</v>
          </cell>
          <cell r="O114">
            <v>12296</v>
          </cell>
          <cell r="P114">
            <v>16</v>
          </cell>
          <cell r="Q114">
            <v>2</v>
          </cell>
          <cell r="T114">
            <v>3048.45</v>
          </cell>
          <cell r="W114">
            <v>30</v>
          </cell>
          <cell r="AA114">
            <v>0</v>
          </cell>
          <cell r="AB114">
            <v>205.30066666666667</v>
          </cell>
          <cell r="AD114">
            <v>5894.4699999999993</v>
          </cell>
          <cell r="AN114" t="str">
            <v xml:space="preserve">Contrato emergencial nº </v>
          </cell>
          <cell r="AO114" t="str">
            <v>SM</v>
          </cell>
        </row>
        <row r="115">
          <cell r="D115" t="str">
            <v>0893/11</v>
          </cell>
          <cell r="E115" t="str">
            <v>04/04/2011</v>
          </cell>
          <cell r="F115">
            <v>40816</v>
          </cell>
          <cell r="G115">
            <v>40816</v>
          </cell>
          <cell r="H115" t="str">
            <v>2011-0.072.424-5</v>
          </cell>
          <cell r="I115">
            <v>24820.92</v>
          </cell>
          <cell r="J115" t="str">
            <v xml:space="preserve">              123611122                  2848                    33903600</v>
          </cell>
          <cell r="K115">
            <v>40787</v>
          </cell>
          <cell r="L115">
            <v>30</v>
          </cell>
          <cell r="M115">
            <v>4200</v>
          </cell>
          <cell r="N115">
            <v>57278</v>
          </cell>
          <cell r="O115">
            <v>12354</v>
          </cell>
          <cell r="P115">
            <v>16</v>
          </cell>
          <cell r="Q115">
            <v>3</v>
          </cell>
          <cell r="T115">
            <v>1720.34</v>
          </cell>
          <cell r="W115">
            <v>30</v>
          </cell>
          <cell r="AA115">
            <v>0</v>
          </cell>
          <cell r="AB115">
            <v>137.89399999999998</v>
          </cell>
          <cell r="AD115">
            <v>3885.96</v>
          </cell>
          <cell r="AN115" t="str">
            <v xml:space="preserve">Contrato emergencial nº </v>
          </cell>
          <cell r="AO115" t="str">
            <v>SM</v>
          </cell>
        </row>
        <row r="116">
          <cell r="D116" t="str">
            <v>0931/11</v>
          </cell>
          <cell r="E116" t="str">
            <v>04/04/2011</v>
          </cell>
          <cell r="F116">
            <v>40816</v>
          </cell>
          <cell r="G116">
            <v>40816</v>
          </cell>
          <cell r="H116" t="str">
            <v>2011-0.072.913-1</v>
          </cell>
          <cell r="I116">
            <v>44324.52</v>
          </cell>
          <cell r="J116" t="str">
            <v xml:space="preserve">              123611122                  2848                    33903600</v>
          </cell>
          <cell r="K116">
            <v>40787</v>
          </cell>
          <cell r="L116">
            <v>30</v>
          </cell>
          <cell r="M116">
            <v>7400</v>
          </cell>
          <cell r="N116">
            <v>57278</v>
          </cell>
          <cell r="P116">
            <v>16</v>
          </cell>
          <cell r="Q116">
            <v>3</v>
          </cell>
          <cell r="T116">
            <v>7400</v>
          </cell>
          <cell r="W116">
            <v>30</v>
          </cell>
          <cell r="AA116">
            <v>0</v>
          </cell>
          <cell r="AB116">
            <v>246.2473333333333</v>
          </cell>
          <cell r="AN116" t="str">
            <v xml:space="preserve">Contrato emergencial nº </v>
          </cell>
          <cell r="AO116" t="str">
            <v>SM</v>
          </cell>
        </row>
        <row r="117">
          <cell r="D117" t="str">
            <v>0984/11</v>
          </cell>
          <cell r="E117" t="str">
            <v>04/04/2011</v>
          </cell>
          <cell r="F117">
            <v>40816</v>
          </cell>
          <cell r="G117">
            <v>40816</v>
          </cell>
          <cell r="H117" t="str">
            <v>2011-0.073.361-9</v>
          </cell>
          <cell r="I117">
            <v>42184.92</v>
          </cell>
          <cell r="J117" t="str">
            <v xml:space="preserve">             123671125                  2863                   33903600</v>
          </cell>
          <cell r="K117">
            <v>40787</v>
          </cell>
          <cell r="L117">
            <v>30</v>
          </cell>
          <cell r="M117">
            <v>7100</v>
          </cell>
          <cell r="N117">
            <v>57287</v>
          </cell>
          <cell r="O117">
            <v>13647</v>
          </cell>
          <cell r="P117">
            <v>16</v>
          </cell>
          <cell r="Q117">
            <v>4</v>
          </cell>
          <cell r="S117">
            <v>1684.41</v>
          </cell>
          <cell r="T117">
            <v>717.14</v>
          </cell>
          <cell r="W117">
            <v>30</v>
          </cell>
          <cell r="AA117">
            <v>0</v>
          </cell>
          <cell r="AB117">
            <v>234.36066666666665</v>
          </cell>
          <cell r="AD117">
            <v>7795.6350000000002</v>
          </cell>
          <cell r="AN117" t="str">
            <v xml:space="preserve">Contrato emergencial nº </v>
          </cell>
          <cell r="AO117" t="str">
            <v>SM</v>
          </cell>
        </row>
        <row r="118">
          <cell r="D118" t="str">
            <v>0980/11</v>
          </cell>
          <cell r="E118">
            <v>40637</v>
          </cell>
          <cell r="F118">
            <v>40816</v>
          </cell>
          <cell r="G118">
            <v>40816</v>
          </cell>
          <cell r="H118" t="str">
            <v>2011-0.073.352-0</v>
          </cell>
          <cell r="I118">
            <v>36954.120000000003</v>
          </cell>
          <cell r="J118" t="str">
            <v xml:space="preserve">              123611122                  2848                    33903600</v>
          </cell>
          <cell r="K118">
            <v>40787</v>
          </cell>
          <cell r="L118">
            <v>30</v>
          </cell>
          <cell r="M118">
            <v>6200</v>
          </cell>
          <cell r="N118">
            <v>57278</v>
          </cell>
          <cell r="P118">
            <v>16</v>
          </cell>
          <cell r="Q118">
            <v>3</v>
          </cell>
          <cell r="T118">
            <v>6200</v>
          </cell>
          <cell r="W118">
            <v>30</v>
          </cell>
          <cell r="AA118">
            <v>0</v>
          </cell>
          <cell r="AB118">
            <v>205.30066666666667</v>
          </cell>
          <cell r="AN118" t="str">
            <v xml:space="preserve">Contrato emergencial nº </v>
          </cell>
          <cell r="AO118" t="str">
            <v>IQ</v>
          </cell>
        </row>
        <row r="119">
          <cell r="D119" t="str">
            <v>0985/11</v>
          </cell>
          <cell r="E119" t="str">
            <v>05/04/2011</v>
          </cell>
          <cell r="F119">
            <v>40817</v>
          </cell>
          <cell r="G119">
            <v>40817</v>
          </cell>
          <cell r="H119" t="str">
            <v>2011-0.073.366-0</v>
          </cell>
          <cell r="I119">
            <v>34992.660000000003</v>
          </cell>
          <cell r="J119" t="str">
            <v xml:space="preserve">              123611122                  2848                    33903600</v>
          </cell>
          <cell r="K119">
            <v>40817</v>
          </cell>
          <cell r="L119">
            <v>1</v>
          </cell>
          <cell r="M119">
            <v>200</v>
          </cell>
          <cell r="N119">
            <v>57278</v>
          </cell>
          <cell r="O119">
            <v>13648</v>
          </cell>
          <cell r="P119">
            <v>16</v>
          </cell>
          <cell r="Q119">
            <v>3</v>
          </cell>
          <cell r="T119">
            <v>4880</v>
          </cell>
          <cell r="U119">
            <v>0</v>
          </cell>
          <cell r="AA119">
            <v>0</v>
          </cell>
          <cell r="AB119">
            <v>194.40366666666668</v>
          </cell>
          <cell r="AD119">
            <v>4335.5266666666666</v>
          </cell>
          <cell r="AN119" t="str">
            <v xml:space="preserve">Contrato emergencial nº </v>
          </cell>
          <cell r="AO119" t="str">
            <v>JT</v>
          </cell>
        </row>
        <row r="120">
          <cell r="D120" t="str">
            <v>1466/11</v>
          </cell>
          <cell r="E120" t="str">
            <v>05/04/2011</v>
          </cell>
          <cell r="F120">
            <v>40817</v>
          </cell>
          <cell r="G120">
            <v>40817</v>
          </cell>
          <cell r="H120" t="str">
            <v>2011-0.100.566-8</v>
          </cell>
          <cell r="I120">
            <v>29744.400000000001</v>
          </cell>
          <cell r="J120" t="str">
            <v xml:space="preserve">              123611122                  2848                    33903600</v>
          </cell>
          <cell r="K120">
            <v>40817</v>
          </cell>
          <cell r="L120">
            <v>1</v>
          </cell>
          <cell r="M120">
            <v>200</v>
          </cell>
          <cell r="N120">
            <v>57278</v>
          </cell>
          <cell r="O120">
            <v>13605</v>
          </cell>
          <cell r="P120">
            <v>16</v>
          </cell>
          <cell r="Q120">
            <v>3</v>
          </cell>
          <cell r="T120">
            <v>4160</v>
          </cell>
          <cell r="U120">
            <v>62.31</v>
          </cell>
          <cell r="AA120">
            <v>62.31</v>
          </cell>
          <cell r="AB120">
            <v>165.24666666666667</v>
          </cell>
          <cell r="AD120">
            <v>4286.96</v>
          </cell>
          <cell r="AN120" t="str">
            <v xml:space="preserve">Contrato emergencial nº </v>
          </cell>
          <cell r="AO120" t="str">
            <v>PJ</v>
          </cell>
        </row>
        <row r="121">
          <cell r="D121" t="str">
            <v>1467/11</v>
          </cell>
          <cell r="E121" t="str">
            <v>06/04/2011</v>
          </cell>
          <cell r="F121">
            <v>40818</v>
          </cell>
          <cell r="G121">
            <v>40818</v>
          </cell>
          <cell r="H121" t="str">
            <v>2011-0.100.571-4</v>
          </cell>
          <cell r="I121">
            <v>26703.18</v>
          </cell>
          <cell r="J121" t="str">
            <v xml:space="preserve">              123651121                 2847                    33903600</v>
          </cell>
          <cell r="K121">
            <v>40817</v>
          </cell>
          <cell r="L121">
            <v>2</v>
          </cell>
          <cell r="M121">
            <v>300</v>
          </cell>
          <cell r="N121">
            <v>57273</v>
          </cell>
          <cell r="O121">
            <v>13609</v>
          </cell>
          <cell r="P121">
            <v>16</v>
          </cell>
          <cell r="Q121">
            <v>2</v>
          </cell>
          <cell r="S121">
            <v>2428.09</v>
          </cell>
          <cell r="T121">
            <v>2344.36</v>
          </cell>
          <cell r="U121">
            <v>2944.36</v>
          </cell>
          <cell r="AA121">
            <v>2944.36</v>
          </cell>
          <cell r="AB121">
            <v>148.351</v>
          </cell>
          <cell r="AD121">
            <v>5371.2</v>
          </cell>
          <cell r="AN121" t="str">
            <v xml:space="preserve">Contrato emergencial nº </v>
          </cell>
          <cell r="AO121" t="str">
            <v>CL</v>
          </cell>
        </row>
        <row r="122">
          <cell r="D122" t="str">
            <v>1470/11</v>
          </cell>
          <cell r="E122" t="str">
            <v>06/04/2011</v>
          </cell>
          <cell r="F122">
            <v>40818</v>
          </cell>
          <cell r="G122">
            <v>40818</v>
          </cell>
          <cell r="H122" t="str">
            <v>2011-0.100.578-1</v>
          </cell>
          <cell r="I122">
            <v>31418.52</v>
          </cell>
          <cell r="J122" t="str">
            <v xml:space="preserve">              123651121                 2847                    33903600</v>
          </cell>
          <cell r="K122">
            <v>40817</v>
          </cell>
          <cell r="L122">
            <v>2</v>
          </cell>
          <cell r="M122">
            <v>400</v>
          </cell>
          <cell r="N122">
            <v>57273</v>
          </cell>
          <cell r="O122">
            <v>13622</v>
          </cell>
          <cell r="P122">
            <v>16</v>
          </cell>
          <cell r="Q122">
            <v>2</v>
          </cell>
          <cell r="T122">
            <v>3806.38</v>
          </cell>
          <cell r="U122">
            <v>0</v>
          </cell>
          <cell r="AA122">
            <v>0</v>
          </cell>
          <cell r="AB122">
            <v>174.54733333333334</v>
          </cell>
          <cell r="AD122">
            <v>5633.130000000001</v>
          </cell>
          <cell r="AN122" t="str">
            <v xml:space="preserve">Contrato emergencial nº </v>
          </cell>
          <cell r="AO122" t="str">
            <v>JT</v>
          </cell>
        </row>
        <row r="123">
          <cell r="D123" t="str">
            <v>1693/11</v>
          </cell>
          <cell r="E123">
            <v>40724</v>
          </cell>
          <cell r="F123">
            <v>40903</v>
          </cell>
          <cell r="G123">
            <v>40877</v>
          </cell>
          <cell r="H123" t="str">
            <v>2011-0.180.770-5</v>
          </cell>
          <cell r="I123">
            <v>42838.74</v>
          </cell>
          <cell r="J123" t="str">
            <v xml:space="preserve">              123611122                  2848                    33903600</v>
          </cell>
          <cell r="K123">
            <v>40878</v>
          </cell>
          <cell r="L123">
            <v>0</v>
          </cell>
          <cell r="M123">
            <v>0</v>
          </cell>
          <cell r="N123">
            <v>57278</v>
          </cell>
          <cell r="O123">
            <v>25601</v>
          </cell>
          <cell r="P123">
            <v>16</v>
          </cell>
          <cell r="Q123">
            <v>3</v>
          </cell>
          <cell r="S123">
            <v>6876.2</v>
          </cell>
          <cell r="T123">
            <v>7594.9999999999991</v>
          </cell>
          <cell r="U123">
            <v>0</v>
          </cell>
          <cell r="V123">
            <v>6510</v>
          </cell>
          <cell r="W123">
            <v>26</v>
          </cell>
          <cell r="X123">
            <v>6200</v>
          </cell>
          <cell r="Y123">
            <v>96694</v>
          </cell>
          <cell r="Z123">
            <v>8221.01</v>
          </cell>
          <cell r="AA123">
            <v>4488.99</v>
          </cell>
          <cell r="AB123">
            <v>237.99299999999999</v>
          </cell>
          <cell r="AD123">
            <v>6876.2</v>
          </cell>
          <cell r="AN123" t="str">
            <v xml:space="preserve">Contrato emergencial nº </v>
          </cell>
          <cell r="AO123" t="str">
            <v>JT</v>
          </cell>
        </row>
        <row r="124">
          <cell r="D124" t="str">
            <v>1469/11</v>
          </cell>
          <cell r="E124" t="str">
            <v>06/04/2011</v>
          </cell>
          <cell r="F124">
            <v>40818</v>
          </cell>
          <cell r="G124">
            <v>40818</v>
          </cell>
          <cell r="H124" t="str">
            <v>2011-0.100.575-7</v>
          </cell>
          <cell r="I124">
            <v>40877.160000000003</v>
          </cell>
          <cell r="J124" t="str">
            <v xml:space="preserve">              123611122                  2848                    33903600</v>
          </cell>
          <cell r="K124">
            <v>40817</v>
          </cell>
          <cell r="L124">
            <v>2</v>
          </cell>
          <cell r="M124">
            <v>500</v>
          </cell>
          <cell r="N124">
            <v>57278</v>
          </cell>
          <cell r="O124">
            <v>13613</v>
          </cell>
          <cell r="P124">
            <v>16</v>
          </cell>
          <cell r="Q124">
            <v>3</v>
          </cell>
          <cell r="T124">
            <v>5840</v>
          </cell>
          <cell r="AA124">
            <v>0</v>
          </cell>
          <cell r="AB124">
            <v>227.09533333333334</v>
          </cell>
          <cell r="AD124">
            <v>6012</v>
          </cell>
          <cell r="AN124" t="str">
            <v xml:space="preserve">Contrato emergencial nº </v>
          </cell>
          <cell r="AO124" t="str">
            <v>PJ</v>
          </cell>
        </row>
        <row r="125">
          <cell r="D125" t="str">
            <v>1471/11</v>
          </cell>
          <cell r="E125" t="str">
            <v>07/04/2011</v>
          </cell>
          <cell r="F125">
            <v>40819</v>
          </cell>
          <cell r="G125">
            <v>40819</v>
          </cell>
          <cell r="H125" t="str">
            <v>2011-0.100.581-1</v>
          </cell>
          <cell r="I125">
            <v>44324.52</v>
          </cell>
          <cell r="J125" t="str">
            <v xml:space="preserve">              123651121                 2847                    33903600</v>
          </cell>
          <cell r="K125">
            <v>40817</v>
          </cell>
          <cell r="L125">
            <v>3</v>
          </cell>
          <cell r="M125">
            <v>800</v>
          </cell>
          <cell r="N125">
            <v>57273</v>
          </cell>
          <cell r="O125">
            <v>13627</v>
          </cell>
          <cell r="P125">
            <v>16</v>
          </cell>
          <cell r="Q125">
            <v>2</v>
          </cell>
          <cell r="T125">
            <v>6560</v>
          </cell>
          <cell r="AA125">
            <v>0</v>
          </cell>
          <cell r="AB125">
            <v>246.2473333333333</v>
          </cell>
          <cell r="AD125">
            <v>7744.8599999999988</v>
          </cell>
          <cell r="AN125" t="str">
            <v xml:space="preserve">Contrato emergencial nº </v>
          </cell>
          <cell r="AO125" t="str">
            <v>PJ</v>
          </cell>
        </row>
        <row r="126">
          <cell r="D126" t="str">
            <v>1476/11</v>
          </cell>
          <cell r="E126" t="str">
            <v>08/04/2011</v>
          </cell>
          <cell r="F126">
            <v>40820</v>
          </cell>
          <cell r="G126">
            <v>40820</v>
          </cell>
          <cell r="H126" t="str">
            <v>2011-0.100.596-0</v>
          </cell>
          <cell r="I126">
            <v>42838.74</v>
          </cell>
          <cell r="J126" t="str">
            <v xml:space="preserve">             123671125                  2863                   33903600</v>
          </cell>
          <cell r="K126">
            <v>40817</v>
          </cell>
          <cell r="L126">
            <v>4</v>
          </cell>
          <cell r="M126">
            <v>1000</v>
          </cell>
          <cell r="N126">
            <v>57287</v>
          </cell>
          <cell r="O126">
            <v>13660</v>
          </cell>
          <cell r="P126">
            <v>16</v>
          </cell>
          <cell r="Q126">
            <v>4</v>
          </cell>
          <cell r="T126">
            <v>3927.28</v>
          </cell>
          <cell r="U126">
            <v>0</v>
          </cell>
          <cell r="AA126">
            <v>0</v>
          </cell>
          <cell r="AB126">
            <v>237.99299999999999</v>
          </cell>
          <cell r="AD126">
            <v>7064.8</v>
          </cell>
          <cell r="AN126" t="str">
            <v xml:space="preserve">Contrato emergencial nº </v>
          </cell>
          <cell r="AO126" t="str">
            <v>CL</v>
          </cell>
        </row>
        <row r="127">
          <cell r="D127" t="str">
            <v>1473/11</v>
          </cell>
          <cell r="E127" t="str">
            <v>08/04/2011</v>
          </cell>
          <cell r="F127">
            <v>40820</v>
          </cell>
          <cell r="G127">
            <v>40820</v>
          </cell>
          <cell r="H127" t="str">
            <v>2011-0.100.591-9</v>
          </cell>
          <cell r="I127">
            <v>28377.3</v>
          </cell>
          <cell r="J127" t="str">
            <v xml:space="preserve">              123611122                  2848                    33903600</v>
          </cell>
          <cell r="K127">
            <v>40817</v>
          </cell>
          <cell r="L127">
            <v>4</v>
          </cell>
          <cell r="M127">
            <v>700</v>
          </cell>
          <cell r="N127">
            <v>57278</v>
          </cell>
          <cell r="O127">
            <v>13653</v>
          </cell>
          <cell r="P127">
            <v>16</v>
          </cell>
          <cell r="Q127">
            <v>3</v>
          </cell>
          <cell r="T127">
            <v>4536.2299999999996</v>
          </cell>
          <cell r="U127">
            <v>0</v>
          </cell>
          <cell r="AA127">
            <v>0</v>
          </cell>
          <cell r="AB127">
            <v>157.65166666666667</v>
          </cell>
          <cell r="AD127">
            <v>4391.096333333333</v>
          </cell>
          <cell r="AN127" t="str">
            <v xml:space="preserve">Contrato emergencial nº </v>
          </cell>
          <cell r="AO127" t="str">
            <v>CS</v>
          </cell>
        </row>
        <row r="128">
          <cell r="D128" t="str">
            <v>1472/11</v>
          </cell>
          <cell r="E128" t="str">
            <v>08/04/2011</v>
          </cell>
          <cell r="F128">
            <v>40820</v>
          </cell>
          <cell r="G128">
            <v>40820</v>
          </cell>
          <cell r="H128" t="str">
            <v>2011-0.100.586-2</v>
          </cell>
          <cell r="I128">
            <v>27971.16</v>
          </cell>
          <cell r="J128" t="str">
            <v xml:space="preserve">              123651121                 2847                    33903600</v>
          </cell>
          <cell r="K128">
            <v>40817</v>
          </cell>
          <cell r="L128">
            <v>4</v>
          </cell>
          <cell r="M128">
            <v>700</v>
          </cell>
          <cell r="N128">
            <v>57273</v>
          </cell>
          <cell r="O128">
            <v>13639</v>
          </cell>
          <cell r="P128">
            <v>16</v>
          </cell>
          <cell r="Q128">
            <v>2</v>
          </cell>
          <cell r="T128">
            <v>4240</v>
          </cell>
          <cell r="AA128">
            <v>0</v>
          </cell>
          <cell r="AB128">
            <v>155.39533333333333</v>
          </cell>
          <cell r="AN128" t="str">
            <v xml:space="preserve">Contrato emergencial nº </v>
          </cell>
          <cell r="AO128" t="str">
            <v>JT</v>
          </cell>
        </row>
        <row r="129">
          <cell r="D129" t="str">
            <v>1010/11</v>
          </cell>
          <cell r="E129" t="str">
            <v>11/04/2011</v>
          </cell>
          <cell r="F129">
            <v>40823</v>
          </cell>
          <cell r="G129">
            <v>40823</v>
          </cell>
          <cell r="H129" t="str">
            <v>2011-0.074.311-8</v>
          </cell>
          <cell r="I129">
            <v>44978.400000000001</v>
          </cell>
          <cell r="J129" t="str">
            <v xml:space="preserve">              123611122                  2848                    33903600</v>
          </cell>
          <cell r="K129">
            <v>40817</v>
          </cell>
          <cell r="L129">
            <v>7</v>
          </cell>
          <cell r="M129">
            <v>1800</v>
          </cell>
          <cell r="N129">
            <v>57278</v>
          </cell>
          <cell r="O129">
            <v>13819</v>
          </cell>
          <cell r="P129">
            <v>16</v>
          </cell>
          <cell r="Q129">
            <v>3</v>
          </cell>
          <cell r="T129">
            <v>7440</v>
          </cell>
          <cell r="U129">
            <v>0</v>
          </cell>
          <cell r="AA129">
            <v>0</v>
          </cell>
          <cell r="AB129">
            <v>249.88</v>
          </cell>
          <cell r="AD129">
            <v>5548.49</v>
          </cell>
          <cell r="AN129" t="str">
            <v xml:space="preserve">Contrato emergencial nº </v>
          </cell>
          <cell r="AO129" t="str">
            <v>BT</v>
          </cell>
        </row>
        <row r="130">
          <cell r="D130" t="str">
            <v>1116/11</v>
          </cell>
          <cell r="E130" t="str">
            <v>11/04/2011</v>
          </cell>
          <cell r="F130">
            <v>40823</v>
          </cell>
          <cell r="G130">
            <v>40823</v>
          </cell>
          <cell r="H130" t="str">
            <v>2011-0.081.754-5</v>
          </cell>
          <cell r="I130">
            <v>37607.879999999997</v>
          </cell>
          <cell r="J130" t="str">
            <v xml:space="preserve">              123611122                  2848                    33903600</v>
          </cell>
          <cell r="K130">
            <v>40817</v>
          </cell>
          <cell r="L130">
            <v>7</v>
          </cell>
          <cell r="M130">
            <v>1500</v>
          </cell>
          <cell r="N130">
            <v>57278</v>
          </cell>
          <cell r="O130">
            <v>13816</v>
          </cell>
          <cell r="P130">
            <v>16</v>
          </cell>
          <cell r="Q130">
            <v>3</v>
          </cell>
          <cell r="T130">
            <v>6240</v>
          </cell>
          <cell r="U130">
            <v>0</v>
          </cell>
          <cell r="AA130">
            <v>0</v>
          </cell>
          <cell r="AB130">
            <v>208.93266666666665</v>
          </cell>
          <cell r="AD130">
            <v>5165.3500000000004</v>
          </cell>
          <cell r="AN130" t="str">
            <v xml:space="preserve">Contrato emergencial nº </v>
          </cell>
          <cell r="AO130" t="str">
            <v>BT</v>
          </cell>
        </row>
        <row r="131">
          <cell r="D131" t="str">
            <v>1005/11</v>
          </cell>
          <cell r="E131" t="str">
            <v>11/04/2011</v>
          </cell>
          <cell r="F131">
            <v>40823</v>
          </cell>
          <cell r="G131">
            <v>40823</v>
          </cell>
          <cell r="H131" t="str">
            <v>2011-0.073.440-2</v>
          </cell>
          <cell r="I131">
            <v>30150.54</v>
          </cell>
          <cell r="J131" t="str">
            <v xml:space="preserve">              123651121                 2847                    33903600</v>
          </cell>
          <cell r="K131">
            <v>40817</v>
          </cell>
          <cell r="L131">
            <v>7</v>
          </cell>
          <cell r="M131">
            <v>1200</v>
          </cell>
          <cell r="N131">
            <v>57273</v>
          </cell>
          <cell r="O131">
            <v>13799</v>
          </cell>
          <cell r="P131">
            <v>16</v>
          </cell>
          <cell r="Q131">
            <v>2</v>
          </cell>
          <cell r="S131">
            <v>870.19</v>
          </cell>
          <cell r="T131">
            <v>4960</v>
          </cell>
          <cell r="U131">
            <v>804.43500000000017</v>
          </cell>
          <cell r="AA131">
            <v>804.43500000000017</v>
          </cell>
          <cell r="AB131">
            <v>167.50300000000001</v>
          </cell>
          <cell r="AD131">
            <v>5452.9</v>
          </cell>
          <cell r="AN131" t="str">
            <v xml:space="preserve">Contrato emergencial nº </v>
          </cell>
          <cell r="AO131" t="str">
            <v>CL</v>
          </cell>
        </row>
        <row r="132">
          <cell r="D132" t="str">
            <v>1033/11</v>
          </cell>
          <cell r="E132" t="str">
            <v>11/04/2011</v>
          </cell>
          <cell r="F132">
            <v>40823</v>
          </cell>
          <cell r="G132">
            <v>40823</v>
          </cell>
          <cell r="H132" t="str">
            <v>2011-0.074.827-6</v>
          </cell>
          <cell r="I132">
            <v>30150.54</v>
          </cell>
          <cell r="J132" t="str">
            <v xml:space="preserve">              123651121                 2847                    33903600</v>
          </cell>
          <cell r="K132">
            <v>40817</v>
          </cell>
          <cell r="L132">
            <v>7</v>
          </cell>
          <cell r="M132">
            <v>1200</v>
          </cell>
          <cell r="N132">
            <v>57273</v>
          </cell>
          <cell r="O132">
            <v>13924</v>
          </cell>
          <cell r="P132">
            <v>16</v>
          </cell>
          <cell r="Q132">
            <v>2</v>
          </cell>
          <cell r="S132">
            <v>4194.24</v>
          </cell>
          <cell r="T132">
            <v>4960</v>
          </cell>
          <cell r="U132">
            <v>807.0350000000002</v>
          </cell>
          <cell r="AA132">
            <v>807.0350000000002</v>
          </cell>
          <cell r="AB132">
            <v>167.50300000000001</v>
          </cell>
          <cell r="AD132">
            <v>5751.8999999999987</v>
          </cell>
          <cell r="AN132" t="str">
            <v xml:space="preserve">Contrato emergencial nº </v>
          </cell>
          <cell r="AO132" t="str">
            <v>CL</v>
          </cell>
        </row>
        <row r="133">
          <cell r="D133" t="str">
            <v>1108/11</v>
          </cell>
          <cell r="E133" t="str">
            <v>11/04/2011</v>
          </cell>
          <cell r="F133">
            <v>40823</v>
          </cell>
          <cell r="G133">
            <v>40823</v>
          </cell>
          <cell r="H133" t="str">
            <v>2011-0.074.944-2</v>
          </cell>
          <cell r="I133">
            <v>38261.760000000002</v>
          </cell>
          <cell r="J133" t="str">
            <v xml:space="preserve">              123651121                 2847                    33903600</v>
          </cell>
          <cell r="K133">
            <v>40817</v>
          </cell>
          <cell r="L133">
            <v>7</v>
          </cell>
          <cell r="M133">
            <v>1500</v>
          </cell>
          <cell r="N133">
            <v>57273</v>
          </cell>
          <cell r="O133">
            <v>13928</v>
          </cell>
          <cell r="P133">
            <v>16</v>
          </cell>
          <cell r="Q133">
            <v>2</v>
          </cell>
          <cell r="U133">
            <v>0</v>
          </cell>
          <cell r="AA133">
            <v>0</v>
          </cell>
          <cell r="AB133">
            <v>212.56533333333334</v>
          </cell>
          <cell r="AD133">
            <v>4913.1786666666658</v>
          </cell>
          <cell r="AN133" t="str">
            <v xml:space="preserve">Contrato emergencial nº </v>
          </cell>
          <cell r="AO133" t="str">
            <v>CL</v>
          </cell>
        </row>
        <row r="134">
          <cell r="D134" t="str">
            <v>1134/11</v>
          </cell>
          <cell r="E134" t="str">
            <v>11/04/2011</v>
          </cell>
          <cell r="F134">
            <v>40823</v>
          </cell>
          <cell r="G134">
            <v>40823</v>
          </cell>
          <cell r="H134" t="str">
            <v>2011-0.081.812-6</v>
          </cell>
          <cell r="I134">
            <v>37607.879999999997</v>
          </cell>
          <cell r="J134" t="str">
            <v xml:space="preserve">              123651121                 2847                    33903600</v>
          </cell>
          <cell r="K134">
            <v>40817</v>
          </cell>
          <cell r="L134">
            <v>7</v>
          </cell>
          <cell r="M134">
            <v>1500</v>
          </cell>
          <cell r="N134">
            <v>57273</v>
          </cell>
          <cell r="O134">
            <v>13957</v>
          </cell>
          <cell r="P134">
            <v>16</v>
          </cell>
          <cell r="Q134">
            <v>2</v>
          </cell>
          <cell r="T134">
            <v>390.42</v>
          </cell>
          <cell r="U134">
            <v>0</v>
          </cell>
          <cell r="AA134">
            <v>0</v>
          </cell>
          <cell r="AB134">
            <v>208.93266666666665</v>
          </cell>
          <cell r="AD134">
            <v>5900.3499999999995</v>
          </cell>
          <cell r="AN134" t="str">
            <v xml:space="preserve">Contrato emergencial nº </v>
          </cell>
          <cell r="AO134" t="str">
            <v>CL</v>
          </cell>
        </row>
        <row r="135">
          <cell r="D135" t="str">
            <v>0989/11</v>
          </cell>
          <cell r="E135" t="str">
            <v>11/04/2011</v>
          </cell>
          <cell r="F135">
            <v>40823</v>
          </cell>
          <cell r="G135">
            <v>40823</v>
          </cell>
          <cell r="H135" t="str">
            <v>2011-0.073.406-2</v>
          </cell>
          <cell r="I135">
            <v>44324.52</v>
          </cell>
          <cell r="J135" t="str">
            <v xml:space="preserve">              123611122                  2848                    33903600</v>
          </cell>
          <cell r="K135">
            <v>40817</v>
          </cell>
          <cell r="L135">
            <v>7</v>
          </cell>
          <cell r="M135">
            <v>1800</v>
          </cell>
          <cell r="N135">
            <v>57278</v>
          </cell>
          <cell r="O135">
            <v>13666</v>
          </cell>
          <cell r="P135">
            <v>16</v>
          </cell>
          <cell r="Q135">
            <v>3</v>
          </cell>
          <cell r="U135">
            <v>0</v>
          </cell>
          <cell r="AA135">
            <v>0</v>
          </cell>
          <cell r="AB135">
            <v>246.2473333333333</v>
          </cell>
          <cell r="AD135">
            <v>5748.7099999999991</v>
          </cell>
          <cell r="AN135" t="str">
            <v xml:space="preserve">Contrato emergencial nº </v>
          </cell>
          <cell r="AO135" t="str">
            <v>CL</v>
          </cell>
        </row>
        <row r="136">
          <cell r="D136" t="str">
            <v>0990/11</v>
          </cell>
          <cell r="E136" t="str">
            <v>11/04/2011</v>
          </cell>
          <cell r="F136">
            <v>40823</v>
          </cell>
          <cell r="G136">
            <v>40823</v>
          </cell>
          <cell r="H136" t="str">
            <v>2011-0.073.410-0</v>
          </cell>
          <cell r="I136">
            <v>38261.760000000002</v>
          </cell>
          <cell r="J136" t="str">
            <v xml:space="preserve">              123611122                  2848                    33903600</v>
          </cell>
          <cell r="K136">
            <v>40817</v>
          </cell>
          <cell r="L136">
            <v>7</v>
          </cell>
          <cell r="M136">
            <v>1500</v>
          </cell>
          <cell r="N136">
            <v>57278</v>
          </cell>
          <cell r="O136">
            <v>13668</v>
          </cell>
          <cell r="P136">
            <v>16</v>
          </cell>
          <cell r="Q136">
            <v>3</v>
          </cell>
          <cell r="T136">
            <v>5107.78</v>
          </cell>
          <cell r="U136">
            <v>0</v>
          </cell>
          <cell r="AA136">
            <v>0</v>
          </cell>
          <cell r="AB136">
            <v>212.56533333333334</v>
          </cell>
          <cell r="AD136">
            <v>6468.9599999999991</v>
          </cell>
          <cell r="AN136" t="str">
            <v xml:space="preserve">Contrato emergencial nº </v>
          </cell>
          <cell r="AO136" t="str">
            <v>CL</v>
          </cell>
        </row>
        <row r="137">
          <cell r="D137" t="str">
            <v>1126/11</v>
          </cell>
          <cell r="E137" t="str">
            <v>11/04/2011</v>
          </cell>
          <cell r="F137">
            <v>40823</v>
          </cell>
          <cell r="G137">
            <v>40823</v>
          </cell>
          <cell r="H137" t="str">
            <v>2011-0.081.783-9</v>
          </cell>
          <cell r="I137">
            <v>30150.54</v>
          </cell>
          <cell r="J137" t="str">
            <v xml:space="preserve">              123611122                  2848                    33903600</v>
          </cell>
          <cell r="K137">
            <v>40817</v>
          </cell>
          <cell r="L137">
            <v>7</v>
          </cell>
          <cell r="M137">
            <v>1200</v>
          </cell>
          <cell r="N137">
            <v>57278</v>
          </cell>
          <cell r="O137">
            <v>13891</v>
          </cell>
          <cell r="P137">
            <v>16</v>
          </cell>
          <cell r="Q137">
            <v>3</v>
          </cell>
          <cell r="S137">
            <v>1120.53</v>
          </cell>
          <cell r="T137">
            <v>4960</v>
          </cell>
          <cell r="U137">
            <v>623.73500000000024</v>
          </cell>
          <cell r="AA137">
            <v>623.73500000000024</v>
          </cell>
          <cell r="AB137">
            <v>167.50300000000001</v>
          </cell>
          <cell r="AD137">
            <v>5571.05</v>
          </cell>
          <cell r="AN137" t="str">
            <v xml:space="preserve">Contrato emergencial nº </v>
          </cell>
          <cell r="AO137" t="str">
            <v>CL</v>
          </cell>
        </row>
        <row r="138">
          <cell r="D138" t="str">
            <v>1130/11</v>
          </cell>
          <cell r="E138" t="str">
            <v>11/04/2011</v>
          </cell>
          <cell r="F138">
            <v>40823</v>
          </cell>
          <cell r="G138">
            <v>40823</v>
          </cell>
          <cell r="H138" t="str">
            <v>2011-0.081.801-0</v>
          </cell>
          <cell r="I138">
            <v>30150.54</v>
          </cell>
          <cell r="J138" t="str">
            <v xml:space="preserve">              123611122                  2848                    33903600</v>
          </cell>
          <cell r="K138">
            <v>40817</v>
          </cell>
          <cell r="L138">
            <v>7</v>
          </cell>
          <cell r="M138">
            <v>1200</v>
          </cell>
          <cell r="N138">
            <v>57278</v>
          </cell>
          <cell r="O138">
            <v>13926</v>
          </cell>
          <cell r="P138">
            <v>16</v>
          </cell>
          <cell r="Q138">
            <v>3</v>
          </cell>
          <cell r="T138">
            <v>4158.1274999999996</v>
          </cell>
          <cell r="U138">
            <v>0</v>
          </cell>
          <cell r="AA138">
            <v>0</v>
          </cell>
          <cell r="AB138">
            <v>167.50300000000001</v>
          </cell>
          <cell r="AD138">
            <v>5141.5550000000003</v>
          </cell>
          <cell r="AN138" t="str">
            <v xml:space="preserve">Contrato emergencial nº </v>
          </cell>
          <cell r="AO138" t="str">
            <v>CL</v>
          </cell>
        </row>
        <row r="139">
          <cell r="D139" t="str">
            <v>1475/11</v>
          </cell>
          <cell r="E139" t="str">
            <v>11/04/2011</v>
          </cell>
          <cell r="F139">
            <v>40823</v>
          </cell>
          <cell r="G139">
            <v>40823</v>
          </cell>
          <cell r="H139" t="str">
            <v>2011-0.100.593-5</v>
          </cell>
          <cell r="I139">
            <v>31418.52</v>
          </cell>
          <cell r="J139" t="str">
            <v xml:space="preserve">              123611122                  2848                    33903600</v>
          </cell>
          <cell r="K139">
            <v>40817</v>
          </cell>
          <cell r="L139">
            <v>7</v>
          </cell>
          <cell r="M139">
            <v>1300</v>
          </cell>
          <cell r="N139">
            <v>57278</v>
          </cell>
          <cell r="O139">
            <v>17348</v>
          </cell>
          <cell r="P139">
            <v>16</v>
          </cell>
          <cell r="Q139">
            <v>3</v>
          </cell>
          <cell r="T139">
            <v>2834.395</v>
          </cell>
          <cell r="U139">
            <v>0</v>
          </cell>
          <cell r="AA139">
            <v>0</v>
          </cell>
          <cell r="AB139">
            <v>174.54733333333334</v>
          </cell>
          <cell r="AD139">
            <v>5347.0550000000003</v>
          </cell>
          <cell r="AN139" t="str">
            <v xml:space="preserve">Contrato emergencial nº </v>
          </cell>
          <cell r="AO139" t="str">
            <v>CL</v>
          </cell>
        </row>
        <row r="140">
          <cell r="D140" t="str">
            <v>1133/11</v>
          </cell>
          <cell r="E140" t="str">
            <v>11/04/2011</v>
          </cell>
          <cell r="F140">
            <v>40823</v>
          </cell>
          <cell r="G140">
            <v>40823</v>
          </cell>
          <cell r="H140" t="str">
            <v>2011-0.081.810-0</v>
          </cell>
          <cell r="I140">
            <v>41531.040000000001</v>
          </cell>
          <cell r="J140" t="str">
            <v xml:space="preserve">             123671125                  2863                   33903600</v>
          </cell>
          <cell r="K140">
            <v>40817</v>
          </cell>
          <cell r="L140">
            <v>7</v>
          </cell>
          <cell r="M140">
            <v>1700</v>
          </cell>
          <cell r="N140">
            <v>57287</v>
          </cell>
          <cell r="O140">
            <v>13944</v>
          </cell>
          <cell r="P140">
            <v>16</v>
          </cell>
          <cell r="Q140">
            <v>4</v>
          </cell>
          <cell r="T140">
            <v>4883.6850000000004</v>
          </cell>
          <cell r="U140">
            <v>0</v>
          </cell>
          <cell r="AA140">
            <v>0</v>
          </cell>
          <cell r="AB140">
            <v>230.72800000000001</v>
          </cell>
          <cell r="AD140">
            <v>6788.1849999999995</v>
          </cell>
          <cell r="AN140" t="str">
            <v xml:space="preserve">Contrato emergencial nº </v>
          </cell>
          <cell r="AO140" t="str">
            <v>CL</v>
          </cell>
        </row>
        <row r="141">
          <cell r="D141" t="str">
            <v>0992/11</v>
          </cell>
          <cell r="E141" t="str">
            <v>11/04/2011</v>
          </cell>
          <cell r="F141">
            <v>40823</v>
          </cell>
          <cell r="G141">
            <v>40823</v>
          </cell>
          <cell r="H141" t="str">
            <v>2011-0.073.412-7</v>
          </cell>
          <cell r="I141">
            <v>40877.160000000003</v>
          </cell>
          <cell r="J141" t="str">
            <v xml:space="preserve">              123651121                 2847                    33903600</v>
          </cell>
          <cell r="K141">
            <v>40817</v>
          </cell>
          <cell r="L141">
            <v>7</v>
          </cell>
          <cell r="M141">
            <v>1600</v>
          </cell>
          <cell r="N141">
            <v>57273</v>
          </cell>
          <cell r="O141">
            <v>13721</v>
          </cell>
          <cell r="P141">
            <v>16</v>
          </cell>
          <cell r="Q141">
            <v>2</v>
          </cell>
          <cell r="T141">
            <v>3480.52</v>
          </cell>
          <cell r="U141">
            <v>0</v>
          </cell>
          <cell r="AA141">
            <v>0</v>
          </cell>
          <cell r="AB141">
            <v>227.09533333333334</v>
          </cell>
          <cell r="AD141">
            <v>6429.48</v>
          </cell>
          <cell r="AN141" t="str">
            <v xml:space="preserve">Contrato emergencial nº </v>
          </cell>
          <cell r="AO141" t="str">
            <v>CS</v>
          </cell>
        </row>
        <row r="142">
          <cell r="D142" t="str">
            <v>1006/11</v>
          </cell>
          <cell r="E142" t="str">
            <v>11/04/2011</v>
          </cell>
          <cell r="F142">
            <v>40823</v>
          </cell>
          <cell r="G142">
            <v>40823</v>
          </cell>
          <cell r="H142" t="str">
            <v>2011-0.073.443-7</v>
          </cell>
          <cell r="I142">
            <v>30556.68</v>
          </cell>
          <cell r="J142" t="str">
            <v xml:space="preserve">              123651121                 2847                    33903600</v>
          </cell>
          <cell r="K142">
            <v>40817</v>
          </cell>
          <cell r="L142">
            <v>7</v>
          </cell>
          <cell r="M142">
            <v>1200</v>
          </cell>
          <cell r="N142">
            <v>57273</v>
          </cell>
          <cell r="O142">
            <v>13803</v>
          </cell>
          <cell r="P142">
            <v>16</v>
          </cell>
          <cell r="Q142">
            <v>2</v>
          </cell>
          <cell r="T142">
            <v>5040</v>
          </cell>
          <cell r="U142">
            <v>0</v>
          </cell>
          <cell r="AA142">
            <v>0</v>
          </cell>
          <cell r="AB142">
            <v>169.75933333333333</v>
          </cell>
          <cell r="AD142">
            <v>4278.57</v>
          </cell>
          <cell r="AN142" t="str">
            <v xml:space="preserve">Contrato emergencial nº </v>
          </cell>
          <cell r="AO142" t="str">
            <v>CS</v>
          </cell>
        </row>
        <row r="143">
          <cell r="D143" t="str">
            <v>1036/11</v>
          </cell>
          <cell r="E143" t="str">
            <v>11/04/2011</v>
          </cell>
          <cell r="F143">
            <v>40823</v>
          </cell>
          <cell r="G143">
            <v>40823</v>
          </cell>
          <cell r="H143" t="str">
            <v>2011-0.074.831-4</v>
          </cell>
          <cell r="I143">
            <v>44324.52</v>
          </cell>
          <cell r="J143" t="str">
            <v xml:space="preserve">              123651121                 2847                    33903600</v>
          </cell>
          <cell r="K143">
            <v>40817</v>
          </cell>
          <cell r="L143">
            <v>7</v>
          </cell>
          <cell r="M143">
            <v>1800</v>
          </cell>
          <cell r="N143">
            <v>57273</v>
          </cell>
          <cell r="O143">
            <v>13932</v>
          </cell>
          <cell r="P143">
            <v>16</v>
          </cell>
          <cell r="Q143">
            <v>2</v>
          </cell>
          <cell r="T143">
            <v>7360</v>
          </cell>
          <cell r="U143">
            <v>0</v>
          </cell>
          <cell r="AA143">
            <v>0</v>
          </cell>
          <cell r="AB143">
            <v>246.2473333333333</v>
          </cell>
          <cell r="AD143">
            <v>6895.15</v>
          </cell>
          <cell r="AN143" t="str">
            <v xml:space="preserve">Contrato emergencial nº </v>
          </cell>
          <cell r="AO143" t="str">
            <v>CS</v>
          </cell>
        </row>
        <row r="144">
          <cell r="D144" t="str">
            <v>1037/11</v>
          </cell>
          <cell r="E144" t="str">
            <v>11/04/2011</v>
          </cell>
          <cell r="F144">
            <v>40823</v>
          </cell>
          <cell r="G144">
            <v>40823</v>
          </cell>
          <cell r="H144" t="str">
            <v>2011-0.074.832-2</v>
          </cell>
          <cell r="I144">
            <v>30556.68</v>
          </cell>
          <cell r="J144" t="str">
            <v xml:space="preserve">              123651121                 2847                    33903600</v>
          </cell>
          <cell r="K144">
            <v>40817</v>
          </cell>
          <cell r="L144">
            <v>7</v>
          </cell>
          <cell r="M144">
            <v>1200</v>
          </cell>
          <cell r="N144">
            <v>57273</v>
          </cell>
          <cell r="O144">
            <v>13935</v>
          </cell>
          <cell r="P144">
            <v>1</v>
          </cell>
          <cell r="Q144">
            <v>1</v>
          </cell>
          <cell r="T144">
            <v>1013.5800000000004</v>
          </cell>
          <cell r="U144">
            <v>0</v>
          </cell>
          <cell r="AA144">
            <v>0</v>
          </cell>
          <cell r="AB144">
            <v>169.75933333333333</v>
          </cell>
          <cell r="AD144">
            <v>4631.1200000000008</v>
          </cell>
          <cell r="AN144" t="str">
            <v xml:space="preserve">Contrato emergencial nº </v>
          </cell>
          <cell r="AO144" t="str">
            <v>CS</v>
          </cell>
        </row>
        <row r="145">
          <cell r="D145" t="str">
            <v>1038/11</v>
          </cell>
          <cell r="E145" t="str">
            <v>11/04/2011</v>
          </cell>
          <cell r="F145">
            <v>40823</v>
          </cell>
          <cell r="G145">
            <v>40823</v>
          </cell>
          <cell r="H145" t="str">
            <v>2011-0.074.833-0</v>
          </cell>
          <cell r="I145">
            <v>43670.7</v>
          </cell>
          <cell r="J145" t="str">
            <v xml:space="preserve">              123651121                 2847                    33903600</v>
          </cell>
          <cell r="K145">
            <v>40817</v>
          </cell>
          <cell r="L145">
            <v>7</v>
          </cell>
          <cell r="M145">
            <v>1700</v>
          </cell>
          <cell r="N145">
            <v>57273</v>
          </cell>
          <cell r="O145">
            <v>13939</v>
          </cell>
          <cell r="P145">
            <v>16</v>
          </cell>
          <cell r="Q145">
            <v>2</v>
          </cell>
          <cell r="T145">
            <v>2920.5099999999998</v>
          </cell>
          <cell r="U145">
            <v>0</v>
          </cell>
          <cell r="AA145">
            <v>0</v>
          </cell>
          <cell r="AB145">
            <v>242.61499999999998</v>
          </cell>
          <cell r="AD145">
            <v>6770.32</v>
          </cell>
          <cell r="AN145" t="str">
            <v xml:space="preserve">Contrato emergencial nº </v>
          </cell>
          <cell r="AO145" t="str">
            <v>CS</v>
          </cell>
        </row>
        <row r="146">
          <cell r="D146" t="str">
            <v>1039/11</v>
          </cell>
          <cell r="E146" t="str">
            <v>11/04/2011</v>
          </cell>
          <cell r="F146">
            <v>40823</v>
          </cell>
          <cell r="G146">
            <v>40823</v>
          </cell>
          <cell r="H146" t="str">
            <v>2011-0.074.834-9</v>
          </cell>
          <cell r="I146">
            <v>29031.06</v>
          </cell>
          <cell r="J146" t="str">
            <v xml:space="preserve">              123651121                 2847                    33903600</v>
          </cell>
          <cell r="K146">
            <v>40817</v>
          </cell>
          <cell r="L146">
            <v>7</v>
          </cell>
          <cell r="M146">
            <v>1200</v>
          </cell>
          <cell r="N146">
            <v>57273</v>
          </cell>
          <cell r="O146">
            <v>13942</v>
          </cell>
          <cell r="P146">
            <v>16</v>
          </cell>
          <cell r="Q146">
            <v>2</v>
          </cell>
          <cell r="T146">
            <v>4414.8899999999994</v>
          </cell>
          <cell r="U146">
            <v>0</v>
          </cell>
          <cell r="AA146">
            <v>0</v>
          </cell>
          <cell r="AB146">
            <v>161.28366666666668</v>
          </cell>
          <cell r="AD146">
            <v>5023.8899999999994</v>
          </cell>
          <cell r="AN146" t="str">
            <v xml:space="preserve">Contrato emergencial nº </v>
          </cell>
          <cell r="AO146" t="str">
            <v>CS</v>
          </cell>
        </row>
        <row r="147">
          <cell r="D147" t="str">
            <v>1085/11</v>
          </cell>
          <cell r="E147" t="str">
            <v>11/04/2011</v>
          </cell>
          <cell r="F147">
            <v>40823</v>
          </cell>
          <cell r="G147">
            <v>40823</v>
          </cell>
          <cell r="H147" t="str">
            <v>2011-0.074.805-5</v>
          </cell>
          <cell r="I147">
            <v>44324.52</v>
          </cell>
          <cell r="J147" t="str">
            <v xml:space="preserve">              123651121                 2847                    33903600</v>
          </cell>
          <cell r="K147">
            <v>40817</v>
          </cell>
          <cell r="L147">
            <v>7</v>
          </cell>
          <cell r="M147">
            <v>1800</v>
          </cell>
          <cell r="N147">
            <v>57273</v>
          </cell>
          <cell r="O147">
            <v>13846</v>
          </cell>
          <cell r="P147">
            <v>16</v>
          </cell>
          <cell r="Q147">
            <v>2</v>
          </cell>
          <cell r="S147">
            <v>2100.94</v>
          </cell>
          <cell r="T147">
            <v>7360</v>
          </cell>
          <cell r="U147">
            <v>0</v>
          </cell>
          <cell r="AA147">
            <v>0</v>
          </cell>
          <cell r="AB147">
            <v>246.2473333333333</v>
          </cell>
          <cell r="AD147">
            <v>8366.68</v>
          </cell>
          <cell r="AN147" t="str">
            <v xml:space="preserve">Contrato emergencial nº </v>
          </cell>
          <cell r="AO147" t="str">
            <v>CS</v>
          </cell>
        </row>
        <row r="148">
          <cell r="D148" t="str">
            <v>0986/11</v>
          </cell>
          <cell r="E148" t="str">
            <v>11/04/2011</v>
          </cell>
          <cell r="F148">
            <v>40823</v>
          </cell>
          <cell r="G148">
            <v>40823</v>
          </cell>
          <cell r="H148" t="str">
            <v>2011-0.073.367-8</v>
          </cell>
          <cell r="I148">
            <v>44978.400000000001</v>
          </cell>
          <cell r="J148" t="str">
            <v xml:space="preserve">              123611122                  2848                    33903600</v>
          </cell>
          <cell r="K148">
            <v>40817</v>
          </cell>
          <cell r="L148">
            <v>7</v>
          </cell>
          <cell r="M148">
            <v>1800</v>
          </cell>
          <cell r="N148">
            <v>57278</v>
          </cell>
          <cell r="O148">
            <v>13652</v>
          </cell>
          <cell r="P148">
            <v>16</v>
          </cell>
          <cell r="Q148">
            <v>3</v>
          </cell>
          <cell r="T148">
            <v>7440</v>
          </cell>
          <cell r="U148">
            <v>0</v>
          </cell>
          <cell r="AA148">
            <v>0</v>
          </cell>
          <cell r="AB148">
            <v>249.88</v>
          </cell>
          <cell r="AD148">
            <v>6328.3899999999994</v>
          </cell>
          <cell r="AN148" t="str">
            <v xml:space="preserve">Contrato emergencial nº </v>
          </cell>
          <cell r="AO148" t="str">
            <v>CS</v>
          </cell>
        </row>
        <row r="149">
          <cell r="D149" t="str">
            <v>0991/11</v>
          </cell>
          <cell r="E149" t="str">
            <v>11/04/2011</v>
          </cell>
          <cell r="F149">
            <v>40823</v>
          </cell>
          <cell r="G149">
            <v>40823</v>
          </cell>
          <cell r="H149" t="str">
            <v>2011-0.073.411-9</v>
          </cell>
          <cell r="I149">
            <v>35646.480000000003</v>
          </cell>
          <cell r="J149" t="str">
            <v xml:space="preserve">              123611122                  2848                    33903600</v>
          </cell>
          <cell r="K149">
            <v>40817</v>
          </cell>
          <cell r="L149">
            <v>7</v>
          </cell>
          <cell r="M149">
            <v>1400</v>
          </cell>
          <cell r="N149">
            <v>57278</v>
          </cell>
          <cell r="O149">
            <v>13717</v>
          </cell>
          <cell r="P149">
            <v>16</v>
          </cell>
          <cell r="Q149">
            <v>3</v>
          </cell>
          <cell r="S149">
            <v>1594.44</v>
          </cell>
          <cell r="U149">
            <v>0</v>
          </cell>
          <cell r="AA149">
            <v>0</v>
          </cell>
          <cell r="AB149">
            <v>198.03600000000003</v>
          </cell>
          <cell r="AD149">
            <v>7579.7000000000007</v>
          </cell>
          <cell r="AN149" t="str">
            <v xml:space="preserve">Contrato emergencial nº </v>
          </cell>
          <cell r="AO149" t="str">
            <v>CS</v>
          </cell>
        </row>
        <row r="150">
          <cell r="D150" t="str">
            <v>0993/11</v>
          </cell>
          <cell r="E150" t="str">
            <v>11/04/2011</v>
          </cell>
          <cell r="F150">
            <v>40823</v>
          </cell>
          <cell r="G150">
            <v>40823</v>
          </cell>
          <cell r="H150" t="str">
            <v>2011-0.073.413-5</v>
          </cell>
          <cell r="I150">
            <v>44324.52</v>
          </cell>
          <cell r="J150" t="str">
            <v xml:space="preserve">              123611122                  2848                    33903600</v>
          </cell>
          <cell r="K150">
            <v>40817</v>
          </cell>
          <cell r="L150">
            <v>7</v>
          </cell>
          <cell r="M150">
            <v>1800</v>
          </cell>
          <cell r="N150">
            <v>57278</v>
          </cell>
          <cell r="O150">
            <v>13733</v>
          </cell>
          <cell r="P150">
            <v>16</v>
          </cell>
          <cell r="Q150">
            <v>3</v>
          </cell>
          <cell r="T150">
            <v>2127.3799999999992</v>
          </cell>
          <cell r="U150">
            <v>0</v>
          </cell>
          <cell r="AA150">
            <v>0</v>
          </cell>
          <cell r="AB150">
            <v>246.2473333333333</v>
          </cell>
          <cell r="AD150">
            <v>6630.38</v>
          </cell>
          <cell r="AN150" t="str">
            <v xml:space="preserve">Contrato emergencial nº </v>
          </cell>
          <cell r="AO150" t="str">
            <v>CS</v>
          </cell>
        </row>
        <row r="151">
          <cell r="D151" t="str">
            <v>1007/11</v>
          </cell>
          <cell r="E151" t="str">
            <v>11/04/2011</v>
          </cell>
          <cell r="F151">
            <v>40823</v>
          </cell>
          <cell r="G151">
            <v>40823</v>
          </cell>
          <cell r="H151" t="str">
            <v>2011-0.073.445-3</v>
          </cell>
          <cell r="I151">
            <v>29744.400000000001</v>
          </cell>
          <cell r="J151" t="str">
            <v xml:space="preserve">              123611122                  2848                    33903600</v>
          </cell>
          <cell r="K151">
            <v>40817</v>
          </cell>
          <cell r="L151">
            <v>7</v>
          </cell>
          <cell r="M151">
            <v>1200</v>
          </cell>
          <cell r="N151">
            <v>57278</v>
          </cell>
          <cell r="O151">
            <v>13808</v>
          </cell>
          <cell r="P151">
            <v>16</v>
          </cell>
          <cell r="Q151">
            <v>3</v>
          </cell>
          <cell r="T151">
            <v>466.13999999999942</v>
          </cell>
          <cell r="U151">
            <v>0</v>
          </cell>
          <cell r="AA151">
            <v>0</v>
          </cell>
          <cell r="AB151">
            <v>165.24666666666667</v>
          </cell>
          <cell r="AD151">
            <v>4299.0599999999995</v>
          </cell>
          <cell r="AN151" t="str">
            <v xml:space="preserve">Contrato emergencial nº </v>
          </cell>
          <cell r="AO151" t="str">
            <v>CS</v>
          </cell>
        </row>
        <row r="152">
          <cell r="D152" t="str">
            <v>1034/11</v>
          </cell>
          <cell r="E152" t="str">
            <v>11/04/2011</v>
          </cell>
          <cell r="F152">
            <v>40823</v>
          </cell>
          <cell r="G152">
            <v>40823</v>
          </cell>
          <cell r="H152" t="str">
            <v>2011-0.074.828-4</v>
          </cell>
          <cell r="I152">
            <v>44324.52</v>
          </cell>
          <cell r="J152" t="str">
            <v xml:space="preserve">              123611122                  2848                    33903600</v>
          </cell>
          <cell r="K152">
            <v>40817</v>
          </cell>
          <cell r="L152">
            <v>7</v>
          </cell>
          <cell r="M152">
            <v>1800</v>
          </cell>
          <cell r="N152">
            <v>57278</v>
          </cell>
          <cell r="O152">
            <v>13927</v>
          </cell>
          <cell r="P152">
            <v>16</v>
          </cell>
          <cell r="Q152">
            <v>3</v>
          </cell>
          <cell r="T152">
            <v>4236.1900000000005</v>
          </cell>
          <cell r="U152">
            <v>0</v>
          </cell>
          <cell r="AA152">
            <v>0</v>
          </cell>
          <cell r="AB152">
            <v>246.2473333333333</v>
          </cell>
          <cell r="AD152">
            <v>7071.66</v>
          </cell>
          <cell r="AN152" t="str">
            <v xml:space="preserve">Contrato emergencial nº </v>
          </cell>
          <cell r="AO152" t="str">
            <v>CS</v>
          </cell>
        </row>
        <row r="153">
          <cell r="D153" t="str">
            <v>1035/11</v>
          </cell>
          <cell r="E153" t="str">
            <v>11/04/2011</v>
          </cell>
          <cell r="F153">
            <v>40823</v>
          </cell>
          <cell r="G153">
            <v>40823</v>
          </cell>
          <cell r="H153" t="str">
            <v>2011-0.074.829-2</v>
          </cell>
          <cell r="I153">
            <v>37607.879999999997</v>
          </cell>
          <cell r="J153" t="str">
            <v xml:space="preserve">              123611122                  2848                    33903600</v>
          </cell>
          <cell r="K153">
            <v>40817</v>
          </cell>
          <cell r="L153">
            <v>7</v>
          </cell>
          <cell r="M153">
            <v>1500</v>
          </cell>
          <cell r="N153">
            <v>57278</v>
          </cell>
          <cell r="O153">
            <v>13930</v>
          </cell>
          <cell r="P153">
            <v>16</v>
          </cell>
          <cell r="Q153">
            <v>3</v>
          </cell>
          <cell r="S153">
            <v>988.51</v>
          </cell>
          <cell r="T153">
            <v>6240</v>
          </cell>
          <cell r="U153">
            <v>0</v>
          </cell>
          <cell r="AA153">
            <v>0</v>
          </cell>
          <cell r="AB153">
            <v>208.93266666666665</v>
          </cell>
          <cell r="AD153">
            <v>6912.76</v>
          </cell>
          <cell r="AN153" t="str">
            <v xml:space="preserve">Contrato emergencial nº </v>
          </cell>
          <cell r="AO153" t="str">
            <v>CS</v>
          </cell>
        </row>
        <row r="154">
          <cell r="D154" t="str">
            <v>1040/11</v>
          </cell>
          <cell r="E154" t="str">
            <v>11/04/2011</v>
          </cell>
          <cell r="F154">
            <v>40823</v>
          </cell>
          <cell r="G154">
            <v>40823</v>
          </cell>
          <cell r="H154" t="str">
            <v>2011-0.074.840-3</v>
          </cell>
          <cell r="I154">
            <v>40877.160000000003</v>
          </cell>
          <cell r="J154" t="str">
            <v xml:space="preserve">              123611122                  2848                    33903600</v>
          </cell>
          <cell r="K154">
            <v>40817</v>
          </cell>
          <cell r="L154">
            <v>7</v>
          </cell>
          <cell r="M154">
            <v>1600</v>
          </cell>
          <cell r="N154">
            <v>57278</v>
          </cell>
          <cell r="O154">
            <v>13945</v>
          </cell>
          <cell r="P154">
            <v>16</v>
          </cell>
          <cell r="Q154">
            <v>3</v>
          </cell>
          <cell r="T154">
            <v>2991.93</v>
          </cell>
          <cell r="U154">
            <v>0</v>
          </cell>
          <cell r="AA154">
            <v>0</v>
          </cell>
          <cell r="AB154">
            <v>227.09533333333334</v>
          </cell>
          <cell r="AD154">
            <v>6338.58</v>
          </cell>
          <cell r="AN154" t="str">
            <v xml:space="preserve">Contrato emergencial nº </v>
          </cell>
          <cell r="AO154" t="str">
            <v>CS</v>
          </cell>
        </row>
        <row r="155">
          <cell r="D155" t="str">
            <v>1041/11</v>
          </cell>
          <cell r="E155" t="str">
            <v>11/04/2011</v>
          </cell>
          <cell r="F155">
            <v>40823</v>
          </cell>
          <cell r="G155">
            <v>40823</v>
          </cell>
          <cell r="H155" t="str">
            <v>2011-0.074.842-0</v>
          </cell>
          <cell r="I155">
            <v>27812.639999999999</v>
          </cell>
          <cell r="J155" t="str">
            <v xml:space="preserve">              123611122                  2848                    33903600</v>
          </cell>
          <cell r="K155">
            <v>40817</v>
          </cell>
          <cell r="L155">
            <v>7</v>
          </cell>
          <cell r="M155">
            <v>1100</v>
          </cell>
          <cell r="N155">
            <v>57278</v>
          </cell>
          <cell r="O155">
            <v>13946</v>
          </cell>
          <cell r="P155">
            <v>16</v>
          </cell>
          <cell r="Q155">
            <v>3</v>
          </cell>
          <cell r="T155">
            <v>2211.37</v>
          </cell>
          <cell r="U155">
            <v>0</v>
          </cell>
          <cell r="AA155">
            <v>0</v>
          </cell>
          <cell r="AB155">
            <v>154.51466666666667</v>
          </cell>
          <cell r="AD155">
            <v>4463.96</v>
          </cell>
          <cell r="AN155" t="str">
            <v xml:space="preserve">Contrato emergencial nº </v>
          </cell>
          <cell r="AO155" t="str">
            <v>CS</v>
          </cell>
        </row>
        <row r="156">
          <cell r="D156" t="str">
            <v>1086/11</v>
          </cell>
          <cell r="E156" t="str">
            <v>11/04/2011</v>
          </cell>
          <cell r="F156">
            <v>40823</v>
          </cell>
          <cell r="G156">
            <v>40823</v>
          </cell>
          <cell r="H156" t="str">
            <v>2011-0.074.806-3</v>
          </cell>
          <cell r="I156">
            <v>44324.52</v>
          </cell>
          <cell r="J156" t="str">
            <v xml:space="preserve">              123611122                  2848                    33903600</v>
          </cell>
          <cell r="K156">
            <v>40817</v>
          </cell>
          <cell r="L156">
            <v>7</v>
          </cell>
          <cell r="M156">
            <v>1800</v>
          </cell>
          <cell r="N156">
            <v>57278</v>
          </cell>
          <cell r="O156">
            <v>13849</v>
          </cell>
          <cell r="P156">
            <v>16</v>
          </cell>
          <cell r="Q156">
            <v>3</v>
          </cell>
          <cell r="T156">
            <v>7360</v>
          </cell>
          <cell r="U156">
            <v>0</v>
          </cell>
          <cell r="AA156">
            <v>0</v>
          </cell>
          <cell r="AB156">
            <v>246.2473333333333</v>
          </cell>
          <cell r="AD156">
            <v>5682.5</v>
          </cell>
          <cell r="AN156" t="str">
            <v xml:space="preserve">Contrato emergencial nº </v>
          </cell>
          <cell r="AO156" t="str">
            <v>CS</v>
          </cell>
        </row>
        <row r="157">
          <cell r="D157" t="str">
            <v>1094/11</v>
          </cell>
          <cell r="E157" t="str">
            <v>11/04/2011</v>
          </cell>
          <cell r="F157">
            <v>40823</v>
          </cell>
          <cell r="G157">
            <v>40823</v>
          </cell>
          <cell r="H157" t="str">
            <v>2011-0.073.907-2</v>
          </cell>
          <cell r="I157">
            <v>30556.68</v>
          </cell>
          <cell r="J157" t="str">
            <v xml:space="preserve">              123611122                  2848                    33903600</v>
          </cell>
          <cell r="K157">
            <v>40817</v>
          </cell>
          <cell r="L157">
            <v>7</v>
          </cell>
          <cell r="M157">
            <v>1200</v>
          </cell>
          <cell r="N157">
            <v>57278</v>
          </cell>
          <cell r="O157">
            <v>13879</v>
          </cell>
          <cell r="P157">
            <v>16</v>
          </cell>
          <cell r="Q157">
            <v>3</v>
          </cell>
          <cell r="S157">
            <v>4134.7299999999996</v>
          </cell>
          <cell r="T157">
            <v>5040</v>
          </cell>
          <cell r="U157">
            <v>0</v>
          </cell>
          <cell r="AA157">
            <v>0</v>
          </cell>
          <cell r="AB157">
            <v>169.75933333333333</v>
          </cell>
          <cell r="AD157">
            <v>6483.26</v>
          </cell>
          <cell r="AN157" t="str">
            <v xml:space="preserve">Contrato emergencial nº </v>
          </cell>
          <cell r="AO157" t="str">
            <v>CS</v>
          </cell>
        </row>
        <row r="158">
          <cell r="D158" t="str">
            <v>1097/11</v>
          </cell>
          <cell r="E158" t="str">
            <v>11/04/2011</v>
          </cell>
          <cell r="F158">
            <v>40823</v>
          </cell>
          <cell r="G158">
            <v>40823</v>
          </cell>
          <cell r="H158" t="str">
            <v>2011-0.074.900-0</v>
          </cell>
          <cell r="I158">
            <v>44978.400000000001</v>
          </cell>
          <cell r="J158" t="str">
            <v xml:space="preserve">              123611122                  2848                    33903600</v>
          </cell>
          <cell r="K158">
            <v>40817</v>
          </cell>
          <cell r="L158">
            <v>7</v>
          </cell>
          <cell r="M158">
            <v>1800</v>
          </cell>
          <cell r="N158">
            <v>57278</v>
          </cell>
          <cell r="O158">
            <v>13890</v>
          </cell>
          <cell r="P158">
            <v>16</v>
          </cell>
          <cell r="Q158">
            <v>3</v>
          </cell>
          <cell r="T158">
            <v>4253.0300000000007</v>
          </cell>
          <cell r="U158">
            <v>0</v>
          </cell>
          <cell r="AA158">
            <v>0</v>
          </cell>
          <cell r="AB158">
            <v>249.88</v>
          </cell>
          <cell r="AD158">
            <v>7208.14</v>
          </cell>
          <cell r="AN158" t="str">
            <v xml:space="preserve">Contrato emergencial nº </v>
          </cell>
          <cell r="AO158" t="str">
            <v>CS</v>
          </cell>
        </row>
        <row r="159">
          <cell r="D159" t="str">
            <v>1110/11</v>
          </cell>
          <cell r="E159" t="str">
            <v>11/04/2011</v>
          </cell>
          <cell r="F159">
            <v>40823</v>
          </cell>
          <cell r="G159">
            <v>40823</v>
          </cell>
          <cell r="H159" t="str">
            <v>2011-0.074.826-8</v>
          </cell>
          <cell r="I159">
            <v>28169.22</v>
          </cell>
          <cell r="J159" t="str">
            <v xml:space="preserve">              123611122                  2848                    33903600</v>
          </cell>
          <cell r="K159">
            <v>40817</v>
          </cell>
          <cell r="L159">
            <v>7</v>
          </cell>
          <cell r="M159">
            <v>1100</v>
          </cell>
          <cell r="N159">
            <v>57278</v>
          </cell>
          <cell r="O159">
            <v>13938</v>
          </cell>
          <cell r="P159">
            <v>16</v>
          </cell>
          <cell r="Q159">
            <v>3</v>
          </cell>
          <cell r="T159">
            <v>5004.5100000000011</v>
          </cell>
          <cell r="U159">
            <v>0</v>
          </cell>
          <cell r="AA159">
            <v>0</v>
          </cell>
          <cell r="AB159">
            <v>156.49566666666666</v>
          </cell>
          <cell r="AD159">
            <v>5114.07</v>
          </cell>
          <cell r="AN159" t="str">
            <v xml:space="preserve">Contrato emergencial nº </v>
          </cell>
          <cell r="AO159" t="str">
            <v>CS</v>
          </cell>
        </row>
        <row r="160">
          <cell r="D160" t="str">
            <v>1111/11</v>
          </cell>
          <cell r="E160" t="str">
            <v>11/04/2011</v>
          </cell>
          <cell r="F160">
            <v>40823</v>
          </cell>
          <cell r="G160">
            <v>40823</v>
          </cell>
          <cell r="H160" t="str">
            <v>2011-0.074.946-9</v>
          </cell>
          <cell r="I160">
            <v>44562.42</v>
          </cell>
          <cell r="J160" t="str">
            <v xml:space="preserve">              123611122                  2848                    33903600</v>
          </cell>
          <cell r="K160">
            <v>40817</v>
          </cell>
          <cell r="L160">
            <v>7</v>
          </cell>
          <cell r="M160">
            <v>1800</v>
          </cell>
          <cell r="N160">
            <v>57278</v>
          </cell>
          <cell r="O160">
            <v>13941</v>
          </cell>
          <cell r="P160">
            <v>16</v>
          </cell>
          <cell r="Q160">
            <v>3</v>
          </cell>
          <cell r="T160">
            <v>7360</v>
          </cell>
          <cell r="U160">
            <v>0</v>
          </cell>
          <cell r="AA160">
            <v>0</v>
          </cell>
          <cell r="AB160">
            <v>247.56899999999999</v>
          </cell>
          <cell r="AD160">
            <v>6098.07</v>
          </cell>
          <cell r="AN160" t="str">
            <v xml:space="preserve">Contrato emergencial nº </v>
          </cell>
          <cell r="AO160" t="str">
            <v>CS</v>
          </cell>
        </row>
        <row r="161">
          <cell r="D161" t="str">
            <v>1137/11</v>
          </cell>
          <cell r="E161" t="str">
            <v>11/04/2011</v>
          </cell>
          <cell r="F161">
            <v>40823</v>
          </cell>
          <cell r="G161">
            <v>40823</v>
          </cell>
          <cell r="H161" t="str">
            <v>2011-0.081.823-1</v>
          </cell>
          <cell r="I161">
            <v>31012.38</v>
          </cell>
          <cell r="J161" t="str">
            <v xml:space="preserve">              123611122                  2848                    33903600</v>
          </cell>
          <cell r="K161">
            <v>40817</v>
          </cell>
          <cell r="L161">
            <v>7</v>
          </cell>
          <cell r="M161">
            <v>1300</v>
          </cell>
          <cell r="N161">
            <v>57278</v>
          </cell>
          <cell r="O161">
            <v>13975</v>
          </cell>
          <cell r="P161">
            <v>16</v>
          </cell>
          <cell r="Q161">
            <v>3</v>
          </cell>
          <cell r="T161">
            <v>1229.5399999999995</v>
          </cell>
          <cell r="U161">
            <v>0</v>
          </cell>
          <cell r="AA161">
            <v>0</v>
          </cell>
          <cell r="AB161">
            <v>172.291</v>
          </cell>
          <cell r="AD161">
            <v>4999.2299999999996</v>
          </cell>
          <cell r="AN161" t="str">
            <v xml:space="preserve">Contrato emergencial nº </v>
          </cell>
          <cell r="AO161" t="str">
            <v>CS</v>
          </cell>
        </row>
        <row r="162">
          <cell r="D162" t="str">
            <v>1107/11</v>
          </cell>
          <cell r="E162" t="str">
            <v>11/04/2011</v>
          </cell>
          <cell r="F162">
            <v>40823</v>
          </cell>
          <cell r="G162">
            <v>40823</v>
          </cell>
          <cell r="H162" t="str">
            <v>2011-0.074.942-6</v>
          </cell>
          <cell r="I162">
            <v>36300.300000000003</v>
          </cell>
          <cell r="J162" t="str">
            <v xml:space="preserve">              123651121                 2847                    33903600</v>
          </cell>
          <cell r="K162">
            <v>40817</v>
          </cell>
          <cell r="L162">
            <v>7</v>
          </cell>
          <cell r="M162">
            <v>1500</v>
          </cell>
          <cell r="N162">
            <v>57273</v>
          </cell>
          <cell r="O162">
            <v>13923</v>
          </cell>
          <cell r="P162">
            <v>16</v>
          </cell>
          <cell r="Q162">
            <v>2</v>
          </cell>
          <cell r="T162">
            <v>5382.0199999999995</v>
          </cell>
          <cell r="U162">
            <v>0</v>
          </cell>
          <cell r="AA162">
            <v>0</v>
          </cell>
          <cell r="AB162">
            <v>201.66833333333335</v>
          </cell>
          <cell r="AD162">
            <v>6173.4843333333329</v>
          </cell>
          <cell r="AN162" t="str">
            <v xml:space="preserve">Contrato emergencial nº </v>
          </cell>
          <cell r="AO162" t="str">
            <v>CS</v>
          </cell>
        </row>
        <row r="163">
          <cell r="D163" t="str">
            <v>1124/11</v>
          </cell>
          <cell r="E163" t="str">
            <v>11/04/2011</v>
          </cell>
          <cell r="F163">
            <v>40823</v>
          </cell>
          <cell r="G163">
            <v>40823</v>
          </cell>
          <cell r="H163" t="str">
            <v>2011-0.081.776-6</v>
          </cell>
          <cell r="I163">
            <v>44324.52</v>
          </cell>
          <cell r="J163" t="str">
            <v xml:space="preserve">              123651121                 2847                    33903600</v>
          </cell>
          <cell r="K163">
            <v>40817</v>
          </cell>
          <cell r="L163">
            <v>7</v>
          </cell>
          <cell r="M163">
            <v>1800</v>
          </cell>
          <cell r="N163">
            <v>57273</v>
          </cell>
          <cell r="O163">
            <v>13885</v>
          </cell>
          <cell r="P163">
            <v>16</v>
          </cell>
          <cell r="Q163">
            <v>2</v>
          </cell>
          <cell r="T163">
            <v>5803.3300000000008</v>
          </cell>
          <cell r="U163">
            <v>0</v>
          </cell>
          <cell r="AA163">
            <v>0</v>
          </cell>
          <cell r="AB163">
            <v>246.2473333333333</v>
          </cell>
          <cell r="AD163">
            <v>8408.8000000000011</v>
          </cell>
          <cell r="AN163" t="str">
            <v xml:space="preserve">Contrato emergencial nº </v>
          </cell>
          <cell r="AO163" t="str">
            <v>CS</v>
          </cell>
        </row>
        <row r="164">
          <cell r="D164" t="str">
            <v>0994/11</v>
          </cell>
          <cell r="E164" t="str">
            <v>11/04/2011</v>
          </cell>
          <cell r="F164">
            <v>40823</v>
          </cell>
          <cell r="G164">
            <v>40823</v>
          </cell>
          <cell r="H164" t="str">
            <v>2011-0.073.415-1</v>
          </cell>
          <cell r="I164">
            <v>26039.46</v>
          </cell>
          <cell r="J164" t="str">
            <v xml:space="preserve">              123651121                 2847                    33903600</v>
          </cell>
          <cell r="K164">
            <v>40817</v>
          </cell>
          <cell r="L164">
            <v>7</v>
          </cell>
          <cell r="M164">
            <v>1100</v>
          </cell>
          <cell r="N164">
            <v>57273</v>
          </cell>
          <cell r="O164">
            <v>13738</v>
          </cell>
          <cell r="P164">
            <v>16</v>
          </cell>
          <cell r="Q164">
            <v>2</v>
          </cell>
          <cell r="T164">
            <v>4271.7700000000004</v>
          </cell>
          <cell r="U164">
            <v>0</v>
          </cell>
          <cell r="AA164">
            <v>0</v>
          </cell>
          <cell r="AB164">
            <v>144.66366666666667</v>
          </cell>
          <cell r="AD164">
            <v>4416.41</v>
          </cell>
          <cell r="AM164">
            <v>40663</v>
          </cell>
          <cell r="AN164" t="str">
            <v xml:space="preserve">Contrato emergencial nº </v>
          </cell>
          <cell r="AO164" t="str">
            <v>FO</v>
          </cell>
        </row>
        <row r="165">
          <cell r="D165" t="str">
            <v>0995/11</v>
          </cell>
          <cell r="E165" t="str">
            <v>11/04/2011</v>
          </cell>
          <cell r="F165">
            <v>40823</v>
          </cell>
          <cell r="G165">
            <v>40823</v>
          </cell>
          <cell r="H165" t="str">
            <v>2011-0.073.417-8</v>
          </cell>
          <cell r="I165">
            <v>44324.52</v>
          </cell>
          <cell r="J165" t="str">
            <v xml:space="preserve">              123651121                 2847                    33903600</v>
          </cell>
          <cell r="K165">
            <v>40817</v>
          </cell>
          <cell r="L165">
            <v>7</v>
          </cell>
          <cell r="M165">
            <v>1800</v>
          </cell>
          <cell r="N165">
            <v>57273</v>
          </cell>
          <cell r="O165">
            <v>13742</v>
          </cell>
          <cell r="P165">
            <v>16</v>
          </cell>
          <cell r="Q165">
            <v>2</v>
          </cell>
          <cell r="T165">
            <v>7360</v>
          </cell>
          <cell r="U165">
            <v>0</v>
          </cell>
          <cell r="AA165">
            <v>0</v>
          </cell>
          <cell r="AB165">
            <v>246.2473333333333</v>
          </cell>
          <cell r="AD165">
            <v>6366.7599999999993</v>
          </cell>
          <cell r="AN165" t="str">
            <v xml:space="preserve">Contrato emergencial nº </v>
          </cell>
          <cell r="AO165" t="str">
            <v>FO</v>
          </cell>
        </row>
        <row r="166">
          <cell r="D166" t="str">
            <v>1008/11</v>
          </cell>
          <cell r="E166" t="str">
            <v>11/04/2011</v>
          </cell>
          <cell r="F166">
            <v>40823</v>
          </cell>
          <cell r="G166">
            <v>40823</v>
          </cell>
          <cell r="H166" t="str">
            <v>2011-0.073.446-1</v>
          </cell>
          <cell r="I166">
            <v>24008.639999999999</v>
          </cell>
          <cell r="J166" t="str">
            <v xml:space="preserve">              123651121                 2847                    33903600</v>
          </cell>
          <cell r="K166">
            <v>40817</v>
          </cell>
          <cell r="L166">
            <v>7</v>
          </cell>
          <cell r="M166">
            <v>6500</v>
          </cell>
          <cell r="N166">
            <v>864</v>
          </cell>
          <cell r="O166">
            <v>13813</v>
          </cell>
          <cell r="P166">
            <v>16</v>
          </cell>
          <cell r="Q166">
            <v>2</v>
          </cell>
          <cell r="T166">
            <v>822.72</v>
          </cell>
          <cell r="U166">
            <v>0</v>
          </cell>
          <cell r="AA166">
            <v>0</v>
          </cell>
          <cell r="AB166">
            <v>133.38133333333332</v>
          </cell>
          <cell r="AN166" t="str">
            <v xml:space="preserve">Contrato emergencial nº </v>
          </cell>
          <cell r="AO166" t="str">
            <v>FO</v>
          </cell>
        </row>
        <row r="167">
          <cell r="D167" t="str">
            <v>1042/11</v>
          </cell>
          <cell r="E167" t="str">
            <v>11/04/2011</v>
          </cell>
          <cell r="F167">
            <v>40823</v>
          </cell>
          <cell r="G167">
            <v>40823</v>
          </cell>
          <cell r="H167" t="str">
            <v>2011-0.074.859-4</v>
          </cell>
          <cell r="I167">
            <v>27971.16</v>
          </cell>
          <cell r="J167" t="str">
            <v xml:space="preserve">              123651121                 2847                    33903600</v>
          </cell>
          <cell r="K167">
            <v>40817</v>
          </cell>
          <cell r="L167">
            <v>7</v>
          </cell>
          <cell r="M167">
            <v>1100</v>
          </cell>
          <cell r="N167">
            <v>57273</v>
          </cell>
          <cell r="O167">
            <v>13949</v>
          </cell>
          <cell r="P167">
            <v>16</v>
          </cell>
          <cell r="Q167">
            <v>2</v>
          </cell>
          <cell r="T167">
            <v>3561.07</v>
          </cell>
          <cell r="U167">
            <v>0</v>
          </cell>
          <cell r="AA167">
            <v>0</v>
          </cell>
          <cell r="AB167">
            <v>155.39533333333333</v>
          </cell>
          <cell r="AD167">
            <v>4651.1400000000003</v>
          </cell>
          <cell r="AN167" t="str">
            <v xml:space="preserve">Contrato emergencial nº </v>
          </cell>
          <cell r="AO167" t="str">
            <v>FO</v>
          </cell>
        </row>
        <row r="168">
          <cell r="D168" t="str">
            <v>1043/11</v>
          </cell>
          <cell r="E168" t="str">
            <v>11/04/2011</v>
          </cell>
          <cell r="F168">
            <v>40823</v>
          </cell>
          <cell r="G168">
            <v>40823</v>
          </cell>
          <cell r="H168" t="str">
            <v>2011-0.074.861-6</v>
          </cell>
          <cell r="I168">
            <v>37607.879999999997</v>
          </cell>
          <cell r="J168" t="str">
            <v xml:space="preserve">              123651121                 2847                    33903600</v>
          </cell>
          <cell r="K168">
            <v>40817</v>
          </cell>
          <cell r="L168">
            <v>7</v>
          </cell>
          <cell r="M168">
            <v>1500</v>
          </cell>
          <cell r="N168">
            <v>57273</v>
          </cell>
          <cell r="O168">
            <v>13952</v>
          </cell>
          <cell r="P168">
            <v>16</v>
          </cell>
          <cell r="Q168">
            <v>2</v>
          </cell>
          <cell r="T168">
            <v>6240</v>
          </cell>
          <cell r="U168">
            <v>535.572</v>
          </cell>
          <cell r="AA168">
            <v>535.572</v>
          </cell>
          <cell r="AB168">
            <v>208.93266666666665</v>
          </cell>
          <cell r="AD168">
            <v>4945.8600000000006</v>
          </cell>
          <cell r="AN168" t="str">
            <v xml:space="preserve">Contrato emergencial nº </v>
          </cell>
          <cell r="AO168" t="str">
            <v>FO</v>
          </cell>
        </row>
        <row r="169">
          <cell r="D169" t="str">
            <v>1479/11</v>
          </cell>
          <cell r="E169" t="str">
            <v>11/04/2011</v>
          </cell>
          <cell r="F169">
            <v>40823</v>
          </cell>
          <cell r="G169">
            <v>40823</v>
          </cell>
          <cell r="H169" t="str">
            <v>2011-0.109.751-1</v>
          </cell>
          <cell r="I169">
            <v>31012.38</v>
          </cell>
          <cell r="J169" t="str">
            <v xml:space="preserve">              123651121                 2847                    33903600</v>
          </cell>
          <cell r="K169">
            <v>40817</v>
          </cell>
          <cell r="L169">
            <v>7</v>
          </cell>
          <cell r="M169">
            <v>1300</v>
          </cell>
          <cell r="N169">
            <v>57273</v>
          </cell>
          <cell r="P169">
            <v>16</v>
          </cell>
          <cell r="Q169">
            <v>2</v>
          </cell>
          <cell r="T169">
            <v>5120</v>
          </cell>
          <cell r="AA169">
            <v>0</v>
          </cell>
          <cell r="AB169">
            <v>172.291</v>
          </cell>
          <cell r="AN169" t="str">
            <v xml:space="preserve">Contrato emergencial nº </v>
          </cell>
          <cell r="AO169" t="str">
            <v>FO</v>
          </cell>
        </row>
        <row r="170">
          <cell r="D170" t="str">
            <v>0996/11</v>
          </cell>
          <cell r="E170" t="str">
            <v>11/04/2011</v>
          </cell>
          <cell r="F170">
            <v>40823</v>
          </cell>
          <cell r="G170">
            <v>40823</v>
          </cell>
          <cell r="H170" t="str">
            <v>2011-0.073.422-4</v>
          </cell>
          <cell r="I170">
            <v>22592.1</v>
          </cell>
          <cell r="J170" t="str">
            <v xml:space="preserve">              123611122                  2848                    33903600</v>
          </cell>
          <cell r="K170">
            <v>40817</v>
          </cell>
          <cell r="L170">
            <v>7</v>
          </cell>
          <cell r="M170">
            <v>900</v>
          </cell>
          <cell r="N170">
            <v>57278</v>
          </cell>
          <cell r="O170">
            <v>13748</v>
          </cell>
          <cell r="P170">
            <v>16</v>
          </cell>
          <cell r="Q170">
            <v>3</v>
          </cell>
          <cell r="T170">
            <v>3760</v>
          </cell>
          <cell r="AA170">
            <v>0</v>
          </cell>
          <cell r="AB170">
            <v>125.51166666666666</v>
          </cell>
          <cell r="AD170">
            <v>2899.0238333333336</v>
          </cell>
          <cell r="AN170" t="str">
            <v xml:space="preserve">Contrato emergencial nº </v>
          </cell>
          <cell r="AO170" t="str">
            <v>FO</v>
          </cell>
        </row>
        <row r="171">
          <cell r="D171" t="str">
            <v>1009/11</v>
          </cell>
          <cell r="E171" t="str">
            <v>11/04/2011</v>
          </cell>
          <cell r="F171">
            <v>40823</v>
          </cell>
          <cell r="G171">
            <v>40823</v>
          </cell>
          <cell r="H171" t="str">
            <v>2011-0.073.448-8</v>
          </cell>
          <cell r="I171">
            <v>44324.52</v>
          </cell>
          <cell r="J171" t="str">
            <v xml:space="preserve">              123611122                  2848                    33903600</v>
          </cell>
          <cell r="K171">
            <v>40817</v>
          </cell>
          <cell r="L171">
            <v>7</v>
          </cell>
          <cell r="M171">
            <v>1800</v>
          </cell>
          <cell r="N171">
            <v>57278</v>
          </cell>
          <cell r="O171">
            <v>13815</v>
          </cell>
          <cell r="P171">
            <v>16</v>
          </cell>
          <cell r="Q171">
            <v>3</v>
          </cell>
          <cell r="T171">
            <v>7360</v>
          </cell>
          <cell r="U171">
            <v>0</v>
          </cell>
          <cell r="AA171">
            <v>0</v>
          </cell>
          <cell r="AB171">
            <v>246.2473333333333</v>
          </cell>
          <cell r="AD171">
            <v>5263.5803333333324</v>
          </cell>
          <cell r="AN171" t="str">
            <v xml:space="preserve">Contrato emergencial nº </v>
          </cell>
          <cell r="AO171" t="str">
            <v>FO</v>
          </cell>
        </row>
        <row r="172">
          <cell r="D172" t="str">
            <v>1044/11</v>
          </cell>
          <cell r="E172" t="str">
            <v>11/04/2011</v>
          </cell>
          <cell r="F172">
            <v>40823</v>
          </cell>
          <cell r="G172">
            <v>40823</v>
          </cell>
          <cell r="H172" t="str">
            <v>2011-0.074.864-0</v>
          </cell>
          <cell r="I172">
            <v>30150.54</v>
          </cell>
          <cell r="J172" t="str">
            <v xml:space="preserve">              123611122                  2848                    33903600</v>
          </cell>
          <cell r="K172">
            <v>40817</v>
          </cell>
          <cell r="L172">
            <v>7</v>
          </cell>
          <cell r="M172">
            <v>1200</v>
          </cell>
          <cell r="N172">
            <v>57278</v>
          </cell>
          <cell r="O172">
            <v>13955</v>
          </cell>
          <cell r="P172">
            <v>16</v>
          </cell>
          <cell r="Q172">
            <v>3</v>
          </cell>
          <cell r="T172">
            <v>333.04</v>
          </cell>
          <cell r="U172">
            <v>0</v>
          </cell>
          <cell r="AA172">
            <v>0</v>
          </cell>
          <cell r="AB172">
            <v>167.50300000000001</v>
          </cell>
          <cell r="AD172">
            <v>4322.6240000000007</v>
          </cell>
          <cell r="AN172" t="str">
            <v xml:space="preserve">Contrato emergencial nº </v>
          </cell>
          <cell r="AO172" t="str">
            <v>FO</v>
          </cell>
        </row>
        <row r="173">
          <cell r="D173" t="str">
            <v>1046/11</v>
          </cell>
          <cell r="E173" t="str">
            <v>11/04/2011</v>
          </cell>
          <cell r="F173">
            <v>40823</v>
          </cell>
          <cell r="G173">
            <v>40823</v>
          </cell>
          <cell r="H173" t="str">
            <v>2011-0.074.868-3</v>
          </cell>
          <cell r="I173">
            <v>27109.32</v>
          </cell>
          <cell r="J173" t="str">
            <v xml:space="preserve">              123611122                  2848                    33903600</v>
          </cell>
          <cell r="K173">
            <v>40817</v>
          </cell>
          <cell r="L173">
            <v>7</v>
          </cell>
          <cell r="M173">
            <v>1100</v>
          </cell>
          <cell r="N173">
            <v>57278</v>
          </cell>
          <cell r="O173">
            <v>13958</v>
          </cell>
          <cell r="P173">
            <v>16</v>
          </cell>
          <cell r="Q173">
            <v>3</v>
          </cell>
          <cell r="S173">
            <v>1401.39</v>
          </cell>
          <cell r="T173">
            <v>4480</v>
          </cell>
          <cell r="U173">
            <v>754.93933333333325</v>
          </cell>
          <cell r="AA173">
            <v>754.93933333333325</v>
          </cell>
          <cell r="AB173">
            <v>150.60733333333334</v>
          </cell>
          <cell r="AD173">
            <v>4759.24</v>
          </cell>
          <cell r="AN173" t="str">
            <v xml:space="preserve">Contrato emergencial nº </v>
          </cell>
          <cell r="AO173" t="str">
            <v>FO</v>
          </cell>
        </row>
        <row r="174">
          <cell r="D174" t="str">
            <v>1087/11</v>
          </cell>
          <cell r="E174" t="str">
            <v>11/04/2011</v>
          </cell>
          <cell r="F174">
            <v>40823</v>
          </cell>
          <cell r="G174">
            <v>40823</v>
          </cell>
          <cell r="H174" t="str">
            <v>2011-0.074.807-1</v>
          </cell>
          <cell r="I174">
            <v>42184.92</v>
          </cell>
          <cell r="J174" t="str">
            <v xml:space="preserve">             123671125                  2863                   33903600</v>
          </cell>
          <cell r="K174">
            <v>40817</v>
          </cell>
          <cell r="L174">
            <v>7</v>
          </cell>
          <cell r="M174">
            <v>1700</v>
          </cell>
          <cell r="N174">
            <v>57287</v>
          </cell>
          <cell r="O174">
            <v>13856</v>
          </cell>
          <cell r="P174">
            <v>16</v>
          </cell>
          <cell r="Q174">
            <v>4</v>
          </cell>
          <cell r="T174">
            <v>2735.47</v>
          </cell>
          <cell r="U174">
            <v>0</v>
          </cell>
          <cell r="AA174">
            <v>0</v>
          </cell>
          <cell r="AB174">
            <v>234.36066666666665</v>
          </cell>
          <cell r="AD174">
            <v>6530.6500000000005</v>
          </cell>
          <cell r="AN174" t="str">
            <v xml:space="preserve">Contrato emergencial nº </v>
          </cell>
          <cell r="AO174" t="str">
            <v>G</v>
          </cell>
        </row>
        <row r="175">
          <cell r="D175" t="str">
            <v>1011/11</v>
          </cell>
          <cell r="E175" t="str">
            <v>11/04/2011</v>
          </cell>
          <cell r="F175">
            <v>40823</v>
          </cell>
          <cell r="G175">
            <v>40823</v>
          </cell>
          <cell r="H175" t="str">
            <v>2011-0.074.314-2</v>
          </cell>
          <cell r="I175">
            <v>29080.62</v>
          </cell>
          <cell r="J175" t="str">
            <v xml:space="preserve">              123651121                 2847                    33903600</v>
          </cell>
          <cell r="K175">
            <v>40817</v>
          </cell>
          <cell r="L175">
            <v>7</v>
          </cell>
          <cell r="M175">
            <v>1200</v>
          </cell>
          <cell r="N175">
            <v>57273</v>
          </cell>
          <cell r="O175">
            <v>13825</v>
          </cell>
          <cell r="P175">
            <v>16</v>
          </cell>
          <cell r="Q175">
            <v>2</v>
          </cell>
          <cell r="T175">
            <v>930.76</v>
          </cell>
          <cell r="U175">
            <v>0</v>
          </cell>
          <cell r="AA175">
            <v>0</v>
          </cell>
          <cell r="AB175">
            <v>161.559</v>
          </cell>
          <cell r="AD175">
            <v>4319.79</v>
          </cell>
          <cell r="AN175" t="str">
            <v xml:space="preserve">Contrato emergencial nº </v>
          </cell>
          <cell r="AO175" t="str">
            <v>G</v>
          </cell>
        </row>
        <row r="176">
          <cell r="D176" t="str">
            <v>1047/11</v>
          </cell>
          <cell r="E176" t="str">
            <v>11/04/2011</v>
          </cell>
          <cell r="F176">
            <v>40823</v>
          </cell>
          <cell r="G176">
            <v>40823</v>
          </cell>
          <cell r="H176" t="str">
            <v>2011-0.074.869-1</v>
          </cell>
          <cell r="I176">
            <v>35646.480000000003</v>
          </cell>
          <cell r="J176" t="str">
            <v xml:space="preserve">              123651121                 2847                    33903600</v>
          </cell>
          <cell r="K176">
            <v>40817</v>
          </cell>
          <cell r="L176">
            <v>7</v>
          </cell>
          <cell r="M176">
            <v>1400</v>
          </cell>
          <cell r="N176">
            <v>57273</v>
          </cell>
          <cell r="O176">
            <v>13960</v>
          </cell>
          <cell r="P176">
            <v>16</v>
          </cell>
          <cell r="Q176">
            <v>2</v>
          </cell>
          <cell r="T176">
            <v>5920</v>
          </cell>
          <cell r="U176">
            <v>0</v>
          </cell>
          <cell r="AA176">
            <v>0</v>
          </cell>
          <cell r="AB176">
            <v>198.03600000000003</v>
          </cell>
          <cell r="AD176">
            <v>3940.63</v>
          </cell>
          <cell r="AN176" t="str">
            <v xml:space="preserve">Contrato emergencial nº </v>
          </cell>
          <cell r="AO176" t="str">
            <v>G</v>
          </cell>
        </row>
        <row r="177">
          <cell r="D177" t="str">
            <v>1049/11</v>
          </cell>
          <cell r="E177" t="str">
            <v>11/04/2011</v>
          </cell>
          <cell r="F177">
            <v>40823</v>
          </cell>
          <cell r="G177">
            <v>40823</v>
          </cell>
          <cell r="H177" t="str">
            <v>2011-0.074.872-1</v>
          </cell>
          <cell r="I177">
            <v>44324.52</v>
          </cell>
          <cell r="J177" t="str">
            <v xml:space="preserve">              123651121                 2847                    33903600</v>
          </cell>
          <cell r="K177">
            <v>40817</v>
          </cell>
          <cell r="L177">
            <v>7</v>
          </cell>
          <cell r="M177">
            <v>1800</v>
          </cell>
          <cell r="N177">
            <v>57273</v>
          </cell>
          <cell r="O177">
            <v>13967</v>
          </cell>
          <cell r="P177">
            <v>16</v>
          </cell>
          <cell r="Q177">
            <v>2</v>
          </cell>
          <cell r="T177">
            <v>2619.35</v>
          </cell>
          <cell r="U177">
            <v>0</v>
          </cell>
          <cell r="AA177">
            <v>0</v>
          </cell>
          <cell r="AB177">
            <v>246.2473333333333</v>
          </cell>
          <cell r="AD177">
            <v>5436.5280000000002</v>
          </cell>
          <cell r="AN177" t="str">
            <v xml:space="preserve">Contrato emergencial nº </v>
          </cell>
          <cell r="AO177" t="str">
            <v>G</v>
          </cell>
        </row>
        <row r="178">
          <cell r="D178" t="str">
            <v>1051/11</v>
          </cell>
          <cell r="E178" t="str">
            <v>11/04/2011</v>
          </cell>
          <cell r="F178">
            <v>40823</v>
          </cell>
          <cell r="G178">
            <v>40823</v>
          </cell>
          <cell r="H178" t="str">
            <v>2011-0.074.874-8</v>
          </cell>
          <cell r="I178">
            <v>44978.400000000001</v>
          </cell>
          <cell r="J178" t="str">
            <v xml:space="preserve">              123651121                 2847                    33903600</v>
          </cell>
          <cell r="K178">
            <v>40817</v>
          </cell>
          <cell r="L178">
            <v>7</v>
          </cell>
          <cell r="M178">
            <v>1800</v>
          </cell>
          <cell r="N178">
            <v>57273</v>
          </cell>
          <cell r="O178">
            <v>13973</v>
          </cell>
          <cell r="P178">
            <v>16</v>
          </cell>
          <cell r="Q178">
            <v>2</v>
          </cell>
          <cell r="T178">
            <v>7440</v>
          </cell>
          <cell r="U178">
            <v>0</v>
          </cell>
          <cell r="AA178">
            <v>0</v>
          </cell>
          <cell r="AB178">
            <v>249.88</v>
          </cell>
          <cell r="AD178">
            <v>5763.98</v>
          </cell>
          <cell r="AN178" t="str">
            <v xml:space="preserve">Contrato emergencial nº </v>
          </cell>
          <cell r="AO178" t="str">
            <v>G</v>
          </cell>
        </row>
        <row r="179">
          <cell r="D179" t="str">
            <v>1088/11</v>
          </cell>
          <cell r="E179" t="str">
            <v>11/04/2011</v>
          </cell>
          <cell r="F179">
            <v>40823</v>
          </cell>
          <cell r="G179">
            <v>40823</v>
          </cell>
          <cell r="H179" t="str">
            <v>2011-0.074.808-0</v>
          </cell>
          <cell r="I179">
            <v>37607.879999999997</v>
          </cell>
          <cell r="J179" t="str">
            <v xml:space="preserve">              123651121                 2847                    33903600</v>
          </cell>
          <cell r="K179">
            <v>40817</v>
          </cell>
          <cell r="L179">
            <v>7</v>
          </cell>
          <cell r="M179">
            <v>1500</v>
          </cell>
          <cell r="N179">
            <v>57273</v>
          </cell>
          <cell r="O179">
            <v>13859</v>
          </cell>
          <cell r="P179">
            <v>16</v>
          </cell>
          <cell r="Q179">
            <v>2</v>
          </cell>
          <cell r="S179">
            <v>1844.75</v>
          </cell>
          <cell r="T179">
            <v>6240</v>
          </cell>
          <cell r="U179">
            <v>899.41</v>
          </cell>
          <cell r="AA179">
            <v>899.41</v>
          </cell>
          <cell r="AB179">
            <v>208.93266666666665</v>
          </cell>
          <cell r="AD179">
            <v>7598.98</v>
          </cell>
          <cell r="AN179" t="str">
            <v xml:space="preserve">Contrato emergencial nº </v>
          </cell>
          <cell r="AO179" t="str">
            <v>G</v>
          </cell>
        </row>
        <row r="180">
          <cell r="D180" t="str">
            <v>1112/11</v>
          </cell>
          <cell r="E180" t="str">
            <v>11/04/2011</v>
          </cell>
          <cell r="F180">
            <v>40823</v>
          </cell>
          <cell r="G180">
            <v>40823</v>
          </cell>
          <cell r="H180" t="str">
            <v>2011-0.074.947-7</v>
          </cell>
          <cell r="I180">
            <v>38261.760000000002</v>
          </cell>
          <cell r="J180" t="str">
            <v xml:space="preserve">              123651121                 2847                    33903600</v>
          </cell>
          <cell r="K180">
            <v>40817</v>
          </cell>
          <cell r="L180">
            <v>7</v>
          </cell>
          <cell r="M180">
            <v>1500</v>
          </cell>
          <cell r="N180">
            <v>57273</v>
          </cell>
          <cell r="O180">
            <v>13947</v>
          </cell>
          <cell r="P180">
            <v>16</v>
          </cell>
          <cell r="Q180">
            <v>2</v>
          </cell>
          <cell r="T180">
            <v>1232.8900000000001</v>
          </cell>
          <cell r="U180">
            <v>0</v>
          </cell>
          <cell r="AA180">
            <v>0</v>
          </cell>
          <cell r="AB180">
            <v>212.56533333333334</v>
          </cell>
          <cell r="AD180">
            <v>5860.0599999999995</v>
          </cell>
          <cell r="AN180" t="str">
            <v xml:space="preserve">Contrato emergencial nº </v>
          </cell>
          <cell r="AO180" t="str">
            <v>G</v>
          </cell>
        </row>
        <row r="181">
          <cell r="D181" t="str">
            <v>1113/11</v>
          </cell>
          <cell r="E181" t="str">
            <v>11/04/2011</v>
          </cell>
          <cell r="F181">
            <v>40823</v>
          </cell>
          <cell r="G181">
            <v>40823</v>
          </cell>
          <cell r="H181" t="str">
            <v>2011-0.074.949-3</v>
          </cell>
          <cell r="I181">
            <v>44324.52</v>
          </cell>
          <cell r="J181" t="str">
            <v xml:space="preserve">              123651121                 2847                    33903600</v>
          </cell>
          <cell r="K181">
            <v>40817</v>
          </cell>
          <cell r="L181">
            <v>7</v>
          </cell>
          <cell r="M181">
            <v>1800</v>
          </cell>
          <cell r="N181">
            <v>57273</v>
          </cell>
          <cell r="O181">
            <v>13951</v>
          </cell>
          <cell r="P181">
            <v>16</v>
          </cell>
          <cell r="Q181">
            <v>2</v>
          </cell>
          <cell r="T181">
            <v>7360</v>
          </cell>
          <cell r="U181">
            <v>0</v>
          </cell>
          <cell r="AA181">
            <v>0</v>
          </cell>
          <cell r="AB181">
            <v>246.2473333333333</v>
          </cell>
          <cell r="AN181" t="str">
            <v xml:space="preserve">Contrato emergencial nº </v>
          </cell>
          <cell r="AO181" t="str">
            <v>G</v>
          </cell>
        </row>
        <row r="182">
          <cell r="D182" t="str">
            <v>1114/11</v>
          </cell>
          <cell r="E182" t="str">
            <v>11/04/2011</v>
          </cell>
          <cell r="F182">
            <v>40823</v>
          </cell>
          <cell r="G182">
            <v>40823</v>
          </cell>
          <cell r="H182" t="str">
            <v>2011-0.074.951-5</v>
          </cell>
          <cell r="I182">
            <v>40877.160000000003</v>
          </cell>
          <cell r="J182" t="str">
            <v xml:space="preserve">              123651121                 2847                    33903600</v>
          </cell>
          <cell r="K182">
            <v>40817</v>
          </cell>
          <cell r="L182">
            <v>7</v>
          </cell>
          <cell r="M182">
            <v>1600</v>
          </cell>
          <cell r="N182">
            <v>57273</v>
          </cell>
          <cell r="O182">
            <v>13953</v>
          </cell>
          <cell r="P182">
            <v>16</v>
          </cell>
          <cell r="Q182">
            <v>2</v>
          </cell>
          <cell r="T182">
            <v>6800</v>
          </cell>
          <cell r="U182">
            <v>829.1</v>
          </cell>
          <cell r="AA182">
            <v>829.1</v>
          </cell>
          <cell r="AB182">
            <v>227.09533333333334</v>
          </cell>
          <cell r="AD182">
            <v>5483.9118888888879</v>
          </cell>
          <cell r="AN182" t="str">
            <v xml:space="preserve">Contrato emergencial nº </v>
          </cell>
          <cell r="AO182" t="str">
            <v>G</v>
          </cell>
        </row>
        <row r="183">
          <cell r="D183" t="str">
            <v>1012/11</v>
          </cell>
          <cell r="E183" t="str">
            <v>11/04/2011</v>
          </cell>
          <cell r="F183">
            <v>40823</v>
          </cell>
          <cell r="G183">
            <v>40823</v>
          </cell>
          <cell r="H183" t="str">
            <v>2011-0.074.316-9</v>
          </cell>
          <cell r="I183">
            <v>37607.879999999997</v>
          </cell>
          <cell r="J183" t="str">
            <v xml:space="preserve">              123611122                  2848                    33903600</v>
          </cell>
          <cell r="K183">
            <v>40817</v>
          </cell>
          <cell r="L183">
            <v>7</v>
          </cell>
          <cell r="M183">
            <v>1500</v>
          </cell>
          <cell r="N183">
            <v>57278</v>
          </cell>
          <cell r="O183">
            <v>13828</v>
          </cell>
          <cell r="P183">
            <v>16</v>
          </cell>
          <cell r="Q183">
            <v>3</v>
          </cell>
          <cell r="T183">
            <v>3329.12</v>
          </cell>
          <cell r="U183">
            <v>0</v>
          </cell>
          <cell r="AA183">
            <v>0</v>
          </cell>
          <cell r="AB183">
            <v>208.93266666666665</v>
          </cell>
          <cell r="AD183">
            <v>6013.7300000000005</v>
          </cell>
          <cell r="AN183" t="str">
            <v xml:space="preserve">Contrato emergencial nº </v>
          </cell>
          <cell r="AO183" t="str">
            <v>G</v>
          </cell>
        </row>
        <row r="184">
          <cell r="D184" t="str">
            <v>1013/11</v>
          </cell>
          <cell r="E184" t="str">
            <v>11/04/2011</v>
          </cell>
          <cell r="F184">
            <v>40823</v>
          </cell>
          <cell r="G184">
            <v>40823</v>
          </cell>
          <cell r="H184" t="str">
            <v>2011-0.074.317-7</v>
          </cell>
          <cell r="I184">
            <v>44978.400000000001</v>
          </cell>
          <cell r="J184" t="str">
            <v xml:space="preserve">              123611122                  2848                    33903600</v>
          </cell>
          <cell r="K184">
            <v>40817</v>
          </cell>
          <cell r="L184">
            <v>7</v>
          </cell>
          <cell r="M184">
            <v>1800</v>
          </cell>
          <cell r="N184">
            <v>57278</v>
          </cell>
          <cell r="O184">
            <v>13838</v>
          </cell>
          <cell r="P184">
            <v>16</v>
          </cell>
          <cell r="Q184">
            <v>3</v>
          </cell>
          <cell r="T184">
            <v>2926.09</v>
          </cell>
          <cell r="U184">
            <v>0</v>
          </cell>
          <cell r="AA184">
            <v>0</v>
          </cell>
          <cell r="AB184">
            <v>249.88</v>
          </cell>
          <cell r="AD184">
            <v>7125.06</v>
          </cell>
          <cell r="AN184" t="str">
            <v xml:space="preserve">Contrato emergencial nº </v>
          </cell>
          <cell r="AO184" t="str">
            <v>G</v>
          </cell>
        </row>
        <row r="185">
          <cell r="D185" t="str">
            <v>1048/11</v>
          </cell>
          <cell r="E185" t="str">
            <v>11/04/2011</v>
          </cell>
          <cell r="F185">
            <v>40823</v>
          </cell>
          <cell r="G185">
            <v>40823</v>
          </cell>
          <cell r="H185" t="str">
            <v>2011-0.074.871-3</v>
          </cell>
          <cell r="I185">
            <v>38261.760000000002</v>
          </cell>
          <cell r="J185" t="str">
            <v xml:space="preserve">              123611122                  2848                    33903600</v>
          </cell>
          <cell r="K185">
            <v>40817</v>
          </cell>
          <cell r="L185">
            <v>7</v>
          </cell>
          <cell r="M185">
            <v>1500</v>
          </cell>
          <cell r="N185">
            <v>57278</v>
          </cell>
          <cell r="O185">
            <v>13964</v>
          </cell>
          <cell r="P185">
            <v>16</v>
          </cell>
          <cell r="Q185">
            <v>3</v>
          </cell>
          <cell r="T185">
            <v>4115.9799999999996</v>
          </cell>
          <cell r="U185">
            <v>0</v>
          </cell>
          <cell r="AA185">
            <v>0</v>
          </cell>
          <cell r="AB185">
            <v>212.56533333333334</v>
          </cell>
          <cell r="AN185" t="str">
            <v xml:space="preserve">Contrato emergencial nº </v>
          </cell>
          <cell r="AO185" t="str">
            <v>G</v>
          </cell>
        </row>
        <row r="186">
          <cell r="D186" t="str">
            <v>1050/11</v>
          </cell>
          <cell r="E186" t="str">
            <v>11/04/2011</v>
          </cell>
          <cell r="F186">
            <v>40823</v>
          </cell>
          <cell r="G186">
            <v>40823</v>
          </cell>
          <cell r="H186" t="str">
            <v>2011-0.074.873-0</v>
          </cell>
          <cell r="I186">
            <v>44324.52</v>
          </cell>
          <cell r="J186" t="str">
            <v xml:space="preserve">              123611122                  2848                    33903600</v>
          </cell>
          <cell r="K186">
            <v>40817</v>
          </cell>
          <cell r="L186">
            <v>7</v>
          </cell>
          <cell r="M186">
            <v>1800</v>
          </cell>
          <cell r="N186">
            <v>57278</v>
          </cell>
          <cell r="O186">
            <v>13971</v>
          </cell>
          <cell r="P186">
            <v>16</v>
          </cell>
          <cell r="Q186">
            <v>3</v>
          </cell>
          <cell r="T186">
            <v>7360</v>
          </cell>
          <cell r="U186">
            <v>0</v>
          </cell>
          <cell r="AA186">
            <v>0</v>
          </cell>
          <cell r="AB186">
            <v>246.2473333333333</v>
          </cell>
          <cell r="AD186">
            <v>5883.4</v>
          </cell>
          <cell r="AN186" t="str">
            <v xml:space="preserve">Contrato emergencial nº </v>
          </cell>
          <cell r="AO186" t="str">
            <v>G</v>
          </cell>
        </row>
        <row r="187">
          <cell r="D187" t="str">
            <v>1084/11</v>
          </cell>
          <cell r="E187" t="str">
            <v>11/04/2011</v>
          </cell>
          <cell r="F187">
            <v>40823</v>
          </cell>
          <cell r="G187">
            <v>40823</v>
          </cell>
          <cell r="H187" t="str">
            <v>2011-0.074.804-7</v>
          </cell>
          <cell r="I187">
            <v>29744.400000000001</v>
          </cell>
          <cell r="J187" t="str">
            <v xml:space="preserve">              123611122                  2848                    33903600</v>
          </cell>
          <cell r="K187">
            <v>40817</v>
          </cell>
          <cell r="L187">
            <v>7</v>
          </cell>
          <cell r="M187">
            <v>1200</v>
          </cell>
          <cell r="N187">
            <v>57278</v>
          </cell>
          <cell r="O187">
            <v>13842</v>
          </cell>
          <cell r="P187">
            <v>16</v>
          </cell>
          <cell r="Q187">
            <v>3</v>
          </cell>
          <cell r="T187">
            <v>2453.83</v>
          </cell>
          <cell r="U187">
            <v>0</v>
          </cell>
          <cell r="AA187">
            <v>0</v>
          </cell>
          <cell r="AB187">
            <v>165.24666666666667</v>
          </cell>
          <cell r="AD187">
            <v>4728.6000000000004</v>
          </cell>
          <cell r="AN187" t="str">
            <v xml:space="preserve">Contrato emergencial nº </v>
          </cell>
          <cell r="AO187" t="str">
            <v>G</v>
          </cell>
        </row>
        <row r="188">
          <cell r="D188" t="str">
            <v>1104/11</v>
          </cell>
          <cell r="E188" t="str">
            <v>11/04/2011</v>
          </cell>
          <cell r="F188">
            <v>40823</v>
          </cell>
          <cell r="G188">
            <v>40823</v>
          </cell>
          <cell r="H188" t="str">
            <v>2011-0.074.935-3</v>
          </cell>
          <cell r="I188">
            <v>21373.56</v>
          </cell>
          <cell r="J188" t="str">
            <v xml:space="preserve">              123611122                  2848                    33903600</v>
          </cell>
          <cell r="K188">
            <v>40817</v>
          </cell>
          <cell r="L188">
            <v>7</v>
          </cell>
          <cell r="M188">
            <v>900</v>
          </cell>
          <cell r="N188">
            <v>57278</v>
          </cell>
          <cell r="O188">
            <v>13912</v>
          </cell>
          <cell r="P188">
            <v>16</v>
          </cell>
          <cell r="Q188">
            <v>3</v>
          </cell>
          <cell r="T188">
            <v>2443.86</v>
          </cell>
          <cell r="U188">
            <v>0</v>
          </cell>
          <cell r="AA188">
            <v>0</v>
          </cell>
          <cell r="AB188">
            <v>118.742</v>
          </cell>
          <cell r="AD188">
            <v>3590.6800000000003</v>
          </cell>
          <cell r="AN188" t="str">
            <v xml:space="preserve">Contrato emergencial nº </v>
          </cell>
          <cell r="AO188" t="str">
            <v>G</v>
          </cell>
        </row>
        <row r="189">
          <cell r="D189" t="str">
            <v>1115/11</v>
          </cell>
          <cell r="E189" t="str">
            <v>11/04/2011</v>
          </cell>
          <cell r="F189">
            <v>40823</v>
          </cell>
          <cell r="G189">
            <v>40823</v>
          </cell>
          <cell r="H189" t="str">
            <v>2011-0.081.680-8</v>
          </cell>
          <cell r="I189">
            <v>44324.52</v>
          </cell>
          <cell r="J189" t="str">
            <v xml:space="preserve">              123611122                  2848                    33903600</v>
          </cell>
          <cell r="K189">
            <v>40817</v>
          </cell>
          <cell r="L189">
            <v>7</v>
          </cell>
          <cell r="M189">
            <v>1800</v>
          </cell>
          <cell r="N189">
            <v>57278</v>
          </cell>
          <cell r="O189">
            <v>13805</v>
          </cell>
          <cell r="P189">
            <v>16</v>
          </cell>
          <cell r="Q189">
            <v>3</v>
          </cell>
          <cell r="T189">
            <v>7360</v>
          </cell>
          <cell r="U189">
            <v>0</v>
          </cell>
          <cell r="AA189">
            <v>0</v>
          </cell>
          <cell r="AB189">
            <v>246.2473333333333</v>
          </cell>
          <cell r="AD189">
            <v>5940.66</v>
          </cell>
          <cell r="AN189" t="str">
            <v xml:space="preserve">Contrato emergencial nº </v>
          </cell>
          <cell r="AO189" t="str">
            <v>G</v>
          </cell>
        </row>
        <row r="190">
          <cell r="D190" t="str">
            <v>0987/11</v>
          </cell>
          <cell r="E190" t="str">
            <v>11/04/2011</v>
          </cell>
          <cell r="F190">
            <v>40823</v>
          </cell>
          <cell r="G190">
            <v>40823</v>
          </cell>
          <cell r="H190" t="str">
            <v>2011-0.073.400-3</v>
          </cell>
          <cell r="I190">
            <v>27971.16</v>
          </cell>
          <cell r="J190" t="str">
            <v xml:space="preserve">              123651121                 2847                    33903600</v>
          </cell>
          <cell r="K190">
            <v>40817</v>
          </cell>
          <cell r="L190">
            <v>7</v>
          </cell>
          <cell r="M190">
            <v>1100</v>
          </cell>
          <cell r="N190">
            <v>57273</v>
          </cell>
          <cell r="O190">
            <v>13656</v>
          </cell>
          <cell r="P190">
            <v>16</v>
          </cell>
          <cell r="Q190">
            <v>2</v>
          </cell>
          <cell r="T190">
            <v>4640</v>
          </cell>
          <cell r="AA190">
            <v>0</v>
          </cell>
          <cell r="AB190">
            <v>155.39533333333333</v>
          </cell>
          <cell r="AD190">
            <v>3463.84</v>
          </cell>
          <cell r="AN190" t="str">
            <v xml:space="preserve">Contrato emergencial nº </v>
          </cell>
          <cell r="AO190" t="str">
            <v>IP</v>
          </cell>
        </row>
        <row r="191">
          <cell r="D191" t="str">
            <v>1052/11</v>
          </cell>
          <cell r="E191" t="str">
            <v>11/04/2011</v>
          </cell>
          <cell r="F191">
            <v>40823</v>
          </cell>
          <cell r="G191">
            <v>40823</v>
          </cell>
          <cell r="H191" t="str">
            <v>2011-0.074.875-6</v>
          </cell>
          <cell r="I191">
            <v>37607.879999999997</v>
          </cell>
          <cell r="J191" t="str">
            <v xml:space="preserve">              123651121                 2847                    33903600</v>
          </cell>
          <cell r="K191">
            <v>40817</v>
          </cell>
          <cell r="L191">
            <v>7</v>
          </cell>
          <cell r="M191">
            <v>1500</v>
          </cell>
          <cell r="N191">
            <v>57273</v>
          </cell>
          <cell r="O191">
            <v>13716</v>
          </cell>
          <cell r="P191">
            <v>16</v>
          </cell>
          <cell r="Q191">
            <v>2</v>
          </cell>
          <cell r="T191">
            <v>4165.6499999999996</v>
          </cell>
          <cell r="AA191">
            <v>0</v>
          </cell>
          <cell r="AB191">
            <v>208.93266666666665</v>
          </cell>
          <cell r="AD191">
            <v>6159.1</v>
          </cell>
          <cell r="AN191" t="str">
            <v xml:space="preserve">Contrato emergencial nº </v>
          </cell>
          <cell r="AO191" t="str">
            <v>IP</v>
          </cell>
        </row>
        <row r="192">
          <cell r="D192" t="str">
            <v>0997/11</v>
          </cell>
          <cell r="E192" t="str">
            <v>11/04/2011</v>
          </cell>
          <cell r="F192">
            <v>40823</v>
          </cell>
          <cell r="G192">
            <v>40823</v>
          </cell>
          <cell r="H192" t="str">
            <v>2011-0.073.424-0</v>
          </cell>
          <cell r="I192">
            <v>44324.52</v>
          </cell>
          <cell r="J192" t="str">
            <v xml:space="preserve">              123611122                  2848                    33903600</v>
          </cell>
          <cell r="K192">
            <v>40817</v>
          </cell>
          <cell r="L192">
            <v>7</v>
          </cell>
          <cell r="M192">
            <v>1800</v>
          </cell>
          <cell r="N192">
            <v>57278</v>
          </cell>
          <cell r="O192">
            <v>13769</v>
          </cell>
          <cell r="P192">
            <v>16</v>
          </cell>
          <cell r="Q192">
            <v>3</v>
          </cell>
          <cell r="T192">
            <v>4140.96</v>
          </cell>
          <cell r="AA192">
            <v>0</v>
          </cell>
          <cell r="AB192">
            <v>246.2473333333333</v>
          </cell>
          <cell r="AD192">
            <v>7110.2800000000007</v>
          </cell>
          <cell r="AN192" t="str">
            <v xml:space="preserve">Contrato emergencial nº </v>
          </cell>
          <cell r="AO192" t="str">
            <v>IP</v>
          </cell>
        </row>
        <row r="193">
          <cell r="D193" t="str">
            <v>1122/11</v>
          </cell>
          <cell r="E193" t="str">
            <v>11/04/2011</v>
          </cell>
          <cell r="F193">
            <v>40823</v>
          </cell>
          <cell r="G193">
            <v>40823</v>
          </cell>
          <cell r="H193" t="str">
            <v>2011-0.081.768-5</v>
          </cell>
          <cell r="I193">
            <v>23047.74</v>
          </cell>
          <cell r="J193" t="str">
            <v xml:space="preserve">              123651121                 2847                    33903600</v>
          </cell>
          <cell r="K193">
            <v>40817</v>
          </cell>
          <cell r="L193">
            <v>7</v>
          </cell>
          <cell r="M193">
            <v>900</v>
          </cell>
          <cell r="N193">
            <v>57273</v>
          </cell>
          <cell r="O193">
            <v>13872</v>
          </cell>
          <cell r="P193">
            <v>16</v>
          </cell>
          <cell r="Q193">
            <v>2</v>
          </cell>
          <cell r="S193">
            <v>337.23</v>
          </cell>
          <cell r="T193">
            <v>3840</v>
          </cell>
          <cell r="U193">
            <v>317.2</v>
          </cell>
          <cell r="AA193">
            <v>317.2</v>
          </cell>
          <cell r="AB193">
            <v>128.04300000000001</v>
          </cell>
          <cell r="AD193">
            <v>4218.16</v>
          </cell>
          <cell r="AN193" t="str">
            <v xml:space="preserve">Contrato emergencial nº </v>
          </cell>
          <cell r="AO193" t="str">
            <v>IQ</v>
          </cell>
        </row>
        <row r="194">
          <cell r="D194" t="str">
            <v>1053/11</v>
          </cell>
          <cell r="E194" t="str">
            <v>11/04/2011</v>
          </cell>
          <cell r="F194">
            <v>40823</v>
          </cell>
          <cell r="G194">
            <v>40823</v>
          </cell>
          <cell r="H194" t="str">
            <v>2011-0.074.876-4</v>
          </cell>
          <cell r="I194">
            <v>36954.120000000003</v>
          </cell>
          <cell r="J194" t="str">
            <v xml:space="preserve">              123611122                  2848                    33903600</v>
          </cell>
          <cell r="K194">
            <v>40817</v>
          </cell>
          <cell r="L194">
            <v>7</v>
          </cell>
          <cell r="M194">
            <v>1500</v>
          </cell>
          <cell r="N194">
            <v>57278</v>
          </cell>
          <cell r="O194">
            <v>13719</v>
          </cell>
          <cell r="P194">
            <v>16</v>
          </cell>
          <cell r="Q194">
            <v>3</v>
          </cell>
          <cell r="T194">
            <v>1495.1900000000005</v>
          </cell>
          <cell r="U194">
            <v>0</v>
          </cell>
          <cell r="AA194">
            <v>0</v>
          </cell>
          <cell r="AB194">
            <v>205.30066666666667</v>
          </cell>
          <cell r="AD194">
            <v>5718.4100000000008</v>
          </cell>
          <cell r="AN194" t="str">
            <v xml:space="preserve">Contrato emergencial nº </v>
          </cell>
          <cell r="AO194" t="str">
            <v>IQ</v>
          </cell>
        </row>
        <row r="195">
          <cell r="D195" t="str">
            <v>1014/11</v>
          </cell>
          <cell r="E195" t="str">
            <v>11/04/2011</v>
          </cell>
          <cell r="F195">
            <v>40823</v>
          </cell>
          <cell r="G195">
            <v>40823</v>
          </cell>
          <cell r="H195" t="str">
            <v>2011-0.074.318-5</v>
          </cell>
          <cell r="I195">
            <v>37607.879999999997</v>
          </cell>
          <cell r="J195" t="str">
            <v xml:space="preserve">             123671125                  2863                   33903600</v>
          </cell>
          <cell r="K195">
            <v>40817</v>
          </cell>
          <cell r="L195">
            <v>7</v>
          </cell>
          <cell r="M195">
            <v>1500</v>
          </cell>
          <cell r="N195">
            <v>57287</v>
          </cell>
          <cell r="O195">
            <v>13843</v>
          </cell>
          <cell r="P195">
            <v>16</v>
          </cell>
          <cell r="Q195">
            <v>4</v>
          </cell>
          <cell r="T195">
            <v>6240</v>
          </cell>
          <cell r="U195">
            <v>0</v>
          </cell>
          <cell r="AA195">
            <v>0</v>
          </cell>
          <cell r="AB195">
            <v>208.93266666666665</v>
          </cell>
          <cell r="AD195">
            <v>4955.375</v>
          </cell>
          <cell r="AN195" t="str">
            <v xml:space="preserve">Contrato emergencial nº </v>
          </cell>
          <cell r="AO195" t="str">
            <v>IQ</v>
          </cell>
        </row>
        <row r="196">
          <cell r="D196" t="str">
            <v>1135/11</v>
          </cell>
          <cell r="E196" t="str">
            <v>11/04/2011</v>
          </cell>
          <cell r="F196">
            <v>40823</v>
          </cell>
          <cell r="G196">
            <v>40823</v>
          </cell>
          <cell r="H196" t="str">
            <v>2011-0.081.817-7</v>
          </cell>
          <cell r="I196">
            <v>42184.92</v>
          </cell>
          <cell r="J196" t="str">
            <v xml:space="preserve">             123671125                  2863                   33903600</v>
          </cell>
          <cell r="K196">
            <v>40817</v>
          </cell>
          <cell r="L196">
            <v>7</v>
          </cell>
          <cell r="M196">
            <v>1700</v>
          </cell>
          <cell r="N196">
            <v>57287</v>
          </cell>
          <cell r="O196">
            <v>13963</v>
          </cell>
          <cell r="P196">
            <v>16</v>
          </cell>
          <cell r="Q196">
            <v>4</v>
          </cell>
          <cell r="T196">
            <v>5580.8750000000009</v>
          </cell>
          <cell r="U196">
            <v>0</v>
          </cell>
          <cell r="AA196">
            <v>0</v>
          </cell>
          <cell r="AB196">
            <v>234.36066666666665</v>
          </cell>
          <cell r="AD196">
            <v>7064.86</v>
          </cell>
          <cell r="AN196" t="str">
            <v xml:space="preserve">Contrato emergencial nº </v>
          </cell>
          <cell r="AO196" t="str">
            <v>IQ</v>
          </cell>
        </row>
        <row r="197">
          <cell r="D197" t="str">
            <v>1015/11</v>
          </cell>
          <cell r="E197" t="str">
            <v>11/04/2011</v>
          </cell>
          <cell r="F197">
            <v>40823</v>
          </cell>
          <cell r="G197">
            <v>40823</v>
          </cell>
          <cell r="H197" t="str">
            <v>2011-0.074.321-5</v>
          </cell>
          <cell r="I197">
            <v>38261.760000000002</v>
          </cell>
          <cell r="J197" t="str">
            <v xml:space="preserve">              123651121                 2847                    33903600</v>
          </cell>
          <cell r="K197">
            <v>40817</v>
          </cell>
          <cell r="L197">
            <v>7</v>
          </cell>
          <cell r="M197">
            <v>1500</v>
          </cell>
          <cell r="N197">
            <v>57273</v>
          </cell>
          <cell r="O197">
            <v>13845</v>
          </cell>
          <cell r="P197">
            <v>16</v>
          </cell>
          <cell r="Q197">
            <v>2</v>
          </cell>
          <cell r="T197">
            <v>1144.44</v>
          </cell>
          <cell r="U197">
            <v>0</v>
          </cell>
          <cell r="AA197">
            <v>0</v>
          </cell>
          <cell r="AB197">
            <v>212.56533333333334</v>
          </cell>
          <cell r="AD197">
            <v>5607.9999999999991</v>
          </cell>
          <cell r="AN197" t="str">
            <v xml:space="preserve">Contrato emergencial nº </v>
          </cell>
          <cell r="AO197" t="str">
            <v>JT</v>
          </cell>
        </row>
        <row r="198">
          <cell r="D198" t="str">
            <v>1055/11</v>
          </cell>
          <cell r="E198" t="str">
            <v>11/04/2011</v>
          </cell>
          <cell r="F198">
            <v>40823</v>
          </cell>
          <cell r="G198">
            <v>40823</v>
          </cell>
          <cell r="H198" t="str">
            <v>2011-0.074.878-0</v>
          </cell>
          <cell r="I198">
            <v>37607.879999999997</v>
          </cell>
          <cell r="J198" t="str">
            <v xml:space="preserve">              123651121                 2847                    33903600</v>
          </cell>
          <cell r="K198">
            <v>40817</v>
          </cell>
          <cell r="L198">
            <v>7</v>
          </cell>
          <cell r="M198">
            <v>1500</v>
          </cell>
          <cell r="N198">
            <v>57273</v>
          </cell>
          <cell r="O198">
            <v>13727</v>
          </cell>
          <cell r="P198">
            <v>16</v>
          </cell>
          <cell r="Q198">
            <v>2</v>
          </cell>
          <cell r="T198">
            <v>6240</v>
          </cell>
          <cell r="U198">
            <v>731.35</v>
          </cell>
          <cell r="AA198">
            <v>731.35</v>
          </cell>
          <cell r="AB198">
            <v>208.93266666666665</v>
          </cell>
          <cell r="AD198">
            <v>5572.0250000000005</v>
          </cell>
          <cell r="AN198" t="str">
            <v xml:space="preserve">Contrato emergencial nº </v>
          </cell>
          <cell r="AO198" t="str">
            <v>JT</v>
          </cell>
        </row>
        <row r="199">
          <cell r="D199" t="str">
            <v>1106/11</v>
          </cell>
          <cell r="E199" t="str">
            <v>11/04/2011</v>
          </cell>
          <cell r="F199">
            <v>40823</v>
          </cell>
          <cell r="G199">
            <v>40823</v>
          </cell>
          <cell r="H199" t="str">
            <v>2011-0.074.938-8</v>
          </cell>
          <cell r="I199">
            <v>24266.22</v>
          </cell>
          <cell r="J199" t="str">
            <v xml:space="preserve">              123651121                 2847                    33903600</v>
          </cell>
          <cell r="K199">
            <v>40817</v>
          </cell>
          <cell r="L199">
            <v>7</v>
          </cell>
          <cell r="M199">
            <v>1000</v>
          </cell>
          <cell r="N199">
            <v>57273</v>
          </cell>
          <cell r="O199">
            <v>13919</v>
          </cell>
          <cell r="P199">
            <v>16</v>
          </cell>
          <cell r="Q199">
            <v>2</v>
          </cell>
          <cell r="S199">
            <v>230.78</v>
          </cell>
          <cell r="T199">
            <v>4487.29</v>
          </cell>
          <cell r="U199">
            <v>206</v>
          </cell>
          <cell r="AA199">
            <v>206</v>
          </cell>
          <cell r="AB199">
            <v>134.81233333333333</v>
          </cell>
          <cell r="AD199">
            <v>4607.29</v>
          </cell>
          <cell r="AN199" t="str">
            <v xml:space="preserve">Contrato emergencial nº </v>
          </cell>
          <cell r="AO199" t="str">
            <v>JT</v>
          </cell>
        </row>
        <row r="200">
          <cell r="D200" t="str">
            <v>0998/11</v>
          </cell>
          <cell r="E200" t="str">
            <v>11/04/2011</v>
          </cell>
          <cell r="F200">
            <v>40823</v>
          </cell>
          <cell r="G200">
            <v>40823</v>
          </cell>
          <cell r="H200" t="str">
            <v>2011-0.073.426-7</v>
          </cell>
          <cell r="I200">
            <v>30150.54</v>
          </cell>
          <cell r="J200" t="str">
            <v xml:space="preserve">              123611122                  2848                    33903600</v>
          </cell>
          <cell r="K200">
            <v>40817</v>
          </cell>
          <cell r="L200">
            <v>7</v>
          </cell>
          <cell r="M200">
            <v>1200</v>
          </cell>
          <cell r="N200">
            <v>57278</v>
          </cell>
          <cell r="O200">
            <v>13774</v>
          </cell>
          <cell r="P200">
            <v>16</v>
          </cell>
          <cell r="Q200">
            <v>3</v>
          </cell>
          <cell r="S200">
            <v>803.73</v>
          </cell>
          <cell r="T200">
            <v>5494.65</v>
          </cell>
          <cell r="U200">
            <v>553</v>
          </cell>
          <cell r="AA200">
            <v>553</v>
          </cell>
          <cell r="AB200">
            <v>167.50300000000001</v>
          </cell>
          <cell r="AD200">
            <v>5550.6499999999987</v>
          </cell>
          <cell r="AN200" t="str">
            <v xml:space="preserve">Contrato emergencial nº </v>
          </cell>
          <cell r="AO200" t="str">
            <v>JT</v>
          </cell>
        </row>
        <row r="201">
          <cell r="D201" t="str">
            <v>1054/11</v>
          </cell>
          <cell r="E201" t="str">
            <v>11/04/2011</v>
          </cell>
          <cell r="F201">
            <v>40823</v>
          </cell>
          <cell r="G201">
            <v>40823</v>
          </cell>
          <cell r="H201" t="str">
            <v>2011-0.074.877-2</v>
          </cell>
          <cell r="I201">
            <v>37607.879999999997</v>
          </cell>
          <cell r="J201" t="str">
            <v xml:space="preserve">              123611122                  2848                    33903600</v>
          </cell>
          <cell r="K201">
            <v>40817</v>
          </cell>
          <cell r="L201">
            <v>7</v>
          </cell>
          <cell r="M201">
            <v>1500</v>
          </cell>
          <cell r="N201">
            <v>57278</v>
          </cell>
          <cell r="O201">
            <v>13723</v>
          </cell>
          <cell r="P201">
            <v>16</v>
          </cell>
          <cell r="Q201">
            <v>3</v>
          </cell>
          <cell r="T201">
            <v>6240</v>
          </cell>
          <cell r="U201">
            <v>0</v>
          </cell>
          <cell r="AA201">
            <v>0</v>
          </cell>
          <cell r="AB201">
            <v>208.93266666666665</v>
          </cell>
          <cell r="AD201">
            <v>4468.2800000000007</v>
          </cell>
          <cell r="AN201" t="str">
            <v xml:space="preserve">Contrato emergencial nº </v>
          </cell>
          <cell r="AO201" t="str">
            <v>JT</v>
          </cell>
        </row>
        <row r="202">
          <cell r="D202" t="str">
            <v>1478/11</v>
          </cell>
          <cell r="E202" t="str">
            <v>11/04/2011</v>
          </cell>
          <cell r="F202">
            <v>40823</v>
          </cell>
          <cell r="G202">
            <v>40823</v>
          </cell>
          <cell r="H202" t="str">
            <v>2011-0.109.748-1</v>
          </cell>
          <cell r="I202">
            <v>28377.3</v>
          </cell>
          <cell r="J202" t="str">
            <v xml:space="preserve">              123611122                  2848                    33903600</v>
          </cell>
          <cell r="K202">
            <v>40817</v>
          </cell>
          <cell r="L202">
            <v>7</v>
          </cell>
          <cell r="M202">
            <v>1200</v>
          </cell>
          <cell r="N202">
            <v>57278</v>
          </cell>
          <cell r="O202">
            <v>13775</v>
          </cell>
          <cell r="P202">
            <v>16</v>
          </cell>
          <cell r="Q202">
            <v>3</v>
          </cell>
          <cell r="T202">
            <v>4720</v>
          </cell>
          <cell r="U202">
            <v>0</v>
          </cell>
          <cell r="AA202">
            <v>0</v>
          </cell>
          <cell r="AB202">
            <v>157.65166666666667</v>
          </cell>
          <cell r="AD202">
            <v>3508.335</v>
          </cell>
          <cell r="AN202" t="str">
            <v xml:space="preserve">Contrato emergencial nº </v>
          </cell>
          <cell r="AO202" t="str">
            <v>JT</v>
          </cell>
        </row>
        <row r="203">
          <cell r="D203" t="str">
            <v>1016/11</v>
          </cell>
          <cell r="E203" t="str">
            <v>11/04/2011</v>
          </cell>
          <cell r="F203">
            <v>40823</v>
          </cell>
          <cell r="G203">
            <v>40823</v>
          </cell>
          <cell r="H203" t="str">
            <v>2011-0.074.325-8</v>
          </cell>
          <cell r="I203">
            <v>44324.52</v>
          </cell>
          <cell r="J203" t="str">
            <v xml:space="preserve">              123651121                 2847                    33903600</v>
          </cell>
          <cell r="K203">
            <v>40817</v>
          </cell>
          <cell r="L203">
            <v>7</v>
          </cell>
          <cell r="M203">
            <v>1800</v>
          </cell>
          <cell r="N203">
            <v>57273</v>
          </cell>
          <cell r="O203">
            <v>13848</v>
          </cell>
          <cell r="P203">
            <v>16</v>
          </cell>
          <cell r="Q203">
            <v>2</v>
          </cell>
          <cell r="T203">
            <v>7360</v>
          </cell>
          <cell r="U203">
            <v>0</v>
          </cell>
          <cell r="AA203">
            <v>0</v>
          </cell>
          <cell r="AB203">
            <v>246.2473333333333</v>
          </cell>
          <cell r="AD203">
            <v>5809.06</v>
          </cell>
          <cell r="AN203" t="str">
            <v xml:space="preserve">Contrato emergencial nº </v>
          </cell>
          <cell r="AO203" t="str">
            <v>MP</v>
          </cell>
        </row>
        <row r="204">
          <cell r="D204" t="str">
            <v>1017/11</v>
          </cell>
          <cell r="E204" t="str">
            <v>11/04/2011</v>
          </cell>
          <cell r="F204">
            <v>40823</v>
          </cell>
          <cell r="G204">
            <v>40823</v>
          </cell>
          <cell r="H204" t="str">
            <v>2011-0.074.329-0</v>
          </cell>
          <cell r="I204">
            <v>37607.879999999997</v>
          </cell>
          <cell r="J204" t="str">
            <v xml:space="preserve">              123651121                 2847                    33903600</v>
          </cell>
          <cell r="K204">
            <v>40817</v>
          </cell>
          <cell r="L204">
            <v>7</v>
          </cell>
          <cell r="M204">
            <v>1500</v>
          </cell>
          <cell r="N204">
            <v>57273</v>
          </cell>
          <cell r="O204">
            <v>13851</v>
          </cell>
          <cell r="P204">
            <v>16</v>
          </cell>
          <cell r="Q204">
            <v>2</v>
          </cell>
          <cell r="T204">
            <v>6240</v>
          </cell>
          <cell r="U204">
            <v>0</v>
          </cell>
          <cell r="AA204">
            <v>0</v>
          </cell>
          <cell r="AB204">
            <v>208.93266666666665</v>
          </cell>
          <cell r="AD204">
            <v>6033.38</v>
          </cell>
          <cell r="AN204" t="str">
            <v xml:space="preserve">Contrato emergencial nº </v>
          </cell>
          <cell r="AO204" t="str">
            <v>MP</v>
          </cell>
        </row>
        <row r="205">
          <cell r="D205" t="str">
            <v>1056/11</v>
          </cell>
          <cell r="E205" t="str">
            <v>11/04/2011</v>
          </cell>
          <cell r="F205">
            <v>40823</v>
          </cell>
          <cell r="G205">
            <v>40823</v>
          </cell>
          <cell r="H205" t="str">
            <v>2011-0.074.880-2</v>
          </cell>
          <cell r="I205">
            <v>44978.400000000001</v>
          </cell>
          <cell r="J205" t="str">
            <v xml:space="preserve">              123651121                 2847                    33903600</v>
          </cell>
          <cell r="K205">
            <v>40817</v>
          </cell>
          <cell r="L205">
            <v>7</v>
          </cell>
          <cell r="M205">
            <v>1800</v>
          </cell>
          <cell r="N205">
            <v>57273</v>
          </cell>
          <cell r="O205">
            <v>13732</v>
          </cell>
          <cell r="P205">
            <v>16</v>
          </cell>
          <cell r="Q205">
            <v>2</v>
          </cell>
          <cell r="T205">
            <v>7440</v>
          </cell>
          <cell r="U205">
            <v>0</v>
          </cell>
          <cell r="AA205">
            <v>0</v>
          </cell>
          <cell r="AB205">
            <v>249.88</v>
          </cell>
          <cell r="AD205">
            <v>7388.69</v>
          </cell>
          <cell r="AN205" t="str">
            <v xml:space="preserve">Contrato emergencial nº </v>
          </cell>
          <cell r="AO205" t="str">
            <v>MP</v>
          </cell>
        </row>
        <row r="206">
          <cell r="D206" t="str">
            <v>1057/11</v>
          </cell>
          <cell r="E206" t="str">
            <v>11/04/2011</v>
          </cell>
          <cell r="F206">
            <v>40823</v>
          </cell>
          <cell r="G206">
            <v>40823</v>
          </cell>
          <cell r="H206" t="str">
            <v>2011-0.074.881-0</v>
          </cell>
          <cell r="I206">
            <v>37607.879999999997</v>
          </cell>
          <cell r="J206" t="str">
            <v xml:space="preserve">              123651121                 2847                    33903600</v>
          </cell>
          <cell r="K206">
            <v>40817</v>
          </cell>
          <cell r="L206">
            <v>7</v>
          </cell>
          <cell r="M206">
            <v>1500</v>
          </cell>
          <cell r="N206">
            <v>57273</v>
          </cell>
          <cell r="O206">
            <v>13736</v>
          </cell>
          <cell r="P206">
            <v>16</v>
          </cell>
          <cell r="Q206">
            <v>2</v>
          </cell>
          <cell r="T206">
            <v>6240</v>
          </cell>
          <cell r="U206">
            <v>0</v>
          </cell>
          <cell r="AA206">
            <v>0</v>
          </cell>
          <cell r="AB206">
            <v>208.93266666666665</v>
          </cell>
          <cell r="AD206">
            <v>4679.1200000000008</v>
          </cell>
          <cell r="AN206" t="str">
            <v xml:space="preserve">Contrato emergencial nº </v>
          </cell>
          <cell r="AO206" t="str">
            <v>MP</v>
          </cell>
        </row>
        <row r="207">
          <cell r="D207" t="str">
            <v>1058/11</v>
          </cell>
          <cell r="E207" t="str">
            <v>11/04/2011</v>
          </cell>
          <cell r="F207">
            <v>40823</v>
          </cell>
          <cell r="G207">
            <v>40823</v>
          </cell>
          <cell r="H207" t="str">
            <v>2011-0.074.882-9</v>
          </cell>
          <cell r="I207">
            <v>44324.52</v>
          </cell>
          <cell r="J207" t="str">
            <v xml:space="preserve">              123651121                 2847                    33903600</v>
          </cell>
          <cell r="K207">
            <v>40817</v>
          </cell>
          <cell r="L207">
            <v>7</v>
          </cell>
          <cell r="M207">
            <v>1800</v>
          </cell>
          <cell r="N207">
            <v>57273</v>
          </cell>
          <cell r="O207">
            <v>13741</v>
          </cell>
          <cell r="P207">
            <v>16</v>
          </cell>
          <cell r="Q207">
            <v>2</v>
          </cell>
          <cell r="T207">
            <v>7360</v>
          </cell>
          <cell r="U207">
            <v>0</v>
          </cell>
          <cell r="AA207">
            <v>0</v>
          </cell>
          <cell r="AB207">
            <v>246.2473333333333</v>
          </cell>
          <cell r="AN207" t="str">
            <v xml:space="preserve">Contrato emergencial nº </v>
          </cell>
          <cell r="AO207" t="str">
            <v>MP</v>
          </cell>
        </row>
        <row r="208">
          <cell r="D208" t="str">
            <v>1059/11</v>
          </cell>
          <cell r="E208" t="str">
            <v>11/04/2011</v>
          </cell>
          <cell r="F208">
            <v>40823</v>
          </cell>
          <cell r="G208">
            <v>40823</v>
          </cell>
          <cell r="H208" t="str">
            <v>2011-0.074.884-5</v>
          </cell>
          <cell r="I208">
            <v>37607.879999999997</v>
          </cell>
          <cell r="J208" t="str">
            <v xml:space="preserve">              123651121                 2847                    33903600</v>
          </cell>
          <cell r="K208">
            <v>40817</v>
          </cell>
          <cell r="L208">
            <v>7</v>
          </cell>
          <cell r="M208">
            <v>1500</v>
          </cell>
          <cell r="N208">
            <v>57273</v>
          </cell>
          <cell r="O208">
            <v>13747</v>
          </cell>
          <cell r="P208">
            <v>16</v>
          </cell>
          <cell r="Q208">
            <v>2</v>
          </cell>
          <cell r="T208">
            <v>6240</v>
          </cell>
          <cell r="U208">
            <v>1240.3863333333334</v>
          </cell>
          <cell r="AA208">
            <v>1240.3863333333334</v>
          </cell>
          <cell r="AB208">
            <v>208.93266666666665</v>
          </cell>
          <cell r="AD208">
            <v>5305.6549999999997</v>
          </cell>
          <cell r="AN208" t="str">
            <v xml:space="preserve">Contrato emergencial nº </v>
          </cell>
          <cell r="AO208" t="str">
            <v>MP</v>
          </cell>
        </row>
        <row r="209">
          <cell r="D209" t="str">
            <v>1061/11</v>
          </cell>
          <cell r="E209" t="str">
            <v>11/04/2011</v>
          </cell>
          <cell r="F209">
            <v>40823</v>
          </cell>
          <cell r="G209">
            <v>40823</v>
          </cell>
          <cell r="H209" t="str">
            <v>2011-0.074.886-1</v>
          </cell>
          <cell r="I209">
            <v>37607.879999999997</v>
          </cell>
          <cell r="J209" t="str">
            <v xml:space="preserve">              123651121                 2847                    33903600</v>
          </cell>
          <cell r="K209">
            <v>40817</v>
          </cell>
          <cell r="L209">
            <v>7</v>
          </cell>
          <cell r="M209">
            <v>1500</v>
          </cell>
          <cell r="N209">
            <v>57273</v>
          </cell>
          <cell r="O209">
            <v>13756</v>
          </cell>
          <cell r="P209">
            <v>16</v>
          </cell>
          <cell r="Q209">
            <v>2</v>
          </cell>
          <cell r="T209">
            <v>6240</v>
          </cell>
          <cell r="U209">
            <v>0</v>
          </cell>
          <cell r="AA209">
            <v>0</v>
          </cell>
          <cell r="AB209">
            <v>208.93266666666665</v>
          </cell>
          <cell r="AD209">
            <v>5978.68</v>
          </cell>
          <cell r="AN209" t="str">
            <v xml:space="preserve">Contrato emergencial nº </v>
          </cell>
          <cell r="AO209" t="str">
            <v>MP</v>
          </cell>
        </row>
        <row r="210">
          <cell r="D210" t="str">
            <v>1098/11</v>
          </cell>
          <cell r="E210" t="str">
            <v>11/04/2011</v>
          </cell>
          <cell r="F210">
            <v>40823</v>
          </cell>
          <cell r="G210">
            <v>40823</v>
          </cell>
          <cell r="H210" t="str">
            <v>2011-0.074.903-5</v>
          </cell>
          <cell r="I210">
            <v>44324.52</v>
          </cell>
          <cell r="J210" t="str">
            <v xml:space="preserve">              123651121                 2847                    33903600</v>
          </cell>
          <cell r="K210">
            <v>40817</v>
          </cell>
          <cell r="L210">
            <v>7</v>
          </cell>
          <cell r="M210">
            <v>1800</v>
          </cell>
          <cell r="N210">
            <v>57273</v>
          </cell>
          <cell r="O210">
            <v>13900</v>
          </cell>
          <cell r="P210">
            <v>16</v>
          </cell>
          <cell r="Q210">
            <v>2</v>
          </cell>
          <cell r="T210">
            <v>7360</v>
          </cell>
          <cell r="U210">
            <v>0</v>
          </cell>
          <cell r="AA210">
            <v>0</v>
          </cell>
          <cell r="AB210">
            <v>246.2473333333333</v>
          </cell>
          <cell r="AD210">
            <v>6029.66</v>
          </cell>
          <cell r="AN210" t="str">
            <v xml:space="preserve">Contrato emergencial nº </v>
          </cell>
          <cell r="AO210" t="str">
            <v>MP</v>
          </cell>
        </row>
        <row r="211">
          <cell r="D211" t="str">
            <v>1105/11</v>
          </cell>
          <cell r="E211" t="str">
            <v>11/04/2011</v>
          </cell>
          <cell r="F211">
            <v>40823</v>
          </cell>
          <cell r="G211">
            <v>40823</v>
          </cell>
          <cell r="H211" t="str">
            <v>2011-0.074.937-0</v>
          </cell>
          <cell r="I211">
            <v>44324.52</v>
          </cell>
          <cell r="J211" t="str">
            <v xml:space="preserve">              123651121                 2847                    33903600</v>
          </cell>
          <cell r="K211">
            <v>40817</v>
          </cell>
          <cell r="L211">
            <v>7</v>
          </cell>
          <cell r="M211">
            <v>1800</v>
          </cell>
          <cell r="N211">
            <v>57273</v>
          </cell>
          <cell r="O211">
            <v>13917</v>
          </cell>
          <cell r="P211">
            <v>16</v>
          </cell>
          <cell r="Q211">
            <v>2</v>
          </cell>
          <cell r="S211">
            <v>2726.87</v>
          </cell>
          <cell r="T211">
            <v>7360</v>
          </cell>
          <cell r="U211">
            <v>1483.6863333333336</v>
          </cell>
          <cell r="AA211">
            <v>1483.6863333333336</v>
          </cell>
          <cell r="AB211">
            <v>246.2473333333333</v>
          </cell>
          <cell r="AD211">
            <v>8435.89</v>
          </cell>
          <cell r="AN211" t="str">
            <v xml:space="preserve">Contrato emergencial nº </v>
          </cell>
          <cell r="AO211" t="str">
            <v>MP</v>
          </cell>
        </row>
        <row r="212">
          <cell r="D212" t="str">
            <v>1018/11</v>
          </cell>
          <cell r="E212" t="str">
            <v>11/04/2011</v>
          </cell>
          <cell r="F212">
            <v>40823</v>
          </cell>
          <cell r="G212">
            <v>40823</v>
          </cell>
          <cell r="H212" t="str">
            <v>2011-0.074.331-2</v>
          </cell>
          <cell r="I212">
            <v>44324.52</v>
          </cell>
          <cell r="J212" t="str">
            <v xml:space="preserve">              123611122                  2848                    33903600</v>
          </cell>
          <cell r="K212">
            <v>40817</v>
          </cell>
          <cell r="L212">
            <v>7</v>
          </cell>
          <cell r="M212">
            <v>1800</v>
          </cell>
          <cell r="N212">
            <v>57278</v>
          </cell>
          <cell r="O212">
            <v>13853</v>
          </cell>
          <cell r="P212">
            <v>16</v>
          </cell>
          <cell r="Q212">
            <v>3</v>
          </cell>
          <cell r="T212">
            <v>7360</v>
          </cell>
          <cell r="U212">
            <v>0</v>
          </cell>
          <cell r="AA212">
            <v>0</v>
          </cell>
          <cell r="AB212">
            <v>246.2473333333333</v>
          </cell>
          <cell r="AD212">
            <v>5471.0099999999993</v>
          </cell>
          <cell r="AN212" t="str">
            <v xml:space="preserve">Contrato emergencial nº </v>
          </cell>
          <cell r="AO212" t="str">
            <v>MP</v>
          </cell>
        </row>
        <row r="213">
          <cell r="D213" t="str">
            <v>1019/11</v>
          </cell>
          <cell r="E213" t="str">
            <v>11/04/2011</v>
          </cell>
          <cell r="F213">
            <v>40823</v>
          </cell>
          <cell r="G213">
            <v>40823</v>
          </cell>
          <cell r="H213" t="str">
            <v>2011-0.074.332-0</v>
          </cell>
          <cell r="I213">
            <v>27971.16</v>
          </cell>
          <cell r="J213" t="str">
            <v xml:space="preserve">              123611122                  2848                    33903600</v>
          </cell>
          <cell r="K213">
            <v>40817</v>
          </cell>
          <cell r="L213">
            <v>7</v>
          </cell>
          <cell r="M213">
            <v>1100</v>
          </cell>
          <cell r="N213">
            <v>57278</v>
          </cell>
          <cell r="O213">
            <v>13857</v>
          </cell>
          <cell r="P213">
            <v>16</v>
          </cell>
          <cell r="Q213">
            <v>3</v>
          </cell>
          <cell r="S213">
            <v>2522.36</v>
          </cell>
          <cell r="T213">
            <v>4640</v>
          </cell>
          <cell r="U213">
            <v>926.62200000000007</v>
          </cell>
          <cell r="AA213">
            <v>926.62200000000007</v>
          </cell>
          <cell r="AB213">
            <v>155.39533333333333</v>
          </cell>
          <cell r="AD213">
            <v>5521.18</v>
          </cell>
          <cell r="AN213" t="str">
            <v xml:space="preserve">Contrato emergencial nº </v>
          </cell>
          <cell r="AO213" t="str">
            <v>MP</v>
          </cell>
        </row>
        <row r="214">
          <cell r="D214" t="str">
            <v>1020/11</v>
          </cell>
          <cell r="E214" t="str">
            <v>11/04/2011</v>
          </cell>
          <cell r="F214">
            <v>40823</v>
          </cell>
          <cell r="G214">
            <v>40823</v>
          </cell>
          <cell r="H214" t="str">
            <v>2011-0.074.336-3</v>
          </cell>
          <cell r="I214">
            <v>44324.52</v>
          </cell>
          <cell r="J214" t="str">
            <v xml:space="preserve">              123611122                  2848                    33903600</v>
          </cell>
          <cell r="K214">
            <v>40817</v>
          </cell>
          <cell r="L214">
            <v>7</v>
          </cell>
          <cell r="M214">
            <v>1800</v>
          </cell>
          <cell r="N214">
            <v>57278</v>
          </cell>
          <cell r="O214">
            <v>13862</v>
          </cell>
          <cell r="P214">
            <v>16</v>
          </cell>
          <cell r="Q214">
            <v>3</v>
          </cell>
          <cell r="T214">
            <v>7360</v>
          </cell>
          <cell r="U214">
            <v>0</v>
          </cell>
          <cell r="AA214">
            <v>0</v>
          </cell>
          <cell r="AB214">
            <v>246.2473333333333</v>
          </cell>
          <cell r="AD214">
            <v>5929.0349999999999</v>
          </cell>
          <cell r="AN214" t="str">
            <v xml:space="preserve">Contrato emergencial nº </v>
          </cell>
          <cell r="AO214" t="str">
            <v>MP</v>
          </cell>
        </row>
        <row r="215">
          <cell r="D215" t="str">
            <v>1062/11</v>
          </cell>
          <cell r="E215" t="str">
            <v>11/04/2011</v>
          </cell>
          <cell r="F215">
            <v>40823</v>
          </cell>
          <cell r="G215">
            <v>40823</v>
          </cell>
          <cell r="H215" t="str">
            <v>2011-0.074.887-0</v>
          </cell>
          <cell r="I215">
            <v>29744.400000000001</v>
          </cell>
          <cell r="J215" t="str">
            <v xml:space="preserve">              123611122                  2848                    33903600</v>
          </cell>
          <cell r="K215">
            <v>40817</v>
          </cell>
          <cell r="L215">
            <v>7</v>
          </cell>
          <cell r="M215">
            <v>1200</v>
          </cell>
          <cell r="N215">
            <v>57278</v>
          </cell>
          <cell r="O215">
            <v>13770</v>
          </cell>
          <cell r="P215">
            <v>16</v>
          </cell>
          <cell r="Q215">
            <v>3</v>
          </cell>
          <cell r="T215">
            <v>4960</v>
          </cell>
          <cell r="U215">
            <v>0</v>
          </cell>
          <cell r="AA215">
            <v>0</v>
          </cell>
          <cell r="AB215">
            <v>165.24666666666667</v>
          </cell>
          <cell r="AD215">
            <v>4332.7299999999996</v>
          </cell>
          <cell r="AN215" t="str">
            <v xml:space="preserve">Contrato emergencial nº </v>
          </cell>
          <cell r="AO215" t="str">
            <v>MP</v>
          </cell>
        </row>
        <row r="216">
          <cell r="D216" t="str">
            <v>1063/11</v>
          </cell>
          <cell r="E216" t="str">
            <v>11/04/2011</v>
          </cell>
          <cell r="F216">
            <v>40823</v>
          </cell>
          <cell r="G216">
            <v>40823</v>
          </cell>
          <cell r="H216" t="str">
            <v>2011-0.074.888-8</v>
          </cell>
          <cell r="I216">
            <v>31418.52</v>
          </cell>
          <cell r="J216" t="str">
            <v xml:space="preserve">              123611122                  2848                    33903600</v>
          </cell>
          <cell r="K216">
            <v>40817</v>
          </cell>
          <cell r="L216">
            <v>7</v>
          </cell>
          <cell r="M216">
            <v>1300</v>
          </cell>
          <cell r="N216">
            <v>57278</v>
          </cell>
          <cell r="O216">
            <v>13773</v>
          </cell>
          <cell r="P216">
            <v>16</v>
          </cell>
          <cell r="Q216">
            <v>3</v>
          </cell>
          <cell r="T216">
            <v>5200</v>
          </cell>
          <cell r="U216">
            <v>0</v>
          </cell>
          <cell r="AA216">
            <v>0</v>
          </cell>
          <cell r="AB216">
            <v>174.54733333333334</v>
          </cell>
          <cell r="AD216">
            <v>4111.49</v>
          </cell>
          <cell r="AN216" t="str">
            <v xml:space="preserve">Contrato emergencial nº </v>
          </cell>
          <cell r="AO216" t="str">
            <v>MP</v>
          </cell>
        </row>
        <row r="217">
          <cell r="D217" t="str">
            <v>1064/11</v>
          </cell>
          <cell r="E217" t="str">
            <v>11/04/2011</v>
          </cell>
          <cell r="F217">
            <v>40823</v>
          </cell>
          <cell r="G217">
            <v>40823</v>
          </cell>
          <cell r="H217" t="str">
            <v>2011-0.074.889-6</v>
          </cell>
          <cell r="I217">
            <v>44978.400000000001</v>
          </cell>
          <cell r="J217" t="str">
            <v xml:space="preserve">              123611122                  2848                    33903600</v>
          </cell>
          <cell r="K217">
            <v>40817</v>
          </cell>
          <cell r="L217">
            <v>7</v>
          </cell>
          <cell r="M217">
            <v>1800</v>
          </cell>
          <cell r="N217">
            <v>57278</v>
          </cell>
          <cell r="O217">
            <v>13777</v>
          </cell>
          <cell r="P217">
            <v>16</v>
          </cell>
          <cell r="Q217">
            <v>3</v>
          </cell>
          <cell r="T217">
            <v>7440</v>
          </cell>
          <cell r="U217">
            <v>0</v>
          </cell>
          <cell r="AA217">
            <v>0</v>
          </cell>
          <cell r="AB217">
            <v>249.88</v>
          </cell>
          <cell r="AD217">
            <v>6353.29</v>
          </cell>
          <cell r="AN217" t="str">
            <v xml:space="preserve">Contrato emergencial nº </v>
          </cell>
          <cell r="AO217" t="str">
            <v>MP</v>
          </cell>
        </row>
        <row r="218">
          <cell r="D218" t="str">
            <v>1127/11</v>
          </cell>
          <cell r="E218" t="str">
            <v>11/04/2011</v>
          </cell>
          <cell r="F218">
            <v>40823</v>
          </cell>
          <cell r="G218">
            <v>40823</v>
          </cell>
          <cell r="H218" t="str">
            <v>2011-0.081.785-5</v>
          </cell>
          <cell r="I218">
            <v>30150.54</v>
          </cell>
          <cell r="J218" t="str">
            <v xml:space="preserve">              123611122                  2848                    33903600</v>
          </cell>
          <cell r="K218">
            <v>40817</v>
          </cell>
          <cell r="L218">
            <v>7</v>
          </cell>
          <cell r="M218">
            <v>1200</v>
          </cell>
          <cell r="N218">
            <v>57278</v>
          </cell>
          <cell r="O218">
            <v>13897</v>
          </cell>
          <cell r="P218">
            <v>16</v>
          </cell>
          <cell r="Q218">
            <v>3</v>
          </cell>
          <cell r="S218">
            <v>1172.8499999999999</v>
          </cell>
          <cell r="T218">
            <v>4960</v>
          </cell>
          <cell r="U218">
            <v>324.75500000000011</v>
          </cell>
          <cell r="AA218">
            <v>324.75500000000011</v>
          </cell>
          <cell r="AB218">
            <v>167.50300000000001</v>
          </cell>
          <cell r="AD218">
            <v>5342.45</v>
          </cell>
          <cell r="AN218" t="str">
            <v xml:space="preserve">Contrato emergencial nº </v>
          </cell>
          <cell r="AO218" t="str">
            <v>MP</v>
          </cell>
        </row>
        <row r="219">
          <cell r="D219" t="str">
            <v>1060/11</v>
          </cell>
          <cell r="E219" t="str">
            <v>11/04/2011</v>
          </cell>
          <cell r="F219">
            <v>40823</v>
          </cell>
          <cell r="G219">
            <v>40823</v>
          </cell>
          <cell r="H219" t="str">
            <v>2011-0.074.885-3</v>
          </cell>
          <cell r="I219">
            <v>42184.92</v>
          </cell>
          <cell r="J219" t="str">
            <v xml:space="preserve">             123671125                  2863                   33903600</v>
          </cell>
          <cell r="K219">
            <v>40817</v>
          </cell>
          <cell r="L219">
            <v>7</v>
          </cell>
          <cell r="M219">
            <v>1700</v>
          </cell>
          <cell r="N219">
            <v>57287</v>
          </cell>
          <cell r="O219">
            <v>13753</v>
          </cell>
          <cell r="P219">
            <v>16</v>
          </cell>
          <cell r="Q219">
            <v>4</v>
          </cell>
          <cell r="S219">
            <v>1256.49</v>
          </cell>
          <cell r="T219">
            <v>6960</v>
          </cell>
          <cell r="U219">
            <v>646.52233333333334</v>
          </cell>
          <cell r="AA219">
            <v>646.52233333333334</v>
          </cell>
          <cell r="AB219">
            <v>234.36066666666665</v>
          </cell>
          <cell r="AD219">
            <v>7643.18</v>
          </cell>
          <cell r="AN219" t="str">
            <v xml:space="preserve">Contrato emergencial nº </v>
          </cell>
          <cell r="AO219" t="str">
            <v>MP</v>
          </cell>
        </row>
        <row r="220">
          <cell r="D220" t="str">
            <v>1092/11</v>
          </cell>
          <cell r="E220" t="str">
            <v>11/04/2011</v>
          </cell>
          <cell r="F220">
            <v>40823</v>
          </cell>
          <cell r="G220">
            <v>40823</v>
          </cell>
          <cell r="H220" t="str">
            <v>2011-0.074.812-8</v>
          </cell>
          <cell r="I220">
            <v>26495.1</v>
          </cell>
          <cell r="J220" t="str">
            <v xml:space="preserve">             123671125                  2863                   33903600</v>
          </cell>
          <cell r="K220">
            <v>40817</v>
          </cell>
          <cell r="L220">
            <v>7</v>
          </cell>
          <cell r="M220">
            <v>1100</v>
          </cell>
          <cell r="N220">
            <v>57287</v>
          </cell>
          <cell r="O220">
            <v>13873</v>
          </cell>
          <cell r="P220">
            <v>16</v>
          </cell>
          <cell r="Q220">
            <v>4</v>
          </cell>
          <cell r="T220">
            <v>4400</v>
          </cell>
          <cell r="U220">
            <v>886.67433333333338</v>
          </cell>
          <cell r="AA220">
            <v>886.67433333333338</v>
          </cell>
          <cell r="AB220">
            <v>147.19499999999999</v>
          </cell>
          <cell r="AD220">
            <v>3815.2900000000004</v>
          </cell>
          <cell r="AN220" t="str">
            <v xml:space="preserve">Contrato emergencial nº </v>
          </cell>
          <cell r="AO220" t="str">
            <v>MP</v>
          </cell>
        </row>
        <row r="221">
          <cell r="D221" t="str">
            <v>0999/11</v>
          </cell>
          <cell r="E221" t="str">
            <v>11/04/2011</v>
          </cell>
          <cell r="F221">
            <v>40823</v>
          </cell>
          <cell r="G221">
            <v>40823</v>
          </cell>
          <cell r="H221" t="str">
            <v>2011-0.073.429-1</v>
          </cell>
          <cell r="I221">
            <v>44324.52</v>
          </cell>
          <cell r="J221" t="str">
            <v xml:space="preserve">              123651121                 2847                    33903600</v>
          </cell>
          <cell r="K221">
            <v>40817</v>
          </cell>
          <cell r="L221">
            <v>7</v>
          </cell>
          <cell r="M221">
            <v>1800</v>
          </cell>
          <cell r="N221">
            <v>57273</v>
          </cell>
          <cell r="O221">
            <v>13778</v>
          </cell>
          <cell r="P221">
            <v>16</v>
          </cell>
          <cell r="Q221">
            <v>2</v>
          </cell>
          <cell r="T221">
            <v>3301.78</v>
          </cell>
          <cell r="AA221">
            <v>0</v>
          </cell>
          <cell r="AB221">
            <v>246.2473333333333</v>
          </cell>
          <cell r="AD221">
            <v>6944.86</v>
          </cell>
          <cell r="AN221" t="str">
            <v xml:space="preserve">Contrato emergencial nº </v>
          </cell>
          <cell r="AO221" t="str">
            <v>PE</v>
          </cell>
        </row>
        <row r="222">
          <cell r="D222" t="str">
            <v>1065/11</v>
          </cell>
          <cell r="E222" t="str">
            <v>11/04/2011</v>
          </cell>
          <cell r="F222">
            <v>40823</v>
          </cell>
          <cell r="G222">
            <v>40823</v>
          </cell>
          <cell r="H222" t="str">
            <v>2011-0.074.890-0</v>
          </cell>
          <cell r="I222">
            <v>38261.760000000002</v>
          </cell>
          <cell r="J222" t="str">
            <v xml:space="preserve">              123651121                 2847                    33903600</v>
          </cell>
          <cell r="K222">
            <v>40817</v>
          </cell>
          <cell r="L222">
            <v>7</v>
          </cell>
          <cell r="M222">
            <v>1500</v>
          </cell>
          <cell r="N222">
            <v>57273</v>
          </cell>
          <cell r="O222">
            <v>13780</v>
          </cell>
          <cell r="P222">
            <v>16</v>
          </cell>
          <cell r="Q222">
            <v>2</v>
          </cell>
          <cell r="T222">
            <v>6320</v>
          </cell>
          <cell r="U222">
            <v>133.44999999999999</v>
          </cell>
          <cell r="AA222">
            <v>133.44999999999999</v>
          </cell>
          <cell r="AB222">
            <v>212.56533333333334</v>
          </cell>
          <cell r="AD222">
            <v>5244.6699999999992</v>
          </cell>
          <cell r="AN222" t="str">
            <v xml:space="preserve">Contrato emergencial nº </v>
          </cell>
          <cell r="AO222" t="str">
            <v>PE</v>
          </cell>
        </row>
        <row r="223">
          <cell r="D223" t="str">
            <v>1066/11</v>
          </cell>
          <cell r="E223" t="str">
            <v>11/04/2011</v>
          </cell>
          <cell r="F223">
            <v>40823</v>
          </cell>
          <cell r="G223">
            <v>40823</v>
          </cell>
          <cell r="H223" t="str">
            <v>2011-0.074.895-0</v>
          </cell>
          <cell r="I223">
            <v>29744.400000000001</v>
          </cell>
          <cell r="J223" t="str">
            <v xml:space="preserve">              123651121                 2847                    33903600</v>
          </cell>
          <cell r="K223">
            <v>40817</v>
          </cell>
          <cell r="L223">
            <v>7</v>
          </cell>
          <cell r="M223">
            <v>1200</v>
          </cell>
          <cell r="N223">
            <v>57273</v>
          </cell>
          <cell r="O223">
            <v>13782</v>
          </cell>
          <cell r="P223">
            <v>16</v>
          </cell>
          <cell r="Q223">
            <v>2</v>
          </cell>
          <cell r="T223">
            <v>4960</v>
          </cell>
          <cell r="U223">
            <v>795.68</v>
          </cell>
          <cell r="AA223">
            <v>795.68</v>
          </cell>
          <cell r="AB223">
            <v>165.24666666666667</v>
          </cell>
          <cell r="AD223">
            <v>4197.34</v>
          </cell>
          <cell r="AN223" t="str">
            <v xml:space="preserve">Contrato emergencial nº </v>
          </cell>
          <cell r="AO223" t="str">
            <v>PE</v>
          </cell>
        </row>
        <row r="224">
          <cell r="D224" t="str">
            <v>1068/11</v>
          </cell>
          <cell r="E224" t="str">
            <v>11/04/2011</v>
          </cell>
          <cell r="F224">
            <v>40823</v>
          </cell>
          <cell r="G224">
            <v>40823</v>
          </cell>
          <cell r="H224" t="str">
            <v>2011-0.074.789-0</v>
          </cell>
          <cell r="I224">
            <v>41531.040000000001</v>
          </cell>
          <cell r="J224" t="str">
            <v xml:space="preserve">              123651121                 2847                    33903600</v>
          </cell>
          <cell r="K224">
            <v>40817</v>
          </cell>
          <cell r="L224">
            <v>7</v>
          </cell>
          <cell r="M224">
            <v>1700</v>
          </cell>
          <cell r="N224">
            <v>57273</v>
          </cell>
          <cell r="O224">
            <v>13791</v>
          </cell>
          <cell r="P224">
            <v>16</v>
          </cell>
          <cell r="Q224">
            <v>2</v>
          </cell>
          <cell r="T224">
            <v>1986.03</v>
          </cell>
          <cell r="AA224">
            <v>0</v>
          </cell>
          <cell r="AB224">
            <v>230.72800000000001</v>
          </cell>
          <cell r="AD224">
            <v>6221.4100000000008</v>
          </cell>
          <cell r="AN224" t="str">
            <v xml:space="preserve">Contrato emergencial nº </v>
          </cell>
          <cell r="AO224" t="str">
            <v>PE</v>
          </cell>
        </row>
        <row r="225">
          <cell r="D225" t="str">
            <v>1120/11</v>
          </cell>
          <cell r="E225" t="str">
            <v>11/04/2011</v>
          </cell>
          <cell r="F225">
            <v>40823</v>
          </cell>
          <cell r="G225">
            <v>40823</v>
          </cell>
          <cell r="H225" t="str">
            <v>2011-0.081.765-0</v>
          </cell>
          <cell r="I225">
            <v>25484.76</v>
          </cell>
          <cell r="J225" t="str">
            <v xml:space="preserve">              123651121                 2847                    33903600</v>
          </cell>
          <cell r="K225">
            <v>40817</v>
          </cell>
          <cell r="L225">
            <v>7</v>
          </cell>
          <cell r="M225">
            <v>1000</v>
          </cell>
          <cell r="N225">
            <v>57273</v>
          </cell>
          <cell r="O225">
            <v>13844</v>
          </cell>
          <cell r="P225">
            <v>16</v>
          </cell>
          <cell r="Q225">
            <v>2</v>
          </cell>
          <cell r="T225">
            <v>2758.17</v>
          </cell>
          <cell r="AA225">
            <v>0</v>
          </cell>
          <cell r="AB225">
            <v>141.58199999999999</v>
          </cell>
          <cell r="AD225">
            <v>4295.93</v>
          </cell>
          <cell r="AN225" t="str">
            <v xml:space="preserve">Contrato emergencial nº </v>
          </cell>
          <cell r="AO225" t="str">
            <v>PE</v>
          </cell>
        </row>
        <row r="226">
          <cell r="D226" t="str">
            <v>1121/11</v>
          </cell>
          <cell r="E226" t="str">
            <v>11/04/2011</v>
          </cell>
          <cell r="F226">
            <v>40823</v>
          </cell>
          <cell r="G226">
            <v>40823</v>
          </cell>
          <cell r="H226" t="str">
            <v>2011-0.081.767-7</v>
          </cell>
          <cell r="I226">
            <v>30150.54</v>
          </cell>
          <cell r="J226" t="str">
            <v xml:space="preserve">              123651121                 2847                    33903600</v>
          </cell>
          <cell r="K226">
            <v>40817</v>
          </cell>
          <cell r="L226">
            <v>7</v>
          </cell>
          <cell r="M226">
            <v>1200</v>
          </cell>
          <cell r="N226">
            <v>57273</v>
          </cell>
          <cell r="O226">
            <v>13861</v>
          </cell>
          <cell r="P226">
            <v>16</v>
          </cell>
          <cell r="Q226">
            <v>2</v>
          </cell>
          <cell r="S226">
            <v>1678.73</v>
          </cell>
          <cell r="T226">
            <v>4960</v>
          </cell>
          <cell r="U226">
            <v>847.39</v>
          </cell>
          <cell r="AA226">
            <v>847.39</v>
          </cell>
          <cell r="AB226">
            <v>167.50300000000001</v>
          </cell>
          <cell r="AD226">
            <v>5733.5</v>
          </cell>
          <cell r="AN226" t="str">
            <v xml:space="preserve">Contrato emergencial nº </v>
          </cell>
          <cell r="AO226" t="str">
            <v>PE</v>
          </cell>
        </row>
        <row r="227">
          <cell r="D227" t="str">
            <v>1021/11</v>
          </cell>
          <cell r="E227" t="str">
            <v>11/04/2011</v>
          </cell>
          <cell r="F227">
            <v>40823</v>
          </cell>
          <cell r="G227">
            <v>40823</v>
          </cell>
          <cell r="H227" t="str">
            <v>2011-0.074.814-4</v>
          </cell>
          <cell r="I227">
            <v>44324.52</v>
          </cell>
          <cell r="J227" t="str">
            <v xml:space="preserve">              123611122                  2848                    33903600</v>
          </cell>
          <cell r="K227">
            <v>40817</v>
          </cell>
          <cell r="L227">
            <v>7</v>
          </cell>
          <cell r="M227">
            <v>1800</v>
          </cell>
          <cell r="N227">
            <v>57278</v>
          </cell>
          <cell r="O227">
            <v>13869</v>
          </cell>
          <cell r="P227">
            <v>16</v>
          </cell>
          <cell r="Q227">
            <v>3</v>
          </cell>
          <cell r="T227">
            <v>7360</v>
          </cell>
          <cell r="AA227">
            <v>0</v>
          </cell>
          <cell r="AB227">
            <v>246.2473333333333</v>
          </cell>
          <cell r="AD227">
            <v>5951.66</v>
          </cell>
          <cell r="AN227" t="str">
            <v xml:space="preserve">Contrato emergencial nº </v>
          </cell>
          <cell r="AO227" t="str">
            <v>PE</v>
          </cell>
        </row>
        <row r="228">
          <cell r="D228" t="str">
            <v>1095/11</v>
          </cell>
          <cell r="E228" t="str">
            <v>11/04/2011</v>
          </cell>
          <cell r="F228">
            <v>40823</v>
          </cell>
          <cell r="G228">
            <v>40823</v>
          </cell>
          <cell r="H228" t="str">
            <v>2011-0.073.971-4</v>
          </cell>
          <cell r="I228">
            <v>44978.400000000001</v>
          </cell>
          <cell r="J228" t="str">
            <v xml:space="preserve">              123611122                  2848                    33903600</v>
          </cell>
          <cell r="K228">
            <v>40817</v>
          </cell>
          <cell r="L228">
            <v>7</v>
          </cell>
          <cell r="M228">
            <v>1800</v>
          </cell>
          <cell r="N228">
            <v>57278</v>
          </cell>
          <cell r="O228">
            <v>13883</v>
          </cell>
          <cell r="P228">
            <v>16</v>
          </cell>
          <cell r="Q228">
            <v>3</v>
          </cell>
          <cell r="T228">
            <v>7440</v>
          </cell>
          <cell r="AA228">
            <v>0</v>
          </cell>
          <cell r="AB228">
            <v>249.88</v>
          </cell>
          <cell r="AD228">
            <v>6181.62</v>
          </cell>
          <cell r="AN228" t="str">
            <v xml:space="preserve">Contrato emergencial nº </v>
          </cell>
          <cell r="AO228" t="str">
            <v>PE</v>
          </cell>
        </row>
        <row r="229">
          <cell r="D229" t="str">
            <v>1099/11</v>
          </cell>
          <cell r="E229" t="str">
            <v>11/04/2011</v>
          </cell>
          <cell r="F229">
            <v>40823</v>
          </cell>
          <cell r="G229">
            <v>40823</v>
          </cell>
          <cell r="H229" t="str">
            <v>2011-0.074.904-3</v>
          </cell>
          <cell r="I229">
            <v>30150.54</v>
          </cell>
          <cell r="J229" t="str">
            <v xml:space="preserve">              123611122                  2848                    33903600</v>
          </cell>
          <cell r="K229">
            <v>40817</v>
          </cell>
          <cell r="L229">
            <v>7</v>
          </cell>
          <cell r="M229">
            <v>1200</v>
          </cell>
          <cell r="N229">
            <v>57278</v>
          </cell>
          <cell r="O229">
            <v>13905</v>
          </cell>
          <cell r="P229">
            <v>16</v>
          </cell>
          <cell r="Q229">
            <v>3</v>
          </cell>
          <cell r="T229">
            <v>4811.63</v>
          </cell>
          <cell r="AA229">
            <v>0</v>
          </cell>
          <cell r="AB229">
            <v>167.50300000000001</v>
          </cell>
          <cell r="AD229">
            <v>5201.4699999999993</v>
          </cell>
          <cell r="AN229" t="str">
            <v xml:space="preserve">Contrato emergencial nº </v>
          </cell>
          <cell r="AO229" t="str">
            <v>PE</v>
          </cell>
        </row>
        <row r="230">
          <cell r="D230" t="str">
            <v>1125/11</v>
          </cell>
          <cell r="E230" t="str">
            <v>11/04/2011</v>
          </cell>
          <cell r="F230">
            <v>40823</v>
          </cell>
          <cell r="G230">
            <v>40823</v>
          </cell>
          <cell r="H230" t="str">
            <v>2011-0.081.778-2</v>
          </cell>
          <cell r="I230">
            <v>22691.1</v>
          </cell>
          <cell r="J230" t="str">
            <v xml:space="preserve">              123611122                  2848                    33903600</v>
          </cell>
          <cell r="K230">
            <v>40817</v>
          </cell>
          <cell r="L230">
            <v>7</v>
          </cell>
          <cell r="M230">
            <v>900</v>
          </cell>
          <cell r="N230">
            <v>57278</v>
          </cell>
          <cell r="O230">
            <v>14406</v>
          </cell>
          <cell r="P230">
            <v>16</v>
          </cell>
          <cell r="Q230">
            <v>3</v>
          </cell>
          <cell r="S230">
            <v>3500.94</v>
          </cell>
          <cell r="T230">
            <v>132.63</v>
          </cell>
          <cell r="AA230">
            <v>0</v>
          </cell>
          <cell r="AB230">
            <v>126.06166666666665</v>
          </cell>
          <cell r="AD230">
            <v>4894.13</v>
          </cell>
          <cell r="AN230" t="str">
            <v xml:space="preserve">Contrato emergencial nº </v>
          </cell>
          <cell r="AO230" t="str">
            <v>PE</v>
          </cell>
        </row>
        <row r="231">
          <cell r="D231" t="str">
            <v>1118/11</v>
          </cell>
          <cell r="E231" t="str">
            <v>11/04/2011</v>
          </cell>
          <cell r="F231">
            <v>40823</v>
          </cell>
          <cell r="G231">
            <v>40823</v>
          </cell>
          <cell r="H231" t="str">
            <v>2011-0.081.759-6</v>
          </cell>
          <cell r="I231">
            <v>30150.54</v>
          </cell>
          <cell r="J231" t="str">
            <v xml:space="preserve">              123611122                  2848                    33903600</v>
          </cell>
          <cell r="K231">
            <v>40817</v>
          </cell>
          <cell r="L231">
            <v>7</v>
          </cell>
          <cell r="M231">
            <v>1200</v>
          </cell>
          <cell r="N231">
            <v>57278</v>
          </cell>
          <cell r="P231">
            <v>16</v>
          </cell>
          <cell r="Q231">
            <v>3</v>
          </cell>
          <cell r="T231">
            <v>4960</v>
          </cell>
          <cell r="AA231">
            <v>0</v>
          </cell>
          <cell r="AB231">
            <v>167.50300000000001</v>
          </cell>
          <cell r="AN231" t="str">
            <v xml:space="preserve">Contrato emergencial nº </v>
          </cell>
          <cell r="AO231" t="str">
            <v>PE</v>
          </cell>
        </row>
        <row r="232">
          <cell r="D232" t="str">
            <v>1067/11</v>
          </cell>
          <cell r="E232" t="str">
            <v>11/04/2011</v>
          </cell>
          <cell r="F232">
            <v>40823</v>
          </cell>
          <cell r="G232">
            <v>40823</v>
          </cell>
          <cell r="H232" t="str">
            <v>2011-0.074.788-1</v>
          </cell>
          <cell r="I232">
            <v>27109.32</v>
          </cell>
          <cell r="J232" t="str">
            <v xml:space="preserve">             123671125                  2863                   33903600</v>
          </cell>
          <cell r="K232">
            <v>40817</v>
          </cell>
          <cell r="L232">
            <v>7</v>
          </cell>
          <cell r="M232">
            <v>1100</v>
          </cell>
          <cell r="N232">
            <v>57287</v>
          </cell>
          <cell r="O232">
            <v>13785</v>
          </cell>
          <cell r="P232">
            <v>16</v>
          </cell>
          <cell r="Q232">
            <v>4</v>
          </cell>
          <cell r="S232">
            <v>3398.96</v>
          </cell>
          <cell r="T232">
            <v>4479.9999999999991</v>
          </cell>
          <cell r="U232">
            <v>1194.3399999999999</v>
          </cell>
          <cell r="AA232">
            <v>1194.3399999999999</v>
          </cell>
          <cell r="AB232">
            <v>150.60733333333334</v>
          </cell>
          <cell r="AD232">
            <v>5556.34</v>
          </cell>
          <cell r="AN232" t="str">
            <v xml:space="preserve">Contrato emergencial nº </v>
          </cell>
          <cell r="AO232" t="str">
            <v>PE</v>
          </cell>
        </row>
        <row r="233">
          <cell r="D233" t="str">
            <v>1477/11</v>
          </cell>
          <cell r="E233" t="str">
            <v>11/04/2011</v>
          </cell>
          <cell r="F233">
            <v>40823</v>
          </cell>
          <cell r="G233">
            <v>40823</v>
          </cell>
          <cell r="H233" t="str">
            <v>2011-0.109.747-3</v>
          </cell>
          <cell r="I233">
            <v>27109.32</v>
          </cell>
          <cell r="J233" t="str">
            <v xml:space="preserve">              123651121                 2847                    33903600</v>
          </cell>
          <cell r="K233">
            <v>40817</v>
          </cell>
          <cell r="L233">
            <v>7</v>
          </cell>
          <cell r="M233">
            <v>1100</v>
          </cell>
          <cell r="N233">
            <v>57273</v>
          </cell>
          <cell r="O233">
            <v>13664</v>
          </cell>
          <cell r="P233">
            <v>16</v>
          </cell>
          <cell r="Q233">
            <v>2</v>
          </cell>
          <cell r="T233">
            <v>4480</v>
          </cell>
          <cell r="AA233">
            <v>0</v>
          </cell>
          <cell r="AB233">
            <v>150.60733333333334</v>
          </cell>
          <cell r="AD233">
            <v>4466.16</v>
          </cell>
          <cell r="AN233" t="str">
            <v xml:space="preserve">Contrato emergencial nº </v>
          </cell>
          <cell r="AO233" t="str">
            <v>PJ</v>
          </cell>
        </row>
        <row r="234">
          <cell r="D234" t="str">
            <v>1000/11</v>
          </cell>
          <cell r="E234" t="str">
            <v>11/04/2011</v>
          </cell>
          <cell r="F234">
            <v>40823</v>
          </cell>
          <cell r="G234">
            <v>40823</v>
          </cell>
          <cell r="H234" t="str">
            <v>2011-0.073.431-3</v>
          </cell>
          <cell r="I234">
            <v>27971.16</v>
          </cell>
          <cell r="J234" t="str">
            <v xml:space="preserve">              123611122                  2848                    33903600</v>
          </cell>
          <cell r="K234">
            <v>40817</v>
          </cell>
          <cell r="L234">
            <v>7</v>
          </cell>
          <cell r="M234">
            <v>1100</v>
          </cell>
          <cell r="N234">
            <v>57278</v>
          </cell>
          <cell r="O234">
            <v>13783</v>
          </cell>
          <cell r="P234">
            <v>16</v>
          </cell>
          <cell r="Q234">
            <v>3</v>
          </cell>
          <cell r="S234">
            <v>2122.85</v>
          </cell>
          <cell r="T234">
            <v>4640</v>
          </cell>
          <cell r="AA234">
            <v>0</v>
          </cell>
          <cell r="AB234">
            <v>155.39533333333333</v>
          </cell>
          <cell r="AD234">
            <v>5335.42</v>
          </cell>
          <cell r="AN234" t="str">
            <v xml:space="preserve">Contrato emergencial nº </v>
          </cell>
          <cell r="AO234" t="str">
            <v>PJ</v>
          </cell>
        </row>
        <row r="235">
          <cell r="D235" t="str">
            <v>1001/11</v>
          </cell>
          <cell r="E235" t="str">
            <v>11/04/2011</v>
          </cell>
          <cell r="F235">
            <v>40823</v>
          </cell>
          <cell r="G235">
            <v>40823</v>
          </cell>
          <cell r="H235" t="str">
            <v>2011-0.073.432-1</v>
          </cell>
          <cell r="I235">
            <v>22691.1</v>
          </cell>
          <cell r="J235" t="str">
            <v xml:space="preserve">              123611122                  2848                    33903600</v>
          </cell>
          <cell r="K235">
            <v>40817</v>
          </cell>
          <cell r="L235">
            <v>7</v>
          </cell>
          <cell r="M235">
            <v>900</v>
          </cell>
          <cell r="N235">
            <v>57278</v>
          </cell>
          <cell r="O235">
            <v>13787</v>
          </cell>
          <cell r="P235">
            <v>16</v>
          </cell>
          <cell r="Q235">
            <v>3</v>
          </cell>
          <cell r="T235">
            <v>3760</v>
          </cell>
          <cell r="AA235">
            <v>0</v>
          </cell>
          <cell r="AB235">
            <v>126.06166666666665</v>
          </cell>
          <cell r="AD235">
            <v>3699.9450000000006</v>
          </cell>
          <cell r="AN235" t="str">
            <v xml:space="preserve">Contrato emergencial nº </v>
          </cell>
          <cell r="AO235" t="str">
            <v>PJ</v>
          </cell>
        </row>
        <row r="236">
          <cell r="D236" t="str">
            <v>1022/11</v>
          </cell>
          <cell r="E236" t="str">
            <v>11/04/2011</v>
          </cell>
          <cell r="F236">
            <v>40823</v>
          </cell>
          <cell r="G236">
            <v>40823</v>
          </cell>
          <cell r="H236" t="str">
            <v>2011-0.074.815-2</v>
          </cell>
          <cell r="I236">
            <v>30150.54</v>
          </cell>
          <cell r="J236" t="str">
            <v xml:space="preserve">              123611122                  2848                    33903600</v>
          </cell>
          <cell r="K236">
            <v>40817</v>
          </cell>
          <cell r="L236">
            <v>7</v>
          </cell>
          <cell r="M236">
            <v>1200</v>
          </cell>
          <cell r="N236">
            <v>57278</v>
          </cell>
          <cell r="O236">
            <v>13870</v>
          </cell>
          <cell r="P236">
            <v>16</v>
          </cell>
          <cell r="Q236">
            <v>3</v>
          </cell>
          <cell r="S236">
            <v>2878.42</v>
          </cell>
          <cell r="T236">
            <v>4960</v>
          </cell>
          <cell r="AA236">
            <v>0</v>
          </cell>
          <cell r="AB236">
            <v>167.50300000000001</v>
          </cell>
          <cell r="AD236">
            <v>5913.3650000000007</v>
          </cell>
          <cell r="AN236" t="str">
            <v xml:space="preserve">Contrato emergencial nº </v>
          </cell>
          <cell r="AO236" t="str">
            <v>PJ</v>
          </cell>
        </row>
        <row r="237">
          <cell r="D237" t="str">
            <v>1069/11</v>
          </cell>
          <cell r="E237" t="str">
            <v>11/04/2011</v>
          </cell>
          <cell r="F237">
            <v>40823</v>
          </cell>
          <cell r="G237">
            <v>40823</v>
          </cell>
          <cell r="H237" t="str">
            <v>2011-0.074.790-3</v>
          </cell>
          <cell r="I237">
            <v>44324.52</v>
          </cell>
          <cell r="J237" t="str">
            <v xml:space="preserve">              123611122                  2848                    33903600</v>
          </cell>
          <cell r="K237">
            <v>40817</v>
          </cell>
          <cell r="L237">
            <v>7</v>
          </cell>
          <cell r="M237">
            <v>1800</v>
          </cell>
          <cell r="N237">
            <v>57278</v>
          </cell>
          <cell r="O237">
            <v>13795</v>
          </cell>
          <cell r="P237">
            <v>16</v>
          </cell>
          <cell r="Q237">
            <v>3</v>
          </cell>
          <cell r="T237">
            <v>7360</v>
          </cell>
          <cell r="AA237">
            <v>0</v>
          </cell>
          <cell r="AB237">
            <v>246.2473333333333</v>
          </cell>
          <cell r="AD237">
            <v>5741.53</v>
          </cell>
          <cell r="AN237" t="str">
            <v xml:space="preserve">Contrato emergencial nº </v>
          </cell>
          <cell r="AO237" t="str">
            <v>PJ</v>
          </cell>
        </row>
        <row r="238">
          <cell r="D238" t="str">
            <v>1096/11</v>
          </cell>
          <cell r="E238" t="str">
            <v>11/04/2011</v>
          </cell>
          <cell r="F238">
            <v>40823</v>
          </cell>
          <cell r="G238">
            <v>40823</v>
          </cell>
          <cell r="H238" t="str">
            <v>2011-0.074.897-7</v>
          </cell>
          <cell r="I238">
            <v>20967.419999999998</v>
          </cell>
          <cell r="J238" t="str">
            <v xml:space="preserve">              123611122                  2848                    33903600</v>
          </cell>
          <cell r="K238">
            <v>40817</v>
          </cell>
          <cell r="L238">
            <v>7</v>
          </cell>
          <cell r="M238">
            <v>900</v>
          </cell>
          <cell r="N238">
            <v>57278</v>
          </cell>
          <cell r="O238">
            <v>13888</v>
          </cell>
          <cell r="P238">
            <v>16</v>
          </cell>
          <cell r="Q238">
            <v>3</v>
          </cell>
          <cell r="T238">
            <v>3520</v>
          </cell>
          <cell r="AA238">
            <v>0</v>
          </cell>
          <cell r="AB238">
            <v>116.48566666666666</v>
          </cell>
          <cell r="AD238">
            <v>5078.7</v>
          </cell>
          <cell r="AN238" t="str">
            <v xml:space="preserve">Contrato emergencial nº </v>
          </cell>
          <cell r="AO238" t="str">
            <v>PJ</v>
          </cell>
        </row>
        <row r="239">
          <cell r="D239" t="str">
            <v>1102/11</v>
          </cell>
          <cell r="E239" t="str">
            <v>11/04/2011</v>
          </cell>
          <cell r="F239">
            <v>40823</v>
          </cell>
          <cell r="G239">
            <v>40823</v>
          </cell>
          <cell r="H239" t="str">
            <v>2011-0.074.929-9</v>
          </cell>
          <cell r="I239">
            <v>40223.339999999997</v>
          </cell>
          <cell r="J239" t="str">
            <v xml:space="preserve">              123611122                  2848                    33903600</v>
          </cell>
          <cell r="K239">
            <v>40817</v>
          </cell>
          <cell r="L239">
            <v>7</v>
          </cell>
          <cell r="M239">
            <v>1600</v>
          </cell>
          <cell r="N239">
            <v>57278</v>
          </cell>
          <cell r="O239">
            <v>13909</v>
          </cell>
          <cell r="P239">
            <v>16</v>
          </cell>
          <cell r="Q239">
            <v>3</v>
          </cell>
          <cell r="T239">
            <v>6640</v>
          </cell>
          <cell r="AA239">
            <v>0</v>
          </cell>
          <cell r="AB239">
            <v>223.46299999999999</v>
          </cell>
          <cell r="AD239">
            <v>5454.03</v>
          </cell>
          <cell r="AN239" t="str">
            <v xml:space="preserve">Contrato emergencial nº </v>
          </cell>
          <cell r="AO239" t="str">
            <v>PJ</v>
          </cell>
        </row>
        <row r="240">
          <cell r="D240" t="str">
            <v>1002/11</v>
          </cell>
          <cell r="E240" t="str">
            <v>11/04/2011</v>
          </cell>
          <cell r="F240">
            <v>40823</v>
          </cell>
          <cell r="G240">
            <v>40823</v>
          </cell>
          <cell r="H240" t="str">
            <v>2011-0.073.433-0</v>
          </cell>
          <cell r="I240">
            <v>24820.92</v>
          </cell>
          <cell r="J240" t="str">
            <v xml:space="preserve">              123651121                 2847                    33903600</v>
          </cell>
          <cell r="K240">
            <v>40817</v>
          </cell>
          <cell r="L240">
            <v>7</v>
          </cell>
          <cell r="M240">
            <v>1000</v>
          </cell>
          <cell r="N240">
            <v>57273</v>
          </cell>
          <cell r="O240">
            <v>13792</v>
          </cell>
          <cell r="P240">
            <v>16</v>
          </cell>
          <cell r="Q240">
            <v>2</v>
          </cell>
          <cell r="T240">
            <v>4160</v>
          </cell>
          <cell r="AA240">
            <v>0</v>
          </cell>
          <cell r="AB240">
            <v>137.89399999999998</v>
          </cell>
          <cell r="AD240">
            <v>4943.7</v>
          </cell>
          <cell r="AN240" t="str">
            <v xml:space="preserve">Contrato emergencial nº </v>
          </cell>
          <cell r="AO240" t="str">
            <v>PJ</v>
          </cell>
        </row>
        <row r="241">
          <cell r="D241" t="str">
            <v>1070/11</v>
          </cell>
          <cell r="E241" t="str">
            <v>11/04/2011</v>
          </cell>
          <cell r="F241">
            <v>40823</v>
          </cell>
          <cell r="G241">
            <v>40823</v>
          </cell>
          <cell r="H241" t="str">
            <v>2011-0.074.791-1</v>
          </cell>
          <cell r="I241">
            <v>22185.9</v>
          </cell>
          <cell r="J241" t="str">
            <v xml:space="preserve">              123651121                 2847                    33903600</v>
          </cell>
          <cell r="K241">
            <v>40817</v>
          </cell>
          <cell r="L241">
            <v>7</v>
          </cell>
          <cell r="M241">
            <v>900</v>
          </cell>
          <cell r="N241">
            <v>57273</v>
          </cell>
          <cell r="O241">
            <v>13798</v>
          </cell>
          <cell r="P241">
            <v>16</v>
          </cell>
          <cell r="Q241">
            <v>2</v>
          </cell>
          <cell r="T241">
            <v>3680</v>
          </cell>
          <cell r="AA241">
            <v>0</v>
          </cell>
          <cell r="AB241">
            <v>123.25500000000001</v>
          </cell>
          <cell r="AD241">
            <v>3186.8900000000008</v>
          </cell>
          <cell r="AN241" t="str">
            <v xml:space="preserve">Contrato emergencial nº </v>
          </cell>
          <cell r="AO241" t="str">
            <v>PJ</v>
          </cell>
        </row>
        <row r="242">
          <cell r="D242" t="str">
            <v>1071/11</v>
          </cell>
          <cell r="E242" t="str">
            <v>11/04/2011</v>
          </cell>
          <cell r="F242">
            <v>40823</v>
          </cell>
          <cell r="G242">
            <v>40823</v>
          </cell>
          <cell r="H242" t="str">
            <v>2011-0.074.792-0</v>
          </cell>
          <cell r="I242">
            <v>39569.46</v>
          </cell>
          <cell r="J242" t="str">
            <v xml:space="preserve">              123651121                 2847                    33903600</v>
          </cell>
          <cell r="K242">
            <v>40817</v>
          </cell>
          <cell r="L242">
            <v>7</v>
          </cell>
          <cell r="M242">
            <v>1600</v>
          </cell>
          <cell r="N242">
            <v>57273</v>
          </cell>
          <cell r="O242">
            <v>13801</v>
          </cell>
          <cell r="P242">
            <v>16</v>
          </cell>
          <cell r="Q242">
            <v>2</v>
          </cell>
          <cell r="T242">
            <v>6560</v>
          </cell>
          <cell r="AA242">
            <v>0</v>
          </cell>
          <cell r="AB242">
            <v>219.83033333333333</v>
          </cell>
          <cell r="AD242">
            <v>6439.6900000000005</v>
          </cell>
          <cell r="AN242" t="str">
            <v xml:space="preserve">Contrato emergencial nº </v>
          </cell>
          <cell r="AO242" t="str">
            <v>PJ</v>
          </cell>
        </row>
        <row r="243">
          <cell r="D243" t="str">
            <v>1093/11</v>
          </cell>
          <cell r="E243" t="str">
            <v>11/04/2011</v>
          </cell>
          <cell r="F243">
            <v>40823</v>
          </cell>
          <cell r="G243">
            <v>40823</v>
          </cell>
          <cell r="H243" t="str">
            <v>2011-0.074.813-6</v>
          </cell>
          <cell r="I243">
            <v>38261.760000000002</v>
          </cell>
          <cell r="J243" t="str">
            <v xml:space="preserve">              123651121                 2847                    33903600</v>
          </cell>
          <cell r="K243">
            <v>40817</v>
          </cell>
          <cell r="L243">
            <v>7</v>
          </cell>
          <cell r="M243">
            <v>1500</v>
          </cell>
          <cell r="N243">
            <v>57273</v>
          </cell>
          <cell r="O243">
            <v>13876</v>
          </cell>
          <cell r="P243">
            <v>16</v>
          </cell>
          <cell r="Q243">
            <v>2</v>
          </cell>
          <cell r="T243">
            <v>6320</v>
          </cell>
          <cell r="AA243">
            <v>0</v>
          </cell>
          <cell r="AB243">
            <v>212.56533333333334</v>
          </cell>
          <cell r="AD243">
            <v>5389.02</v>
          </cell>
          <cell r="AN243" t="str">
            <v xml:space="preserve">Contrato emergencial nº </v>
          </cell>
          <cell r="AO243" t="str">
            <v>PJ</v>
          </cell>
        </row>
        <row r="244">
          <cell r="D244" t="str">
            <v>1103/11</v>
          </cell>
          <cell r="E244" t="str">
            <v>11/04/2011</v>
          </cell>
          <cell r="F244">
            <v>40823</v>
          </cell>
          <cell r="G244">
            <v>40823</v>
          </cell>
          <cell r="H244" t="str">
            <v>2011-0.074.933-7</v>
          </cell>
          <cell r="I244">
            <v>37607.879999999997</v>
          </cell>
          <cell r="J244" t="str">
            <v xml:space="preserve">              123651121                 2847                    33903600</v>
          </cell>
          <cell r="K244">
            <v>40817</v>
          </cell>
          <cell r="L244">
            <v>7</v>
          </cell>
          <cell r="M244">
            <v>1500</v>
          </cell>
          <cell r="N244">
            <v>57273</v>
          </cell>
          <cell r="O244">
            <v>13911</v>
          </cell>
          <cell r="P244">
            <v>16</v>
          </cell>
          <cell r="Q244">
            <v>2</v>
          </cell>
          <cell r="T244">
            <v>6240</v>
          </cell>
          <cell r="AA244">
            <v>0</v>
          </cell>
          <cell r="AB244">
            <v>208.93266666666665</v>
          </cell>
          <cell r="AD244">
            <v>6657.1876666666667</v>
          </cell>
          <cell r="AN244" t="str">
            <v xml:space="preserve">Contrato emergencial nº </v>
          </cell>
          <cell r="AO244" t="str">
            <v>PJ</v>
          </cell>
        </row>
        <row r="245">
          <cell r="D245" t="str">
            <v>1109/11</v>
          </cell>
          <cell r="E245" t="str">
            <v>11/04/2011</v>
          </cell>
          <cell r="F245">
            <v>40823</v>
          </cell>
          <cell r="G245">
            <v>40823</v>
          </cell>
          <cell r="H245" t="str">
            <v>2011-0.074.945-0</v>
          </cell>
          <cell r="I245">
            <v>38261.760000000002</v>
          </cell>
          <cell r="J245" t="str">
            <v xml:space="preserve">              123651121                 2847                    33903600</v>
          </cell>
          <cell r="K245">
            <v>40817</v>
          </cell>
          <cell r="L245">
            <v>7</v>
          </cell>
          <cell r="M245">
            <v>1500</v>
          </cell>
          <cell r="N245">
            <v>57273</v>
          </cell>
          <cell r="O245">
            <v>13934</v>
          </cell>
          <cell r="P245">
            <v>16</v>
          </cell>
          <cell r="Q245">
            <v>2</v>
          </cell>
          <cell r="T245">
            <v>6320</v>
          </cell>
          <cell r="AA245">
            <v>0</v>
          </cell>
          <cell r="AB245">
            <v>212.56533333333334</v>
          </cell>
          <cell r="AD245">
            <v>6165.76</v>
          </cell>
          <cell r="AN245" t="str">
            <v xml:space="preserve">Contrato emergencial nº </v>
          </cell>
          <cell r="AO245" t="str">
            <v>PJ</v>
          </cell>
        </row>
        <row r="246">
          <cell r="D246" t="str">
            <v>1128/11</v>
          </cell>
          <cell r="E246" t="str">
            <v>11/04/2011</v>
          </cell>
          <cell r="F246">
            <v>40823</v>
          </cell>
          <cell r="G246">
            <v>40823</v>
          </cell>
          <cell r="H246" t="str">
            <v>2011-0.081.795-2</v>
          </cell>
          <cell r="I246">
            <v>30150.54</v>
          </cell>
          <cell r="J246" t="str">
            <v xml:space="preserve">              123651121                 2847                    33903600</v>
          </cell>
          <cell r="K246">
            <v>40817</v>
          </cell>
          <cell r="L246">
            <v>7</v>
          </cell>
          <cell r="M246">
            <v>1200</v>
          </cell>
          <cell r="N246">
            <v>57273</v>
          </cell>
          <cell r="O246">
            <v>13903</v>
          </cell>
          <cell r="P246">
            <v>16</v>
          </cell>
          <cell r="Q246">
            <v>2</v>
          </cell>
          <cell r="T246">
            <v>4960</v>
          </cell>
          <cell r="AA246">
            <v>0</v>
          </cell>
          <cell r="AB246">
            <v>167.50300000000001</v>
          </cell>
          <cell r="AD246">
            <v>4621.8050000000003</v>
          </cell>
          <cell r="AN246" t="str">
            <v xml:space="preserve">Contrato emergencial nº </v>
          </cell>
          <cell r="AO246" t="str">
            <v>PJ</v>
          </cell>
        </row>
        <row r="247">
          <cell r="D247" t="str">
            <v>1129/11</v>
          </cell>
          <cell r="E247" t="str">
            <v>11/04/2011</v>
          </cell>
          <cell r="F247">
            <v>40823</v>
          </cell>
          <cell r="G247">
            <v>40823</v>
          </cell>
          <cell r="H247" t="str">
            <v>2011-0.081.800-2</v>
          </cell>
          <cell r="I247">
            <v>30150.54</v>
          </cell>
          <cell r="J247" t="str">
            <v xml:space="preserve">              123651121                 2847                    33903600</v>
          </cell>
          <cell r="K247">
            <v>40817</v>
          </cell>
          <cell r="L247">
            <v>7</v>
          </cell>
          <cell r="M247">
            <v>1200</v>
          </cell>
          <cell r="N247">
            <v>57273</v>
          </cell>
          <cell r="O247">
            <v>13922</v>
          </cell>
          <cell r="P247">
            <v>16</v>
          </cell>
          <cell r="Q247">
            <v>2</v>
          </cell>
          <cell r="S247">
            <v>1169.74</v>
          </cell>
          <cell r="T247">
            <v>4960</v>
          </cell>
          <cell r="AA247">
            <v>0</v>
          </cell>
          <cell r="AB247">
            <v>167.50300000000001</v>
          </cell>
          <cell r="AD247">
            <v>5564.5700000000006</v>
          </cell>
          <cell r="AN247" t="str">
            <v xml:space="preserve">Contrato emergencial nº </v>
          </cell>
          <cell r="AO247" t="str">
            <v>PJ</v>
          </cell>
        </row>
        <row r="248">
          <cell r="D248" t="str">
            <v>1136/11</v>
          </cell>
          <cell r="E248" t="str">
            <v>11/04/2011</v>
          </cell>
          <cell r="F248">
            <v>40823</v>
          </cell>
          <cell r="G248">
            <v>40823</v>
          </cell>
          <cell r="H248" t="str">
            <v>2011-0.081.819-3</v>
          </cell>
          <cell r="I248">
            <v>30150.54</v>
          </cell>
          <cell r="J248" t="str">
            <v xml:space="preserve">              123651121                 2847                    33903600</v>
          </cell>
          <cell r="K248">
            <v>40817</v>
          </cell>
          <cell r="L248">
            <v>7</v>
          </cell>
          <cell r="M248">
            <v>1200</v>
          </cell>
          <cell r="N248">
            <v>57273</v>
          </cell>
          <cell r="O248">
            <v>13970</v>
          </cell>
          <cell r="P248">
            <v>16</v>
          </cell>
          <cell r="Q248">
            <v>2</v>
          </cell>
          <cell r="T248">
            <v>4960</v>
          </cell>
          <cell r="AA248">
            <v>0</v>
          </cell>
          <cell r="AB248">
            <v>167.50300000000001</v>
          </cell>
          <cell r="AD248">
            <v>5361.1299999999992</v>
          </cell>
          <cell r="AN248" t="str">
            <v xml:space="preserve">Contrato emergencial nº </v>
          </cell>
          <cell r="AO248" t="str">
            <v>PJ</v>
          </cell>
        </row>
        <row r="249">
          <cell r="D249" t="str">
            <v>1023/11</v>
          </cell>
          <cell r="E249" t="str">
            <v>11/04/2011</v>
          </cell>
          <cell r="F249">
            <v>40823</v>
          </cell>
          <cell r="G249">
            <v>40823</v>
          </cell>
          <cell r="H249" t="str">
            <v>2011-0.074.816-2</v>
          </cell>
          <cell r="I249">
            <v>26703.18</v>
          </cell>
          <cell r="J249" t="str">
            <v xml:space="preserve">             123671125                  2863                   33903600</v>
          </cell>
          <cell r="K249">
            <v>40817</v>
          </cell>
          <cell r="L249">
            <v>7</v>
          </cell>
          <cell r="M249">
            <v>1100</v>
          </cell>
          <cell r="N249">
            <v>57287</v>
          </cell>
          <cell r="P249">
            <v>16</v>
          </cell>
          <cell r="Q249">
            <v>4</v>
          </cell>
          <cell r="T249">
            <v>4400</v>
          </cell>
          <cell r="AA249">
            <v>0</v>
          </cell>
          <cell r="AB249">
            <v>148.351</v>
          </cell>
          <cell r="AN249" t="str">
            <v xml:space="preserve">Contrato emergencial nº </v>
          </cell>
          <cell r="AO249" t="str">
            <v>PJ</v>
          </cell>
        </row>
        <row r="250">
          <cell r="D250" t="str">
            <v>1025/11</v>
          </cell>
          <cell r="E250" t="str">
            <v>11/04/2011</v>
          </cell>
          <cell r="F250">
            <v>40823</v>
          </cell>
          <cell r="G250">
            <v>40823</v>
          </cell>
          <cell r="H250" t="str">
            <v>2011-0.074.818-7</v>
          </cell>
          <cell r="I250">
            <v>27109.32</v>
          </cell>
          <cell r="J250" t="str">
            <v xml:space="preserve">              123651121                 2847                    33903600</v>
          </cell>
          <cell r="K250">
            <v>40817</v>
          </cell>
          <cell r="L250">
            <v>7</v>
          </cell>
          <cell r="M250">
            <v>1100</v>
          </cell>
          <cell r="N250">
            <v>57273</v>
          </cell>
          <cell r="O250">
            <v>13881</v>
          </cell>
          <cell r="P250">
            <v>16</v>
          </cell>
          <cell r="Q250">
            <v>2</v>
          </cell>
          <cell r="T250">
            <v>1131.0400000000004</v>
          </cell>
          <cell r="AA250">
            <v>0</v>
          </cell>
          <cell r="AB250">
            <v>150.60733333333334</v>
          </cell>
          <cell r="AD250">
            <v>3970.8</v>
          </cell>
          <cell r="AN250" t="str">
            <v xml:space="preserve">Contrato emergencial nº </v>
          </cell>
          <cell r="AO250" t="str">
            <v>SA</v>
          </cell>
        </row>
        <row r="251">
          <cell r="D251" t="str">
            <v>1026/11</v>
          </cell>
          <cell r="E251" t="str">
            <v>11/04/2011</v>
          </cell>
          <cell r="F251">
            <v>40823</v>
          </cell>
          <cell r="G251">
            <v>40823</v>
          </cell>
          <cell r="H251" t="str">
            <v>2011-0.074.819-5</v>
          </cell>
          <cell r="I251">
            <v>30556.68</v>
          </cell>
          <cell r="J251" t="str">
            <v xml:space="preserve">              123651121                 2847                    33903600</v>
          </cell>
          <cell r="K251">
            <v>40817</v>
          </cell>
          <cell r="L251">
            <v>7</v>
          </cell>
          <cell r="M251">
            <v>1200</v>
          </cell>
          <cell r="N251">
            <v>57273</v>
          </cell>
          <cell r="O251">
            <v>13884</v>
          </cell>
          <cell r="P251">
            <v>16</v>
          </cell>
          <cell r="Q251">
            <v>2</v>
          </cell>
          <cell r="T251">
            <v>1830.0300000000002</v>
          </cell>
          <cell r="AA251">
            <v>0</v>
          </cell>
          <cell r="AB251">
            <v>169.75933333333333</v>
          </cell>
          <cell r="AD251">
            <v>4633.09</v>
          </cell>
          <cell r="AN251" t="str">
            <v xml:space="preserve">Contrato emergencial nº </v>
          </cell>
          <cell r="AO251" t="str">
            <v>SA</v>
          </cell>
        </row>
        <row r="252">
          <cell r="D252" t="str">
            <v>1073/11</v>
          </cell>
          <cell r="E252" t="str">
            <v>11/04/2011</v>
          </cell>
          <cell r="F252">
            <v>40823</v>
          </cell>
          <cell r="G252">
            <v>40823</v>
          </cell>
          <cell r="H252" t="str">
            <v>2011-0.074.794-6</v>
          </cell>
          <cell r="I252">
            <v>21779.759999999998</v>
          </cell>
          <cell r="J252" t="str">
            <v xml:space="preserve">              123651121                 2847                    33903600</v>
          </cell>
          <cell r="K252">
            <v>40817</v>
          </cell>
          <cell r="L252">
            <v>7</v>
          </cell>
          <cell r="M252">
            <v>900</v>
          </cell>
          <cell r="N252">
            <v>57273</v>
          </cell>
          <cell r="O252">
            <v>13807</v>
          </cell>
          <cell r="P252">
            <v>16</v>
          </cell>
          <cell r="Q252">
            <v>2</v>
          </cell>
          <cell r="T252">
            <v>631.16000000000031</v>
          </cell>
          <cell r="AA252">
            <v>0</v>
          </cell>
          <cell r="AB252">
            <v>120.99866666666665</v>
          </cell>
          <cell r="AD252">
            <v>3251.4</v>
          </cell>
          <cell r="AN252" t="str">
            <v xml:space="preserve">Contrato emergencial nº </v>
          </cell>
          <cell r="AO252" t="str">
            <v>SA</v>
          </cell>
        </row>
        <row r="253">
          <cell r="D253" t="str">
            <v>1074/11</v>
          </cell>
          <cell r="E253" t="str">
            <v>11/04/2011</v>
          </cell>
          <cell r="F253">
            <v>40823</v>
          </cell>
          <cell r="G253">
            <v>40823</v>
          </cell>
          <cell r="H253" t="str">
            <v>2011-0.074.795-4</v>
          </cell>
          <cell r="I253">
            <v>44978.400000000001</v>
          </cell>
          <cell r="J253" t="str">
            <v xml:space="preserve">              123651121                 2847                    33903600</v>
          </cell>
          <cell r="K253">
            <v>40817</v>
          </cell>
          <cell r="L253">
            <v>7</v>
          </cell>
          <cell r="M253">
            <v>1800</v>
          </cell>
          <cell r="N253">
            <v>57273</v>
          </cell>
          <cell r="O253">
            <v>13810</v>
          </cell>
          <cell r="P253">
            <v>16</v>
          </cell>
          <cell r="Q253">
            <v>2</v>
          </cell>
          <cell r="T253">
            <v>7440</v>
          </cell>
          <cell r="AA253">
            <v>0</v>
          </cell>
          <cell r="AB253">
            <v>249.88</v>
          </cell>
          <cell r="AD253">
            <v>6069.6399999999994</v>
          </cell>
          <cell r="AN253" t="str">
            <v xml:space="preserve">Contrato emergencial nº </v>
          </cell>
          <cell r="AO253" t="str">
            <v>SA</v>
          </cell>
        </row>
        <row r="254">
          <cell r="D254" t="str">
            <v>1075/11</v>
          </cell>
          <cell r="E254" t="str">
            <v>11/04/2011</v>
          </cell>
          <cell r="F254">
            <v>40823</v>
          </cell>
          <cell r="G254">
            <v>40823</v>
          </cell>
          <cell r="H254" t="str">
            <v>2011-0.074.796-2</v>
          </cell>
          <cell r="I254">
            <v>29744.400000000001</v>
          </cell>
          <cell r="J254" t="str">
            <v xml:space="preserve">              123651121                 2847                    33903600</v>
          </cell>
          <cell r="K254">
            <v>40817</v>
          </cell>
          <cell r="L254">
            <v>7</v>
          </cell>
          <cell r="M254">
            <v>1200</v>
          </cell>
          <cell r="N254">
            <v>57273</v>
          </cell>
          <cell r="O254">
            <v>13814</v>
          </cell>
          <cell r="P254">
            <v>16</v>
          </cell>
          <cell r="Q254">
            <v>2</v>
          </cell>
          <cell r="T254">
            <v>4960</v>
          </cell>
          <cell r="AA254">
            <v>0</v>
          </cell>
          <cell r="AB254">
            <v>165.24666666666667</v>
          </cell>
          <cell r="AD254">
            <v>4007.835</v>
          </cell>
          <cell r="AN254" t="str">
            <v xml:space="preserve">Contrato emergencial nº </v>
          </cell>
          <cell r="AO254" t="str">
            <v>SA</v>
          </cell>
        </row>
        <row r="255">
          <cell r="D255" t="str">
            <v>1089/11</v>
          </cell>
          <cell r="E255" t="str">
            <v>11/04/2011</v>
          </cell>
          <cell r="F255">
            <v>40823</v>
          </cell>
          <cell r="G255">
            <v>40823</v>
          </cell>
          <cell r="H255" t="str">
            <v>2011-0.074.809-8</v>
          </cell>
          <cell r="I255">
            <v>37607.879999999997</v>
          </cell>
          <cell r="J255" t="str">
            <v xml:space="preserve">              123651121                 2847                    33903600</v>
          </cell>
          <cell r="K255">
            <v>40817</v>
          </cell>
          <cell r="L255">
            <v>7</v>
          </cell>
          <cell r="M255">
            <v>1500</v>
          </cell>
          <cell r="N255">
            <v>57273</v>
          </cell>
          <cell r="O255">
            <v>13864</v>
          </cell>
          <cell r="P255">
            <v>16</v>
          </cell>
          <cell r="Q255">
            <v>2</v>
          </cell>
          <cell r="T255">
            <v>4212.4800000000005</v>
          </cell>
          <cell r="AA255">
            <v>0</v>
          </cell>
          <cell r="AB255">
            <v>208.93266666666665</v>
          </cell>
          <cell r="AD255">
            <v>6175.5200000000013</v>
          </cell>
          <cell r="AN255" t="str">
            <v xml:space="preserve">Contrato emergencial nº </v>
          </cell>
          <cell r="AO255" t="str">
            <v>SA</v>
          </cell>
        </row>
        <row r="256">
          <cell r="D256" t="str">
            <v>1072/11</v>
          </cell>
          <cell r="E256" t="str">
            <v>11/04/2011</v>
          </cell>
          <cell r="F256">
            <v>40823</v>
          </cell>
          <cell r="G256">
            <v>40823</v>
          </cell>
          <cell r="H256" t="str">
            <v>2011-0.074.793-8</v>
          </cell>
          <cell r="I256">
            <v>22284.959999999999</v>
          </cell>
          <cell r="J256" t="str">
            <v xml:space="preserve">              123651121                 2847                    33903600</v>
          </cell>
          <cell r="K256">
            <v>40817</v>
          </cell>
          <cell r="L256">
            <v>7</v>
          </cell>
          <cell r="M256">
            <v>900</v>
          </cell>
          <cell r="N256">
            <v>57273</v>
          </cell>
          <cell r="O256">
            <v>13804</v>
          </cell>
          <cell r="P256">
            <v>16</v>
          </cell>
          <cell r="Q256">
            <v>2</v>
          </cell>
          <cell r="T256">
            <v>3013.28</v>
          </cell>
          <cell r="AA256">
            <v>0</v>
          </cell>
          <cell r="AB256">
            <v>123.80533333333332</v>
          </cell>
          <cell r="AD256">
            <v>3778.1800000000003</v>
          </cell>
          <cell r="AN256" t="str">
            <v xml:space="preserve">Contrato emergencial nº </v>
          </cell>
          <cell r="AO256" t="str">
            <v>SA</v>
          </cell>
        </row>
        <row r="257">
          <cell r="D257" t="str">
            <v>1003/11</v>
          </cell>
          <cell r="E257" t="str">
            <v>11/04/2011</v>
          </cell>
          <cell r="F257">
            <v>40823</v>
          </cell>
          <cell r="G257">
            <v>40823</v>
          </cell>
          <cell r="H257" t="str">
            <v>2011-0.073.436-4</v>
          </cell>
          <cell r="I257">
            <v>30150.54</v>
          </cell>
          <cell r="J257" t="str">
            <v xml:space="preserve">              123611122                  2848                    33903600</v>
          </cell>
          <cell r="K257">
            <v>40817</v>
          </cell>
          <cell r="L257">
            <v>7</v>
          </cell>
          <cell r="M257">
            <v>1200</v>
          </cell>
          <cell r="N257">
            <v>57278</v>
          </cell>
          <cell r="O257">
            <v>13794</v>
          </cell>
          <cell r="P257">
            <v>16</v>
          </cell>
          <cell r="Q257">
            <v>3</v>
          </cell>
          <cell r="T257">
            <v>3127.5700000000006</v>
          </cell>
          <cell r="AA257">
            <v>0</v>
          </cell>
          <cell r="AB257">
            <v>167.50300000000001</v>
          </cell>
          <cell r="AD257">
            <v>4859.8500000000004</v>
          </cell>
          <cell r="AN257" t="str">
            <v xml:space="preserve">Contrato emergencial nº </v>
          </cell>
          <cell r="AO257" t="str">
            <v>SA</v>
          </cell>
        </row>
        <row r="258">
          <cell r="D258" t="str">
            <v>1004/11</v>
          </cell>
          <cell r="E258" t="str">
            <v>11/04/2011</v>
          </cell>
          <cell r="F258">
            <v>40823</v>
          </cell>
          <cell r="G258">
            <v>40823</v>
          </cell>
          <cell r="H258" t="str">
            <v>2011-0.073.438-0</v>
          </cell>
          <cell r="I258">
            <v>37607.879999999997</v>
          </cell>
          <cell r="J258" t="str">
            <v xml:space="preserve">              123611122                  2848                    33903600</v>
          </cell>
          <cell r="K258">
            <v>40817</v>
          </cell>
          <cell r="L258">
            <v>7</v>
          </cell>
          <cell r="M258">
            <v>1500</v>
          </cell>
          <cell r="N258">
            <v>57278</v>
          </cell>
          <cell r="O258">
            <v>13797</v>
          </cell>
          <cell r="P258">
            <v>16</v>
          </cell>
          <cell r="Q258">
            <v>3</v>
          </cell>
          <cell r="T258">
            <v>6240</v>
          </cell>
          <cell r="U258">
            <v>859.28</v>
          </cell>
          <cell r="AA258">
            <v>859.28</v>
          </cell>
          <cell r="AB258">
            <v>208.93266666666665</v>
          </cell>
          <cell r="AD258">
            <v>5137.99</v>
          </cell>
          <cell r="AN258" t="str">
            <v xml:space="preserve">Contrato emergencial nº </v>
          </cell>
          <cell r="AO258" t="str">
            <v>SA</v>
          </cell>
        </row>
        <row r="259">
          <cell r="D259" t="str">
            <v>1024/11</v>
          </cell>
          <cell r="E259" t="str">
            <v>11/04/2011</v>
          </cell>
          <cell r="F259">
            <v>40823</v>
          </cell>
          <cell r="G259">
            <v>40823</v>
          </cell>
          <cell r="H259" t="str">
            <v>2011-0.074.817-9</v>
          </cell>
          <cell r="I259">
            <v>20967.419999999998</v>
          </cell>
          <cell r="J259" t="str">
            <v xml:space="preserve">              123611122                  2848                    33903600</v>
          </cell>
          <cell r="K259">
            <v>40817</v>
          </cell>
          <cell r="L259">
            <v>7</v>
          </cell>
          <cell r="M259">
            <v>900</v>
          </cell>
          <cell r="N259">
            <v>57278</v>
          </cell>
          <cell r="O259">
            <v>13877</v>
          </cell>
          <cell r="P259">
            <v>16</v>
          </cell>
          <cell r="Q259">
            <v>3</v>
          </cell>
          <cell r="S259">
            <v>3764.39</v>
          </cell>
          <cell r="T259">
            <v>196.38000000000011</v>
          </cell>
          <cell r="U259">
            <v>197.51</v>
          </cell>
          <cell r="AA259">
            <v>197.51</v>
          </cell>
          <cell r="AB259">
            <v>116.48566666666666</v>
          </cell>
          <cell r="AD259">
            <v>4696.88</v>
          </cell>
          <cell r="AN259" t="str">
            <v xml:space="preserve">Contrato emergencial nº </v>
          </cell>
          <cell r="AO259" t="str">
            <v>SA</v>
          </cell>
        </row>
        <row r="260">
          <cell r="D260" t="str">
            <v>1027/11</v>
          </cell>
          <cell r="E260" t="str">
            <v>11/04/2011</v>
          </cell>
          <cell r="F260">
            <v>40823</v>
          </cell>
          <cell r="G260">
            <v>40823</v>
          </cell>
          <cell r="H260" t="str">
            <v>2011-0.074.820-9</v>
          </cell>
          <cell r="I260">
            <v>40877.160000000003</v>
          </cell>
          <cell r="J260" t="str">
            <v xml:space="preserve">              123611122                  2848                    33903600</v>
          </cell>
          <cell r="K260">
            <v>40817</v>
          </cell>
          <cell r="L260">
            <v>7</v>
          </cell>
          <cell r="M260">
            <v>1600</v>
          </cell>
          <cell r="N260">
            <v>57278</v>
          </cell>
          <cell r="O260">
            <v>13889</v>
          </cell>
          <cell r="P260">
            <v>16</v>
          </cell>
          <cell r="Q260">
            <v>3</v>
          </cell>
          <cell r="T260">
            <v>5948.03</v>
          </cell>
          <cell r="AA260">
            <v>0</v>
          </cell>
          <cell r="AB260">
            <v>227.09533333333334</v>
          </cell>
          <cell r="AD260">
            <v>6973.86</v>
          </cell>
          <cell r="AN260" t="str">
            <v xml:space="preserve">Contrato emergencial nº </v>
          </cell>
          <cell r="AO260" t="str">
            <v>SA</v>
          </cell>
        </row>
        <row r="261">
          <cell r="D261" t="str">
            <v>1076/11</v>
          </cell>
          <cell r="E261" t="str">
            <v>11/04/2011</v>
          </cell>
          <cell r="F261">
            <v>40823</v>
          </cell>
          <cell r="G261">
            <v>40823</v>
          </cell>
          <cell r="H261" t="str">
            <v>2011-0.074.797-0</v>
          </cell>
          <cell r="I261">
            <v>37607.879999999997</v>
          </cell>
          <cell r="J261" t="str">
            <v xml:space="preserve">              123611122                  2848                    33903600</v>
          </cell>
          <cell r="K261">
            <v>40817</v>
          </cell>
          <cell r="L261">
            <v>7</v>
          </cell>
          <cell r="M261">
            <v>1500</v>
          </cell>
          <cell r="N261">
            <v>57278</v>
          </cell>
          <cell r="O261">
            <v>13818</v>
          </cell>
          <cell r="P261">
            <v>16</v>
          </cell>
          <cell r="Q261">
            <v>3</v>
          </cell>
          <cell r="T261">
            <v>6240</v>
          </cell>
          <cell r="U261">
            <v>322.43</v>
          </cell>
          <cell r="AA261">
            <v>322.43</v>
          </cell>
          <cell r="AB261">
            <v>208.93266666666665</v>
          </cell>
          <cell r="AD261">
            <v>5165.6925000000001</v>
          </cell>
          <cell r="AN261" t="str">
            <v xml:space="preserve">Contrato emergencial nº </v>
          </cell>
          <cell r="AO261" t="str">
            <v>SA</v>
          </cell>
        </row>
        <row r="262">
          <cell r="D262" t="str">
            <v>1077/11</v>
          </cell>
          <cell r="E262" t="str">
            <v>11/04/2011</v>
          </cell>
          <cell r="F262">
            <v>40823</v>
          </cell>
          <cell r="G262">
            <v>40823</v>
          </cell>
          <cell r="H262" t="str">
            <v>2011-0.074.798-9</v>
          </cell>
          <cell r="I262">
            <v>30150.54</v>
          </cell>
          <cell r="J262" t="str">
            <v xml:space="preserve">              123611122                  2848                    33903600</v>
          </cell>
          <cell r="K262">
            <v>40817</v>
          </cell>
          <cell r="L262">
            <v>7</v>
          </cell>
          <cell r="M262">
            <v>1200</v>
          </cell>
          <cell r="N262">
            <v>57278</v>
          </cell>
          <cell r="O262">
            <v>13823</v>
          </cell>
          <cell r="P262">
            <v>16</v>
          </cell>
          <cell r="Q262">
            <v>3</v>
          </cell>
          <cell r="T262">
            <v>4429.9350000000004</v>
          </cell>
          <cell r="AA262">
            <v>0</v>
          </cell>
          <cell r="AB262">
            <v>167.50300000000001</v>
          </cell>
          <cell r="AD262">
            <v>5282.1249999999991</v>
          </cell>
          <cell r="AN262" t="str">
            <v xml:space="preserve">Contrato emergencial nº </v>
          </cell>
          <cell r="AO262" t="str">
            <v>SA</v>
          </cell>
        </row>
        <row r="263">
          <cell r="D263" t="str">
            <v>1078/11</v>
          </cell>
          <cell r="E263" t="str">
            <v>11/04/2011</v>
          </cell>
          <cell r="F263">
            <v>40823</v>
          </cell>
          <cell r="G263">
            <v>40823</v>
          </cell>
          <cell r="H263" t="str">
            <v>2011-0.074.799-7</v>
          </cell>
          <cell r="I263">
            <v>45186.36</v>
          </cell>
          <cell r="J263" t="str">
            <v xml:space="preserve">              123611122                  2848                    33903600</v>
          </cell>
          <cell r="K263">
            <v>40817</v>
          </cell>
          <cell r="L263">
            <v>7</v>
          </cell>
          <cell r="M263">
            <v>1800</v>
          </cell>
          <cell r="N263">
            <v>57278</v>
          </cell>
          <cell r="O263">
            <v>13827</v>
          </cell>
          <cell r="P263">
            <v>16</v>
          </cell>
          <cell r="Q263">
            <v>3</v>
          </cell>
          <cell r="T263">
            <v>7440</v>
          </cell>
          <cell r="AA263">
            <v>0</v>
          </cell>
          <cell r="AB263">
            <v>251.03533333333334</v>
          </cell>
          <cell r="AD263">
            <v>5893.5599999999995</v>
          </cell>
          <cell r="AN263" t="str">
            <v xml:space="preserve">Contrato emergencial nº </v>
          </cell>
          <cell r="AO263" t="str">
            <v>SA</v>
          </cell>
        </row>
        <row r="264">
          <cell r="D264" t="str">
            <v>1123/11</v>
          </cell>
          <cell r="E264" t="str">
            <v>11/04/2011</v>
          </cell>
          <cell r="F264">
            <v>40823</v>
          </cell>
          <cell r="G264">
            <v>40823</v>
          </cell>
          <cell r="H264" t="str">
            <v>2011-0.081.771-5</v>
          </cell>
          <cell r="I264">
            <v>31418.52</v>
          </cell>
          <cell r="J264" t="str">
            <v xml:space="preserve">              123611122                  2848                    33903600</v>
          </cell>
          <cell r="K264">
            <v>40817</v>
          </cell>
          <cell r="L264">
            <v>7</v>
          </cell>
          <cell r="M264">
            <v>1300</v>
          </cell>
          <cell r="N264">
            <v>57278</v>
          </cell>
          <cell r="O264">
            <v>13880</v>
          </cell>
          <cell r="P264">
            <v>16</v>
          </cell>
          <cell r="Q264">
            <v>3</v>
          </cell>
          <cell r="T264">
            <v>5200</v>
          </cell>
          <cell r="U264">
            <v>67.05</v>
          </cell>
          <cell r="AA264">
            <v>67.05</v>
          </cell>
          <cell r="AB264">
            <v>174.54733333333334</v>
          </cell>
          <cell r="AD264">
            <v>4297.4750000000004</v>
          </cell>
          <cell r="AN264" t="str">
            <v xml:space="preserve">Contrato emergencial nº </v>
          </cell>
          <cell r="AO264" t="str">
            <v>SA</v>
          </cell>
        </row>
        <row r="265">
          <cell r="D265" t="str">
            <v>1131/11</v>
          </cell>
          <cell r="E265" t="str">
            <v>11/04/2011</v>
          </cell>
          <cell r="F265">
            <v>40823</v>
          </cell>
          <cell r="G265">
            <v>40823</v>
          </cell>
          <cell r="H265" t="str">
            <v>2011-0.081.804-5</v>
          </cell>
          <cell r="I265">
            <v>34992.660000000003</v>
          </cell>
          <cell r="J265" t="str">
            <v xml:space="preserve">              123611122                  2848                    33903600</v>
          </cell>
          <cell r="K265">
            <v>40817</v>
          </cell>
          <cell r="L265">
            <v>7</v>
          </cell>
          <cell r="M265">
            <v>1400</v>
          </cell>
          <cell r="N265">
            <v>57278</v>
          </cell>
          <cell r="P265">
            <v>16</v>
          </cell>
          <cell r="Q265">
            <v>3</v>
          </cell>
          <cell r="T265">
            <v>5760</v>
          </cell>
          <cell r="AA265">
            <v>0</v>
          </cell>
          <cell r="AB265">
            <v>194.40366666666668</v>
          </cell>
          <cell r="AN265" t="str">
            <v xml:space="preserve">Contrato emergencial nº </v>
          </cell>
          <cell r="AO265" t="str">
            <v>SA</v>
          </cell>
        </row>
        <row r="266">
          <cell r="D266" t="str">
            <v>1029/11</v>
          </cell>
          <cell r="E266" t="str">
            <v>11/04/2011</v>
          </cell>
          <cell r="F266">
            <v>40823</v>
          </cell>
          <cell r="G266">
            <v>40823</v>
          </cell>
          <cell r="H266" t="str">
            <v>2011-0.074.822-5</v>
          </cell>
          <cell r="I266">
            <v>44324.52</v>
          </cell>
          <cell r="J266" t="str">
            <v xml:space="preserve">              123651121                 2847                    33903600</v>
          </cell>
          <cell r="K266">
            <v>40817</v>
          </cell>
          <cell r="L266">
            <v>7</v>
          </cell>
          <cell r="M266">
            <v>1800</v>
          </cell>
          <cell r="N266">
            <v>57273</v>
          </cell>
          <cell r="O266">
            <v>13902</v>
          </cell>
          <cell r="P266">
            <v>16</v>
          </cell>
          <cell r="Q266">
            <v>2</v>
          </cell>
          <cell r="S266">
            <v>10460.549999999999</v>
          </cell>
          <cell r="T266">
            <v>1203.4000000000001</v>
          </cell>
          <cell r="U266">
            <v>594.86</v>
          </cell>
          <cell r="AA266">
            <v>594.86</v>
          </cell>
          <cell r="AB266">
            <v>246.2473333333333</v>
          </cell>
          <cell r="AD266">
            <v>10460.499999999998</v>
          </cell>
          <cell r="AN266" t="str">
            <v xml:space="preserve">Contrato emergencial nº </v>
          </cell>
          <cell r="AO266" t="str">
            <v>SM</v>
          </cell>
        </row>
        <row r="267">
          <cell r="D267" t="str">
            <v>1030/11</v>
          </cell>
          <cell r="E267" t="str">
            <v>11/04/2011</v>
          </cell>
          <cell r="F267">
            <v>40823</v>
          </cell>
          <cell r="G267">
            <v>40823</v>
          </cell>
          <cell r="H267" t="str">
            <v>2011-0.074.823-3</v>
          </cell>
          <cell r="I267">
            <v>44324.52</v>
          </cell>
          <cell r="J267" t="str">
            <v xml:space="preserve">              123651121                 2847                    33903600</v>
          </cell>
          <cell r="K267">
            <v>40817</v>
          </cell>
          <cell r="L267">
            <v>7</v>
          </cell>
          <cell r="M267">
            <v>1800</v>
          </cell>
          <cell r="N267">
            <v>57273</v>
          </cell>
          <cell r="O267">
            <v>13913</v>
          </cell>
          <cell r="P267">
            <v>16</v>
          </cell>
          <cell r="Q267">
            <v>2</v>
          </cell>
          <cell r="S267">
            <v>1647.72</v>
          </cell>
          <cell r="T267">
            <v>7360</v>
          </cell>
          <cell r="U267">
            <v>1589.57</v>
          </cell>
          <cell r="AA267">
            <v>1589.57</v>
          </cell>
          <cell r="AB267">
            <v>246.2473333333333</v>
          </cell>
          <cell r="AD267">
            <v>8429.4100000000017</v>
          </cell>
          <cell r="AN267" t="str">
            <v xml:space="preserve">Contrato emergencial nº </v>
          </cell>
          <cell r="AO267" t="str">
            <v>SM</v>
          </cell>
        </row>
        <row r="268">
          <cell r="D268" t="str">
            <v>1031/11</v>
          </cell>
          <cell r="E268" t="str">
            <v>11/04/2011</v>
          </cell>
          <cell r="F268">
            <v>40823</v>
          </cell>
          <cell r="G268">
            <v>40823</v>
          </cell>
          <cell r="H268" t="str">
            <v>2011-0.074.824-1</v>
          </cell>
          <cell r="I268">
            <v>44324.52</v>
          </cell>
          <cell r="J268" t="str">
            <v xml:space="preserve">              123651121                 2847                    33903600</v>
          </cell>
          <cell r="K268">
            <v>40817</v>
          </cell>
          <cell r="L268">
            <v>7</v>
          </cell>
          <cell r="M268">
            <v>1800</v>
          </cell>
          <cell r="N268">
            <v>57273</v>
          </cell>
          <cell r="O268">
            <v>13915</v>
          </cell>
          <cell r="P268">
            <v>16</v>
          </cell>
          <cell r="Q268">
            <v>2</v>
          </cell>
          <cell r="T268">
            <v>2045.39</v>
          </cell>
          <cell r="AA268">
            <v>0</v>
          </cell>
          <cell r="AB268">
            <v>246.2473333333333</v>
          </cell>
          <cell r="AD268">
            <v>6625.4000000000005</v>
          </cell>
          <cell r="AN268" t="str">
            <v xml:space="preserve">Contrato emergencial nº </v>
          </cell>
          <cell r="AO268" t="str">
            <v>SM</v>
          </cell>
        </row>
        <row r="269">
          <cell r="D269" t="str">
            <v>1080/11</v>
          </cell>
          <cell r="E269" t="str">
            <v>11/04/2011</v>
          </cell>
          <cell r="F269">
            <v>40823</v>
          </cell>
          <cell r="G269">
            <v>40823</v>
          </cell>
          <cell r="H269" t="str">
            <v>2011-0.074.800-4</v>
          </cell>
          <cell r="I269">
            <v>27565.02</v>
          </cell>
          <cell r="J269" t="str">
            <v xml:space="preserve">              123651121                 2847                    33903600</v>
          </cell>
          <cell r="K269">
            <v>40817</v>
          </cell>
          <cell r="L269">
            <v>7</v>
          </cell>
          <cell r="M269">
            <v>1100</v>
          </cell>
          <cell r="N269">
            <v>57273</v>
          </cell>
          <cell r="O269">
            <v>13831</v>
          </cell>
          <cell r="P269">
            <v>16</v>
          </cell>
          <cell r="Q269">
            <v>2</v>
          </cell>
          <cell r="T269">
            <v>3366.67</v>
          </cell>
          <cell r="AA269">
            <v>0</v>
          </cell>
          <cell r="AB269">
            <v>153.13900000000001</v>
          </cell>
          <cell r="AD269">
            <v>4546.2700000000004</v>
          </cell>
          <cell r="AN269" t="str">
            <v xml:space="preserve">Contrato emergencial nº </v>
          </cell>
          <cell r="AO269" t="str">
            <v>SM</v>
          </cell>
        </row>
        <row r="270">
          <cell r="D270" t="str">
            <v>1081/11</v>
          </cell>
          <cell r="E270" t="str">
            <v>11/04/2011</v>
          </cell>
          <cell r="F270">
            <v>40823</v>
          </cell>
          <cell r="G270">
            <v>40823</v>
          </cell>
          <cell r="H270" t="str">
            <v>2011-0.074.801-2</v>
          </cell>
          <cell r="I270">
            <v>44978.400000000001</v>
          </cell>
          <cell r="J270" t="str">
            <v xml:space="preserve">              123651121                 2847                    33903600</v>
          </cell>
          <cell r="K270">
            <v>40817</v>
          </cell>
          <cell r="L270">
            <v>7</v>
          </cell>
          <cell r="M270">
            <v>1800</v>
          </cell>
          <cell r="N270">
            <v>57273</v>
          </cell>
          <cell r="O270">
            <v>13833</v>
          </cell>
          <cell r="P270">
            <v>16</v>
          </cell>
          <cell r="Q270">
            <v>2</v>
          </cell>
          <cell r="T270">
            <v>8054</v>
          </cell>
          <cell r="U270">
            <v>8.48</v>
          </cell>
          <cell r="AA270">
            <v>8.48</v>
          </cell>
          <cell r="AB270">
            <v>249.88</v>
          </cell>
          <cell r="AD270">
            <v>8097.82</v>
          </cell>
          <cell r="AN270" t="str">
            <v xml:space="preserve">Contrato emergencial nº </v>
          </cell>
          <cell r="AO270" t="str">
            <v>SM</v>
          </cell>
        </row>
        <row r="271">
          <cell r="D271" t="str">
            <v>1083/11</v>
          </cell>
          <cell r="E271" t="str">
            <v>11/04/2011</v>
          </cell>
          <cell r="F271">
            <v>40823</v>
          </cell>
          <cell r="G271">
            <v>40823</v>
          </cell>
          <cell r="H271" t="str">
            <v>2011-0.074.803-9</v>
          </cell>
          <cell r="I271">
            <v>44978.400000000001</v>
          </cell>
          <cell r="J271" t="str">
            <v xml:space="preserve">              123651121                 2847                    33903600</v>
          </cell>
          <cell r="K271">
            <v>40817</v>
          </cell>
          <cell r="L271">
            <v>7</v>
          </cell>
          <cell r="M271">
            <v>1800</v>
          </cell>
          <cell r="N271">
            <v>57273</v>
          </cell>
          <cell r="O271">
            <v>13837</v>
          </cell>
          <cell r="P271">
            <v>16</v>
          </cell>
          <cell r="Q271">
            <v>2</v>
          </cell>
          <cell r="S271">
            <v>6648.31</v>
          </cell>
          <cell r="T271">
            <v>379.51999999999902</v>
          </cell>
          <cell r="U271">
            <v>600.77</v>
          </cell>
          <cell r="AA271">
            <v>600.77</v>
          </cell>
          <cell r="AB271">
            <v>249.88</v>
          </cell>
          <cell r="AD271">
            <v>9741.2900000000009</v>
          </cell>
          <cell r="AN271" t="str">
            <v xml:space="preserve">Contrato emergencial nº </v>
          </cell>
          <cell r="AO271" t="str">
            <v>SM</v>
          </cell>
        </row>
        <row r="272">
          <cell r="D272" t="str">
            <v>1028/11</v>
          </cell>
          <cell r="E272" t="str">
            <v>11/04/2011</v>
          </cell>
          <cell r="F272">
            <v>40823</v>
          </cell>
          <cell r="G272">
            <v>40823</v>
          </cell>
          <cell r="H272" t="str">
            <v>2011-0.074.821-7</v>
          </cell>
          <cell r="I272">
            <v>44324.52</v>
          </cell>
          <cell r="J272" t="str">
            <v xml:space="preserve">              123611122                  2848                    33903600</v>
          </cell>
          <cell r="K272">
            <v>40817</v>
          </cell>
          <cell r="L272">
            <v>7</v>
          </cell>
          <cell r="M272">
            <v>1800</v>
          </cell>
          <cell r="N272">
            <v>57278</v>
          </cell>
          <cell r="O272">
            <v>13898</v>
          </cell>
          <cell r="P272">
            <v>16</v>
          </cell>
          <cell r="Q272">
            <v>3</v>
          </cell>
          <cell r="T272">
            <v>2551.1799999999998</v>
          </cell>
          <cell r="AA272">
            <v>0</v>
          </cell>
          <cell r="AB272">
            <v>246.2473333333333</v>
          </cell>
          <cell r="AD272">
            <v>6777.9</v>
          </cell>
          <cell r="AN272" t="str">
            <v xml:space="preserve">Contrato emergencial nº </v>
          </cell>
          <cell r="AO272" t="str">
            <v>SM</v>
          </cell>
        </row>
        <row r="273">
          <cell r="D273" t="str">
            <v>1032/11</v>
          </cell>
          <cell r="E273" t="str">
            <v>11/04/2011</v>
          </cell>
          <cell r="F273">
            <v>40823</v>
          </cell>
          <cell r="G273">
            <v>40823</v>
          </cell>
          <cell r="H273" t="str">
            <v>2011-0.074.825-0</v>
          </cell>
          <cell r="I273">
            <v>44324.52</v>
          </cell>
          <cell r="J273" t="str">
            <v xml:space="preserve">              123611122                  2848                    33903600</v>
          </cell>
          <cell r="K273">
            <v>40817</v>
          </cell>
          <cell r="L273">
            <v>7</v>
          </cell>
          <cell r="M273">
            <v>1800</v>
          </cell>
          <cell r="N273">
            <v>57278</v>
          </cell>
          <cell r="O273">
            <v>13921</v>
          </cell>
          <cell r="P273">
            <v>16</v>
          </cell>
          <cell r="Q273">
            <v>3</v>
          </cell>
          <cell r="T273">
            <v>1811.91</v>
          </cell>
          <cell r="AA273">
            <v>0</v>
          </cell>
          <cell r="AB273">
            <v>246.2473333333333</v>
          </cell>
          <cell r="AD273">
            <v>6684.92</v>
          </cell>
          <cell r="AN273" t="str">
            <v xml:space="preserve">Contrato emergencial nº </v>
          </cell>
          <cell r="AO273" t="str">
            <v>SM</v>
          </cell>
        </row>
        <row r="274">
          <cell r="D274" t="str">
            <v>1090/11</v>
          </cell>
          <cell r="E274" t="str">
            <v>11/04/2011</v>
          </cell>
          <cell r="F274">
            <v>40823</v>
          </cell>
          <cell r="G274">
            <v>40823</v>
          </cell>
          <cell r="H274" t="str">
            <v>2011-0.074.810-1</v>
          </cell>
          <cell r="I274">
            <v>43670.7</v>
          </cell>
          <cell r="J274" t="str">
            <v xml:space="preserve">              123611122                  2848                    33903600</v>
          </cell>
          <cell r="K274">
            <v>40817</v>
          </cell>
          <cell r="L274">
            <v>7</v>
          </cell>
          <cell r="M274">
            <v>1700</v>
          </cell>
          <cell r="N274">
            <v>57278</v>
          </cell>
          <cell r="O274">
            <v>13868</v>
          </cell>
          <cell r="P274">
            <v>16</v>
          </cell>
          <cell r="Q274">
            <v>3</v>
          </cell>
          <cell r="T274">
            <v>7200</v>
          </cell>
          <cell r="U274">
            <v>348.77</v>
          </cell>
          <cell r="AA274">
            <v>348.77</v>
          </cell>
          <cell r="AB274">
            <v>242.61499999999998</v>
          </cell>
          <cell r="AD274">
            <v>6192.33</v>
          </cell>
          <cell r="AN274" t="str">
            <v xml:space="preserve">Contrato emergencial nº </v>
          </cell>
          <cell r="AO274" t="str">
            <v>SM</v>
          </cell>
        </row>
        <row r="275">
          <cell r="D275" t="str">
            <v>1091/11</v>
          </cell>
          <cell r="E275" t="str">
            <v>11/04/2011</v>
          </cell>
          <cell r="F275">
            <v>40823</v>
          </cell>
          <cell r="G275">
            <v>40823</v>
          </cell>
          <cell r="H275" t="str">
            <v>2011-0.074.811-0</v>
          </cell>
          <cell r="I275">
            <v>37607.879999999997</v>
          </cell>
          <cell r="J275" t="str">
            <v xml:space="preserve">              123611122                  2848                    33903600</v>
          </cell>
          <cell r="K275">
            <v>40817</v>
          </cell>
          <cell r="L275">
            <v>7</v>
          </cell>
          <cell r="M275">
            <v>1500</v>
          </cell>
          <cell r="N275">
            <v>57278</v>
          </cell>
          <cell r="O275">
            <v>13871</v>
          </cell>
          <cell r="P275">
            <v>16</v>
          </cell>
          <cell r="Q275">
            <v>3</v>
          </cell>
          <cell r="T275">
            <v>3481.22</v>
          </cell>
          <cell r="AA275">
            <v>0</v>
          </cell>
          <cell r="AB275">
            <v>208.93266666666665</v>
          </cell>
          <cell r="AD275">
            <v>6005.08</v>
          </cell>
          <cell r="AN275" t="str">
            <v xml:space="preserve">Contrato emergencial nº </v>
          </cell>
          <cell r="AO275" t="str">
            <v>SM</v>
          </cell>
        </row>
        <row r="276">
          <cell r="D276" t="str">
            <v>1101/11</v>
          </cell>
          <cell r="E276" t="str">
            <v>11/04/2011</v>
          </cell>
          <cell r="F276">
            <v>40823</v>
          </cell>
          <cell r="G276">
            <v>40823</v>
          </cell>
          <cell r="H276" t="str">
            <v>2011-0.074.926-4</v>
          </cell>
          <cell r="I276">
            <v>29744.400000000001</v>
          </cell>
          <cell r="J276" t="str">
            <v xml:space="preserve">              123611122                  2848                    33903600</v>
          </cell>
          <cell r="K276">
            <v>40817</v>
          </cell>
          <cell r="L276">
            <v>7</v>
          </cell>
          <cell r="M276">
            <v>1200</v>
          </cell>
          <cell r="N276">
            <v>57278</v>
          </cell>
          <cell r="O276">
            <v>13907</v>
          </cell>
          <cell r="P276">
            <v>16</v>
          </cell>
          <cell r="Q276">
            <v>3</v>
          </cell>
          <cell r="S276">
            <v>1542.13</v>
          </cell>
          <cell r="T276">
            <v>4960</v>
          </cell>
          <cell r="U276">
            <v>763.37</v>
          </cell>
          <cell r="AA276">
            <v>763.37</v>
          </cell>
          <cell r="AB276">
            <v>165.24666666666667</v>
          </cell>
          <cell r="AD276">
            <v>5661.95</v>
          </cell>
          <cell r="AN276" t="str">
            <v xml:space="preserve">Contrato emergencial nº </v>
          </cell>
          <cell r="AO276" t="str">
            <v>SM</v>
          </cell>
        </row>
        <row r="277">
          <cell r="D277" t="str">
            <v>1117/11</v>
          </cell>
          <cell r="E277" t="str">
            <v>11/04/2011</v>
          </cell>
          <cell r="F277">
            <v>40823</v>
          </cell>
          <cell r="G277">
            <v>40823</v>
          </cell>
          <cell r="H277" t="str">
            <v>2011-0.081.757-0</v>
          </cell>
          <cell r="I277">
            <v>44324.52</v>
          </cell>
          <cell r="J277" t="str">
            <v xml:space="preserve">              123611122                  2848                    33903600</v>
          </cell>
          <cell r="K277">
            <v>40817</v>
          </cell>
          <cell r="L277">
            <v>7</v>
          </cell>
          <cell r="M277">
            <v>1800</v>
          </cell>
          <cell r="N277">
            <v>57278</v>
          </cell>
          <cell r="O277">
            <v>13829</v>
          </cell>
          <cell r="P277">
            <v>16</v>
          </cell>
          <cell r="Q277">
            <v>3</v>
          </cell>
          <cell r="T277">
            <v>590.22</v>
          </cell>
          <cell r="AA277">
            <v>0</v>
          </cell>
          <cell r="AB277">
            <v>246.2473333333333</v>
          </cell>
          <cell r="AD277">
            <v>6409.16</v>
          </cell>
          <cell r="AN277" t="str">
            <v xml:space="preserve">Contrato emergencial nº </v>
          </cell>
          <cell r="AO277" t="str">
            <v>SM</v>
          </cell>
        </row>
        <row r="278">
          <cell r="D278" t="str">
            <v>1119/11</v>
          </cell>
          <cell r="E278" t="str">
            <v>11/04/2011</v>
          </cell>
          <cell r="F278">
            <v>40823</v>
          </cell>
          <cell r="G278">
            <v>40823</v>
          </cell>
          <cell r="H278" t="str">
            <v>2011-0.081.761-8</v>
          </cell>
          <cell r="I278">
            <v>25078.560000000001</v>
          </cell>
          <cell r="J278" t="str">
            <v xml:space="preserve">              123611122                  2848                    33903600</v>
          </cell>
          <cell r="K278">
            <v>40817</v>
          </cell>
          <cell r="L278">
            <v>7</v>
          </cell>
          <cell r="M278">
            <v>1000</v>
          </cell>
          <cell r="N278">
            <v>57278</v>
          </cell>
          <cell r="O278">
            <v>13835</v>
          </cell>
          <cell r="P278">
            <v>16</v>
          </cell>
          <cell r="Q278">
            <v>3</v>
          </cell>
          <cell r="S278">
            <v>6731.55</v>
          </cell>
          <cell r="T278">
            <v>2104.2449999999999</v>
          </cell>
          <cell r="U278">
            <v>531.76</v>
          </cell>
          <cell r="AA278">
            <v>531.76</v>
          </cell>
          <cell r="AB278">
            <v>139.32533333333333</v>
          </cell>
          <cell r="AD278">
            <v>6731.550000000002</v>
          </cell>
          <cell r="AN278" t="str">
            <v xml:space="preserve">Contrato emergencial nº </v>
          </cell>
          <cell r="AO278" t="str">
            <v>SM</v>
          </cell>
        </row>
        <row r="279">
          <cell r="D279" t="str">
            <v>1132/11</v>
          </cell>
          <cell r="E279" t="str">
            <v>11/04/2011</v>
          </cell>
          <cell r="F279">
            <v>40823</v>
          </cell>
          <cell r="G279">
            <v>40823</v>
          </cell>
          <cell r="H279" t="str">
            <v>2011-0.081.807-0</v>
          </cell>
          <cell r="I279">
            <v>30150.54</v>
          </cell>
          <cell r="J279" t="str">
            <v xml:space="preserve">              123611122                  2848                    33903600</v>
          </cell>
          <cell r="K279">
            <v>40817</v>
          </cell>
          <cell r="L279">
            <v>7</v>
          </cell>
          <cell r="M279">
            <v>1200</v>
          </cell>
          <cell r="N279">
            <v>57278</v>
          </cell>
          <cell r="O279">
            <v>13937</v>
          </cell>
          <cell r="P279">
            <v>16</v>
          </cell>
          <cell r="Q279">
            <v>3</v>
          </cell>
          <cell r="S279">
            <v>2588.71</v>
          </cell>
          <cell r="T279">
            <v>4960</v>
          </cell>
          <cell r="U279">
            <v>1122.71</v>
          </cell>
          <cell r="AA279">
            <v>1122.71</v>
          </cell>
          <cell r="AB279">
            <v>167.50300000000001</v>
          </cell>
          <cell r="AD279">
            <v>6009.55</v>
          </cell>
          <cell r="AN279" t="str">
            <v xml:space="preserve">Contrato emergencial nº </v>
          </cell>
          <cell r="AO279" t="str">
            <v>SM</v>
          </cell>
        </row>
        <row r="280">
          <cell r="D280" t="str">
            <v>1082/11</v>
          </cell>
          <cell r="E280" t="str">
            <v>11/04/2011</v>
          </cell>
          <cell r="F280">
            <v>40823</v>
          </cell>
          <cell r="G280">
            <v>40823</v>
          </cell>
          <cell r="H280" t="str">
            <v>2011-0.074.802-0</v>
          </cell>
          <cell r="I280">
            <v>42838.74</v>
          </cell>
          <cell r="J280" t="str">
            <v xml:space="preserve">             123671125                  2863                   33903600</v>
          </cell>
          <cell r="K280">
            <v>40817</v>
          </cell>
          <cell r="L280">
            <v>7</v>
          </cell>
          <cell r="M280">
            <v>1700</v>
          </cell>
          <cell r="N280">
            <v>57287</v>
          </cell>
          <cell r="P280">
            <v>16</v>
          </cell>
          <cell r="Q280">
            <v>4</v>
          </cell>
          <cell r="T280">
            <v>7120</v>
          </cell>
          <cell r="AA280">
            <v>0</v>
          </cell>
          <cell r="AB280">
            <v>237.99299999999999</v>
          </cell>
          <cell r="AN280" t="str">
            <v xml:space="preserve">Contrato emergencial nº </v>
          </cell>
          <cell r="AO280" t="str">
            <v>SM</v>
          </cell>
        </row>
        <row r="281">
          <cell r="D281" t="str">
            <v>1140/11</v>
          </cell>
          <cell r="E281" t="str">
            <v>12/04/2011</v>
          </cell>
          <cell r="F281">
            <v>40824</v>
          </cell>
          <cell r="G281">
            <v>40824</v>
          </cell>
          <cell r="H281" t="str">
            <v>2011-0.081.832-0</v>
          </cell>
          <cell r="I281">
            <v>40877.160000000003</v>
          </cell>
          <cell r="J281" t="str">
            <v xml:space="preserve">              123611122                  2848                    33903600</v>
          </cell>
          <cell r="K281">
            <v>40817</v>
          </cell>
          <cell r="L281">
            <v>8</v>
          </cell>
          <cell r="M281">
            <v>1900</v>
          </cell>
          <cell r="N281">
            <v>57278</v>
          </cell>
          <cell r="O281">
            <v>13916</v>
          </cell>
          <cell r="P281">
            <v>16</v>
          </cell>
          <cell r="Q281">
            <v>3</v>
          </cell>
          <cell r="T281">
            <v>3392.58</v>
          </cell>
          <cell r="U281">
            <v>0</v>
          </cell>
          <cell r="AA281">
            <v>0</v>
          </cell>
          <cell r="AB281">
            <v>227.09533333333334</v>
          </cell>
          <cell r="AD281">
            <v>6464.5749999999998</v>
          </cell>
          <cell r="AN281" t="str">
            <v xml:space="preserve">Contrato emergencial nº </v>
          </cell>
          <cell r="AO281" t="str">
            <v>JT</v>
          </cell>
        </row>
        <row r="282">
          <cell r="D282" t="str">
            <v>1139/11</v>
          </cell>
          <cell r="E282" t="str">
            <v>12/04/2011</v>
          </cell>
          <cell r="F282">
            <v>40824</v>
          </cell>
          <cell r="G282">
            <v>40824</v>
          </cell>
          <cell r="H282" t="str">
            <v>2011-0.081.828-2</v>
          </cell>
          <cell r="I282">
            <v>30556.68</v>
          </cell>
          <cell r="J282" t="str">
            <v xml:space="preserve">              123611122                  2848                    33903600</v>
          </cell>
          <cell r="K282">
            <v>40817</v>
          </cell>
          <cell r="L282">
            <v>8</v>
          </cell>
          <cell r="M282">
            <v>1400</v>
          </cell>
          <cell r="N282">
            <v>57278</v>
          </cell>
          <cell r="O282">
            <v>13982</v>
          </cell>
          <cell r="P282">
            <v>16</v>
          </cell>
          <cell r="Q282">
            <v>3</v>
          </cell>
          <cell r="T282">
            <v>2810.0025000000001</v>
          </cell>
          <cell r="AA282">
            <v>0</v>
          </cell>
          <cell r="AB282">
            <v>169.75933333333333</v>
          </cell>
          <cell r="AD282">
            <v>4968.6075000000001</v>
          </cell>
          <cell r="AN282" t="str">
            <v xml:space="preserve">Contrato emergencial nº </v>
          </cell>
          <cell r="AO282" t="str">
            <v>SA</v>
          </cell>
        </row>
        <row r="283">
          <cell r="D283" t="str">
            <v>1141/11</v>
          </cell>
          <cell r="E283" t="str">
            <v>12/04/2011</v>
          </cell>
          <cell r="F283">
            <v>40824</v>
          </cell>
          <cell r="G283">
            <v>40824</v>
          </cell>
          <cell r="H283" t="str">
            <v>2011-0.081.834-7</v>
          </cell>
          <cell r="I283">
            <v>40877.160000000003</v>
          </cell>
          <cell r="J283" t="str">
            <v xml:space="preserve">              123611122                  2848                    33903600</v>
          </cell>
          <cell r="K283">
            <v>40817</v>
          </cell>
          <cell r="L283">
            <v>8</v>
          </cell>
          <cell r="M283">
            <v>1900</v>
          </cell>
          <cell r="N283">
            <v>57278</v>
          </cell>
          <cell r="O283">
            <v>13931</v>
          </cell>
          <cell r="P283">
            <v>16</v>
          </cell>
          <cell r="Q283">
            <v>3</v>
          </cell>
          <cell r="T283">
            <v>6960</v>
          </cell>
          <cell r="AA283">
            <v>0</v>
          </cell>
          <cell r="AB283">
            <v>227.09533333333334</v>
          </cell>
          <cell r="AD283">
            <v>5191.8500000000004</v>
          </cell>
          <cell r="AN283" t="str">
            <v xml:space="preserve">Contrato emergencial nº </v>
          </cell>
          <cell r="AO283" t="str">
            <v>SA</v>
          </cell>
        </row>
        <row r="284">
          <cell r="D284" t="str">
            <v>1613/11</v>
          </cell>
          <cell r="E284" t="str">
            <v>13/04/2011</v>
          </cell>
          <cell r="F284">
            <v>40825</v>
          </cell>
          <cell r="G284">
            <v>40825</v>
          </cell>
          <cell r="H284" t="str">
            <v>2011-0.109.753-8</v>
          </cell>
          <cell r="I284">
            <v>29744.400000000001</v>
          </cell>
          <cell r="J284" t="str">
            <v xml:space="preserve">              123611122                  2848                    33903600</v>
          </cell>
          <cell r="K284">
            <v>40817</v>
          </cell>
          <cell r="L284">
            <v>9</v>
          </cell>
          <cell r="M284">
            <v>1500</v>
          </cell>
          <cell r="N284">
            <v>57278</v>
          </cell>
          <cell r="O284">
            <v>13781</v>
          </cell>
          <cell r="P284">
            <v>16</v>
          </cell>
          <cell r="Q284">
            <v>3</v>
          </cell>
          <cell r="T284">
            <v>5919.69</v>
          </cell>
          <cell r="U284">
            <v>538.9</v>
          </cell>
          <cell r="AA284">
            <v>538.9</v>
          </cell>
          <cell r="AB284">
            <v>165.24666666666667</v>
          </cell>
          <cell r="AD284">
            <v>6330.5200000000013</v>
          </cell>
          <cell r="AN284" t="str">
            <v xml:space="preserve">Contrato emergencial nº </v>
          </cell>
          <cell r="AO284" t="str">
            <v>JT</v>
          </cell>
        </row>
        <row r="285">
          <cell r="D285" t="str">
            <v>1142/11</v>
          </cell>
          <cell r="E285" t="str">
            <v>13/04/2011</v>
          </cell>
          <cell r="F285">
            <v>40825</v>
          </cell>
          <cell r="G285">
            <v>40825</v>
          </cell>
          <cell r="H285" t="str">
            <v>2011-0.081.837-1</v>
          </cell>
          <cell r="I285">
            <v>37607.879999999997</v>
          </cell>
          <cell r="J285" t="str">
            <v xml:space="preserve">              123611122                  2848                    33903600</v>
          </cell>
          <cell r="K285">
            <v>40817</v>
          </cell>
          <cell r="L285">
            <v>9</v>
          </cell>
          <cell r="M285">
            <v>1900</v>
          </cell>
          <cell r="N285">
            <v>57278</v>
          </cell>
          <cell r="O285">
            <v>13936</v>
          </cell>
          <cell r="P285">
            <v>16</v>
          </cell>
          <cell r="Q285">
            <v>3</v>
          </cell>
          <cell r="T285">
            <v>6560</v>
          </cell>
          <cell r="U285">
            <v>172.75299999999993</v>
          </cell>
          <cell r="AA285">
            <v>172.75299999999993</v>
          </cell>
          <cell r="AB285">
            <v>208.93266666666665</v>
          </cell>
          <cell r="AD285">
            <v>5064.41</v>
          </cell>
          <cell r="AN285" t="str">
            <v xml:space="preserve">Contrato emergencial nº </v>
          </cell>
          <cell r="AO285" t="str">
            <v>MP</v>
          </cell>
        </row>
        <row r="286">
          <cell r="D286" t="str">
            <v>1138/11</v>
          </cell>
          <cell r="E286" t="str">
            <v>13/04/2011</v>
          </cell>
          <cell r="F286">
            <v>40825</v>
          </cell>
          <cell r="G286">
            <v>40825</v>
          </cell>
          <cell r="H286" t="str">
            <v>2011-0.081.827-4</v>
          </cell>
          <cell r="I286">
            <v>35438.46</v>
          </cell>
          <cell r="J286" t="str">
            <v xml:space="preserve">              123611122                  2848                    33903600</v>
          </cell>
          <cell r="K286">
            <v>40817</v>
          </cell>
          <cell r="L286">
            <v>9</v>
          </cell>
          <cell r="M286">
            <v>1800</v>
          </cell>
          <cell r="N286">
            <v>57278</v>
          </cell>
          <cell r="O286">
            <v>13978</v>
          </cell>
          <cell r="P286">
            <v>16</v>
          </cell>
          <cell r="Q286">
            <v>3</v>
          </cell>
          <cell r="S286">
            <v>4200.8500000000004</v>
          </cell>
          <cell r="T286">
            <v>6160</v>
          </cell>
          <cell r="U286">
            <v>167.59</v>
          </cell>
          <cell r="AA286">
            <v>167.59</v>
          </cell>
          <cell r="AB286">
            <v>196.88033333333334</v>
          </cell>
          <cell r="AD286">
            <v>7389.8</v>
          </cell>
          <cell r="AN286" t="str">
            <v xml:space="preserve">Contrato emergencial nº </v>
          </cell>
          <cell r="AO286" t="str">
            <v>PE</v>
          </cell>
        </row>
        <row r="287">
          <cell r="D287" t="str">
            <v>1614/11</v>
          </cell>
          <cell r="E287" t="str">
            <v>15/04/2011</v>
          </cell>
          <cell r="F287">
            <v>40827</v>
          </cell>
          <cell r="G287">
            <v>40827</v>
          </cell>
          <cell r="H287" t="str">
            <v>2011-0.109.756-2</v>
          </cell>
          <cell r="I287">
            <v>27971.16</v>
          </cell>
          <cell r="J287" t="str">
            <v xml:space="preserve">              123651121                 2847                    33903600</v>
          </cell>
          <cell r="K287">
            <v>40817</v>
          </cell>
          <cell r="L287">
            <v>11</v>
          </cell>
          <cell r="M287">
            <v>1800</v>
          </cell>
          <cell r="N287">
            <v>57273</v>
          </cell>
          <cell r="O287">
            <v>13788</v>
          </cell>
          <cell r="P287">
            <v>16</v>
          </cell>
          <cell r="Q287">
            <v>2</v>
          </cell>
          <cell r="T287">
            <v>4617.8500000000004</v>
          </cell>
          <cell r="AA287">
            <v>0</v>
          </cell>
          <cell r="AB287">
            <v>155.39533333333333</v>
          </cell>
          <cell r="AD287">
            <v>5419.4549999999999</v>
          </cell>
          <cell r="AN287" t="str">
            <v xml:space="preserve">Contrato emergencial nº </v>
          </cell>
          <cell r="AO287" t="str">
            <v>PE</v>
          </cell>
        </row>
        <row r="288">
          <cell r="D288" t="str">
            <v>1144/11</v>
          </cell>
          <cell r="E288" t="str">
            <v>18/04/2011</v>
          </cell>
          <cell r="F288">
            <v>40830</v>
          </cell>
          <cell r="G288">
            <v>40830</v>
          </cell>
          <cell r="H288" t="str">
            <v>2011-0.081.845-2</v>
          </cell>
          <cell r="I288">
            <v>37607.879999999997</v>
          </cell>
          <cell r="J288" t="str">
            <v xml:space="preserve">              123651121                 2847                    33903600</v>
          </cell>
          <cell r="K288">
            <v>40817</v>
          </cell>
          <cell r="L288">
            <v>14</v>
          </cell>
          <cell r="M288">
            <v>3000</v>
          </cell>
          <cell r="N288">
            <v>57273</v>
          </cell>
          <cell r="O288">
            <v>13961</v>
          </cell>
          <cell r="P288">
            <v>16</v>
          </cell>
          <cell r="Q288">
            <v>2</v>
          </cell>
          <cell r="T288">
            <v>5520</v>
          </cell>
          <cell r="U288">
            <v>200.67200000000003</v>
          </cell>
          <cell r="AA288">
            <v>200.67200000000003</v>
          </cell>
          <cell r="AB288">
            <v>208.93266666666665</v>
          </cell>
          <cell r="AD288">
            <v>4902.74</v>
          </cell>
          <cell r="AN288" t="str">
            <v xml:space="preserve">Contrato emergencial nº </v>
          </cell>
          <cell r="AO288" t="str">
            <v>BT</v>
          </cell>
        </row>
        <row r="289">
          <cell r="D289" t="str">
            <v>1211/11</v>
          </cell>
          <cell r="E289" t="str">
            <v>18/04/2011</v>
          </cell>
          <cell r="F289">
            <v>40830</v>
          </cell>
          <cell r="G289">
            <v>40830</v>
          </cell>
          <cell r="H289" t="str">
            <v>2011-0.082.471-1</v>
          </cell>
          <cell r="I289">
            <v>37607.879999999997</v>
          </cell>
          <cell r="J289" t="str">
            <v xml:space="preserve">              123651121                 2847                    33903600</v>
          </cell>
          <cell r="K289">
            <v>40817</v>
          </cell>
          <cell r="L289">
            <v>14</v>
          </cell>
          <cell r="M289">
            <v>3000</v>
          </cell>
          <cell r="N289">
            <v>57273</v>
          </cell>
          <cell r="O289">
            <v>12632</v>
          </cell>
          <cell r="P289">
            <v>16</v>
          </cell>
          <cell r="Q289">
            <v>2</v>
          </cell>
          <cell r="T289">
            <v>5520</v>
          </cell>
          <cell r="AA289">
            <v>0</v>
          </cell>
          <cell r="AB289">
            <v>208.93266666666665</v>
          </cell>
          <cell r="AD289">
            <v>5019.8600000000006</v>
          </cell>
          <cell r="AN289" t="str">
            <v xml:space="preserve">Contrato emergencial nº </v>
          </cell>
          <cell r="AO289" t="str">
            <v>BT</v>
          </cell>
        </row>
        <row r="290">
          <cell r="D290" t="str">
            <v>1145/11</v>
          </cell>
          <cell r="E290" t="str">
            <v>18/04/2011</v>
          </cell>
          <cell r="F290">
            <v>40830</v>
          </cell>
          <cell r="G290">
            <v>40830</v>
          </cell>
          <cell r="H290" t="str">
            <v>2011-0.081.848-7</v>
          </cell>
          <cell r="I290">
            <v>22185.9</v>
          </cell>
          <cell r="J290" t="str">
            <v xml:space="preserve">              123611122                  2848                    33903600</v>
          </cell>
          <cell r="K290">
            <v>40817</v>
          </cell>
          <cell r="L290">
            <v>14</v>
          </cell>
          <cell r="M290">
            <v>1800</v>
          </cell>
          <cell r="N290">
            <v>57278</v>
          </cell>
          <cell r="O290">
            <v>13968</v>
          </cell>
          <cell r="P290">
            <v>16</v>
          </cell>
          <cell r="Q290">
            <v>3</v>
          </cell>
          <cell r="T290">
            <v>1943.68</v>
          </cell>
          <cell r="U290">
            <v>0</v>
          </cell>
          <cell r="AA290">
            <v>0</v>
          </cell>
          <cell r="AB290">
            <v>123.25500000000001</v>
          </cell>
          <cell r="AD290">
            <v>3480.8900000000003</v>
          </cell>
          <cell r="AN290" t="str">
            <v xml:space="preserve">Contrato emergencial nº </v>
          </cell>
          <cell r="AO290" t="str">
            <v>BT</v>
          </cell>
        </row>
        <row r="291">
          <cell r="D291" t="str">
            <v>1210/11</v>
          </cell>
          <cell r="E291" t="str">
            <v>18/04/2011</v>
          </cell>
          <cell r="F291">
            <v>40830</v>
          </cell>
          <cell r="G291">
            <v>40830</v>
          </cell>
          <cell r="H291" t="str">
            <v>2011-0.082.461-4</v>
          </cell>
          <cell r="I291">
            <v>29288.7</v>
          </cell>
          <cell r="J291" t="str">
            <v xml:space="preserve">              123611122                  2848                    33903600</v>
          </cell>
          <cell r="K291">
            <v>40817</v>
          </cell>
          <cell r="L291">
            <v>14</v>
          </cell>
          <cell r="M291">
            <v>2300</v>
          </cell>
          <cell r="N291">
            <v>57278</v>
          </cell>
          <cell r="O291">
            <v>12629</v>
          </cell>
          <cell r="P291">
            <v>16</v>
          </cell>
          <cell r="Q291">
            <v>3</v>
          </cell>
          <cell r="T291">
            <v>518.59</v>
          </cell>
          <cell r="U291">
            <v>0</v>
          </cell>
          <cell r="AA291">
            <v>0</v>
          </cell>
          <cell r="AB291">
            <v>162.715</v>
          </cell>
          <cell r="AD291">
            <v>4219.87</v>
          </cell>
          <cell r="AN291" t="str">
            <v xml:space="preserve">Contrato emergencial nº </v>
          </cell>
          <cell r="AO291" t="str">
            <v>BT</v>
          </cell>
        </row>
        <row r="292">
          <cell r="D292" t="str">
            <v>1148/11</v>
          </cell>
          <cell r="E292" t="str">
            <v>18/04/2011</v>
          </cell>
          <cell r="F292">
            <v>40830</v>
          </cell>
          <cell r="G292">
            <v>40830</v>
          </cell>
          <cell r="H292" t="str">
            <v>2011-0.081.861-4</v>
          </cell>
          <cell r="I292">
            <v>44978.400000000001</v>
          </cell>
          <cell r="J292" t="str">
            <v xml:space="preserve">              123651121                 2847                    33903600</v>
          </cell>
          <cell r="K292">
            <v>40817</v>
          </cell>
          <cell r="L292">
            <v>14</v>
          </cell>
          <cell r="M292">
            <v>3500</v>
          </cell>
          <cell r="N292">
            <v>57273</v>
          </cell>
          <cell r="O292">
            <v>13984</v>
          </cell>
          <cell r="P292">
            <v>16</v>
          </cell>
          <cell r="Q292">
            <v>2</v>
          </cell>
          <cell r="T292">
            <v>2078.35</v>
          </cell>
          <cell r="U292">
            <v>0</v>
          </cell>
          <cell r="AA292">
            <v>0</v>
          </cell>
          <cell r="AB292">
            <v>249.88</v>
          </cell>
          <cell r="AD292">
            <v>6722.7275000000009</v>
          </cell>
          <cell r="AN292" t="str">
            <v xml:space="preserve">Contrato emergencial nº </v>
          </cell>
          <cell r="AO292" t="str">
            <v>CL</v>
          </cell>
        </row>
        <row r="293">
          <cell r="D293" t="str">
            <v>1166/11</v>
          </cell>
          <cell r="E293" t="str">
            <v>18/04/2011</v>
          </cell>
          <cell r="F293">
            <v>40830</v>
          </cell>
          <cell r="G293">
            <v>40830</v>
          </cell>
          <cell r="H293" t="str">
            <v>2011-0.081.716-2</v>
          </cell>
          <cell r="I293">
            <v>38261.760000000002</v>
          </cell>
          <cell r="J293" t="str">
            <v xml:space="preserve">              123651121                 2847                    33903600</v>
          </cell>
          <cell r="K293">
            <v>40817</v>
          </cell>
          <cell r="L293">
            <v>14</v>
          </cell>
          <cell r="M293">
            <v>3000</v>
          </cell>
          <cell r="N293">
            <v>57273</v>
          </cell>
          <cell r="O293">
            <v>13904</v>
          </cell>
          <cell r="P293">
            <v>16</v>
          </cell>
          <cell r="Q293">
            <v>2</v>
          </cell>
          <cell r="T293">
            <v>2689.76</v>
          </cell>
          <cell r="U293">
            <v>0</v>
          </cell>
          <cell r="AA293">
            <v>0</v>
          </cell>
          <cell r="AB293">
            <v>212.56533333333334</v>
          </cell>
          <cell r="AD293">
            <v>4841.4546666666665</v>
          </cell>
          <cell r="AN293" t="str">
            <v xml:space="preserve">Contrato emergencial nº </v>
          </cell>
          <cell r="AO293" t="str">
            <v>CL</v>
          </cell>
        </row>
        <row r="294">
          <cell r="D294" t="str">
            <v>1167/11</v>
          </cell>
          <cell r="E294" t="str">
            <v>18/04/2011</v>
          </cell>
          <cell r="F294">
            <v>40830</v>
          </cell>
          <cell r="G294">
            <v>40830</v>
          </cell>
          <cell r="H294" t="str">
            <v>2011-0.081.718-9</v>
          </cell>
          <cell r="I294">
            <v>45186.36</v>
          </cell>
          <cell r="J294" t="str">
            <v xml:space="preserve">              123651121                 2847                    33903600</v>
          </cell>
          <cell r="K294">
            <v>40817</v>
          </cell>
          <cell r="L294">
            <v>14</v>
          </cell>
          <cell r="M294">
            <v>3600</v>
          </cell>
          <cell r="N294">
            <v>57273</v>
          </cell>
          <cell r="O294">
            <v>13908</v>
          </cell>
          <cell r="P294">
            <v>16</v>
          </cell>
          <cell r="Q294">
            <v>2</v>
          </cell>
          <cell r="T294">
            <v>1847.16</v>
          </cell>
          <cell r="U294">
            <v>0</v>
          </cell>
          <cell r="AA294">
            <v>0</v>
          </cell>
          <cell r="AB294">
            <v>251.03533333333334</v>
          </cell>
          <cell r="AD294">
            <v>6882.6758888888889</v>
          </cell>
          <cell r="AN294" t="str">
            <v xml:space="preserve">Contrato emergencial nº </v>
          </cell>
          <cell r="AO294" t="str">
            <v>CL</v>
          </cell>
        </row>
        <row r="295">
          <cell r="D295" t="str">
            <v>1146/11</v>
          </cell>
          <cell r="E295" t="str">
            <v>18/04/2011</v>
          </cell>
          <cell r="F295">
            <v>40830</v>
          </cell>
          <cell r="G295">
            <v>40830</v>
          </cell>
          <cell r="H295" t="str">
            <v>2011-0.081.853-3</v>
          </cell>
          <cell r="I295">
            <v>20511.72</v>
          </cell>
          <cell r="J295" t="str">
            <v xml:space="preserve">              123611122                  2848                    33903600</v>
          </cell>
          <cell r="K295">
            <v>40817</v>
          </cell>
          <cell r="L295">
            <v>14</v>
          </cell>
          <cell r="M295">
            <v>1600</v>
          </cell>
          <cell r="N295">
            <v>57278</v>
          </cell>
          <cell r="O295">
            <v>13974</v>
          </cell>
          <cell r="P295">
            <v>16</v>
          </cell>
          <cell r="Q295">
            <v>3</v>
          </cell>
          <cell r="S295">
            <v>912.55</v>
          </cell>
          <cell r="T295">
            <v>3060</v>
          </cell>
          <cell r="U295">
            <v>475.09100000000012</v>
          </cell>
          <cell r="AA295">
            <v>475.09100000000012</v>
          </cell>
          <cell r="AB295">
            <v>113.95400000000001</v>
          </cell>
          <cell r="AD295">
            <v>3839.62</v>
          </cell>
          <cell r="AN295" t="str">
            <v xml:space="preserve">Contrato emergencial nº </v>
          </cell>
          <cell r="AO295" t="str">
            <v>CL</v>
          </cell>
        </row>
        <row r="296">
          <cell r="D296" t="str">
            <v>1147/11</v>
          </cell>
          <cell r="E296" t="str">
            <v>18/04/2011</v>
          </cell>
          <cell r="F296">
            <v>40830</v>
          </cell>
          <cell r="G296">
            <v>40830</v>
          </cell>
          <cell r="H296" t="str">
            <v>2011-0.081.857-6</v>
          </cell>
          <cell r="I296">
            <v>37607.879999999997</v>
          </cell>
          <cell r="J296" t="str">
            <v xml:space="preserve">              123611122                  2848                    33903600</v>
          </cell>
          <cell r="K296">
            <v>40817</v>
          </cell>
          <cell r="L296">
            <v>14</v>
          </cell>
          <cell r="M296">
            <v>3000</v>
          </cell>
          <cell r="N296">
            <v>57278</v>
          </cell>
          <cell r="O296">
            <v>13979</v>
          </cell>
          <cell r="P296">
            <v>16</v>
          </cell>
          <cell r="Q296">
            <v>3</v>
          </cell>
          <cell r="U296">
            <v>701.07200000000012</v>
          </cell>
          <cell r="AA296">
            <v>701.07200000000012</v>
          </cell>
          <cell r="AB296">
            <v>208.93266666666665</v>
          </cell>
          <cell r="AD296">
            <v>4952.24</v>
          </cell>
          <cell r="AN296" t="str">
            <v xml:space="preserve">Contrato emergencial nº </v>
          </cell>
          <cell r="AO296" t="str">
            <v>CL</v>
          </cell>
        </row>
        <row r="297">
          <cell r="D297" t="str">
            <v>1168/11</v>
          </cell>
          <cell r="E297" t="str">
            <v>18/04/2011</v>
          </cell>
          <cell r="F297">
            <v>40830</v>
          </cell>
          <cell r="G297">
            <v>40830</v>
          </cell>
          <cell r="H297" t="str">
            <v>2011-0.081.722-7</v>
          </cell>
          <cell r="I297">
            <v>37607.879999999997</v>
          </cell>
          <cell r="J297" t="str">
            <v xml:space="preserve">              123611122                  2848                    33903600</v>
          </cell>
          <cell r="K297">
            <v>40817</v>
          </cell>
          <cell r="L297">
            <v>14</v>
          </cell>
          <cell r="M297">
            <v>3000</v>
          </cell>
          <cell r="N297">
            <v>57278</v>
          </cell>
          <cell r="O297">
            <v>13910</v>
          </cell>
          <cell r="P297">
            <v>16</v>
          </cell>
          <cell r="Q297">
            <v>3</v>
          </cell>
          <cell r="T297">
            <v>4376.49</v>
          </cell>
          <cell r="U297">
            <v>0</v>
          </cell>
          <cell r="AA297">
            <v>0</v>
          </cell>
          <cell r="AB297">
            <v>208.93266666666665</v>
          </cell>
          <cell r="AD297">
            <v>6246.7049999999999</v>
          </cell>
          <cell r="AN297" t="str">
            <v xml:space="preserve">Contrato emergencial nº </v>
          </cell>
          <cell r="AO297" t="str">
            <v>CL</v>
          </cell>
        </row>
        <row r="298">
          <cell r="D298" t="str">
            <v>1222/11</v>
          </cell>
          <cell r="E298" t="str">
            <v>18/04/2011</v>
          </cell>
          <cell r="F298">
            <v>40830</v>
          </cell>
          <cell r="G298">
            <v>40830</v>
          </cell>
          <cell r="H298" t="str">
            <v>2011-0.082.543-2</v>
          </cell>
          <cell r="I298">
            <v>30150.54</v>
          </cell>
          <cell r="J298" t="str">
            <v xml:space="preserve">              123611122                  2848                    33903600</v>
          </cell>
          <cell r="K298">
            <v>40817</v>
          </cell>
          <cell r="L298">
            <v>14</v>
          </cell>
          <cell r="M298">
            <v>2400</v>
          </cell>
          <cell r="N298">
            <v>57278</v>
          </cell>
          <cell r="O298">
            <v>12764</v>
          </cell>
          <cell r="P298">
            <v>16</v>
          </cell>
          <cell r="Q298">
            <v>3</v>
          </cell>
          <cell r="T298">
            <v>4326.2</v>
          </cell>
          <cell r="U298">
            <v>0</v>
          </cell>
          <cell r="AA298">
            <v>0</v>
          </cell>
          <cell r="AB298">
            <v>167.50300000000001</v>
          </cell>
          <cell r="AD298">
            <v>5293.6100000000006</v>
          </cell>
          <cell r="AN298" t="str">
            <v xml:space="preserve">Contrato emergencial nº </v>
          </cell>
          <cell r="AO298" t="str">
            <v>CL</v>
          </cell>
        </row>
        <row r="299">
          <cell r="D299" t="str">
            <v>1223/11</v>
          </cell>
          <cell r="E299" t="str">
            <v>18/04/2011</v>
          </cell>
          <cell r="F299">
            <v>40830</v>
          </cell>
          <cell r="G299">
            <v>40830</v>
          </cell>
          <cell r="H299" t="str">
            <v>2011-0.082.548-3</v>
          </cell>
          <cell r="I299">
            <v>30150.54</v>
          </cell>
          <cell r="J299" t="str">
            <v xml:space="preserve">              123611122                  2848                    33903600</v>
          </cell>
          <cell r="K299">
            <v>40817</v>
          </cell>
          <cell r="L299">
            <v>14</v>
          </cell>
          <cell r="M299">
            <v>2400</v>
          </cell>
          <cell r="N299">
            <v>57278</v>
          </cell>
          <cell r="O299">
            <v>12769</v>
          </cell>
          <cell r="P299">
            <v>16</v>
          </cell>
          <cell r="Q299">
            <v>3</v>
          </cell>
          <cell r="S299">
            <v>561.80999999999995</v>
          </cell>
          <cell r="T299">
            <v>4440</v>
          </cell>
          <cell r="U299">
            <v>639.42000000000007</v>
          </cell>
          <cell r="AA299">
            <v>639.42000000000007</v>
          </cell>
          <cell r="AB299">
            <v>167.50300000000001</v>
          </cell>
          <cell r="AD299">
            <v>5452.9</v>
          </cell>
          <cell r="AN299" t="str">
            <v xml:space="preserve">Contrato emergencial nº </v>
          </cell>
          <cell r="AO299" t="str">
            <v>CL</v>
          </cell>
        </row>
        <row r="300">
          <cell r="D300" t="str">
            <v>1169/11</v>
          </cell>
          <cell r="E300" t="str">
            <v>18/04/2011</v>
          </cell>
          <cell r="F300">
            <v>40830</v>
          </cell>
          <cell r="G300">
            <v>40830</v>
          </cell>
          <cell r="H300" t="str">
            <v>2011-0.081.725-1</v>
          </cell>
          <cell r="I300">
            <v>44324.52</v>
          </cell>
          <cell r="J300" t="str">
            <v xml:space="preserve">              123611122                  2848                    33903600</v>
          </cell>
          <cell r="K300">
            <v>40817</v>
          </cell>
          <cell r="L300">
            <v>14</v>
          </cell>
          <cell r="M300">
            <v>3500</v>
          </cell>
          <cell r="N300">
            <v>57278</v>
          </cell>
          <cell r="O300">
            <v>13914</v>
          </cell>
          <cell r="P300">
            <v>16</v>
          </cell>
          <cell r="Q300">
            <v>3</v>
          </cell>
          <cell r="T300">
            <v>4387.2099999999991</v>
          </cell>
          <cell r="U300">
            <v>0</v>
          </cell>
          <cell r="AA300">
            <v>0</v>
          </cell>
          <cell r="AB300">
            <v>246.2473333333333</v>
          </cell>
          <cell r="AD300">
            <v>7100.3600000000006</v>
          </cell>
          <cell r="AN300" t="str">
            <v xml:space="preserve">Contrato emergencial nº </v>
          </cell>
          <cell r="AO300" t="str">
            <v>CS</v>
          </cell>
        </row>
        <row r="301">
          <cell r="D301" t="str">
            <v>1171/11</v>
          </cell>
          <cell r="E301" t="str">
            <v>18/04/2011</v>
          </cell>
          <cell r="F301">
            <v>40830</v>
          </cell>
          <cell r="G301">
            <v>40830</v>
          </cell>
          <cell r="H301" t="str">
            <v>2011-0.081.730-8</v>
          </cell>
          <cell r="I301">
            <v>34992.660000000003</v>
          </cell>
          <cell r="J301" t="str">
            <v xml:space="preserve">              123611122                  2848                    33903600</v>
          </cell>
          <cell r="K301">
            <v>40817</v>
          </cell>
          <cell r="L301">
            <v>14</v>
          </cell>
          <cell r="M301">
            <v>2800</v>
          </cell>
          <cell r="N301">
            <v>57278</v>
          </cell>
          <cell r="O301">
            <v>13925</v>
          </cell>
          <cell r="P301">
            <v>16</v>
          </cell>
          <cell r="Q301">
            <v>3</v>
          </cell>
          <cell r="S301">
            <v>2262.19</v>
          </cell>
          <cell r="T301">
            <v>5160</v>
          </cell>
          <cell r="U301">
            <v>0</v>
          </cell>
          <cell r="AA301">
            <v>0</v>
          </cell>
          <cell r="AB301">
            <v>194.40366666666668</v>
          </cell>
          <cell r="AD301">
            <v>6771.5900000000011</v>
          </cell>
          <cell r="AN301" t="str">
            <v xml:space="preserve">Contrato emergencial nº </v>
          </cell>
          <cell r="AO301" t="str">
            <v>CS</v>
          </cell>
        </row>
        <row r="302">
          <cell r="D302" t="str">
            <v>1172/11</v>
          </cell>
          <cell r="E302" t="str">
            <v>18/04/2011</v>
          </cell>
          <cell r="F302">
            <v>40830</v>
          </cell>
          <cell r="G302">
            <v>40830</v>
          </cell>
          <cell r="H302" t="str">
            <v>2011-0.081.735-9</v>
          </cell>
          <cell r="I302">
            <v>44324.52</v>
          </cell>
          <cell r="J302" t="str">
            <v xml:space="preserve">              123611122                  2848                    33903600</v>
          </cell>
          <cell r="K302">
            <v>40817</v>
          </cell>
          <cell r="L302">
            <v>14</v>
          </cell>
          <cell r="M302">
            <v>3500</v>
          </cell>
          <cell r="N302">
            <v>57278</v>
          </cell>
          <cell r="O302">
            <v>13929</v>
          </cell>
          <cell r="P302">
            <v>16</v>
          </cell>
          <cell r="Q302">
            <v>3</v>
          </cell>
          <cell r="T302">
            <v>2230.6899999999996</v>
          </cell>
          <cell r="U302">
            <v>0</v>
          </cell>
          <cell r="AA302">
            <v>0</v>
          </cell>
          <cell r="AB302">
            <v>246.2473333333333</v>
          </cell>
          <cell r="AD302">
            <v>6756.16</v>
          </cell>
          <cell r="AN302" t="str">
            <v xml:space="preserve">Contrato emergencial nº </v>
          </cell>
          <cell r="AO302" t="str">
            <v>CS</v>
          </cell>
        </row>
        <row r="303">
          <cell r="D303" t="str">
            <v>1202/11</v>
          </cell>
          <cell r="E303" t="str">
            <v>18/04/2011</v>
          </cell>
          <cell r="F303">
            <v>40830</v>
          </cell>
          <cell r="G303">
            <v>40830</v>
          </cell>
          <cell r="H303" t="str">
            <v>2011-0.082.438-0</v>
          </cell>
          <cell r="I303">
            <v>27158.880000000001</v>
          </cell>
          <cell r="J303" t="str">
            <v xml:space="preserve">              123611122                  2848                    33903600</v>
          </cell>
          <cell r="K303">
            <v>40817</v>
          </cell>
          <cell r="L303">
            <v>14</v>
          </cell>
          <cell r="M303">
            <v>2200</v>
          </cell>
          <cell r="N303">
            <v>57278</v>
          </cell>
          <cell r="O303">
            <v>12606</v>
          </cell>
          <cell r="P303">
            <v>16</v>
          </cell>
          <cell r="Q303">
            <v>3</v>
          </cell>
          <cell r="S303">
            <v>2468.17</v>
          </cell>
          <cell r="T303">
            <v>4020</v>
          </cell>
          <cell r="U303">
            <v>0</v>
          </cell>
          <cell r="AA303">
            <v>0</v>
          </cell>
          <cell r="AB303">
            <v>150.88266666666667</v>
          </cell>
          <cell r="AD303">
            <v>5351.14</v>
          </cell>
          <cell r="AN303" t="str">
            <v xml:space="preserve">Contrato emergencial nº </v>
          </cell>
          <cell r="AO303" t="str">
            <v>CS</v>
          </cell>
        </row>
        <row r="304">
          <cell r="D304" t="str">
            <v>1203/11</v>
          </cell>
          <cell r="E304" t="str">
            <v>18/04/2011</v>
          </cell>
          <cell r="F304">
            <v>40830</v>
          </cell>
          <cell r="G304">
            <v>40830</v>
          </cell>
          <cell r="H304" t="str">
            <v>2011-0.082.440-1</v>
          </cell>
          <cell r="I304">
            <v>29744.400000000001</v>
          </cell>
          <cell r="J304" t="str">
            <v xml:space="preserve">              123611122                  2848                    33903600</v>
          </cell>
          <cell r="K304">
            <v>40817</v>
          </cell>
          <cell r="L304">
            <v>14</v>
          </cell>
          <cell r="M304">
            <v>2400</v>
          </cell>
          <cell r="N304">
            <v>57278</v>
          </cell>
          <cell r="O304">
            <v>12609</v>
          </cell>
          <cell r="P304">
            <v>16</v>
          </cell>
          <cell r="Q304">
            <v>3</v>
          </cell>
          <cell r="T304">
            <v>2371.8599999999997</v>
          </cell>
          <cell r="U304">
            <v>0</v>
          </cell>
          <cell r="AA304">
            <v>0</v>
          </cell>
          <cell r="AB304">
            <v>165.24666666666667</v>
          </cell>
          <cell r="AD304">
            <v>4672.3999999999996</v>
          </cell>
          <cell r="AN304" t="str">
            <v xml:space="preserve">Contrato emergencial nº </v>
          </cell>
          <cell r="AO304" t="str">
            <v>CS</v>
          </cell>
        </row>
        <row r="305">
          <cell r="D305" t="str">
            <v>1230/11</v>
          </cell>
          <cell r="E305" t="str">
            <v>18/04/2011</v>
          </cell>
          <cell r="F305">
            <v>40830</v>
          </cell>
          <cell r="G305">
            <v>40830</v>
          </cell>
          <cell r="H305" t="str">
            <v>2011-0.082.579-3</v>
          </cell>
          <cell r="I305">
            <v>30150.54</v>
          </cell>
          <cell r="J305" t="str">
            <v xml:space="preserve">              123611122                  2848                    33903600</v>
          </cell>
          <cell r="K305">
            <v>40817</v>
          </cell>
          <cell r="L305">
            <v>14</v>
          </cell>
          <cell r="M305">
            <v>2400</v>
          </cell>
          <cell r="N305">
            <v>57278</v>
          </cell>
          <cell r="O305">
            <v>12799</v>
          </cell>
          <cell r="P305">
            <v>16</v>
          </cell>
          <cell r="Q305">
            <v>3</v>
          </cell>
          <cell r="S305">
            <v>2747.01</v>
          </cell>
          <cell r="T305">
            <v>4440</v>
          </cell>
          <cell r="U305">
            <v>0</v>
          </cell>
          <cell r="AA305">
            <v>0</v>
          </cell>
          <cell r="AB305">
            <v>167.50300000000001</v>
          </cell>
          <cell r="AD305">
            <v>6037.6900000000005</v>
          </cell>
          <cell r="AN305" t="str">
            <v xml:space="preserve">Contrato emergencial nº </v>
          </cell>
          <cell r="AO305" t="str">
            <v>CS</v>
          </cell>
        </row>
        <row r="306">
          <cell r="D306" t="str">
            <v>1149/11</v>
          </cell>
          <cell r="E306" t="str">
            <v>18/04/2011</v>
          </cell>
          <cell r="F306">
            <v>40830</v>
          </cell>
          <cell r="G306">
            <v>40830</v>
          </cell>
          <cell r="H306" t="str">
            <v>2011-0.081.863-0</v>
          </cell>
          <cell r="I306">
            <v>22185.9</v>
          </cell>
          <cell r="J306" t="str">
            <v xml:space="preserve">              123651121                 2847                    33903600</v>
          </cell>
          <cell r="K306">
            <v>40817</v>
          </cell>
          <cell r="L306">
            <v>14</v>
          </cell>
          <cell r="M306">
            <v>1800</v>
          </cell>
          <cell r="N306">
            <v>57273</v>
          </cell>
          <cell r="O306">
            <v>13989</v>
          </cell>
          <cell r="P306">
            <v>16</v>
          </cell>
          <cell r="Q306">
            <v>2</v>
          </cell>
          <cell r="T306">
            <v>1645.5700000000006</v>
          </cell>
          <cell r="U306">
            <v>0</v>
          </cell>
          <cell r="AA306">
            <v>0</v>
          </cell>
          <cell r="AB306">
            <v>123.25500000000001</v>
          </cell>
          <cell r="AD306">
            <v>3385.8450000000007</v>
          </cell>
          <cell r="AN306" t="str">
            <v xml:space="preserve">Contrato emergencial nº </v>
          </cell>
          <cell r="AO306" t="str">
            <v>CS</v>
          </cell>
        </row>
        <row r="307">
          <cell r="D307" t="str">
            <v>1150/11</v>
          </cell>
          <cell r="E307" t="str">
            <v>18/04/2011</v>
          </cell>
          <cell r="F307">
            <v>40830</v>
          </cell>
          <cell r="G307">
            <v>40830</v>
          </cell>
          <cell r="H307" t="str">
            <v>2011-0.081.866-5</v>
          </cell>
          <cell r="I307">
            <v>44324.52</v>
          </cell>
          <cell r="J307" t="str">
            <v xml:space="preserve">              123651121                 2847                    33903600</v>
          </cell>
          <cell r="K307">
            <v>40817</v>
          </cell>
          <cell r="L307">
            <v>14</v>
          </cell>
          <cell r="M307">
            <v>3500</v>
          </cell>
          <cell r="N307">
            <v>57273</v>
          </cell>
          <cell r="O307">
            <v>13992</v>
          </cell>
          <cell r="P307">
            <v>16</v>
          </cell>
          <cell r="Q307">
            <v>2</v>
          </cell>
          <cell r="T307">
            <v>3273.7099999999996</v>
          </cell>
          <cell r="U307">
            <v>0</v>
          </cell>
          <cell r="AA307">
            <v>0</v>
          </cell>
          <cell r="AB307">
            <v>246.2473333333333</v>
          </cell>
          <cell r="AD307">
            <v>6908.2800000000007</v>
          </cell>
          <cell r="AN307" t="str">
            <v xml:space="preserve">Contrato emergencial nº </v>
          </cell>
          <cell r="AO307" t="str">
            <v>CS</v>
          </cell>
        </row>
        <row r="308">
          <cell r="D308" t="str">
            <v>1197/11</v>
          </cell>
          <cell r="E308" t="str">
            <v>18/04/2011</v>
          </cell>
          <cell r="F308">
            <v>40830</v>
          </cell>
          <cell r="G308">
            <v>40830</v>
          </cell>
          <cell r="H308" t="str">
            <v>2011-0.082.417-7</v>
          </cell>
          <cell r="I308">
            <v>30556.68</v>
          </cell>
          <cell r="J308" t="str">
            <v xml:space="preserve">              123651121                 2847                    33903600</v>
          </cell>
          <cell r="K308">
            <v>40817</v>
          </cell>
          <cell r="L308">
            <v>14</v>
          </cell>
          <cell r="M308">
            <v>2400</v>
          </cell>
          <cell r="N308">
            <v>57273</v>
          </cell>
          <cell r="O308">
            <v>14002</v>
          </cell>
          <cell r="P308">
            <v>16</v>
          </cell>
          <cell r="Q308">
            <v>2</v>
          </cell>
          <cell r="T308">
            <v>3098.3000000000011</v>
          </cell>
          <cell r="U308">
            <v>0</v>
          </cell>
          <cell r="AA308">
            <v>0</v>
          </cell>
          <cell r="AB308">
            <v>169.75933333333333</v>
          </cell>
          <cell r="AD308">
            <v>4973.5400000000009</v>
          </cell>
          <cell r="AN308" t="str">
            <v xml:space="preserve">Contrato emergencial nº </v>
          </cell>
          <cell r="AO308" t="str">
            <v>CS</v>
          </cell>
        </row>
        <row r="309">
          <cell r="D309" t="str">
            <v>1201/11</v>
          </cell>
          <cell r="E309" t="str">
            <v>18/04/2011</v>
          </cell>
          <cell r="F309">
            <v>40830</v>
          </cell>
          <cell r="G309">
            <v>40830</v>
          </cell>
          <cell r="H309" t="str">
            <v>2011-0.082.432-0</v>
          </cell>
          <cell r="I309">
            <v>30556.68</v>
          </cell>
          <cell r="J309" t="str">
            <v xml:space="preserve">              123651121                 2847                    33903600</v>
          </cell>
          <cell r="K309">
            <v>40817</v>
          </cell>
          <cell r="L309">
            <v>14</v>
          </cell>
          <cell r="M309">
            <v>2400</v>
          </cell>
          <cell r="N309">
            <v>57273</v>
          </cell>
          <cell r="O309">
            <v>12599</v>
          </cell>
          <cell r="P309">
            <v>16</v>
          </cell>
          <cell r="Q309">
            <v>2</v>
          </cell>
          <cell r="S309">
            <v>2119.56</v>
          </cell>
          <cell r="T309">
            <v>4500</v>
          </cell>
          <cell r="U309">
            <v>0</v>
          </cell>
          <cell r="AA309">
            <v>0</v>
          </cell>
          <cell r="AB309">
            <v>169.75933333333333</v>
          </cell>
          <cell r="AD309">
            <v>5931.34</v>
          </cell>
          <cell r="AN309" t="str">
            <v xml:space="preserve">Contrato emergencial nº </v>
          </cell>
          <cell r="AO309" t="str">
            <v>CS</v>
          </cell>
        </row>
        <row r="310">
          <cell r="D310" t="str">
            <v>1209/11</v>
          </cell>
          <cell r="E310" t="str">
            <v>18/04/2011</v>
          </cell>
          <cell r="F310">
            <v>40830</v>
          </cell>
          <cell r="G310">
            <v>40830</v>
          </cell>
          <cell r="H310" t="str">
            <v>2011-0.082.460-6</v>
          </cell>
          <cell r="I310">
            <v>20967.419999999998</v>
          </cell>
          <cell r="J310" t="str">
            <v xml:space="preserve">              123651121                 2847                    33903600</v>
          </cell>
          <cell r="K310">
            <v>40817</v>
          </cell>
          <cell r="L310">
            <v>14</v>
          </cell>
          <cell r="M310">
            <v>1700</v>
          </cell>
          <cell r="N310">
            <v>57273</v>
          </cell>
          <cell r="O310">
            <v>12624</v>
          </cell>
          <cell r="P310">
            <v>16</v>
          </cell>
          <cell r="Q310">
            <v>2</v>
          </cell>
          <cell r="T310">
            <v>2297.25</v>
          </cell>
          <cell r="U310">
            <v>0</v>
          </cell>
          <cell r="AA310">
            <v>0</v>
          </cell>
          <cell r="AB310">
            <v>116.48566666666666</v>
          </cell>
          <cell r="AD310">
            <v>3372.9300000000003</v>
          </cell>
          <cell r="AN310" t="str">
            <v xml:space="preserve">Contrato emergencial nº </v>
          </cell>
          <cell r="AO310" t="str">
            <v>CS</v>
          </cell>
        </row>
        <row r="311">
          <cell r="D311" t="str">
            <v>1212/11</v>
          </cell>
          <cell r="E311" t="str">
            <v>18/04/2011</v>
          </cell>
          <cell r="F311">
            <v>40830</v>
          </cell>
          <cell r="G311">
            <v>40830</v>
          </cell>
          <cell r="H311" t="str">
            <v>2011-0.082.474-6</v>
          </cell>
          <cell r="I311">
            <v>44978.400000000001</v>
          </cell>
          <cell r="J311" t="str">
            <v xml:space="preserve">              123651121                 2847                    33903600</v>
          </cell>
          <cell r="K311">
            <v>40817</v>
          </cell>
          <cell r="L311">
            <v>14</v>
          </cell>
          <cell r="M311">
            <v>3500</v>
          </cell>
          <cell r="N311">
            <v>57273</v>
          </cell>
          <cell r="O311">
            <v>12636</v>
          </cell>
          <cell r="P311">
            <v>16</v>
          </cell>
          <cell r="Q311">
            <v>2</v>
          </cell>
          <cell r="T311">
            <v>6600</v>
          </cell>
          <cell r="U311">
            <v>0</v>
          </cell>
          <cell r="AA311">
            <v>0</v>
          </cell>
          <cell r="AB311">
            <v>249.88</v>
          </cell>
          <cell r="AD311">
            <v>6058.1399999999994</v>
          </cell>
          <cell r="AN311" t="str">
            <v xml:space="preserve">Contrato emergencial nº </v>
          </cell>
          <cell r="AO311" t="str">
            <v>CS</v>
          </cell>
        </row>
        <row r="312">
          <cell r="D312" t="str">
            <v>1213/11</v>
          </cell>
          <cell r="E312" t="str">
            <v>18/04/2011</v>
          </cell>
          <cell r="F312">
            <v>40830</v>
          </cell>
          <cell r="G312">
            <v>40830</v>
          </cell>
          <cell r="H312" t="str">
            <v>2011-0.082.499-1</v>
          </cell>
          <cell r="I312">
            <v>44324.52</v>
          </cell>
          <cell r="J312" t="str">
            <v xml:space="preserve">              123651121                 2847                    33903600</v>
          </cell>
          <cell r="K312">
            <v>40817</v>
          </cell>
          <cell r="L312">
            <v>14</v>
          </cell>
          <cell r="M312">
            <v>3500</v>
          </cell>
          <cell r="N312">
            <v>57273</v>
          </cell>
          <cell r="O312">
            <v>12640</v>
          </cell>
          <cell r="P312">
            <v>16</v>
          </cell>
          <cell r="Q312">
            <v>2</v>
          </cell>
          <cell r="T312">
            <v>4405.91</v>
          </cell>
          <cell r="U312">
            <v>0</v>
          </cell>
          <cell r="AA312">
            <v>0</v>
          </cell>
          <cell r="AB312">
            <v>246.2473333333333</v>
          </cell>
          <cell r="AD312">
            <v>7192.6600000000008</v>
          </cell>
          <cell r="AN312" t="str">
            <v xml:space="preserve">Contrato emergencial nº </v>
          </cell>
          <cell r="AO312" t="str">
            <v>CS</v>
          </cell>
        </row>
        <row r="313">
          <cell r="D313" t="str">
            <v>1170/11</v>
          </cell>
          <cell r="E313" t="str">
            <v>18/04/2011</v>
          </cell>
          <cell r="F313">
            <v>40830</v>
          </cell>
          <cell r="G313">
            <v>40830</v>
          </cell>
          <cell r="H313" t="str">
            <v>2011-0.081.727-8</v>
          </cell>
          <cell r="I313">
            <v>37607.879999999997</v>
          </cell>
          <cell r="J313" t="str">
            <v xml:space="preserve">             123671125                  2863                   33903600</v>
          </cell>
          <cell r="K313">
            <v>40817</v>
          </cell>
          <cell r="L313">
            <v>14</v>
          </cell>
          <cell r="M313">
            <v>3000</v>
          </cell>
          <cell r="N313">
            <v>29188</v>
          </cell>
          <cell r="O313">
            <v>13920</v>
          </cell>
          <cell r="P313">
            <v>16</v>
          </cell>
          <cell r="Q313">
            <v>0</v>
          </cell>
          <cell r="T313">
            <v>623.55999999999949</v>
          </cell>
          <cell r="U313">
            <v>0</v>
          </cell>
          <cell r="AA313">
            <v>0</v>
          </cell>
          <cell r="AB313">
            <v>208.93266666666665</v>
          </cell>
          <cell r="AD313">
            <v>5430.7399999999989</v>
          </cell>
          <cell r="AN313" t="str">
            <v xml:space="preserve">Contrato emergencial nº </v>
          </cell>
          <cell r="AO313" t="str">
            <v>CS</v>
          </cell>
        </row>
        <row r="314">
          <cell r="D314" t="str">
            <v>1151/11</v>
          </cell>
          <cell r="E314" t="str">
            <v>18/04/2011</v>
          </cell>
          <cell r="F314">
            <v>40830</v>
          </cell>
          <cell r="G314">
            <v>40830</v>
          </cell>
          <cell r="H314" t="str">
            <v>2011-0.081.869-0</v>
          </cell>
          <cell r="I314">
            <v>26039.46</v>
          </cell>
          <cell r="J314" t="str">
            <v xml:space="preserve">              123651121                 2847                    33903600</v>
          </cell>
          <cell r="K314">
            <v>40817</v>
          </cell>
          <cell r="L314">
            <v>14</v>
          </cell>
          <cell r="M314">
            <v>2100</v>
          </cell>
          <cell r="N314">
            <v>57273</v>
          </cell>
          <cell r="O314">
            <v>13995</v>
          </cell>
          <cell r="P314">
            <v>16</v>
          </cell>
          <cell r="Q314">
            <v>2</v>
          </cell>
          <cell r="T314">
            <v>1640.15</v>
          </cell>
          <cell r="U314">
            <v>0</v>
          </cell>
          <cell r="AA314">
            <v>0</v>
          </cell>
          <cell r="AB314">
            <v>144.66366666666667</v>
          </cell>
          <cell r="AD314">
            <v>4001.19</v>
          </cell>
          <cell r="AN314" t="str">
            <v xml:space="preserve">Contrato emergencial nº </v>
          </cell>
          <cell r="AO314" t="str">
            <v>FO</v>
          </cell>
        </row>
        <row r="315">
          <cell r="D315" t="str">
            <v>1152/11</v>
          </cell>
          <cell r="E315" t="str">
            <v>18/04/2011</v>
          </cell>
          <cell r="F315">
            <v>40830</v>
          </cell>
          <cell r="G315">
            <v>40830</v>
          </cell>
          <cell r="H315" t="str">
            <v>2011-0.081.871-1</v>
          </cell>
          <cell r="I315">
            <v>24414.78</v>
          </cell>
          <cell r="J315" t="str">
            <v xml:space="preserve">              123651121                 2847                    33903600</v>
          </cell>
          <cell r="K315">
            <v>40817</v>
          </cell>
          <cell r="L315">
            <v>14</v>
          </cell>
          <cell r="M315">
            <v>1900</v>
          </cell>
          <cell r="N315">
            <v>57273</v>
          </cell>
          <cell r="O315">
            <v>14001</v>
          </cell>
          <cell r="P315">
            <v>16</v>
          </cell>
          <cell r="Q315">
            <v>2</v>
          </cell>
          <cell r="T315">
            <v>3280.42</v>
          </cell>
          <cell r="U315">
            <v>0</v>
          </cell>
          <cell r="AA315">
            <v>0</v>
          </cell>
          <cell r="AB315">
            <v>135.63766666666666</v>
          </cell>
          <cell r="AD315">
            <v>4154.38</v>
          </cell>
          <cell r="AN315" t="str">
            <v xml:space="preserve">Contrato emergencial nº </v>
          </cell>
          <cell r="AO315" t="str">
            <v>FO</v>
          </cell>
        </row>
        <row r="316">
          <cell r="D316" t="str">
            <v>1153/11</v>
          </cell>
          <cell r="E316" t="str">
            <v>18/04/2011</v>
          </cell>
          <cell r="F316">
            <v>40830</v>
          </cell>
          <cell r="G316">
            <v>40830</v>
          </cell>
          <cell r="H316" t="str">
            <v>2011-0.081.876-2</v>
          </cell>
          <cell r="I316">
            <v>37607.879999999997</v>
          </cell>
          <cell r="J316" t="str">
            <v xml:space="preserve">              123651121                 2847                    33903600</v>
          </cell>
          <cell r="K316">
            <v>40817</v>
          </cell>
          <cell r="L316">
            <v>14</v>
          </cell>
          <cell r="M316">
            <v>3000</v>
          </cell>
          <cell r="N316">
            <v>57273</v>
          </cell>
          <cell r="O316">
            <v>14005</v>
          </cell>
          <cell r="P316">
            <v>16</v>
          </cell>
          <cell r="Q316">
            <v>2</v>
          </cell>
          <cell r="T316">
            <v>5520</v>
          </cell>
          <cell r="U316">
            <v>1787.7745</v>
          </cell>
          <cell r="AA316">
            <v>1787.7745</v>
          </cell>
          <cell r="AB316">
            <v>208.93266666666665</v>
          </cell>
          <cell r="AD316">
            <v>5255.4170000000004</v>
          </cell>
          <cell r="AN316" t="str">
            <v xml:space="preserve">Contrato emergencial nº </v>
          </cell>
          <cell r="AO316" t="str">
            <v>FO</v>
          </cell>
        </row>
        <row r="317">
          <cell r="D317" t="str">
            <v>1173/11</v>
          </cell>
          <cell r="E317" t="str">
            <v>18/04/2011</v>
          </cell>
          <cell r="F317">
            <v>40830</v>
          </cell>
          <cell r="G317">
            <v>40830</v>
          </cell>
          <cell r="H317" t="str">
            <v>2011-0.081.743-0</v>
          </cell>
          <cell r="I317">
            <v>39569.46</v>
          </cell>
          <cell r="J317" t="str">
            <v xml:space="preserve">              123651121                 2847                    33903600</v>
          </cell>
          <cell r="K317">
            <v>40817</v>
          </cell>
          <cell r="L317">
            <v>14</v>
          </cell>
          <cell r="M317">
            <v>3100</v>
          </cell>
          <cell r="N317">
            <v>57273</v>
          </cell>
          <cell r="O317">
            <v>13933</v>
          </cell>
          <cell r="P317">
            <v>16</v>
          </cell>
          <cell r="Q317">
            <v>2</v>
          </cell>
          <cell r="T317">
            <v>5820</v>
          </cell>
          <cell r="U317">
            <v>526.85533333333342</v>
          </cell>
          <cell r="AA317">
            <v>526.85533333333342</v>
          </cell>
          <cell r="AB317">
            <v>219.83033333333333</v>
          </cell>
          <cell r="AD317">
            <v>5233.6400000000003</v>
          </cell>
          <cell r="AN317" t="str">
            <v xml:space="preserve">Contrato emergencial nº </v>
          </cell>
          <cell r="AO317" t="str">
            <v>FO</v>
          </cell>
        </row>
        <row r="318">
          <cell r="D318" t="str">
            <v>1174/11</v>
          </cell>
          <cell r="E318" t="str">
            <v>18/04/2011</v>
          </cell>
          <cell r="F318">
            <v>40830</v>
          </cell>
          <cell r="G318">
            <v>40830</v>
          </cell>
          <cell r="H318" t="str">
            <v>2011-0.081.744-8</v>
          </cell>
          <cell r="I318">
            <v>37607.879999999997</v>
          </cell>
          <cell r="J318" t="str">
            <v xml:space="preserve">              123651121                 2847                    33903600</v>
          </cell>
          <cell r="K318">
            <v>40817</v>
          </cell>
          <cell r="L318">
            <v>14</v>
          </cell>
          <cell r="M318">
            <v>3000</v>
          </cell>
          <cell r="N318">
            <v>57273</v>
          </cell>
          <cell r="O318">
            <v>13954</v>
          </cell>
          <cell r="P318">
            <v>16</v>
          </cell>
          <cell r="Q318">
            <v>2</v>
          </cell>
          <cell r="T318">
            <v>5520</v>
          </cell>
          <cell r="U318">
            <v>0</v>
          </cell>
          <cell r="AA318">
            <v>0</v>
          </cell>
          <cell r="AB318">
            <v>208.93266666666665</v>
          </cell>
          <cell r="AD318">
            <v>4934.5800000000008</v>
          </cell>
          <cell r="AN318" t="str">
            <v xml:space="preserve">Contrato emergencial nº </v>
          </cell>
          <cell r="AO318" t="str">
            <v>FO</v>
          </cell>
        </row>
        <row r="319">
          <cell r="D319" t="str">
            <v>1175/11</v>
          </cell>
          <cell r="E319" t="str">
            <v>18/04/2011</v>
          </cell>
          <cell r="F319">
            <v>40830</v>
          </cell>
          <cell r="G319">
            <v>40830</v>
          </cell>
          <cell r="H319" t="str">
            <v>2011-0.081.746-4</v>
          </cell>
          <cell r="I319">
            <v>37607.879999999997</v>
          </cell>
          <cell r="J319" t="str">
            <v xml:space="preserve">              123651121                 2847                    33903600</v>
          </cell>
          <cell r="K319">
            <v>40817</v>
          </cell>
          <cell r="L319">
            <v>14</v>
          </cell>
          <cell r="M319">
            <v>3000</v>
          </cell>
          <cell r="N319">
            <v>57273</v>
          </cell>
          <cell r="O319">
            <v>13959</v>
          </cell>
          <cell r="P319">
            <v>16</v>
          </cell>
          <cell r="Q319">
            <v>2</v>
          </cell>
          <cell r="T319">
            <v>232.73</v>
          </cell>
          <cell r="U319">
            <v>0</v>
          </cell>
          <cell r="AA319">
            <v>0</v>
          </cell>
          <cell r="AB319">
            <v>208.93266666666665</v>
          </cell>
          <cell r="AD319">
            <v>5552.8874999999998</v>
          </cell>
          <cell r="AN319" t="str">
            <v xml:space="preserve">Contrato emergencial nº </v>
          </cell>
          <cell r="AO319" t="str">
            <v>FO</v>
          </cell>
        </row>
        <row r="320">
          <cell r="D320" t="str">
            <v>1214/11</v>
          </cell>
          <cell r="E320" t="str">
            <v>18/04/2011</v>
          </cell>
          <cell r="F320">
            <v>40830</v>
          </cell>
          <cell r="G320">
            <v>40830</v>
          </cell>
          <cell r="H320" t="str">
            <v>2011-0.082.503-3</v>
          </cell>
          <cell r="I320">
            <v>37607.879999999997</v>
          </cell>
          <cell r="J320" t="str">
            <v xml:space="preserve">              123651121                 2847                    33903600</v>
          </cell>
          <cell r="K320">
            <v>40817</v>
          </cell>
          <cell r="L320">
            <v>14</v>
          </cell>
          <cell r="M320">
            <v>3000</v>
          </cell>
          <cell r="N320">
            <v>57273</v>
          </cell>
          <cell r="O320">
            <v>12645</v>
          </cell>
          <cell r="P320">
            <v>16</v>
          </cell>
          <cell r="Q320">
            <v>2</v>
          </cell>
          <cell r="T320">
            <v>5520</v>
          </cell>
          <cell r="U320">
            <v>583.71400000000017</v>
          </cell>
          <cell r="AA320">
            <v>583.71400000000017</v>
          </cell>
          <cell r="AB320">
            <v>208.93266666666665</v>
          </cell>
          <cell r="AD320">
            <v>4955.79</v>
          </cell>
          <cell r="AN320" t="str">
            <v xml:space="preserve">Contrato emergencial nº </v>
          </cell>
          <cell r="AO320" t="str">
            <v>FO</v>
          </cell>
        </row>
        <row r="321">
          <cell r="D321" t="str">
            <v>1215/11</v>
          </cell>
          <cell r="E321" t="str">
            <v>18/04/2011</v>
          </cell>
          <cell r="F321">
            <v>40830</v>
          </cell>
          <cell r="G321">
            <v>40830</v>
          </cell>
          <cell r="H321" t="str">
            <v>2011-0.082.508-4</v>
          </cell>
          <cell r="I321">
            <v>44978.400000000001</v>
          </cell>
          <cell r="J321" t="str">
            <v xml:space="preserve">              123651121                 2847                    33903600</v>
          </cell>
          <cell r="K321">
            <v>40817</v>
          </cell>
          <cell r="L321">
            <v>14</v>
          </cell>
          <cell r="M321">
            <v>3500</v>
          </cell>
          <cell r="N321">
            <v>57273</v>
          </cell>
          <cell r="O321">
            <v>12650</v>
          </cell>
          <cell r="P321">
            <v>16</v>
          </cell>
          <cell r="Q321">
            <v>2</v>
          </cell>
          <cell r="T321">
            <v>6600</v>
          </cell>
          <cell r="U321">
            <v>0</v>
          </cell>
          <cell r="AA321">
            <v>0</v>
          </cell>
          <cell r="AB321">
            <v>249.88</v>
          </cell>
          <cell r="AD321">
            <v>5484.4299999999994</v>
          </cell>
          <cell r="AN321" t="str">
            <v xml:space="preserve">Contrato emergencial nº </v>
          </cell>
          <cell r="AO321" t="str">
            <v>FO</v>
          </cell>
        </row>
        <row r="322">
          <cell r="D322" t="str">
            <v>1228/11</v>
          </cell>
          <cell r="E322" t="str">
            <v>18/04/2011</v>
          </cell>
          <cell r="F322">
            <v>40830</v>
          </cell>
          <cell r="G322">
            <v>40830</v>
          </cell>
          <cell r="H322" t="str">
            <v>2011-0.082.573-4</v>
          </cell>
          <cell r="I322">
            <v>26039.46</v>
          </cell>
          <cell r="J322" t="str">
            <v xml:space="preserve">              123651121                 2847                    33903600</v>
          </cell>
          <cell r="K322">
            <v>40817</v>
          </cell>
          <cell r="L322">
            <v>14</v>
          </cell>
          <cell r="M322">
            <v>2100</v>
          </cell>
          <cell r="N322">
            <v>57273</v>
          </cell>
          <cell r="O322">
            <v>12791</v>
          </cell>
          <cell r="P322">
            <v>16</v>
          </cell>
          <cell r="Q322">
            <v>2</v>
          </cell>
          <cell r="S322">
            <v>896.74</v>
          </cell>
          <cell r="T322">
            <v>5120</v>
          </cell>
          <cell r="U322">
            <v>552.35133333333329</v>
          </cell>
          <cell r="AA322">
            <v>552.35133333333329</v>
          </cell>
          <cell r="AB322">
            <v>144.66366666666667</v>
          </cell>
          <cell r="AD322">
            <v>4844.8100000000004</v>
          </cell>
          <cell r="AN322" t="str">
            <v xml:space="preserve">Contrato emergencial nº </v>
          </cell>
          <cell r="AO322" t="str">
            <v>FO</v>
          </cell>
        </row>
        <row r="323">
          <cell r="D323" t="str">
            <v>1176/11</v>
          </cell>
          <cell r="E323" t="str">
            <v>18/04/2011</v>
          </cell>
          <cell r="F323">
            <v>40830</v>
          </cell>
          <cell r="G323">
            <v>40830</v>
          </cell>
          <cell r="H323" t="str">
            <v>2011-0.081.751-0</v>
          </cell>
          <cell r="I323">
            <v>37607.879999999997</v>
          </cell>
          <cell r="J323" t="str">
            <v xml:space="preserve">             123671125                  2863                   33903600</v>
          </cell>
          <cell r="K323">
            <v>40817</v>
          </cell>
          <cell r="L323">
            <v>14</v>
          </cell>
          <cell r="M323">
            <v>3000</v>
          </cell>
          <cell r="N323">
            <v>57287</v>
          </cell>
          <cell r="O323">
            <v>13965</v>
          </cell>
          <cell r="P323">
            <v>16</v>
          </cell>
          <cell r="Q323">
            <v>4</v>
          </cell>
          <cell r="T323">
            <v>5520</v>
          </cell>
          <cell r="U323">
            <v>398.39650000000006</v>
          </cell>
          <cell r="AA323">
            <v>398.39650000000006</v>
          </cell>
          <cell r="AB323">
            <v>208.93266666666665</v>
          </cell>
          <cell r="AD323">
            <v>4959.799</v>
          </cell>
          <cell r="AN323" t="str">
            <v xml:space="preserve">Contrato emergencial nº </v>
          </cell>
          <cell r="AO323" t="str">
            <v>FO</v>
          </cell>
        </row>
        <row r="324">
          <cell r="D324" t="str">
            <v>1177/11</v>
          </cell>
          <cell r="E324" t="str">
            <v>18/04/2011</v>
          </cell>
          <cell r="F324">
            <v>40830</v>
          </cell>
          <cell r="G324">
            <v>40830</v>
          </cell>
          <cell r="H324" t="str">
            <v>2011-0.081.756-1</v>
          </cell>
          <cell r="I324">
            <v>44324.52</v>
          </cell>
          <cell r="J324" t="str">
            <v xml:space="preserve">              123611122                  2848                    33903600</v>
          </cell>
          <cell r="K324">
            <v>40817</v>
          </cell>
          <cell r="L324">
            <v>14</v>
          </cell>
          <cell r="M324">
            <v>3500</v>
          </cell>
          <cell r="N324">
            <v>57278</v>
          </cell>
          <cell r="O324">
            <v>13972</v>
          </cell>
          <cell r="P324">
            <v>16</v>
          </cell>
          <cell r="Q324">
            <v>3</v>
          </cell>
          <cell r="T324">
            <v>692.14</v>
          </cell>
          <cell r="U324">
            <v>0</v>
          </cell>
          <cell r="AA324">
            <v>0</v>
          </cell>
          <cell r="AB324">
            <v>246.2473333333333</v>
          </cell>
          <cell r="AD324">
            <v>6366.2599999999993</v>
          </cell>
          <cell r="AN324" t="str">
            <v xml:space="preserve">Contrato emergencial nº </v>
          </cell>
          <cell r="AO324" t="str">
            <v>FO</v>
          </cell>
        </row>
        <row r="325">
          <cell r="D325" t="str">
            <v>1178/11</v>
          </cell>
          <cell r="E325" t="str">
            <v>18/04/2011</v>
          </cell>
          <cell r="F325">
            <v>40830</v>
          </cell>
          <cell r="G325">
            <v>40830</v>
          </cell>
          <cell r="H325" t="str">
            <v>2011-0.081.758-8</v>
          </cell>
          <cell r="I325">
            <v>24266.22</v>
          </cell>
          <cell r="J325" t="str">
            <v xml:space="preserve">              123611122                  2848                    33903600</v>
          </cell>
          <cell r="K325">
            <v>40817</v>
          </cell>
          <cell r="L325">
            <v>14</v>
          </cell>
          <cell r="M325">
            <v>5900</v>
          </cell>
          <cell r="N325">
            <v>57278</v>
          </cell>
          <cell r="O325">
            <v>13977</v>
          </cell>
          <cell r="P325">
            <v>16</v>
          </cell>
          <cell r="Q325">
            <v>3</v>
          </cell>
          <cell r="S325">
            <v>4192.24</v>
          </cell>
          <cell r="T325">
            <v>5900</v>
          </cell>
          <cell r="U325">
            <v>208.85866666666698</v>
          </cell>
          <cell r="AA325">
            <v>208.85866666666698</v>
          </cell>
          <cell r="AB325">
            <v>134.81233333333333</v>
          </cell>
          <cell r="AD325">
            <v>4192.24</v>
          </cell>
          <cell r="AN325" t="str">
            <v xml:space="preserve">Contrato emergencial nº </v>
          </cell>
          <cell r="AO325" t="str">
            <v>FO</v>
          </cell>
        </row>
        <row r="326">
          <cell r="D326" t="str">
            <v>1198/11</v>
          </cell>
          <cell r="E326" t="str">
            <v>18/04/2011</v>
          </cell>
          <cell r="F326">
            <v>40830</v>
          </cell>
          <cell r="G326">
            <v>40830</v>
          </cell>
          <cell r="H326" t="str">
            <v>2011-0.082.422-3</v>
          </cell>
          <cell r="I326">
            <v>30150.54</v>
          </cell>
          <cell r="J326" t="str">
            <v xml:space="preserve">              123611122                  2848                    33903600</v>
          </cell>
          <cell r="K326">
            <v>40817</v>
          </cell>
          <cell r="L326">
            <v>14</v>
          </cell>
          <cell r="M326">
            <v>2400</v>
          </cell>
          <cell r="N326">
            <v>57278</v>
          </cell>
          <cell r="O326">
            <v>14004</v>
          </cell>
          <cell r="P326">
            <v>16</v>
          </cell>
          <cell r="Q326">
            <v>3</v>
          </cell>
          <cell r="S326">
            <v>116.5</v>
          </cell>
          <cell r="T326">
            <v>5920</v>
          </cell>
          <cell r="U326">
            <v>0</v>
          </cell>
          <cell r="AA326">
            <v>0</v>
          </cell>
          <cell r="AB326">
            <v>167.50300000000001</v>
          </cell>
          <cell r="AD326">
            <v>5073.3500000000004</v>
          </cell>
          <cell r="AN326" t="str">
            <v xml:space="preserve">Contrato emergencial nº </v>
          </cell>
          <cell r="AO326" t="str">
            <v>FO</v>
          </cell>
        </row>
        <row r="327">
          <cell r="D327" t="str">
            <v>1232/11</v>
          </cell>
          <cell r="E327" t="str">
            <v>18/04/2011</v>
          </cell>
          <cell r="F327">
            <v>40830</v>
          </cell>
          <cell r="G327">
            <v>40830</v>
          </cell>
          <cell r="H327" t="str">
            <v>2011-0.082.592-0</v>
          </cell>
          <cell r="I327">
            <v>37607.879999999997</v>
          </cell>
          <cell r="J327" t="str">
            <v xml:space="preserve">              123611122                  2848                    33903600</v>
          </cell>
          <cell r="K327">
            <v>40817</v>
          </cell>
          <cell r="L327">
            <v>14</v>
          </cell>
          <cell r="M327">
            <v>3000</v>
          </cell>
          <cell r="N327">
            <v>57278</v>
          </cell>
          <cell r="O327">
            <v>12805</v>
          </cell>
          <cell r="P327">
            <v>16</v>
          </cell>
          <cell r="Q327">
            <v>3</v>
          </cell>
          <cell r="T327">
            <v>5520</v>
          </cell>
          <cell r="U327">
            <v>600.73</v>
          </cell>
          <cell r="AA327">
            <v>600.73</v>
          </cell>
          <cell r="AB327">
            <v>208.93266666666665</v>
          </cell>
          <cell r="AD327">
            <v>4976.9250000000011</v>
          </cell>
          <cell r="AN327" t="str">
            <v xml:space="preserve">Contrato emergencial nº </v>
          </cell>
          <cell r="AO327" t="str">
            <v>FO</v>
          </cell>
        </row>
        <row r="328">
          <cell r="D328" t="str">
            <v>1155/11</v>
          </cell>
          <cell r="E328" t="str">
            <v>18/04/2011</v>
          </cell>
          <cell r="F328">
            <v>40830</v>
          </cell>
          <cell r="G328">
            <v>40830</v>
          </cell>
          <cell r="H328" t="str">
            <v>2011-0.081.884-3</v>
          </cell>
          <cell r="I328">
            <v>37607.879999999997</v>
          </cell>
          <cell r="J328" t="str">
            <v xml:space="preserve">              123651121                 2847                    33903600</v>
          </cell>
          <cell r="K328">
            <v>40817</v>
          </cell>
          <cell r="L328">
            <v>14</v>
          </cell>
          <cell r="M328">
            <v>3000</v>
          </cell>
          <cell r="N328">
            <v>57273</v>
          </cell>
          <cell r="O328">
            <v>14008</v>
          </cell>
          <cell r="P328">
            <v>16</v>
          </cell>
          <cell r="Q328">
            <v>2</v>
          </cell>
          <cell r="T328">
            <v>4284.68</v>
          </cell>
          <cell r="U328">
            <v>0</v>
          </cell>
          <cell r="AA328">
            <v>0</v>
          </cell>
          <cell r="AB328">
            <v>208.93266666666665</v>
          </cell>
          <cell r="AD328">
            <v>6168.9800000000014</v>
          </cell>
          <cell r="AN328" t="str">
            <v xml:space="preserve">Contrato emergencial nº </v>
          </cell>
          <cell r="AO328" t="str">
            <v>G</v>
          </cell>
        </row>
        <row r="329">
          <cell r="D329" t="str">
            <v>1179/11</v>
          </cell>
          <cell r="E329" t="str">
            <v>18/04/2011</v>
          </cell>
          <cell r="F329">
            <v>40830</v>
          </cell>
          <cell r="G329">
            <v>40830</v>
          </cell>
          <cell r="H329" t="str">
            <v>2011-0.082-255-7</v>
          </cell>
          <cell r="I329">
            <v>30150.54</v>
          </cell>
          <cell r="J329" t="str">
            <v xml:space="preserve">              123651121                 2847                    33903600</v>
          </cell>
          <cell r="K329">
            <v>40817</v>
          </cell>
          <cell r="L329">
            <v>14</v>
          </cell>
          <cell r="M329">
            <v>2400</v>
          </cell>
          <cell r="N329">
            <v>57273</v>
          </cell>
          <cell r="O329">
            <v>13980</v>
          </cell>
          <cell r="P329">
            <v>16</v>
          </cell>
          <cell r="Q329">
            <v>2</v>
          </cell>
          <cell r="T329">
            <v>3922.09</v>
          </cell>
          <cell r="U329">
            <v>0</v>
          </cell>
          <cell r="AA329">
            <v>0</v>
          </cell>
          <cell r="AB329">
            <v>167.50300000000001</v>
          </cell>
          <cell r="AD329">
            <v>5318.85</v>
          </cell>
          <cell r="AN329" t="str">
            <v xml:space="preserve">Contrato emergencial nº </v>
          </cell>
          <cell r="AO329" t="str">
            <v>G</v>
          </cell>
        </row>
        <row r="330">
          <cell r="D330" t="str">
            <v>1180/11</v>
          </cell>
          <cell r="E330" t="str">
            <v>18/04/2011</v>
          </cell>
          <cell r="F330">
            <v>40830</v>
          </cell>
          <cell r="G330">
            <v>40830</v>
          </cell>
          <cell r="H330" t="str">
            <v>2011-0.082.257-3</v>
          </cell>
          <cell r="I330">
            <v>37607.879999999997</v>
          </cell>
          <cell r="J330" t="str">
            <v xml:space="preserve">              123651121                 2847                    33903600</v>
          </cell>
          <cell r="K330">
            <v>40817</v>
          </cell>
          <cell r="L330">
            <v>14</v>
          </cell>
          <cell r="M330">
            <v>3000</v>
          </cell>
          <cell r="N330">
            <v>57273</v>
          </cell>
          <cell r="O330">
            <v>13983</v>
          </cell>
          <cell r="P330">
            <v>16</v>
          </cell>
          <cell r="Q330">
            <v>2</v>
          </cell>
          <cell r="T330">
            <v>2215.6999999999998</v>
          </cell>
          <cell r="U330">
            <v>0</v>
          </cell>
          <cell r="AA330">
            <v>0</v>
          </cell>
          <cell r="AB330">
            <v>208.93266666666665</v>
          </cell>
          <cell r="AD330">
            <v>5829.94</v>
          </cell>
          <cell r="AN330" t="str">
            <v xml:space="preserve">Contrato emergencial nº </v>
          </cell>
          <cell r="AO330" t="str">
            <v>G</v>
          </cell>
        </row>
        <row r="331">
          <cell r="D331" t="str">
            <v>1181/11</v>
          </cell>
          <cell r="E331" t="str">
            <v>18/04/2011</v>
          </cell>
          <cell r="F331">
            <v>40830</v>
          </cell>
          <cell r="G331">
            <v>40830</v>
          </cell>
          <cell r="H331" t="str">
            <v>2011-0.082.258-1</v>
          </cell>
          <cell r="I331">
            <v>37607.879999999997</v>
          </cell>
          <cell r="J331" t="str">
            <v xml:space="preserve">              123611122                  2848                    33903600</v>
          </cell>
          <cell r="K331">
            <v>40817</v>
          </cell>
          <cell r="L331">
            <v>14</v>
          </cell>
          <cell r="M331">
            <v>3000</v>
          </cell>
          <cell r="N331">
            <v>57278</v>
          </cell>
          <cell r="O331">
            <v>13986</v>
          </cell>
          <cell r="P331">
            <v>16</v>
          </cell>
          <cell r="Q331">
            <v>3</v>
          </cell>
          <cell r="T331">
            <v>5520</v>
          </cell>
          <cell r="U331">
            <v>790.38</v>
          </cell>
          <cell r="AA331">
            <v>790.38</v>
          </cell>
          <cell r="AB331">
            <v>208.93266666666665</v>
          </cell>
          <cell r="AD331">
            <v>5026.9800000000005</v>
          </cell>
          <cell r="AN331" t="str">
            <v xml:space="preserve">Contrato emergencial nº </v>
          </cell>
          <cell r="AO331" t="str">
            <v>G</v>
          </cell>
        </row>
        <row r="332">
          <cell r="D332" t="str">
            <v>1199/11</v>
          </cell>
          <cell r="E332" t="str">
            <v>18/04/2011</v>
          </cell>
          <cell r="F332">
            <v>40830</v>
          </cell>
          <cell r="G332">
            <v>40830</v>
          </cell>
          <cell r="H332" t="str">
            <v>2011-0.082.427-4</v>
          </cell>
          <cell r="I332">
            <v>30150.54</v>
          </cell>
          <cell r="J332" t="str">
            <v xml:space="preserve">              123611122                  2848                    33903600</v>
          </cell>
          <cell r="K332">
            <v>40817</v>
          </cell>
          <cell r="L332">
            <v>14</v>
          </cell>
          <cell r="M332">
            <v>2400</v>
          </cell>
          <cell r="N332">
            <v>57278</v>
          </cell>
          <cell r="O332">
            <v>14006</v>
          </cell>
          <cell r="P332">
            <v>16</v>
          </cell>
          <cell r="Q332">
            <v>3</v>
          </cell>
          <cell r="T332">
            <v>430.37</v>
          </cell>
          <cell r="U332">
            <v>0</v>
          </cell>
          <cell r="AA332">
            <v>0</v>
          </cell>
          <cell r="AB332">
            <v>167.50300000000001</v>
          </cell>
          <cell r="AN332" t="str">
            <v xml:space="preserve">Contrato emergencial nº </v>
          </cell>
          <cell r="AO332" t="str">
            <v>G</v>
          </cell>
        </row>
        <row r="333">
          <cell r="D333" t="str">
            <v>1221/11</v>
          </cell>
          <cell r="E333" t="str">
            <v>18/04/2011</v>
          </cell>
          <cell r="F333">
            <v>40830</v>
          </cell>
          <cell r="G333">
            <v>40830</v>
          </cell>
          <cell r="H333" t="str">
            <v>2011-0.082.538-6</v>
          </cell>
          <cell r="I333">
            <v>37607.879999999997</v>
          </cell>
          <cell r="J333" t="str">
            <v xml:space="preserve">              123651121                 2847                    33903600</v>
          </cell>
          <cell r="K333">
            <v>40817</v>
          </cell>
          <cell r="L333">
            <v>14</v>
          </cell>
          <cell r="M333">
            <v>3000</v>
          </cell>
          <cell r="N333">
            <v>57273</v>
          </cell>
          <cell r="O333">
            <v>12759</v>
          </cell>
          <cell r="P333">
            <v>16</v>
          </cell>
          <cell r="Q333">
            <v>2</v>
          </cell>
          <cell r="T333">
            <v>5520</v>
          </cell>
          <cell r="AA333">
            <v>0</v>
          </cell>
          <cell r="AB333">
            <v>208.93266666666665</v>
          </cell>
          <cell r="AD333">
            <v>5122.74</v>
          </cell>
          <cell r="AN333" t="str">
            <v xml:space="preserve">Contrato emergencial nº </v>
          </cell>
          <cell r="AO333" t="str">
            <v>IP</v>
          </cell>
        </row>
        <row r="334">
          <cell r="D334" t="str">
            <v>1229/11</v>
          </cell>
          <cell r="E334" t="str">
            <v>18/04/2011</v>
          </cell>
          <cell r="F334">
            <v>40830</v>
          </cell>
          <cell r="G334">
            <v>40830</v>
          </cell>
          <cell r="H334" t="str">
            <v>2011-0.082.576-9</v>
          </cell>
          <cell r="I334">
            <v>42838.74</v>
          </cell>
          <cell r="J334" t="str">
            <v xml:space="preserve">              123651121                 2847                    33903600</v>
          </cell>
          <cell r="K334">
            <v>40817</v>
          </cell>
          <cell r="L334">
            <v>14</v>
          </cell>
          <cell r="M334">
            <v>3400</v>
          </cell>
          <cell r="N334">
            <v>57273</v>
          </cell>
          <cell r="O334">
            <v>12794</v>
          </cell>
          <cell r="P334">
            <v>16</v>
          </cell>
          <cell r="Q334">
            <v>2</v>
          </cell>
          <cell r="S334">
            <v>6401.58</v>
          </cell>
          <cell r="T334">
            <v>6300.0000000000009</v>
          </cell>
          <cell r="AA334">
            <v>0</v>
          </cell>
          <cell r="AB334">
            <v>237.99299999999999</v>
          </cell>
          <cell r="AD334">
            <v>8513.18</v>
          </cell>
          <cell r="AN334" t="str">
            <v xml:space="preserve">Contrato emergencial nº </v>
          </cell>
          <cell r="AO334" t="str">
            <v>IP</v>
          </cell>
        </row>
        <row r="335">
          <cell r="D335" t="str">
            <v>1182/11</v>
          </cell>
          <cell r="E335" t="str">
            <v>18/04/2011</v>
          </cell>
          <cell r="F335">
            <v>40830</v>
          </cell>
          <cell r="G335">
            <v>40830</v>
          </cell>
          <cell r="H335" t="str">
            <v>2011-0.082.259-0</v>
          </cell>
          <cell r="I335">
            <v>37607.879999999997</v>
          </cell>
          <cell r="J335" t="str">
            <v xml:space="preserve">              123611122                  2848                    33903600</v>
          </cell>
          <cell r="K335">
            <v>40817</v>
          </cell>
          <cell r="L335">
            <v>14</v>
          </cell>
          <cell r="M335">
            <v>3000</v>
          </cell>
          <cell r="N335">
            <v>57278</v>
          </cell>
          <cell r="O335">
            <v>13988</v>
          </cell>
          <cell r="P335">
            <v>16</v>
          </cell>
          <cell r="Q335">
            <v>3</v>
          </cell>
          <cell r="T335">
            <v>5520</v>
          </cell>
          <cell r="AA335">
            <v>0</v>
          </cell>
          <cell r="AB335">
            <v>208.93266666666665</v>
          </cell>
          <cell r="AD335">
            <v>4957.3600000000006</v>
          </cell>
          <cell r="AN335" t="str">
            <v xml:space="preserve">Contrato emergencial nº </v>
          </cell>
          <cell r="AO335" t="str">
            <v>IP</v>
          </cell>
        </row>
        <row r="336">
          <cell r="D336" t="str">
            <v>1205/11</v>
          </cell>
          <cell r="E336" t="str">
            <v>18/04/2011</v>
          </cell>
          <cell r="F336">
            <v>40830</v>
          </cell>
          <cell r="G336">
            <v>40830</v>
          </cell>
          <cell r="H336" t="str">
            <v>2011-0.082.445-2</v>
          </cell>
          <cell r="I336">
            <v>23404.38</v>
          </cell>
          <cell r="J336" t="str">
            <v xml:space="preserve">              123611122                  2848                    33903600</v>
          </cell>
          <cell r="K336">
            <v>40817</v>
          </cell>
          <cell r="L336">
            <v>14</v>
          </cell>
          <cell r="M336">
            <v>1900</v>
          </cell>
          <cell r="N336">
            <v>57278</v>
          </cell>
          <cell r="O336">
            <v>12611</v>
          </cell>
          <cell r="P336">
            <v>16</v>
          </cell>
          <cell r="Q336">
            <v>3</v>
          </cell>
          <cell r="S336">
            <v>1655.02</v>
          </cell>
          <cell r="T336">
            <v>3480</v>
          </cell>
          <cell r="AA336">
            <v>0</v>
          </cell>
          <cell r="AB336">
            <v>130.02433333333335</v>
          </cell>
          <cell r="AD336">
            <v>4530.29</v>
          </cell>
          <cell r="AN336" t="str">
            <v xml:space="preserve">Contrato emergencial nº </v>
          </cell>
          <cell r="AO336" t="str">
            <v>IP</v>
          </cell>
        </row>
        <row r="337">
          <cell r="D337" t="str">
            <v>1584/11</v>
          </cell>
          <cell r="E337">
            <v>40693</v>
          </cell>
          <cell r="F337">
            <v>40872</v>
          </cell>
          <cell r="G337">
            <v>40872</v>
          </cell>
          <cell r="H337" t="str">
            <v>2011-0.105.986-5</v>
          </cell>
          <cell r="I337">
            <v>37607.879999999997</v>
          </cell>
          <cell r="J337" t="str">
            <v xml:space="preserve">              123651121                 2847                    33903600</v>
          </cell>
          <cell r="K337">
            <v>40848</v>
          </cell>
          <cell r="L337">
            <v>25</v>
          </cell>
          <cell r="M337">
            <v>5300</v>
          </cell>
          <cell r="N337">
            <v>57273</v>
          </cell>
          <cell r="O337">
            <v>16390</v>
          </cell>
          <cell r="P337">
            <v>16</v>
          </cell>
          <cell r="Q337">
            <v>2</v>
          </cell>
          <cell r="S337">
            <v>632.64</v>
          </cell>
          <cell r="T337">
            <v>7200</v>
          </cell>
          <cell r="U337">
            <v>0</v>
          </cell>
          <cell r="V337">
            <v>5000</v>
          </cell>
          <cell r="W337">
            <v>25</v>
          </cell>
          <cell r="Y337">
            <v>93075</v>
          </cell>
          <cell r="Z337">
            <v>6110.79</v>
          </cell>
          <cell r="AA337">
            <v>-1110.79</v>
          </cell>
          <cell r="AB337">
            <v>208.93266666666665</v>
          </cell>
          <cell r="AD337">
            <v>5966.73</v>
          </cell>
          <cell r="AN337" t="str">
            <v xml:space="preserve">Contrato emergencial nº </v>
          </cell>
          <cell r="AO337" t="str">
            <v>IP</v>
          </cell>
        </row>
        <row r="338">
          <cell r="D338" t="str">
            <v>1156/11</v>
          </cell>
          <cell r="E338" t="str">
            <v>18/04/2011</v>
          </cell>
          <cell r="F338">
            <v>40830</v>
          </cell>
          <cell r="G338">
            <v>40830</v>
          </cell>
          <cell r="H338" t="str">
            <v>2011-0.081.885-1</v>
          </cell>
          <cell r="I338">
            <v>31012.38</v>
          </cell>
          <cell r="J338" t="str">
            <v xml:space="preserve">              123651121                 2847                    33903600</v>
          </cell>
          <cell r="K338">
            <v>40817</v>
          </cell>
          <cell r="L338">
            <v>14</v>
          </cell>
          <cell r="M338">
            <v>2500</v>
          </cell>
          <cell r="N338">
            <v>57273</v>
          </cell>
          <cell r="O338">
            <v>13839</v>
          </cell>
          <cell r="P338">
            <v>16</v>
          </cell>
          <cell r="Q338">
            <v>2</v>
          </cell>
          <cell r="T338">
            <v>3205.73</v>
          </cell>
          <cell r="U338">
            <v>0</v>
          </cell>
          <cell r="AA338">
            <v>0</v>
          </cell>
          <cell r="AB338">
            <v>172.291</v>
          </cell>
          <cell r="AD338">
            <v>5055.3126666666667</v>
          </cell>
          <cell r="AN338" t="str">
            <v xml:space="preserve">Contrato emergencial nº </v>
          </cell>
          <cell r="AO338" t="str">
            <v>JT</v>
          </cell>
        </row>
        <row r="339">
          <cell r="D339" t="str">
            <v>1157/11</v>
          </cell>
          <cell r="E339" t="str">
            <v>18/04/2011</v>
          </cell>
          <cell r="F339">
            <v>40830</v>
          </cell>
          <cell r="G339">
            <v>40830</v>
          </cell>
          <cell r="H339" t="str">
            <v>2011-0.081.890-8</v>
          </cell>
          <cell r="I339">
            <v>38261.760000000002</v>
          </cell>
          <cell r="J339" t="str">
            <v xml:space="preserve">              123651121                 2847                    33903600</v>
          </cell>
          <cell r="K339">
            <v>40817</v>
          </cell>
          <cell r="L339">
            <v>14</v>
          </cell>
          <cell r="M339">
            <v>3000</v>
          </cell>
          <cell r="N339">
            <v>57273</v>
          </cell>
          <cell r="O339">
            <v>13847</v>
          </cell>
          <cell r="P339">
            <v>16</v>
          </cell>
          <cell r="Q339">
            <v>2</v>
          </cell>
          <cell r="T339">
            <v>84.09</v>
          </cell>
          <cell r="U339">
            <v>0</v>
          </cell>
          <cell r="AA339">
            <v>0</v>
          </cell>
          <cell r="AB339">
            <v>212.56533333333334</v>
          </cell>
          <cell r="AD339">
            <v>5398.34</v>
          </cell>
          <cell r="AN339" t="str">
            <v xml:space="preserve">Contrato emergencial nº </v>
          </cell>
          <cell r="AO339" t="str">
            <v>JT</v>
          </cell>
        </row>
        <row r="340">
          <cell r="D340" t="str">
            <v>1185/11</v>
          </cell>
          <cell r="E340" t="str">
            <v>18/04/2011</v>
          </cell>
          <cell r="F340">
            <v>40830</v>
          </cell>
          <cell r="G340">
            <v>40830</v>
          </cell>
          <cell r="H340" t="str">
            <v>2011-0.082.263-8</v>
          </cell>
          <cell r="I340">
            <v>40877.160000000003</v>
          </cell>
          <cell r="J340" t="str">
            <v xml:space="preserve">              123651121                 2847                    33903600</v>
          </cell>
          <cell r="K340">
            <v>40817</v>
          </cell>
          <cell r="L340">
            <v>14</v>
          </cell>
          <cell r="M340">
            <v>3200</v>
          </cell>
          <cell r="N340">
            <v>57273</v>
          </cell>
          <cell r="O340">
            <v>13996</v>
          </cell>
          <cell r="P340">
            <v>16</v>
          </cell>
          <cell r="Q340">
            <v>2</v>
          </cell>
          <cell r="T340">
            <v>6000</v>
          </cell>
          <cell r="U340">
            <v>2602.66</v>
          </cell>
          <cell r="AA340">
            <v>2602.66</v>
          </cell>
          <cell r="AB340">
            <v>227.09533333333334</v>
          </cell>
          <cell r="AD340">
            <v>5755.62</v>
          </cell>
          <cell r="AN340" t="str">
            <v xml:space="preserve">Contrato emergencial nº </v>
          </cell>
          <cell r="AO340" t="str">
            <v>JT</v>
          </cell>
        </row>
        <row r="341">
          <cell r="D341" t="str">
            <v>1186/11</v>
          </cell>
          <cell r="E341" t="str">
            <v>18/04/2011</v>
          </cell>
          <cell r="F341">
            <v>40830</v>
          </cell>
          <cell r="G341">
            <v>40830</v>
          </cell>
          <cell r="H341" t="str">
            <v>2011-0.082.264-6</v>
          </cell>
          <cell r="I341">
            <v>34992.660000000003</v>
          </cell>
          <cell r="J341" t="str">
            <v xml:space="preserve">              123651121                 2847                    33903600</v>
          </cell>
          <cell r="K341">
            <v>40817</v>
          </cell>
          <cell r="L341">
            <v>14</v>
          </cell>
          <cell r="M341">
            <v>2800</v>
          </cell>
          <cell r="N341">
            <v>57273</v>
          </cell>
          <cell r="O341">
            <v>13999</v>
          </cell>
          <cell r="P341">
            <v>16</v>
          </cell>
          <cell r="Q341">
            <v>2</v>
          </cell>
          <cell r="T341">
            <v>4226.96</v>
          </cell>
          <cell r="U341">
            <v>0</v>
          </cell>
          <cell r="AA341">
            <v>0</v>
          </cell>
          <cell r="AB341">
            <v>194.40366666666668</v>
          </cell>
          <cell r="AD341">
            <v>5633.3899999999994</v>
          </cell>
          <cell r="AN341" t="str">
            <v xml:space="preserve">Contrato emergencial nº </v>
          </cell>
          <cell r="AO341" t="str">
            <v>JT</v>
          </cell>
        </row>
        <row r="342">
          <cell r="D342" t="str">
            <v>1184/11</v>
          </cell>
          <cell r="E342" t="str">
            <v>18/04/2011</v>
          </cell>
          <cell r="F342">
            <v>40830</v>
          </cell>
          <cell r="G342">
            <v>40830</v>
          </cell>
          <cell r="H342" t="str">
            <v>2011-0.082.262-0</v>
          </cell>
          <cell r="I342">
            <v>38261.760000000002</v>
          </cell>
          <cell r="J342" t="str">
            <v xml:space="preserve">              123611122                  2848                    33903600</v>
          </cell>
          <cell r="K342">
            <v>40817</v>
          </cell>
          <cell r="L342">
            <v>14</v>
          </cell>
          <cell r="M342">
            <v>3000</v>
          </cell>
          <cell r="N342">
            <v>57278</v>
          </cell>
          <cell r="O342">
            <v>13994</v>
          </cell>
          <cell r="P342">
            <v>16</v>
          </cell>
          <cell r="Q342">
            <v>3</v>
          </cell>
          <cell r="T342">
            <v>5640</v>
          </cell>
          <cell r="U342">
            <v>0</v>
          </cell>
          <cell r="AA342">
            <v>0</v>
          </cell>
          <cell r="AB342">
            <v>212.56533333333334</v>
          </cell>
          <cell r="AD342">
            <v>4350.08</v>
          </cell>
          <cell r="AN342" t="str">
            <v xml:space="preserve">Contrato emergencial nº </v>
          </cell>
          <cell r="AO342" t="str">
            <v>JT</v>
          </cell>
        </row>
        <row r="343">
          <cell r="D343" t="str">
            <v>1187/11</v>
          </cell>
          <cell r="E343" t="str">
            <v>18/04/2011</v>
          </cell>
          <cell r="F343">
            <v>40830</v>
          </cell>
          <cell r="G343">
            <v>40830</v>
          </cell>
          <cell r="H343" t="str">
            <v>2011-0.082.275-1</v>
          </cell>
          <cell r="I343">
            <v>37607.879999999997</v>
          </cell>
          <cell r="J343" t="str">
            <v xml:space="preserve">              123611122                  2848                    33903600</v>
          </cell>
          <cell r="K343">
            <v>40817</v>
          </cell>
          <cell r="L343">
            <v>14</v>
          </cell>
          <cell r="M343">
            <v>3000</v>
          </cell>
          <cell r="N343">
            <v>57278</v>
          </cell>
          <cell r="O343">
            <v>14003</v>
          </cell>
          <cell r="P343">
            <v>16</v>
          </cell>
          <cell r="Q343">
            <v>3</v>
          </cell>
          <cell r="T343">
            <v>2134.77</v>
          </cell>
          <cell r="U343">
            <v>0</v>
          </cell>
          <cell r="AA343">
            <v>0</v>
          </cell>
          <cell r="AB343">
            <v>208.93266666666665</v>
          </cell>
          <cell r="AD343">
            <v>5805.1500000000005</v>
          </cell>
          <cell r="AN343" t="str">
            <v xml:space="preserve">Contrato emergencial nº </v>
          </cell>
          <cell r="AO343" t="str">
            <v>JT</v>
          </cell>
        </row>
        <row r="344">
          <cell r="D344" t="str">
            <v>1225/11</v>
          </cell>
          <cell r="E344" t="str">
            <v>18/04/2011</v>
          </cell>
          <cell r="F344">
            <v>40830</v>
          </cell>
          <cell r="G344">
            <v>40830</v>
          </cell>
          <cell r="H344" t="str">
            <v>2011-0.082.564-5</v>
          </cell>
          <cell r="I344">
            <v>21373.56</v>
          </cell>
          <cell r="J344" t="str">
            <v xml:space="preserve">              123611122                  2848                    33903600</v>
          </cell>
          <cell r="K344">
            <v>40817</v>
          </cell>
          <cell r="L344">
            <v>14</v>
          </cell>
          <cell r="M344">
            <v>1700</v>
          </cell>
          <cell r="N344">
            <v>57278</v>
          </cell>
          <cell r="O344">
            <v>12779</v>
          </cell>
          <cell r="P344">
            <v>16</v>
          </cell>
          <cell r="Q344">
            <v>3</v>
          </cell>
          <cell r="T344">
            <v>3491.65</v>
          </cell>
          <cell r="U344">
            <v>0</v>
          </cell>
          <cell r="AA344">
            <v>0</v>
          </cell>
          <cell r="AB344">
            <v>118.742</v>
          </cell>
          <cell r="AD344">
            <v>3494.5000000000005</v>
          </cell>
          <cell r="AN344" t="str">
            <v xml:space="preserve">Contrato emergencial nº </v>
          </cell>
          <cell r="AO344" t="str">
            <v>JT</v>
          </cell>
        </row>
        <row r="345">
          <cell r="D345" t="str">
            <v>1226/11</v>
          </cell>
          <cell r="E345" t="str">
            <v>18/04/2011</v>
          </cell>
          <cell r="F345">
            <v>40830</v>
          </cell>
          <cell r="G345">
            <v>40830</v>
          </cell>
          <cell r="H345" t="str">
            <v>2011-0.082.569-6</v>
          </cell>
          <cell r="I345">
            <v>27109.32</v>
          </cell>
          <cell r="J345" t="str">
            <v xml:space="preserve">              123611122                  2848                    33903600</v>
          </cell>
          <cell r="K345">
            <v>40817</v>
          </cell>
          <cell r="L345">
            <v>14</v>
          </cell>
          <cell r="M345">
            <v>2200</v>
          </cell>
          <cell r="N345">
            <v>57278</v>
          </cell>
          <cell r="O345">
            <v>12784</v>
          </cell>
          <cell r="P345">
            <v>16</v>
          </cell>
          <cell r="Q345">
            <v>3</v>
          </cell>
          <cell r="T345">
            <v>3446.77</v>
          </cell>
          <cell r="U345">
            <v>0</v>
          </cell>
          <cell r="AA345">
            <v>0</v>
          </cell>
          <cell r="AB345">
            <v>150.60733333333334</v>
          </cell>
          <cell r="AD345">
            <v>4701.6399999999994</v>
          </cell>
          <cell r="AN345" t="str">
            <v xml:space="preserve">Contrato emergencial nº </v>
          </cell>
          <cell r="AO345" t="str">
            <v>JT</v>
          </cell>
        </row>
        <row r="346">
          <cell r="D346" t="str">
            <v>1158/11</v>
          </cell>
          <cell r="E346" t="str">
            <v>18/04/2011</v>
          </cell>
          <cell r="F346">
            <v>40830</v>
          </cell>
          <cell r="G346">
            <v>40830</v>
          </cell>
          <cell r="H346" t="str">
            <v>2011-0.081.892-4</v>
          </cell>
          <cell r="I346">
            <v>27109.32</v>
          </cell>
          <cell r="J346" t="str">
            <v xml:space="preserve">              123651121                 2847                    33903600</v>
          </cell>
          <cell r="K346">
            <v>40817</v>
          </cell>
          <cell r="L346">
            <v>14</v>
          </cell>
          <cell r="M346">
            <v>2200</v>
          </cell>
          <cell r="N346">
            <v>57273</v>
          </cell>
          <cell r="O346">
            <v>13875</v>
          </cell>
          <cell r="P346">
            <v>16</v>
          </cell>
          <cell r="Q346">
            <v>2</v>
          </cell>
          <cell r="T346">
            <v>4020</v>
          </cell>
          <cell r="U346">
            <v>0</v>
          </cell>
          <cell r="AA346">
            <v>0</v>
          </cell>
          <cell r="AB346">
            <v>150.60733333333334</v>
          </cell>
          <cell r="AN346" t="str">
            <v xml:space="preserve">Contrato emergencial nº </v>
          </cell>
          <cell r="AO346" t="str">
            <v>MP</v>
          </cell>
        </row>
        <row r="347">
          <cell r="D347" t="str">
            <v>1159/11</v>
          </cell>
          <cell r="E347" t="str">
            <v>18/04/2011</v>
          </cell>
          <cell r="F347">
            <v>40830</v>
          </cell>
          <cell r="G347">
            <v>40830</v>
          </cell>
          <cell r="H347" t="str">
            <v>2011-0.081.893-2</v>
          </cell>
          <cell r="I347">
            <v>30150.54</v>
          </cell>
          <cell r="J347" t="str">
            <v xml:space="preserve">              123651121                 2847                    33903600</v>
          </cell>
          <cell r="K347">
            <v>40817</v>
          </cell>
          <cell r="L347">
            <v>14</v>
          </cell>
          <cell r="M347">
            <v>2400</v>
          </cell>
          <cell r="N347">
            <v>57273</v>
          </cell>
          <cell r="O347">
            <v>14408</v>
          </cell>
          <cell r="P347">
            <v>16</v>
          </cell>
          <cell r="Q347">
            <v>2</v>
          </cell>
          <cell r="T347">
            <v>4440</v>
          </cell>
          <cell r="U347">
            <v>1591.5213333333336</v>
          </cell>
          <cell r="AA347">
            <v>1591.5213333333336</v>
          </cell>
          <cell r="AB347">
            <v>167.50300000000001</v>
          </cell>
          <cell r="AD347">
            <v>4153.38</v>
          </cell>
          <cell r="AN347" t="str">
            <v xml:space="preserve">Contrato emergencial nº </v>
          </cell>
          <cell r="AO347" t="str">
            <v>MP</v>
          </cell>
        </row>
        <row r="348">
          <cell r="D348" t="str">
            <v>1183/11</v>
          </cell>
          <cell r="E348" t="str">
            <v>18/04/2011</v>
          </cell>
          <cell r="F348">
            <v>40830</v>
          </cell>
          <cell r="G348">
            <v>40830</v>
          </cell>
          <cell r="H348" t="str">
            <v>2011-0.082.260-3</v>
          </cell>
          <cell r="I348">
            <v>38261.760000000002</v>
          </cell>
          <cell r="J348" t="str">
            <v xml:space="preserve">              123651121                 2847                    33903600</v>
          </cell>
          <cell r="K348">
            <v>40817</v>
          </cell>
          <cell r="L348">
            <v>14</v>
          </cell>
          <cell r="M348">
            <v>3000</v>
          </cell>
          <cell r="N348">
            <v>57273</v>
          </cell>
          <cell r="O348">
            <v>13991</v>
          </cell>
          <cell r="P348">
            <v>16</v>
          </cell>
          <cell r="Q348">
            <v>2</v>
          </cell>
          <cell r="T348">
            <v>5640</v>
          </cell>
          <cell r="U348">
            <v>0</v>
          </cell>
          <cell r="AA348">
            <v>0</v>
          </cell>
          <cell r="AB348">
            <v>212.56533333333334</v>
          </cell>
          <cell r="AD348">
            <v>6156.5050000000001</v>
          </cell>
          <cell r="AN348" t="str">
            <v xml:space="preserve">Contrato emergencial nº </v>
          </cell>
          <cell r="AO348" t="str">
            <v>MP</v>
          </cell>
        </row>
        <row r="349">
          <cell r="D349" t="str">
            <v>1188/11</v>
          </cell>
          <cell r="E349" t="str">
            <v>18/04/2011</v>
          </cell>
          <cell r="F349">
            <v>40830</v>
          </cell>
          <cell r="G349">
            <v>40830</v>
          </cell>
          <cell r="H349" t="str">
            <v>2011-0.082.293-0</v>
          </cell>
          <cell r="I349">
            <v>38261.760000000002</v>
          </cell>
          <cell r="J349" t="str">
            <v xml:space="preserve">              123651121                 2847                    33903600</v>
          </cell>
          <cell r="K349">
            <v>40817</v>
          </cell>
          <cell r="L349">
            <v>14</v>
          </cell>
          <cell r="M349">
            <v>3000</v>
          </cell>
          <cell r="N349">
            <v>57273</v>
          </cell>
          <cell r="O349">
            <v>14007</v>
          </cell>
          <cell r="P349">
            <v>16</v>
          </cell>
          <cell r="Q349">
            <v>2</v>
          </cell>
          <cell r="T349">
            <v>5640</v>
          </cell>
          <cell r="U349">
            <v>0</v>
          </cell>
          <cell r="AA349">
            <v>0</v>
          </cell>
          <cell r="AB349">
            <v>212.56533333333334</v>
          </cell>
          <cell r="AD349">
            <v>6185.01</v>
          </cell>
          <cell r="AN349" t="str">
            <v xml:space="preserve">Contrato emergencial nº </v>
          </cell>
          <cell r="AO349" t="str">
            <v>MP</v>
          </cell>
        </row>
        <row r="350">
          <cell r="D350" t="str">
            <v>1189/11</v>
          </cell>
          <cell r="E350" t="str">
            <v>18/04/2011</v>
          </cell>
          <cell r="F350">
            <v>40830</v>
          </cell>
          <cell r="G350">
            <v>40830</v>
          </cell>
          <cell r="H350" t="str">
            <v>2011-0.082.294-8</v>
          </cell>
          <cell r="I350">
            <v>44324.52</v>
          </cell>
          <cell r="J350" t="str">
            <v xml:space="preserve">              123651121                 2847                    33903600</v>
          </cell>
          <cell r="K350">
            <v>40817</v>
          </cell>
          <cell r="L350">
            <v>14</v>
          </cell>
          <cell r="M350">
            <v>3500</v>
          </cell>
          <cell r="N350">
            <v>57273</v>
          </cell>
          <cell r="O350">
            <v>14009</v>
          </cell>
          <cell r="P350">
            <v>16</v>
          </cell>
          <cell r="Q350">
            <v>2</v>
          </cell>
          <cell r="T350">
            <v>6540</v>
          </cell>
          <cell r="U350">
            <v>0</v>
          </cell>
          <cell r="AA350">
            <v>0</v>
          </cell>
          <cell r="AB350">
            <v>246.2473333333333</v>
          </cell>
          <cell r="AD350">
            <v>6618.77</v>
          </cell>
          <cell r="AN350" t="str">
            <v xml:space="preserve">Contrato emergencial nº </v>
          </cell>
          <cell r="AO350" t="str">
            <v>MP</v>
          </cell>
        </row>
        <row r="351">
          <cell r="D351" t="str">
            <v>1190/11</v>
          </cell>
          <cell r="E351" t="str">
            <v>18/04/2011</v>
          </cell>
          <cell r="F351">
            <v>40830</v>
          </cell>
          <cell r="G351">
            <v>40830</v>
          </cell>
          <cell r="H351" t="str">
            <v>2011-0.082.297-2</v>
          </cell>
          <cell r="I351">
            <v>44324.52</v>
          </cell>
          <cell r="J351" t="str">
            <v xml:space="preserve">              123651121                 2847                    33903600</v>
          </cell>
          <cell r="K351">
            <v>40817</v>
          </cell>
          <cell r="L351">
            <v>14</v>
          </cell>
          <cell r="M351">
            <v>3500</v>
          </cell>
          <cell r="N351">
            <v>57273</v>
          </cell>
          <cell r="O351">
            <v>14010</v>
          </cell>
          <cell r="P351">
            <v>16</v>
          </cell>
          <cell r="Q351">
            <v>2</v>
          </cell>
          <cell r="T351">
            <v>6540</v>
          </cell>
          <cell r="U351">
            <v>0</v>
          </cell>
          <cell r="AA351">
            <v>0</v>
          </cell>
          <cell r="AB351">
            <v>246.2473333333333</v>
          </cell>
          <cell r="AD351">
            <v>6757.96</v>
          </cell>
          <cell r="AN351" t="str">
            <v xml:space="preserve">Contrato emergencial nº </v>
          </cell>
          <cell r="AO351" t="str">
            <v>MP</v>
          </cell>
        </row>
        <row r="352">
          <cell r="D352" t="str">
            <v>1200/11</v>
          </cell>
          <cell r="E352" t="str">
            <v>18/04/2011</v>
          </cell>
          <cell r="F352">
            <v>40830</v>
          </cell>
          <cell r="G352">
            <v>40830</v>
          </cell>
          <cell r="H352" t="str">
            <v>2011-0.082.430-4</v>
          </cell>
          <cell r="I352">
            <v>29744.400000000001</v>
          </cell>
          <cell r="J352" t="str">
            <v xml:space="preserve">              123651121                 2847                    33903600</v>
          </cell>
          <cell r="K352">
            <v>40817</v>
          </cell>
          <cell r="L352">
            <v>14</v>
          </cell>
          <cell r="M352">
            <v>2400</v>
          </cell>
          <cell r="N352">
            <v>57273</v>
          </cell>
          <cell r="O352">
            <v>12597</v>
          </cell>
          <cell r="P352">
            <v>16</v>
          </cell>
          <cell r="Q352">
            <v>2</v>
          </cell>
          <cell r="T352">
            <v>4380</v>
          </cell>
          <cell r="U352">
            <v>0</v>
          </cell>
          <cell r="AA352">
            <v>0</v>
          </cell>
          <cell r="AB352">
            <v>165.24666666666667</v>
          </cell>
          <cell r="AN352" t="str">
            <v xml:space="preserve">Contrato emergencial nº </v>
          </cell>
          <cell r="AO352" t="str">
            <v>MP</v>
          </cell>
        </row>
        <row r="353">
          <cell r="D353" t="str">
            <v>1216/11</v>
          </cell>
          <cell r="E353" t="str">
            <v>18/04/2011</v>
          </cell>
          <cell r="F353">
            <v>40830</v>
          </cell>
          <cell r="G353">
            <v>40830</v>
          </cell>
          <cell r="H353" t="str">
            <v>2011-0.082.510-6</v>
          </cell>
          <cell r="I353">
            <v>22284.959999999999</v>
          </cell>
          <cell r="J353" t="str">
            <v xml:space="preserve">              123651121                 2847                    33903600</v>
          </cell>
          <cell r="K353">
            <v>40817</v>
          </cell>
          <cell r="L353">
            <v>14</v>
          </cell>
          <cell r="M353">
            <v>1800</v>
          </cell>
          <cell r="N353">
            <v>57273</v>
          </cell>
          <cell r="O353">
            <v>12657</v>
          </cell>
          <cell r="P353">
            <v>16</v>
          </cell>
          <cell r="Q353">
            <v>2</v>
          </cell>
          <cell r="T353">
            <v>3300</v>
          </cell>
          <cell r="U353">
            <v>1500.6140000000003</v>
          </cell>
          <cell r="AA353">
            <v>1500.6140000000003</v>
          </cell>
          <cell r="AB353">
            <v>123.80533333333332</v>
          </cell>
          <cell r="AD353">
            <v>3065.8399999999997</v>
          </cell>
          <cell r="AN353" t="str">
            <v xml:space="preserve">Contrato emergencial nº </v>
          </cell>
          <cell r="AO353" t="str">
            <v>MP</v>
          </cell>
        </row>
        <row r="354">
          <cell r="D354" t="str">
            <v>1160/11</v>
          </cell>
          <cell r="E354" t="str">
            <v>18/04/2011</v>
          </cell>
          <cell r="F354">
            <v>40830</v>
          </cell>
          <cell r="G354">
            <v>40830</v>
          </cell>
          <cell r="H354" t="str">
            <v>2011-0.081.895-9</v>
          </cell>
          <cell r="I354">
            <v>44324.52</v>
          </cell>
          <cell r="J354" t="str">
            <v xml:space="preserve">              123611122                  2848                    33903600</v>
          </cell>
          <cell r="K354">
            <v>40817</v>
          </cell>
          <cell r="L354">
            <v>14</v>
          </cell>
          <cell r="M354">
            <v>3500</v>
          </cell>
          <cell r="N354">
            <v>57278</v>
          </cell>
          <cell r="O354">
            <v>13882</v>
          </cell>
          <cell r="P354">
            <v>16</v>
          </cell>
          <cell r="Q354">
            <v>3</v>
          </cell>
          <cell r="T354">
            <v>6540</v>
          </cell>
          <cell r="U354">
            <v>0</v>
          </cell>
          <cell r="AA354">
            <v>0</v>
          </cell>
          <cell r="AB354">
            <v>246.2473333333333</v>
          </cell>
          <cell r="AD354">
            <v>6976.3600000000006</v>
          </cell>
          <cell r="AN354" t="str">
            <v xml:space="preserve">Contrato emergencial nº </v>
          </cell>
          <cell r="AO354" t="str">
            <v>MP</v>
          </cell>
        </row>
        <row r="355">
          <cell r="D355" t="str">
            <v>1191/11</v>
          </cell>
          <cell r="E355" t="str">
            <v>18/04/2011</v>
          </cell>
          <cell r="F355">
            <v>40830</v>
          </cell>
          <cell r="G355">
            <v>40830</v>
          </cell>
          <cell r="H355" t="str">
            <v>2011-0.082.299-9</v>
          </cell>
          <cell r="I355">
            <v>44324.52</v>
          </cell>
          <cell r="J355" t="str">
            <v xml:space="preserve">              123611122                  2848                    33903600</v>
          </cell>
          <cell r="K355">
            <v>40817</v>
          </cell>
          <cell r="L355">
            <v>14</v>
          </cell>
          <cell r="M355">
            <v>3500</v>
          </cell>
          <cell r="N355">
            <v>57278</v>
          </cell>
          <cell r="O355">
            <v>14011</v>
          </cell>
          <cell r="P355">
            <v>16</v>
          </cell>
          <cell r="Q355">
            <v>3</v>
          </cell>
          <cell r="T355">
            <v>6540</v>
          </cell>
          <cell r="U355">
            <v>744.75466666666694</v>
          </cell>
          <cell r="AA355">
            <v>744.75466666666694</v>
          </cell>
          <cell r="AB355">
            <v>246.2473333333333</v>
          </cell>
          <cell r="AD355">
            <v>5828.41</v>
          </cell>
          <cell r="AN355" t="str">
            <v xml:space="preserve">Contrato emergencial nº </v>
          </cell>
          <cell r="AO355" t="str">
            <v>MP</v>
          </cell>
        </row>
        <row r="356">
          <cell r="D356" t="str">
            <v>1206/11</v>
          </cell>
          <cell r="E356" t="str">
            <v>18/04/2011</v>
          </cell>
          <cell r="F356">
            <v>40830</v>
          </cell>
          <cell r="G356">
            <v>40830</v>
          </cell>
          <cell r="H356" t="str">
            <v>2011-0.082.450-9</v>
          </cell>
          <cell r="I356">
            <v>27109.32</v>
          </cell>
          <cell r="J356" t="str">
            <v xml:space="preserve">              123611122                  2848                    33903600</v>
          </cell>
          <cell r="K356">
            <v>40817</v>
          </cell>
          <cell r="L356">
            <v>14</v>
          </cell>
          <cell r="M356">
            <v>2200</v>
          </cell>
          <cell r="N356">
            <v>57278</v>
          </cell>
          <cell r="O356">
            <v>12615</v>
          </cell>
          <cell r="P356">
            <v>16</v>
          </cell>
          <cell r="Q356">
            <v>3</v>
          </cell>
          <cell r="S356">
            <v>2474.35</v>
          </cell>
          <cell r="T356">
            <v>4020</v>
          </cell>
          <cell r="U356">
            <v>1407.3436666666666</v>
          </cell>
          <cell r="AA356">
            <v>1407.3436666666666</v>
          </cell>
          <cell r="AB356">
            <v>150.60733333333334</v>
          </cell>
          <cell r="AN356" t="str">
            <v xml:space="preserve">Contrato emergencial nº </v>
          </cell>
          <cell r="AO356" t="str">
            <v>MP</v>
          </cell>
        </row>
        <row r="357">
          <cell r="D357" t="str">
            <v>1218/11</v>
          </cell>
          <cell r="E357" t="str">
            <v>18/04/2011</v>
          </cell>
          <cell r="F357">
            <v>40830</v>
          </cell>
          <cell r="G357">
            <v>40830</v>
          </cell>
          <cell r="H357" t="str">
            <v>2011-0.082.518-1</v>
          </cell>
          <cell r="I357">
            <v>29744.400000000001</v>
          </cell>
          <cell r="J357" t="str">
            <v xml:space="preserve">              123611122                  2848                    33903600</v>
          </cell>
          <cell r="K357">
            <v>40817</v>
          </cell>
          <cell r="L357">
            <v>14</v>
          </cell>
          <cell r="M357">
            <v>2400</v>
          </cell>
          <cell r="N357">
            <v>57278</v>
          </cell>
          <cell r="O357">
            <v>12667</v>
          </cell>
          <cell r="P357">
            <v>16</v>
          </cell>
          <cell r="Q357">
            <v>3</v>
          </cell>
          <cell r="S357">
            <v>2115.7800000000002</v>
          </cell>
          <cell r="T357">
            <v>4380</v>
          </cell>
          <cell r="U357">
            <v>960.48199999999974</v>
          </cell>
          <cell r="AA357">
            <v>960.48199999999974</v>
          </cell>
          <cell r="AB357">
            <v>165.24666666666667</v>
          </cell>
          <cell r="AD357">
            <v>5717.34</v>
          </cell>
          <cell r="AN357" t="str">
            <v xml:space="preserve">Contrato emergencial nº </v>
          </cell>
          <cell r="AO357" t="str">
            <v>MP</v>
          </cell>
        </row>
        <row r="358">
          <cell r="D358" t="str">
            <v>1219/11</v>
          </cell>
          <cell r="E358" t="str">
            <v>18/04/2011</v>
          </cell>
          <cell r="F358">
            <v>40830</v>
          </cell>
          <cell r="G358">
            <v>40830</v>
          </cell>
          <cell r="H358" t="str">
            <v>2011-0.082.521-1</v>
          </cell>
          <cell r="I358">
            <v>26297.040000000001</v>
          </cell>
          <cell r="J358" t="str">
            <v xml:space="preserve">              123611122                  2848                    33903600</v>
          </cell>
          <cell r="K358">
            <v>40817</v>
          </cell>
          <cell r="L358">
            <v>14</v>
          </cell>
          <cell r="M358">
            <v>2100</v>
          </cell>
          <cell r="N358">
            <v>57278</v>
          </cell>
          <cell r="O358">
            <v>12668</v>
          </cell>
          <cell r="P358">
            <v>16</v>
          </cell>
          <cell r="Q358">
            <v>3</v>
          </cell>
          <cell r="S358">
            <v>1377.96</v>
          </cell>
          <cell r="T358">
            <v>3900</v>
          </cell>
          <cell r="U358">
            <v>674.53633333333323</v>
          </cell>
          <cell r="AA358">
            <v>674.53633333333323</v>
          </cell>
          <cell r="AB358">
            <v>146.09466666666668</v>
          </cell>
          <cell r="AD358">
            <v>4937.51</v>
          </cell>
          <cell r="AN358" t="str">
            <v xml:space="preserve">Contrato emergencial nº </v>
          </cell>
          <cell r="AO358" t="str">
            <v>MP</v>
          </cell>
        </row>
        <row r="359">
          <cell r="D359" t="str">
            <v>1161/11</v>
          </cell>
          <cell r="E359" t="str">
            <v>18/04/2011</v>
          </cell>
          <cell r="F359">
            <v>40830</v>
          </cell>
          <cell r="G359">
            <v>40830</v>
          </cell>
          <cell r="H359" t="str">
            <v>2011-0.081.900-9</v>
          </cell>
          <cell r="I359">
            <v>29744.400000000001</v>
          </cell>
          <cell r="J359" t="str">
            <v xml:space="preserve">              123611122                  2848                    33903600</v>
          </cell>
          <cell r="K359">
            <v>40817</v>
          </cell>
          <cell r="L359">
            <v>14</v>
          </cell>
          <cell r="M359">
            <v>2400</v>
          </cell>
          <cell r="N359">
            <v>57278</v>
          </cell>
          <cell r="O359">
            <v>13887</v>
          </cell>
          <cell r="P359">
            <v>16</v>
          </cell>
          <cell r="Q359">
            <v>3</v>
          </cell>
          <cell r="S359">
            <v>2252.67</v>
          </cell>
          <cell r="T359">
            <v>4380</v>
          </cell>
          <cell r="U359">
            <v>1066.1400000000001</v>
          </cell>
          <cell r="AA359">
            <v>1066.1400000000001</v>
          </cell>
          <cell r="AB359">
            <v>165.24666666666667</v>
          </cell>
          <cell r="AN359" t="str">
            <v xml:space="preserve">Contrato emergencial nº </v>
          </cell>
          <cell r="AO359" t="str">
            <v>PE</v>
          </cell>
        </row>
        <row r="360">
          <cell r="D360" t="str">
            <v>1207/11</v>
          </cell>
          <cell r="E360" t="str">
            <v>18/04/2011</v>
          </cell>
          <cell r="F360">
            <v>40830</v>
          </cell>
          <cell r="G360">
            <v>40830</v>
          </cell>
          <cell r="H360" t="str">
            <v>2011-0.082.453-3</v>
          </cell>
          <cell r="I360">
            <v>31012.38</v>
          </cell>
          <cell r="J360" t="str">
            <v xml:space="preserve">              123611122                  2848                    33903600</v>
          </cell>
          <cell r="K360">
            <v>40817</v>
          </cell>
          <cell r="L360">
            <v>14</v>
          </cell>
          <cell r="M360">
            <v>2500</v>
          </cell>
          <cell r="N360">
            <v>57278</v>
          </cell>
          <cell r="O360">
            <v>12619</v>
          </cell>
          <cell r="P360">
            <v>16</v>
          </cell>
          <cell r="Q360">
            <v>3</v>
          </cell>
          <cell r="T360">
            <v>3092.57</v>
          </cell>
          <cell r="AA360">
            <v>0</v>
          </cell>
          <cell r="AB360">
            <v>172.291</v>
          </cell>
          <cell r="AD360">
            <v>4802.8855000000003</v>
          </cell>
          <cell r="AN360" t="str">
            <v xml:space="preserve">Contrato emergencial nº </v>
          </cell>
          <cell r="AO360" t="str">
            <v>PE</v>
          </cell>
        </row>
        <row r="361">
          <cell r="D361" t="str">
            <v>1192/11</v>
          </cell>
          <cell r="E361" t="str">
            <v>18/04/2011</v>
          </cell>
          <cell r="F361">
            <v>40830</v>
          </cell>
          <cell r="G361">
            <v>40830</v>
          </cell>
          <cell r="H361" t="str">
            <v>2011-0.082.302-2</v>
          </cell>
          <cell r="I361">
            <v>37607.879999999997</v>
          </cell>
          <cell r="J361" t="str">
            <v xml:space="preserve">              123611122                  2848                    33903600</v>
          </cell>
          <cell r="K361">
            <v>40817</v>
          </cell>
          <cell r="L361">
            <v>14</v>
          </cell>
          <cell r="M361">
            <v>3000</v>
          </cell>
          <cell r="N361">
            <v>57278</v>
          </cell>
          <cell r="O361">
            <v>14012</v>
          </cell>
          <cell r="P361">
            <v>16</v>
          </cell>
          <cell r="Q361">
            <v>3</v>
          </cell>
          <cell r="T361">
            <v>5520</v>
          </cell>
          <cell r="AA361">
            <v>0</v>
          </cell>
          <cell r="AB361">
            <v>208.93266666666665</v>
          </cell>
          <cell r="AD361">
            <v>6416.48</v>
          </cell>
          <cell r="AN361" t="str">
            <v xml:space="preserve">Contrato emergencial nº </v>
          </cell>
          <cell r="AO361" t="str">
            <v>PJ</v>
          </cell>
        </row>
        <row r="362">
          <cell r="D362" t="str">
            <v>1208/11</v>
          </cell>
          <cell r="E362" t="str">
            <v>18/04/2011</v>
          </cell>
          <cell r="F362">
            <v>40830</v>
          </cell>
          <cell r="G362">
            <v>40830</v>
          </cell>
          <cell r="H362" t="str">
            <v>2011-0.082.458-4</v>
          </cell>
          <cell r="I362">
            <v>29744.400000000001</v>
          </cell>
          <cell r="J362" t="str">
            <v xml:space="preserve">              123611122                  2848                    33903600</v>
          </cell>
          <cell r="K362">
            <v>40817</v>
          </cell>
          <cell r="L362">
            <v>14</v>
          </cell>
          <cell r="M362">
            <v>2400</v>
          </cell>
          <cell r="N362">
            <v>57278</v>
          </cell>
          <cell r="O362">
            <v>12622</v>
          </cell>
          <cell r="P362">
            <v>16</v>
          </cell>
          <cell r="Q362">
            <v>3</v>
          </cell>
          <cell r="T362">
            <v>4380</v>
          </cell>
          <cell r="AA362">
            <v>0</v>
          </cell>
          <cell r="AB362">
            <v>165.24666666666667</v>
          </cell>
          <cell r="AD362">
            <v>4762.1899999999996</v>
          </cell>
          <cell r="AN362" t="str">
            <v xml:space="preserve">Contrato emergencial nº </v>
          </cell>
          <cell r="AO362" t="str">
            <v>PJ</v>
          </cell>
        </row>
        <row r="363">
          <cell r="D363" t="str">
            <v>1224/11</v>
          </cell>
          <cell r="E363" t="str">
            <v>18/04/2011</v>
          </cell>
          <cell r="F363">
            <v>40830</v>
          </cell>
          <cell r="G363">
            <v>40830</v>
          </cell>
          <cell r="H363" t="str">
            <v>2011-0.082.561-0</v>
          </cell>
          <cell r="I363">
            <v>30150.54</v>
          </cell>
          <cell r="J363" t="str">
            <v xml:space="preserve">              123651121                 2847                    33903600</v>
          </cell>
          <cell r="K363">
            <v>40817</v>
          </cell>
          <cell r="L363">
            <v>14</v>
          </cell>
          <cell r="M363">
            <v>2400</v>
          </cell>
          <cell r="N363">
            <v>57273</v>
          </cell>
          <cell r="O363">
            <v>12774</v>
          </cell>
          <cell r="P363">
            <v>16</v>
          </cell>
          <cell r="Q363">
            <v>2</v>
          </cell>
          <cell r="T363">
            <v>4440</v>
          </cell>
          <cell r="AA363">
            <v>0</v>
          </cell>
          <cell r="AB363">
            <v>167.50300000000001</v>
          </cell>
          <cell r="AD363">
            <v>4895.6299999999992</v>
          </cell>
          <cell r="AN363" t="str">
            <v xml:space="preserve">Contrato emergencial nº </v>
          </cell>
          <cell r="AO363" t="str">
            <v>PJ</v>
          </cell>
        </row>
        <row r="364">
          <cell r="D364" t="str">
            <v>1231/11</v>
          </cell>
          <cell r="E364" t="str">
            <v>18/04/2011</v>
          </cell>
          <cell r="F364">
            <v>40830</v>
          </cell>
          <cell r="G364">
            <v>40830</v>
          </cell>
          <cell r="H364" t="str">
            <v>2011-0.082.585-8</v>
          </cell>
          <cell r="I364">
            <v>39569.46</v>
          </cell>
          <cell r="J364" t="str">
            <v xml:space="preserve">              123651121                 2847                    33903600</v>
          </cell>
          <cell r="K364">
            <v>40817</v>
          </cell>
          <cell r="L364">
            <v>14</v>
          </cell>
          <cell r="M364">
            <v>3100</v>
          </cell>
          <cell r="N364">
            <v>57273</v>
          </cell>
          <cell r="O364">
            <v>12801</v>
          </cell>
          <cell r="P364">
            <v>16</v>
          </cell>
          <cell r="Q364">
            <v>2</v>
          </cell>
          <cell r="T364">
            <v>5820</v>
          </cell>
          <cell r="AA364">
            <v>0</v>
          </cell>
          <cell r="AB364">
            <v>219.83033333333333</v>
          </cell>
          <cell r="AD364">
            <v>5889.7300000000005</v>
          </cell>
          <cell r="AN364" t="str">
            <v xml:space="preserve">Contrato emergencial nº </v>
          </cell>
          <cell r="AO364" t="str">
            <v>PJ</v>
          </cell>
        </row>
        <row r="365">
          <cell r="D365" t="str">
            <v>1162/11</v>
          </cell>
          <cell r="E365" t="str">
            <v>18/04/2011</v>
          </cell>
          <cell r="F365">
            <v>40830</v>
          </cell>
          <cell r="G365">
            <v>40830</v>
          </cell>
          <cell r="H365" t="str">
            <v>2011-0.081.904-1</v>
          </cell>
          <cell r="I365">
            <v>37607.879999999997</v>
          </cell>
          <cell r="J365" t="str">
            <v xml:space="preserve">              123651121                 2847                    33903600</v>
          </cell>
          <cell r="K365">
            <v>40817</v>
          </cell>
          <cell r="L365">
            <v>14</v>
          </cell>
          <cell r="M365">
            <v>3000</v>
          </cell>
          <cell r="N365">
            <v>57273</v>
          </cell>
          <cell r="O365">
            <v>13892</v>
          </cell>
          <cell r="P365">
            <v>16</v>
          </cell>
          <cell r="Q365">
            <v>2</v>
          </cell>
          <cell r="T365">
            <v>5520</v>
          </cell>
          <cell r="AA365">
            <v>0</v>
          </cell>
          <cell r="AB365">
            <v>208.93266666666665</v>
          </cell>
          <cell r="AN365" t="str">
            <v xml:space="preserve">Contrato emergencial nº </v>
          </cell>
          <cell r="AO365" t="str">
            <v>SA</v>
          </cell>
        </row>
        <row r="366">
          <cell r="D366" t="str">
            <v>1163/11</v>
          </cell>
          <cell r="E366" t="str">
            <v>18/04/2011</v>
          </cell>
          <cell r="F366">
            <v>40830</v>
          </cell>
          <cell r="G366">
            <v>40830</v>
          </cell>
          <cell r="H366" t="str">
            <v>2011-0.081.682-4</v>
          </cell>
          <cell r="I366">
            <v>36954.120000000003</v>
          </cell>
          <cell r="J366" t="str">
            <v xml:space="preserve">              123651121                 2847                    33903600</v>
          </cell>
          <cell r="K366">
            <v>40817</v>
          </cell>
          <cell r="L366">
            <v>14</v>
          </cell>
          <cell r="M366">
            <v>2900</v>
          </cell>
          <cell r="N366">
            <v>57273</v>
          </cell>
          <cell r="O366">
            <v>13894</v>
          </cell>
          <cell r="P366">
            <v>16</v>
          </cell>
          <cell r="Q366">
            <v>2</v>
          </cell>
          <cell r="T366">
            <v>5460</v>
          </cell>
          <cell r="U366">
            <v>600.35</v>
          </cell>
          <cell r="AA366">
            <v>600.35</v>
          </cell>
          <cell r="AB366">
            <v>205.30066666666667</v>
          </cell>
          <cell r="AD366">
            <v>4870.33</v>
          </cell>
          <cell r="AN366" t="str">
            <v xml:space="preserve">Contrato emergencial nº </v>
          </cell>
          <cell r="AO366" t="str">
            <v>SA</v>
          </cell>
        </row>
        <row r="367">
          <cell r="D367" t="str">
            <v>1193/11</v>
          </cell>
          <cell r="E367" t="str">
            <v>18/04/2011</v>
          </cell>
          <cell r="F367">
            <v>40830</v>
          </cell>
          <cell r="G367">
            <v>40830</v>
          </cell>
          <cell r="H367" t="str">
            <v>2011-0.082.304-9</v>
          </cell>
          <cell r="I367">
            <v>22185.9</v>
          </cell>
          <cell r="J367" t="str">
            <v xml:space="preserve">              123651121                 2847                    33903600</v>
          </cell>
          <cell r="K367">
            <v>40817</v>
          </cell>
          <cell r="L367">
            <v>14</v>
          </cell>
          <cell r="M367">
            <v>1800</v>
          </cell>
          <cell r="N367">
            <v>57273</v>
          </cell>
          <cell r="O367">
            <v>14013</v>
          </cell>
          <cell r="P367">
            <v>16</v>
          </cell>
          <cell r="Q367">
            <v>2</v>
          </cell>
          <cell r="S367">
            <v>3314.05</v>
          </cell>
          <cell r="T367">
            <v>3299.9999999999995</v>
          </cell>
          <cell r="U367">
            <v>1615.71</v>
          </cell>
          <cell r="AA367">
            <v>1615.71</v>
          </cell>
          <cell r="AB367">
            <v>123.25500000000001</v>
          </cell>
          <cell r="AD367">
            <v>4924.1100000000006</v>
          </cell>
          <cell r="AN367" t="str">
            <v xml:space="preserve">Contrato emergencial nº </v>
          </cell>
          <cell r="AO367" t="str">
            <v>SA</v>
          </cell>
        </row>
        <row r="368">
          <cell r="D368" t="str">
            <v>1194/11</v>
          </cell>
          <cell r="E368" t="str">
            <v>18/04/2011</v>
          </cell>
          <cell r="F368">
            <v>40830</v>
          </cell>
          <cell r="G368">
            <v>40830</v>
          </cell>
          <cell r="H368" t="str">
            <v>2011-0.082.306-5</v>
          </cell>
          <cell r="I368">
            <v>44324.52</v>
          </cell>
          <cell r="J368" t="str">
            <v xml:space="preserve">              123651121                 2847                    33903600</v>
          </cell>
          <cell r="K368">
            <v>40817</v>
          </cell>
          <cell r="L368">
            <v>14</v>
          </cell>
          <cell r="M368">
            <v>3500</v>
          </cell>
          <cell r="N368">
            <v>57273</v>
          </cell>
          <cell r="O368">
            <v>13998</v>
          </cell>
          <cell r="P368">
            <v>16</v>
          </cell>
          <cell r="Q368">
            <v>2</v>
          </cell>
          <cell r="T368">
            <v>6540</v>
          </cell>
          <cell r="U368">
            <v>804.69</v>
          </cell>
          <cell r="AA368">
            <v>804.69</v>
          </cell>
          <cell r="AB368">
            <v>246.2473333333333</v>
          </cell>
          <cell r="AD368">
            <v>5885.35</v>
          </cell>
          <cell r="AN368" t="str">
            <v xml:space="preserve">Contrato emergencial nº </v>
          </cell>
          <cell r="AO368" t="str">
            <v>SA</v>
          </cell>
        </row>
        <row r="369">
          <cell r="D369" t="str">
            <v>1164/11</v>
          </cell>
          <cell r="E369" t="str">
            <v>18/04/2011</v>
          </cell>
          <cell r="F369">
            <v>40830</v>
          </cell>
          <cell r="G369">
            <v>40830</v>
          </cell>
          <cell r="H369" t="str">
            <v>2011-0.081.685-9</v>
          </cell>
          <cell r="I369">
            <v>44978.400000000001</v>
          </cell>
          <cell r="J369" t="str">
            <v xml:space="preserve">              123611122                  2848                    33903600</v>
          </cell>
          <cell r="K369">
            <v>40817</v>
          </cell>
          <cell r="L369">
            <v>14</v>
          </cell>
          <cell r="M369">
            <v>3500</v>
          </cell>
          <cell r="N369">
            <v>57278</v>
          </cell>
          <cell r="O369">
            <v>13896</v>
          </cell>
          <cell r="P369">
            <v>16</v>
          </cell>
          <cell r="Q369">
            <v>3</v>
          </cell>
          <cell r="T369">
            <v>6600</v>
          </cell>
          <cell r="U369">
            <v>1956.88</v>
          </cell>
          <cell r="AA369">
            <v>1956.88</v>
          </cell>
          <cell r="AB369">
            <v>249.88</v>
          </cell>
          <cell r="AD369">
            <v>6184.6399999999994</v>
          </cell>
          <cell r="AN369" t="str">
            <v xml:space="preserve">Contrato emergencial nº </v>
          </cell>
          <cell r="AO369" t="str">
            <v>SA</v>
          </cell>
        </row>
        <row r="370">
          <cell r="D370" t="str">
            <v>1165/11</v>
          </cell>
          <cell r="E370" t="str">
            <v>18/04/2011</v>
          </cell>
          <cell r="F370">
            <v>40830</v>
          </cell>
          <cell r="G370">
            <v>40830</v>
          </cell>
          <cell r="H370" t="str">
            <v>2011-0.081.690-5</v>
          </cell>
          <cell r="I370">
            <v>24414.78</v>
          </cell>
          <cell r="J370" t="str">
            <v xml:space="preserve">              123611122                  2848                    33903600</v>
          </cell>
          <cell r="K370">
            <v>40817</v>
          </cell>
          <cell r="L370">
            <v>14</v>
          </cell>
          <cell r="M370">
            <v>1900</v>
          </cell>
          <cell r="N370">
            <v>57278</v>
          </cell>
          <cell r="O370">
            <v>13899</v>
          </cell>
          <cell r="P370">
            <v>16</v>
          </cell>
          <cell r="Q370">
            <v>3</v>
          </cell>
          <cell r="T370">
            <v>402.76000000000022</v>
          </cell>
          <cell r="AA370">
            <v>0</v>
          </cell>
          <cell r="AB370">
            <v>135.63766666666666</v>
          </cell>
          <cell r="AD370">
            <v>3877.0000000000005</v>
          </cell>
          <cell r="AN370" t="str">
            <v xml:space="preserve">Contrato emergencial nº </v>
          </cell>
          <cell r="AO370" t="str">
            <v>SA</v>
          </cell>
        </row>
        <row r="371">
          <cell r="D371" t="str">
            <v>1220/11</v>
          </cell>
          <cell r="E371" t="str">
            <v>18/04/2011</v>
          </cell>
          <cell r="F371">
            <v>40830</v>
          </cell>
          <cell r="G371">
            <v>40830</v>
          </cell>
          <cell r="H371" t="str">
            <v>2011-0.082.532-7</v>
          </cell>
          <cell r="I371">
            <v>27356.94</v>
          </cell>
          <cell r="J371" t="str">
            <v xml:space="preserve">              123611122                  2848                    33903600</v>
          </cell>
          <cell r="K371">
            <v>40817</v>
          </cell>
          <cell r="L371">
            <v>14</v>
          </cell>
          <cell r="M371">
            <v>2200</v>
          </cell>
          <cell r="N371">
            <v>57278</v>
          </cell>
          <cell r="O371">
            <v>12753</v>
          </cell>
          <cell r="P371">
            <v>16</v>
          </cell>
          <cell r="Q371">
            <v>3</v>
          </cell>
          <cell r="T371">
            <v>4020</v>
          </cell>
          <cell r="AA371">
            <v>0</v>
          </cell>
          <cell r="AB371">
            <v>151.983</v>
          </cell>
          <cell r="AN371" t="str">
            <v xml:space="preserve">Contrato emergencial nº </v>
          </cell>
          <cell r="AO371" t="str">
            <v>SA</v>
          </cell>
        </row>
        <row r="372">
          <cell r="D372" t="str">
            <v>1143/11</v>
          </cell>
          <cell r="E372" t="str">
            <v>18/04/2011</v>
          </cell>
          <cell r="F372">
            <v>40830</v>
          </cell>
          <cell r="G372">
            <v>40830</v>
          </cell>
          <cell r="H372" t="str">
            <v>2011-0.081.841-0</v>
          </cell>
          <cell r="I372">
            <v>29744.400000000001</v>
          </cell>
          <cell r="J372" t="str">
            <v xml:space="preserve">              123651121                 2847                    33903600</v>
          </cell>
          <cell r="K372">
            <v>40817</v>
          </cell>
          <cell r="L372">
            <v>14</v>
          </cell>
          <cell r="M372">
            <v>2400</v>
          </cell>
          <cell r="N372">
            <v>57273</v>
          </cell>
          <cell r="O372">
            <v>13943</v>
          </cell>
          <cell r="P372">
            <v>16</v>
          </cell>
          <cell r="Q372">
            <v>2</v>
          </cell>
          <cell r="S372">
            <v>423.08</v>
          </cell>
          <cell r="T372">
            <v>4380</v>
          </cell>
          <cell r="U372">
            <v>571.9</v>
          </cell>
          <cell r="AA372">
            <v>571.9</v>
          </cell>
          <cell r="AB372">
            <v>165.24666666666667</v>
          </cell>
          <cell r="AD372">
            <v>8888.6</v>
          </cell>
          <cell r="AN372" t="str">
            <v xml:space="preserve">Contrato emergencial nº </v>
          </cell>
          <cell r="AO372" t="str">
            <v>SM</v>
          </cell>
        </row>
        <row r="373">
          <cell r="D373" t="str">
            <v>1196/11</v>
          </cell>
          <cell r="E373" t="str">
            <v>18/04/2011</v>
          </cell>
          <cell r="F373">
            <v>40830</v>
          </cell>
          <cell r="G373">
            <v>40830</v>
          </cell>
          <cell r="H373" t="str">
            <v>2011-0.082.310-3</v>
          </cell>
          <cell r="I373">
            <v>44978.400000000001</v>
          </cell>
          <cell r="J373" t="str">
            <v xml:space="preserve">              123651121                 2847                    33903600</v>
          </cell>
          <cell r="K373">
            <v>40817</v>
          </cell>
          <cell r="L373">
            <v>14</v>
          </cell>
          <cell r="M373">
            <v>3500</v>
          </cell>
          <cell r="N373">
            <v>57273</v>
          </cell>
          <cell r="O373">
            <v>14000</v>
          </cell>
          <cell r="P373">
            <v>16</v>
          </cell>
          <cell r="Q373">
            <v>2</v>
          </cell>
          <cell r="T373">
            <v>4940.83</v>
          </cell>
          <cell r="AA373">
            <v>0</v>
          </cell>
          <cell r="AB373">
            <v>249.88</v>
          </cell>
          <cell r="AD373">
            <v>7415.84</v>
          </cell>
          <cell r="AN373" t="str">
            <v xml:space="preserve">Contrato emergencial nº </v>
          </cell>
          <cell r="AO373" t="str">
            <v>SM</v>
          </cell>
        </row>
        <row r="374">
          <cell r="D374" t="str">
            <v>1227/11</v>
          </cell>
          <cell r="E374" t="str">
            <v>18/04/2011</v>
          </cell>
          <cell r="F374">
            <v>40830</v>
          </cell>
          <cell r="G374">
            <v>40830</v>
          </cell>
          <cell r="H374" t="str">
            <v>2011-0.082.570-0</v>
          </cell>
          <cell r="I374">
            <v>42838.74</v>
          </cell>
          <cell r="J374" t="str">
            <v xml:space="preserve">              123611122                  2848                    33903600</v>
          </cell>
          <cell r="K374">
            <v>40817</v>
          </cell>
          <cell r="L374">
            <v>14</v>
          </cell>
          <cell r="M374">
            <v>3400</v>
          </cell>
          <cell r="N374">
            <v>57278</v>
          </cell>
          <cell r="O374">
            <v>12787</v>
          </cell>
          <cell r="P374">
            <v>16</v>
          </cell>
          <cell r="Q374">
            <v>3</v>
          </cell>
          <cell r="T374">
            <v>3564.9693333333298</v>
          </cell>
          <cell r="AA374">
            <v>0</v>
          </cell>
          <cell r="AB374">
            <v>237.99299999999999</v>
          </cell>
          <cell r="AD374">
            <v>6895.58</v>
          </cell>
          <cell r="AN374" t="str">
            <v xml:space="preserve">Contrato emergencial nº </v>
          </cell>
          <cell r="AO374" t="str">
            <v>SM</v>
          </cell>
        </row>
        <row r="375">
          <cell r="D375" t="str">
            <v>0979/11</v>
          </cell>
          <cell r="E375" t="str">
            <v>19/04/2011</v>
          </cell>
          <cell r="F375">
            <v>40831</v>
          </cell>
          <cell r="G375">
            <v>40831</v>
          </cell>
          <cell r="H375" t="str">
            <v>2011-0.073.349-0</v>
          </cell>
          <cell r="I375">
            <v>36300.300000000003</v>
          </cell>
          <cell r="J375" t="str">
            <v xml:space="preserve">              123611122                  2848                    33903600</v>
          </cell>
          <cell r="K375">
            <v>40817</v>
          </cell>
          <cell r="L375">
            <v>15</v>
          </cell>
          <cell r="M375">
            <v>3100</v>
          </cell>
          <cell r="N375">
            <v>57278</v>
          </cell>
          <cell r="O375">
            <v>13637</v>
          </cell>
          <cell r="P375">
            <v>16</v>
          </cell>
          <cell r="Q375">
            <v>3</v>
          </cell>
          <cell r="T375">
            <v>5460</v>
          </cell>
          <cell r="U375">
            <v>1644.53</v>
          </cell>
          <cell r="AA375">
            <v>1644.53</v>
          </cell>
          <cell r="AB375">
            <v>201.66833333333335</v>
          </cell>
          <cell r="AD375">
            <v>5421.875</v>
          </cell>
          <cell r="AN375" t="str">
            <v xml:space="preserve">Contrato emergencial nº </v>
          </cell>
          <cell r="AO375" t="str">
            <v>SA</v>
          </cell>
        </row>
        <row r="376">
          <cell r="D376" t="str">
            <v>1217/11</v>
          </cell>
          <cell r="E376" t="str">
            <v>20/04/2011</v>
          </cell>
          <cell r="F376">
            <v>40832</v>
          </cell>
          <cell r="G376">
            <v>40832</v>
          </cell>
          <cell r="H376" t="str">
            <v>2011-0.082.516-5</v>
          </cell>
          <cell r="I376">
            <v>34992.660000000003</v>
          </cell>
          <cell r="J376" t="str">
            <v xml:space="preserve">              123651121                 2847                    33903600</v>
          </cell>
          <cell r="K376">
            <v>40817</v>
          </cell>
          <cell r="L376">
            <v>16</v>
          </cell>
          <cell r="M376">
            <v>3200</v>
          </cell>
          <cell r="N376">
            <v>57273</v>
          </cell>
          <cell r="O376">
            <v>12663</v>
          </cell>
          <cell r="P376">
            <v>16</v>
          </cell>
          <cell r="Q376">
            <v>2</v>
          </cell>
          <cell r="T376">
            <v>5400</v>
          </cell>
          <cell r="U376">
            <v>0</v>
          </cell>
          <cell r="AA376">
            <v>0</v>
          </cell>
          <cell r="AB376">
            <v>194.40366666666668</v>
          </cell>
          <cell r="AD376">
            <v>5790.55</v>
          </cell>
          <cell r="AN376" t="str">
            <v xml:space="preserve">Contrato emergencial nº </v>
          </cell>
          <cell r="AO376" t="str">
            <v>MP</v>
          </cell>
        </row>
        <row r="377">
          <cell r="D377" t="str">
            <v>1628/11</v>
          </cell>
          <cell r="E377" t="str">
            <v>20/04/2011</v>
          </cell>
          <cell r="F377">
            <v>40832</v>
          </cell>
          <cell r="G377">
            <v>40832</v>
          </cell>
          <cell r="H377" t="str">
            <v>2011-0.113.720-3</v>
          </cell>
          <cell r="I377">
            <v>42838.74</v>
          </cell>
          <cell r="J377" t="str">
            <v xml:space="preserve">             123671125                  2863                   33903600</v>
          </cell>
          <cell r="K377">
            <v>40817</v>
          </cell>
          <cell r="L377">
            <v>16</v>
          </cell>
          <cell r="M377">
            <v>3900</v>
          </cell>
          <cell r="N377">
            <v>57287</v>
          </cell>
          <cell r="O377">
            <v>13812</v>
          </cell>
          <cell r="P377">
            <v>16</v>
          </cell>
          <cell r="Q377">
            <v>4</v>
          </cell>
          <cell r="S377">
            <v>1130.76</v>
          </cell>
          <cell r="T377">
            <v>6600</v>
          </cell>
          <cell r="U377">
            <v>837.67</v>
          </cell>
          <cell r="AA377">
            <v>837.67</v>
          </cell>
          <cell r="AB377">
            <v>237.99299999999999</v>
          </cell>
          <cell r="AD377">
            <v>7954.74</v>
          </cell>
          <cell r="AN377" t="str">
            <v xml:space="preserve">Contrato emergencial nº </v>
          </cell>
          <cell r="AO377" t="str">
            <v>SA</v>
          </cell>
        </row>
        <row r="378">
          <cell r="D378" t="str">
            <v>1236/11</v>
          </cell>
          <cell r="E378" t="str">
            <v>25/04/2011</v>
          </cell>
          <cell r="F378">
            <v>40837</v>
          </cell>
          <cell r="G378">
            <v>40837</v>
          </cell>
          <cell r="H378" t="str">
            <v>2011-0.082.616-1</v>
          </cell>
          <cell r="I378">
            <v>38261.760000000002</v>
          </cell>
          <cell r="J378" t="str">
            <v xml:space="preserve">              123651121                 2847                    33903600</v>
          </cell>
          <cell r="K378">
            <v>40817</v>
          </cell>
          <cell r="L378">
            <v>21</v>
          </cell>
          <cell r="M378">
            <v>4500</v>
          </cell>
          <cell r="N378">
            <v>57273</v>
          </cell>
          <cell r="O378">
            <v>12857</v>
          </cell>
          <cell r="P378">
            <v>16</v>
          </cell>
          <cell r="Q378">
            <v>2</v>
          </cell>
          <cell r="T378">
            <v>3192.59</v>
          </cell>
          <cell r="U378">
            <v>0</v>
          </cell>
          <cell r="AA378">
            <v>0</v>
          </cell>
          <cell r="AB378">
            <v>212.56533333333334</v>
          </cell>
          <cell r="AD378">
            <v>6018.16</v>
          </cell>
          <cell r="AN378" t="str">
            <v xml:space="preserve">Contrato emergencial nº </v>
          </cell>
          <cell r="AO378" t="str">
            <v>CL</v>
          </cell>
        </row>
        <row r="379">
          <cell r="D379" t="str">
            <v>1251/11</v>
          </cell>
          <cell r="E379" t="str">
            <v>25/04/2011</v>
          </cell>
          <cell r="F379">
            <v>40837</v>
          </cell>
          <cell r="G379">
            <v>40837</v>
          </cell>
          <cell r="H379" t="str">
            <v>2011-0.083.965-4</v>
          </cell>
          <cell r="I379">
            <v>38261.760000000002</v>
          </cell>
          <cell r="J379" t="str">
            <v xml:space="preserve">              123611122                  2848                    33903600</v>
          </cell>
          <cell r="K379">
            <v>40817</v>
          </cell>
          <cell r="L379">
            <v>21</v>
          </cell>
          <cell r="M379">
            <v>4500</v>
          </cell>
          <cell r="N379">
            <v>57278</v>
          </cell>
          <cell r="O379">
            <v>13089</v>
          </cell>
          <cell r="P379">
            <v>16</v>
          </cell>
          <cell r="Q379">
            <v>3</v>
          </cell>
          <cell r="U379">
            <v>1707.9480000000001</v>
          </cell>
          <cell r="AA379">
            <v>1707.9480000000001</v>
          </cell>
          <cell r="AB379">
            <v>212.56533333333334</v>
          </cell>
          <cell r="AD379">
            <v>4952.585</v>
          </cell>
          <cell r="AN379" t="str">
            <v xml:space="preserve">Contrato emergencial nº </v>
          </cell>
          <cell r="AO379" t="str">
            <v>CL</v>
          </cell>
        </row>
        <row r="380">
          <cell r="D380" t="str">
            <v>1237/11</v>
          </cell>
          <cell r="E380" t="str">
            <v>25/04/2011</v>
          </cell>
          <cell r="F380">
            <v>40837</v>
          </cell>
          <cell r="G380">
            <v>40837</v>
          </cell>
          <cell r="H380" t="str">
            <v>2011-0.082.627-7</v>
          </cell>
          <cell r="I380">
            <v>22185.9</v>
          </cell>
          <cell r="J380" t="str">
            <v xml:space="preserve">              123611122                  2848                    33903600</v>
          </cell>
          <cell r="K380">
            <v>40817</v>
          </cell>
          <cell r="L380">
            <v>21</v>
          </cell>
          <cell r="M380">
            <v>2600</v>
          </cell>
          <cell r="N380">
            <v>57278</v>
          </cell>
          <cell r="O380">
            <v>12858</v>
          </cell>
          <cell r="P380">
            <v>16</v>
          </cell>
          <cell r="Q380">
            <v>3</v>
          </cell>
          <cell r="S380">
            <v>5549.71</v>
          </cell>
          <cell r="T380">
            <v>3779.9999999999991</v>
          </cell>
          <cell r="U380">
            <v>0</v>
          </cell>
          <cell r="AA380">
            <v>0</v>
          </cell>
          <cell r="AB380">
            <v>123.25500000000001</v>
          </cell>
          <cell r="AD380">
            <v>5549.71</v>
          </cell>
          <cell r="AN380" t="str">
            <v xml:space="preserve">Contrato emergencial nº </v>
          </cell>
          <cell r="AO380" t="str">
            <v>CS</v>
          </cell>
        </row>
        <row r="381">
          <cell r="D381" t="str">
            <v>1238/11</v>
          </cell>
          <cell r="E381" t="str">
            <v>25/04/2011</v>
          </cell>
          <cell r="F381">
            <v>40837</v>
          </cell>
          <cell r="G381">
            <v>40837</v>
          </cell>
          <cell r="H381" t="str">
            <v>2011-0.082.638-2</v>
          </cell>
          <cell r="I381">
            <v>40223.339999999997</v>
          </cell>
          <cell r="J381" t="str">
            <v xml:space="preserve">              123651121                 2847                    33903600</v>
          </cell>
          <cell r="K381">
            <v>40817</v>
          </cell>
          <cell r="L381">
            <v>21</v>
          </cell>
          <cell r="M381">
            <v>4700</v>
          </cell>
          <cell r="N381">
            <v>57273</v>
          </cell>
          <cell r="O381">
            <v>12861</v>
          </cell>
          <cell r="P381">
            <v>16</v>
          </cell>
          <cell r="Q381">
            <v>2</v>
          </cell>
          <cell r="T381">
            <v>444.46000000000004</v>
          </cell>
          <cell r="U381">
            <v>0</v>
          </cell>
          <cell r="AA381">
            <v>0</v>
          </cell>
          <cell r="AB381">
            <v>223.46299999999999</v>
          </cell>
          <cell r="AD381">
            <v>5492.01</v>
          </cell>
          <cell r="AN381" t="str">
            <v xml:space="preserve">Contrato emergencial nº </v>
          </cell>
          <cell r="AO381" t="str">
            <v>CS</v>
          </cell>
        </row>
        <row r="382">
          <cell r="D382" t="str">
            <v>1239/11</v>
          </cell>
          <cell r="E382" t="str">
            <v>25/04/2011</v>
          </cell>
          <cell r="F382">
            <v>40837</v>
          </cell>
          <cell r="G382">
            <v>40837</v>
          </cell>
          <cell r="H382" t="str">
            <v>2011-0.082.640-4</v>
          </cell>
          <cell r="I382">
            <v>44324.52</v>
          </cell>
          <cell r="J382" t="str">
            <v xml:space="preserve">              123651121                 2847                    33903600</v>
          </cell>
          <cell r="K382">
            <v>40817</v>
          </cell>
          <cell r="L382">
            <v>21</v>
          </cell>
          <cell r="M382">
            <v>5200</v>
          </cell>
          <cell r="N382">
            <v>57273</v>
          </cell>
          <cell r="O382">
            <v>12870</v>
          </cell>
          <cell r="P382">
            <v>16</v>
          </cell>
          <cell r="Q382">
            <v>2</v>
          </cell>
          <cell r="T382">
            <v>6185.95</v>
          </cell>
          <cell r="U382">
            <v>0</v>
          </cell>
          <cell r="AA382">
            <v>0</v>
          </cell>
          <cell r="AB382">
            <v>246.2473333333333</v>
          </cell>
          <cell r="AD382">
            <v>7511.3200000000006</v>
          </cell>
          <cell r="AN382" t="str">
            <v xml:space="preserve">Contrato emergencial nº </v>
          </cell>
          <cell r="AO382" t="str">
            <v>CS</v>
          </cell>
        </row>
        <row r="383">
          <cell r="D383" t="str">
            <v>1252/11</v>
          </cell>
          <cell r="E383" t="str">
            <v>25/04/2011</v>
          </cell>
          <cell r="F383">
            <v>40837</v>
          </cell>
          <cell r="G383">
            <v>40837</v>
          </cell>
          <cell r="H383" t="str">
            <v>2011-0.083.967-0</v>
          </cell>
          <cell r="I383">
            <v>44978.400000000001</v>
          </cell>
          <cell r="J383" t="str">
            <v xml:space="preserve">              123651121                 2847                    33903600</v>
          </cell>
          <cell r="K383">
            <v>40817</v>
          </cell>
          <cell r="L383">
            <v>21</v>
          </cell>
          <cell r="M383">
            <v>5300</v>
          </cell>
          <cell r="N383">
            <v>57273</v>
          </cell>
          <cell r="O383">
            <v>13097</v>
          </cell>
          <cell r="P383">
            <v>16</v>
          </cell>
          <cell r="Q383">
            <v>2</v>
          </cell>
          <cell r="T383">
            <v>832.95</v>
          </cell>
          <cell r="U383">
            <v>0</v>
          </cell>
          <cell r="Y383">
            <v>111457</v>
          </cell>
          <cell r="Z383">
            <v>0</v>
          </cell>
          <cell r="AA383">
            <v>0</v>
          </cell>
          <cell r="AB383">
            <v>249.88</v>
          </cell>
          <cell r="AD383">
            <v>6049.6399999999994</v>
          </cell>
          <cell r="AN383" t="str">
            <v xml:space="preserve">Contrato emergencial nº </v>
          </cell>
          <cell r="AO383" t="str">
            <v>G</v>
          </cell>
        </row>
        <row r="384">
          <cell r="D384" t="str">
            <v>1240/11</v>
          </cell>
          <cell r="E384" t="str">
            <v>25/04/2011</v>
          </cell>
          <cell r="F384">
            <v>40837</v>
          </cell>
          <cell r="G384">
            <v>40837</v>
          </cell>
          <cell r="H384" t="str">
            <v>2011-0.082.643-9</v>
          </cell>
          <cell r="I384">
            <v>37607.879999999997</v>
          </cell>
          <cell r="J384" t="str">
            <v xml:space="preserve">              123611122                  2848                    33903600</v>
          </cell>
          <cell r="K384">
            <v>40817</v>
          </cell>
          <cell r="L384">
            <v>21</v>
          </cell>
          <cell r="M384">
            <v>4400</v>
          </cell>
          <cell r="N384">
            <v>57278</v>
          </cell>
          <cell r="O384">
            <v>12874</v>
          </cell>
          <cell r="P384">
            <v>16</v>
          </cell>
          <cell r="Q384">
            <v>3</v>
          </cell>
          <cell r="T384">
            <v>1950.7</v>
          </cell>
          <cell r="U384">
            <v>0</v>
          </cell>
          <cell r="AA384">
            <v>0</v>
          </cell>
          <cell r="AB384">
            <v>208.93266666666665</v>
          </cell>
          <cell r="AD384">
            <v>5705.06</v>
          </cell>
          <cell r="AN384" t="str">
            <v xml:space="preserve">Contrato emergencial nº </v>
          </cell>
          <cell r="AO384" t="str">
            <v>G</v>
          </cell>
        </row>
        <row r="385">
          <cell r="D385" t="str">
            <v>1253/11</v>
          </cell>
          <cell r="E385" t="str">
            <v>25/04/2011</v>
          </cell>
          <cell r="F385">
            <v>40837</v>
          </cell>
          <cell r="G385">
            <v>40837</v>
          </cell>
          <cell r="H385" t="str">
            <v>2011-0.083.973-5</v>
          </cell>
          <cell r="I385">
            <v>31418.52</v>
          </cell>
          <cell r="J385" t="str">
            <v xml:space="preserve">              123611122                  2848                    33903600</v>
          </cell>
          <cell r="K385">
            <v>40817</v>
          </cell>
          <cell r="L385">
            <v>21</v>
          </cell>
          <cell r="M385">
            <v>3700</v>
          </cell>
          <cell r="N385">
            <v>57278</v>
          </cell>
          <cell r="O385">
            <v>13100</v>
          </cell>
          <cell r="P385">
            <v>16</v>
          </cell>
          <cell r="Q385">
            <v>3</v>
          </cell>
          <cell r="T385">
            <v>231.16</v>
          </cell>
          <cell r="U385">
            <v>0</v>
          </cell>
          <cell r="AA385">
            <v>0</v>
          </cell>
          <cell r="AB385">
            <v>174.54733333333334</v>
          </cell>
          <cell r="AN385" t="str">
            <v xml:space="preserve">Contrato emergencial nº </v>
          </cell>
          <cell r="AO385" t="str">
            <v>G</v>
          </cell>
        </row>
        <row r="386">
          <cell r="D386" t="str">
            <v>1254/11</v>
          </cell>
          <cell r="E386" t="str">
            <v>25/04/2011</v>
          </cell>
          <cell r="F386">
            <v>40837</v>
          </cell>
          <cell r="G386">
            <v>40837</v>
          </cell>
          <cell r="H386" t="str">
            <v>2011-0.083.976-0</v>
          </cell>
          <cell r="I386">
            <v>44324.52</v>
          </cell>
          <cell r="J386" t="str">
            <v xml:space="preserve">              123611122                  2848                    33903600</v>
          </cell>
          <cell r="K386">
            <v>40817</v>
          </cell>
          <cell r="L386">
            <v>21</v>
          </cell>
          <cell r="M386">
            <v>5200</v>
          </cell>
          <cell r="N386">
            <v>57278</v>
          </cell>
          <cell r="O386">
            <v>13101</v>
          </cell>
          <cell r="P386">
            <v>16</v>
          </cell>
          <cell r="Q386">
            <v>3</v>
          </cell>
          <cell r="T386">
            <v>2306.64</v>
          </cell>
          <cell r="U386">
            <v>0</v>
          </cell>
          <cell r="AA386">
            <v>0</v>
          </cell>
          <cell r="AB386">
            <v>246.2473333333333</v>
          </cell>
          <cell r="AD386">
            <v>6994.68</v>
          </cell>
          <cell r="AN386" t="str">
            <v xml:space="preserve">Contrato emergencial nº </v>
          </cell>
          <cell r="AO386" t="str">
            <v>G</v>
          </cell>
        </row>
        <row r="387">
          <cell r="D387" t="str">
            <v>1289/11</v>
          </cell>
          <cell r="E387" t="str">
            <v>25/04/2011</v>
          </cell>
          <cell r="F387">
            <v>40837</v>
          </cell>
          <cell r="G387">
            <v>40837</v>
          </cell>
          <cell r="H387" t="str">
            <v>2011-0.085.443-2</v>
          </cell>
          <cell r="I387">
            <v>36746.04</v>
          </cell>
          <cell r="J387" t="str">
            <v xml:space="preserve">              123611122                  2848                    33903600</v>
          </cell>
          <cell r="K387">
            <v>40817</v>
          </cell>
          <cell r="L387">
            <v>21</v>
          </cell>
          <cell r="M387">
            <v>4300</v>
          </cell>
          <cell r="N387">
            <v>57278</v>
          </cell>
          <cell r="O387">
            <v>13437</v>
          </cell>
          <cell r="P387">
            <v>16</v>
          </cell>
          <cell r="Q387">
            <v>3</v>
          </cell>
          <cell r="T387">
            <v>6300</v>
          </cell>
          <cell r="U387">
            <v>2433.6799999999998</v>
          </cell>
          <cell r="AA387">
            <v>2433.6799999999998</v>
          </cell>
          <cell r="AB387">
            <v>204.14466666666667</v>
          </cell>
          <cell r="AD387">
            <v>4871.6100000000006</v>
          </cell>
          <cell r="AN387" t="str">
            <v xml:space="preserve">Contrato emergencial nº </v>
          </cell>
          <cell r="AO387" t="str">
            <v>G</v>
          </cell>
        </row>
        <row r="388">
          <cell r="D388" t="str">
            <v>1269/11</v>
          </cell>
          <cell r="E388" t="str">
            <v>25/04/2011</v>
          </cell>
          <cell r="F388">
            <v>40837</v>
          </cell>
          <cell r="G388">
            <v>40837</v>
          </cell>
          <cell r="H388" t="str">
            <v>2011-0.085.495-5</v>
          </cell>
          <cell r="I388">
            <v>37607.879999999997</v>
          </cell>
          <cell r="J388" t="str">
            <v xml:space="preserve">              123611122                  2848                    33903600</v>
          </cell>
          <cell r="K388">
            <v>40817</v>
          </cell>
          <cell r="L388">
            <v>21</v>
          </cell>
          <cell r="M388">
            <v>4400</v>
          </cell>
          <cell r="N388">
            <v>57278</v>
          </cell>
          <cell r="O388">
            <v>13289</v>
          </cell>
          <cell r="P388">
            <v>16</v>
          </cell>
          <cell r="Q388">
            <v>3</v>
          </cell>
          <cell r="T388">
            <v>6420</v>
          </cell>
          <cell r="AA388">
            <v>0</v>
          </cell>
          <cell r="AB388">
            <v>208.93266666666665</v>
          </cell>
          <cell r="AD388">
            <v>5063.24</v>
          </cell>
          <cell r="AN388" t="str">
            <v xml:space="preserve">Contrato emergencial nº </v>
          </cell>
          <cell r="AO388" t="str">
            <v>IP</v>
          </cell>
        </row>
        <row r="389">
          <cell r="D389" t="str">
            <v>1241/11</v>
          </cell>
          <cell r="E389" t="str">
            <v>25/04/2011</v>
          </cell>
          <cell r="F389">
            <v>40837</v>
          </cell>
          <cell r="G389">
            <v>40837</v>
          </cell>
          <cell r="H389" t="str">
            <v>2011-0.082.646-3</v>
          </cell>
          <cell r="I389">
            <v>37607.879999999997</v>
          </cell>
          <cell r="J389" t="str">
            <v xml:space="preserve">              123651121                 2847                    33903600</v>
          </cell>
          <cell r="K389">
            <v>40817</v>
          </cell>
          <cell r="L389">
            <v>21</v>
          </cell>
          <cell r="M389">
            <v>4400</v>
          </cell>
          <cell r="N389">
            <v>57273</v>
          </cell>
          <cell r="O389">
            <v>41757</v>
          </cell>
          <cell r="P389">
            <v>16</v>
          </cell>
          <cell r="Q389">
            <v>2</v>
          </cell>
          <cell r="S389">
            <v>704.55</v>
          </cell>
          <cell r="T389">
            <v>6420</v>
          </cell>
          <cell r="U389">
            <v>1553.19</v>
          </cell>
          <cell r="AA389">
            <v>1553.19</v>
          </cell>
          <cell r="AB389">
            <v>208.93266666666665</v>
          </cell>
          <cell r="AD389">
            <v>7115.4000000000005</v>
          </cell>
          <cell r="AN389" t="str">
            <v xml:space="preserve">Contrato emergencial nº </v>
          </cell>
          <cell r="AO389" t="str">
            <v>IQ</v>
          </cell>
        </row>
        <row r="390">
          <cell r="D390" t="str">
            <v>1255/11</v>
          </cell>
          <cell r="E390" t="str">
            <v>25/04/2011</v>
          </cell>
          <cell r="F390">
            <v>40837</v>
          </cell>
          <cell r="G390">
            <v>40837</v>
          </cell>
          <cell r="H390" t="str">
            <v>2011-0.083.981-6</v>
          </cell>
          <cell r="I390">
            <v>38261.760000000002</v>
          </cell>
          <cell r="J390" t="str">
            <v xml:space="preserve">              123651121                 2847                    33903600</v>
          </cell>
          <cell r="K390">
            <v>40817</v>
          </cell>
          <cell r="L390">
            <v>21</v>
          </cell>
          <cell r="M390">
            <v>4500</v>
          </cell>
          <cell r="N390">
            <v>57273</v>
          </cell>
          <cell r="O390">
            <v>13104</v>
          </cell>
          <cell r="P390">
            <v>16</v>
          </cell>
          <cell r="Q390">
            <v>2</v>
          </cell>
          <cell r="T390">
            <v>35.350000000000364</v>
          </cell>
          <cell r="U390">
            <v>0</v>
          </cell>
          <cell r="AA390">
            <v>0</v>
          </cell>
          <cell r="AB390">
            <v>212.56533333333334</v>
          </cell>
          <cell r="AD390">
            <v>5334.75</v>
          </cell>
          <cell r="AN390" t="str">
            <v xml:space="preserve">Contrato emergencial nº </v>
          </cell>
          <cell r="AO390" t="str">
            <v>IQ</v>
          </cell>
        </row>
        <row r="391">
          <cell r="D391" t="str">
            <v>1256/11</v>
          </cell>
          <cell r="E391" t="str">
            <v>25/04/2011</v>
          </cell>
          <cell r="F391">
            <v>40837</v>
          </cell>
          <cell r="G391">
            <v>40837</v>
          </cell>
          <cell r="H391" t="str">
            <v>2011-0.083.992-1</v>
          </cell>
          <cell r="I391">
            <v>26039.46</v>
          </cell>
          <cell r="J391" t="str">
            <v xml:space="preserve">              123651121                 2847                    33903600</v>
          </cell>
          <cell r="K391">
            <v>40817</v>
          </cell>
          <cell r="L391">
            <v>21</v>
          </cell>
          <cell r="M391">
            <v>3100</v>
          </cell>
          <cell r="N391">
            <v>57273</v>
          </cell>
          <cell r="O391">
            <v>13105</v>
          </cell>
          <cell r="P391">
            <v>16</v>
          </cell>
          <cell r="Q391">
            <v>2</v>
          </cell>
          <cell r="T391">
            <v>4440</v>
          </cell>
          <cell r="U391">
            <v>1665.36</v>
          </cell>
          <cell r="AA391">
            <v>1665.36</v>
          </cell>
          <cell r="AB391">
            <v>144.66366666666667</v>
          </cell>
          <cell r="AD391">
            <v>3480.33</v>
          </cell>
          <cell r="AN391" t="str">
            <v xml:space="preserve">Contrato emergencial nº </v>
          </cell>
          <cell r="AO391" t="str">
            <v>IQ</v>
          </cell>
        </row>
        <row r="392">
          <cell r="D392" t="str">
            <v>1257/11</v>
          </cell>
          <cell r="E392" t="str">
            <v>25/04/2011</v>
          </cell>
          <cell r="F392">
            <v>40837</v>
          </cell>
          <cell r="G392">
            <v>40837</v>
          </cell>
          <cell r="H392" t="str">
            <v>2011-0.083.993-0</v>
          </cell>
          <cell r="I392">
            <v>37607.879999999997</v>
          </cell>
          <cell r="J392" t="str">
            <v xml:space="preserve">              123651121                 2847                    33903600</v>
          </cell>
          <cell r="K392">
            <v>40817</v>
          </cell>
          <cell r="L392">
            <v>21</v>
          </cell>
          <cell r="M392">
            <v>4400</v>
          </cell>
          <cell r="N392">
            <v>57273</v>
          </cell>
          <cell r="O392">
            <v>13108</v>
          </cell>
          <cell r="P392">
            <v>16</v>
          </cell>
          <cell r="Q392">
            <v>2</v>
          </cell>
          <cell r="T392">
            <v>90.780000000000655</v>
          </cell>
          <cell r="U392">
            <v>0</v>
          </cell>
          <cell r="AA392">
            <v>0</v>
          </cell>
          <cell r="AB392">
            <v>208.93266666666665</v>
          </cell>
          <cell r="AD392">
            <v>5236.28</v>
          </cell>
          <cell r="AN392" t="str">
            <v xml:space="preserve">Contrato emergencial nº </v>
          </cell>
          <cell r="AO392" t="str">
            <v>IQ</v>
          </cell>
        </row>
        <row r="393">
          <cell r="D393" t="str">
            <v>1258/11</v>
          </cell>
          <cell r="E393" t="str">
            <v>25/04/2011</v>
          </cell>
          <cell r="F393">
            <v>40837</v>
          </cell>
          <cell r="G393">
            <v>40837</v>
          </cell>
          <cell r="H393" t="str">
            <v>2011-0.083.998-0</v>
          </cell>
          <cell r="I393">
            <v>31418.52</v>
          </cell>
          <cell r="J393" t="str">
            <v xml:space="preserve">              123651121                 2847                    33903600</v>
          </cell>
          <cell r="K393">
            <v>40817</v>
          </cell>
          <cell r="L393">
            <v>21</v>
          </cell>
          <cell r="M393">
            <v>3700</v>
          </cell>
          <cell r="N393">
            <v>57273</v>
          </cell>
          <cell r="O393">
            <v>13111</v>
          </cell>
          <cell r="P393">
            <v>16</v>
          </cell>
          <cell r="Q393">
            <v>2</v>
          </cell>
          <cell r="T393">
            <v>5400</v>
          </cell>
          <cell r="U393">
            <v>599.69000000000005</v>
          </cell>
          <cell r="AA393">
            <v>599.69000000000005</v>
          </cell>
          <cell r="AB393">
            <v>174.54733333333334</v>
          </cell>
          <cell r="AD393">
            <v>3942.0299999999997</v>
          </cell>
          <cell r="AN393" t="str">
            <v xml:space="preserve">Contrato emergencial nº </v>
          </cell>
          <cell r="AO393" t="str">
            <v>IQ</v>
          </cell>
        </row>
        <row r="394">
          <cell r="D394" t="str">
            <v>1270/11</v>
          </cell>
          <cell r="E394" t="str">
            <v>25/04/2011</v>
          </cell>
          <cell r="F394">
            <v>40837</v>
          </cell>
          <cell r="G394">
            <v>40837</v>
          </cell>
          <cell r="H394" t="str">
            <v>2011-0.085.496-3</v>
          </cell>
          <cell r="I394">
            <v>37607.879999999997</v>
          </cell>
          <cell r="J394" t="str">
            <v xml:space="preserve">              123651121                 2847                    33903600</v>
          </cell>
          <cell r="K394">
            <v>40817</v>
          </cell>
          <cell r="L394">
            <v>21</v>
          </cell>
          <cell r="M394">
            <v>4400</v>
          </cell>
          <cell r="N394">
            <v>57273</v>
          </cell>
          <cell r="O394">
            <v>13291</v>
          </cell>
          <cell r="P394">
            <v>16</v>
          </cell>
          <cell r="Q394">
            <v>2</v>
          </cell>
          <cell r="T394">
            <v>6420</v>
          </cell>
          <cell r="U394">
            <v>3209.84</v>
          </cell>
          <cell r="AA394">
            <v>3209.84</v>
          </cell>
          <cell r="AB394">
            <v>208.93266666666665</v>
          </cell>
          <cell r="AD394">
            <v>5168.5700000000006</v>
          </cell>
          <cell r="AN394" t="str">
            <v xml:space="preserve">Contrato emergencial nº </v>
          </cell>
          <cell r="AO394" t="str">
            <v>IQ</v>
          </cell>
        </row>
        <row r="395">
          <cell r="D395" t="str">
            <v>1271/11</v>
          </cell>
          <cell r="E395" t="str">
            <v>25/04/2011</v>
          </cell>
          <cell r="F395">
            <v>40837</v>
          </cell>
          <cell r="G395">
            <v>40837</v>
          </cell>
          <cell r="H395" t="str">
            <v>2011-0.085.497-1</v>
          </cell>
          <cell r="I395">
            <v>38261.760000000002</v>
          </cell>
          <cell r="J395" t="str">
            <v xml:space="preserve">              123651121                 2847                    33903600</v>
          </cell>
          <cell r="K395">
            <v>40817</v>
          </cell>
          <cell r="L395">
            <v>21</v>
          </cell>
          <cell r="M395">
            <v>4500</v>
          </cell>
          <cell r="N395">
            <v>57273</v>
          </cell>
          <cell r="O395">
            <v>13295</v>
          </cell>
          <cell r="P395">
            <v>16</v>
          </cell>
          <cell r="Q395">
            <v>2</v>
          </cell>
          <cell r="T395">
            <v>4654.2650000000003</v>
          </cell>
          <cell r="U395">
            <v>232.37</v>
          </cell>
          <cell r="AA395">
            <v>232.37</v>
          </cell>
          <cell r="AB395">
            <v>212.56533333333334</v>
          </cell>
          <cell r="AD395">
            <v>6614.5249999999996</v>
          </cell>
          <cell r="AN395" t="str">
            <v xml:space="preserve">Contrato emergencial nº </v>
          </cell>
          <cell r="AO395" t="str">
            <v>IQ</v>
          </cell>
        </row>
        <row r="396">
          <cell r="D396" t="str">
            <v>1243/11</v>
          </cell>
          <cell r="E396" t="str">
            <v>25/04/2011</v>
          </cell>
          <cell r="F396">
            <v>40837</v>
          </cell>
          <cell r="G396">
            <v>40837</v>
          </cell>
          <cell r="H396" t="str">
            <v>2011-0.082.653-6</v>
          </cell>
          <cell r="I396">
            <v>29744.400000000001</v>
          </cell>
          <cell r="J396" t="str">
            <v xml:space="preserve">              123611122                  2848                    33903600</v>
          </cell>
          <cell r="K396">
            <v>40817</v>
          </cell>
          <cell r="L396">
            <v>21</v>
          </cell>
          <cell r="M396">
            <v>3500</v>
          </cell>
          <cell r="N396">
            <v>57278</v>
          </cell>
          <cell r="O396">
            <v>12884</v>
          </cell>
          <cell r="P396">
            <v>16</v>
          </cell>
          <cell r="Q396">
            <v>3</v>
          </cell>
          <cell r="T396">
            <v>234.44000000000005</v>
          </cell>
          <cell r="U396">
            <v>0</v>
          </cell>
          <cell r="AA396">
            <v>0</v>
          </cell>
          <cell r="AB396">
            <v>165.24666666666667</v>
          </cell>
          <cell r="AD396">
            <v>4127.8799999999992</v>
          </cell>
          <cell r="AN396" t="str">
            <v xml:space="preserve">Contrato emergencial nº </v>
          </cell>
          <cell r="AO396" t="str">
            <v>IQ</v>
          </cell>
        </row>
        <row r="397">
          <cell r="D397" t="str">
            <v>1290/11</v>
          </cell>
          <cell r="E397" t="str">
            <v>25/04/2011</v>
          </cell>
          <cell r="F397">
            <v>40837</v>
          </cell>
          <cell r="G397">
            <v>40837</v>
          </cell>
          <cell r="H397" t="str">
            <v>2011-0.085.444-0</v>
          </cell>
          <cell r="I397">
            <v>42184.92</v>
          </cell>
          <cell r="J397" t="str">
            <v xml:space="preserve">              123611122                  2848                    33903600</v>
          </cell>
          <cell r="K397">
            <v>40817</v>
          </cell>
          <cell r="L397">
            <v>21</v>
          </cell>
          <cell r="M397">
            <v>5000</v>
          </cell>
          <cell r="N397">
            <v>57278</v>
          </cell>
          <cell r="O397">
            <v>13439</v>
          </cell>
          <cell r="P397">
            <v>16</v>
          </cell>
          <cell r="Q397">
            <v>3</v>
          </cell>
          <cell r="T397">
            <v>5571.48</v>
          </cell>
          <cell r="U397">
            <v>246.65</v>
          </cell>
          <cell r="AA397">
            <v>246.65</v>
          </cell>
          <cell r="AB397">
            <v>234.36066666666665</v>
          </cell>
          <cell r="AD397">
            <v>6807.39</v>
          </cell>
          <cell r="AN397" t="str">
            <v xml:space="preserve">Contrato emergencial nº </v>
          </cell>
          <cell r="AO397" t="str">
            <v>IQ</v>
          </cell>
        </row>
        <row r="398">
          <cell r="D398" t="str">
            <v>1260/11</v>
          </cell>
          <cell r="E398" t="str">
            <v>25/04/2011</v>
          </cell>
          <cell r="F398">
            <v>40837</v>
          </cell>
          <cell r="G398">
            <v>40837</v>
          </cell>
          <cell r="H398" t="str">
            <v>2011-0.084.021-0</v>
          </cell>
          <cell r="I398">
            <v>24008.639999999999</v>
          </cell>
          <cell r="J398" t="str">
            <v xml:space="preserve">              123651121                 2847                    33903600</v>
          </cell>
          <cell r="K398">
            <v>40817</v>
          </cell>
          <cell r="L398">
            <v>21</v>
          </cell>
          <cell r="M398">
            <v>2900</v>
          </cell>
          <cell r="N398">
            <v>57273</v>
          </cell>
          <cell r="O398">
            <v>13122</v>
          </cell>
          <cell r="P398">
            <v>16</v>
          </cell>
          <cell r="Q398">
            <v>2</v>
          </cell>
          <cell r="T398">
            <v>4140</v>
          </cell>
          <cell r="U398">
            <v>0</v>
          </cell>
          <cell r="AA398">
            <v>0</v>
          </cell>
          <cell r="AB398">
            <v>133.38133333333332</v>
          </cell>
          <cell r="AD398">
            <v>2818.3153333333335</v>
          </cell>
          <cell r="AN398" t="str">
            <v xml:space="preserve">Contrato emergencial nº </v>
          </cell>
          <cell r="AO398" t="str">
            <v>JT</v>
          </cell>
        </row>
        <row r="399">
          <cell r="D399" t="str">
            <v>1262/11</v>
          </cell>
          <cell r="E399" t="str">
            <v>25/04/2011</v>
          </cell>
          <cell r="F399">
            <v>40837</v>
          </cell>
          <cell r="G399">
            <v>40837</v>
          </cell>
          <cell r="H399" t="str">
            <v>2011-0.084.061-0</v>
          </cell>
          <cell r="I399">
            <v>29744.400000000001</v>
          </cell>
          <cell r="J399" t="str">
            <v xml:space="preserve">              123651121                 2847                    33903600</v>
          </cell>
          <cell r="K399">
            <v>40817</v>
          </cell>
          <cell r="L399">
            <v>21</v>
          </cell>
          <cell r="M399">
            <v>3500</v>
          </cell>
          <cell r="N399">
            <v>57273</v>
          </cell>
          <cell r="O399">
            <v>13130</v>
          </cell>
          <cell r="P399">
            <v>16</v>
          </cell>
          <cell r="Q399">
            <v>2</v>
          </cell>
          <cell r="T399">
            <v>1669.15</v>
          </cell>
          <cell r="U399">
            <v>0</v>
          </cell>
          <cell r="AA399">
            <v>0</v>
          </cell>
          <cell r="AB399">
            <v>165.24666666666667</v>
          </cell>
          <cell r="AD399">
            <v>4527.79</v>
          </cell>
          <cell r="AN399" t="str">
            <v xml:space="preserve">Contrato emergencial nº </v>
          </cell>
          <cell r="AO399" t="str">
            <v>JT</v>
          </cell>
        </row>
        <row r="400">
          <cell r="D400" t="str">
            <v>1274/11</v>
          </cell>
          <cell r="E400" t="str">
            <v>25/04/2011</v>
          </cell>
          <cell r="F400">
            <v>40837</v>
          </cell>
          <cell r="G400">
            <v>40837</v>
          </cell>
          <cell r="H400" t="str">
            <v>2011-0.085.501-3</v>
          </cell>
          <cell r="I400">
            <v>27109.32</v>
          </cell>
          <cell r="J400" t="str">
            <v xml:space="preserve">              123651121                 2847                    33903600</v>
          </cell>
          <cell r="K400">
            <v>40817</v>
          </cell>
          <cell r="L400">
            <v>21</v>
          </cell>
          <cell r="M400">
            <v>3200</v>
          </cell>
          <cell r="N400">
            <v>57273</v>
          </cell>
          <cell r="O400">
            <v>13301</v>
          </cell>
          <cell r="P400">
            <v>16</v>
          </cell>
          <cell r="Q400">
            <v>2</v>
          </cell>
          <cell r="T400">
            <v>4159.68</v>
          </cell>
          <cell r="U400">
            <v>252</v>
          </cell>
          <cell r="AA400">
            <v>252</v>
          </cell>
          <cell r="AB400">
            <v>150.60733333333334</v>
          </cell>
          <cell r="AD400">
            <v>4476.22</v>
          </cell>
          <cell r="AN400" t="str">
            <v xml:space="preserve">Contrato emergencial nº </v>
          </cell>
          <cell r="AO400" t="str">
            <v>JT</v>
          </cell>
        </row>
        <row r="401">
          <cell r="D401" t="str">
            <v>1284/11</v>
          </cell>
          <cell r="E401" t="str">
            <v>25/04/2011</v>
          </cell>
          <cell r="F401">
            <v>40837</v>
          </cell>
          <cell r="G401">
            <v>40837</v>
          </cell>
          <cell r="H401" t="str">
            <v>2011-0.085.102-6</v>
          </cell>
          <cell r="I401">
            <v>38261.760000000002</v>
          </cell>
          <cell r="J401" t="str">
            <v xml:space="preserve">              123651121                 2847                    33903600</v>
          </cell>
          <cell r="K401">
            <v>40817</v>
          </cell>
          <cell r="L401">
            <v>21</v>
          </cell>
          <cell r="M401">
            <v>4500</v>
          </cell>
          <cell r="N401">
            <v>57273</v>
          </cell>
          <cell r="O401">
            <v>13355</v>
          </cell>
          <cell r="P401">
            <v>16</v>
          </cell>
          <cell r="Q401">
            <v>2</v>
          </cell>
          <cell r="T401">
            <v>6540</v>
          </cell>
          <cell r="U401">
            <v>3688.8</v>
          </cell>
          <cell r="AA401">
            <v>3688.8</v>
          </cell>
          <cell r="AB401">
            <v>212.56533333333334</v>
          </cell>
          <cell r="AD401">
            <v>5319.7199999999993</v>
          </cell>
          <cell r="AN401" t="str">
            <v xml:space="preserve">Contrato emergencial nº </v>
          </cell>
          <cell r="AO401" t="str">
            <v>JT</v>
          </cell>
        </row>
        <row r="402">
          <cell r="D402" t="str">
            <v>1244/11</v>
          </cell>
          <cell r="E402" t="str">
            <v>25/04/2011</v>
          </cell>
          <cell r="F402">
            <v>40837</v>
          </cell>
          <cell r="G402">
            <v>40837</v>
          </cell>
          <cell r="H402" t="str">
            <v>2011-0.083.951-4</v>
          </cell>
          <cell r="I402">
            <v>26039.46</v>
          </cell>
          <cell r="J402" t="str">
            <v xml:space="preserve">              123611122                  2848                    33903600</v>
          </cell>
          <cell r="K402">
            <v>40817</v>
          </cell>
          <cell r="L402">
            <v>21</v>
          </cell>
          <cell r="M402">
            <v>3100</v>
          </cell>
          <cell r="N402">
            <v>57278</v>
          </cell>
          <cell r="O402">
            <v>12889</v>
          </cell>
          <cell r="P402">
            <v>16</v>
          </cell>
          <cell r="Q402">
            <v>3</v>
          </cell>
          <cell r="T402">
            <v>4440</v>
          </cell>
          <cell r="U402">
            <v>2393.88</v>
          </cell>
          <cell r="AA402">
            <v>2393.88</v>
          </cell>
          <cell r="AB402">
            <v>144.66366666666667</v>
          </cell>
          <cell r="AD402">
            <v>3430.1400000000003</v>
          </cell>
          <cell r="AN402" t="str">
            <v xml:space="preserve">Contrato emergencial nº </v>
          </cell>
          <cell r="AO402" t="str">
            <v>JT</v>
          </cell>
        </row>
        <row r="403">
          <cell r="D403" t="str">
            <v>1259/11</v>
          </cell>
          <cell r="E403" t="str">
            <v>25/04/2011</v>
          </cell>
          <cell r="F403">
            <v>40837</v>
          </cell>
          <cell r="G403">
            <v>40837</v>
          </cell>
          <cell r="H403" t="str">
            <v>2011-0.084.014-8</v>
          </cell>
          <cell r="I403">
            <v>38261.760000000002</v>
          </cell>
          <cell r="J403" t="str">
            <v xml:space="preserve">              123611122                  2848                    33903600</v>
          </cell>
          <cell r="K403">
            <v>40817</v>
          </cell>
          <cell r="L403">
            <v>21</v>
          </cell>
          <cell r="M403">
            <v>4500</v>
          </cell>
          <cell r="N403">
            <v>57278</v>
          </cell>
          <cell r="O403">
            <v>13116</v>
          </cell>
          <cell r="P403">
            <v>16</v>
          </cell>
          <cell r="Q403">
            <v>3</v>
          </cell>
          <cell r="T403">
            <v>6540</v>
          </cell>
          <cell r="U403">
            <v>2049</v>
          </cell>
          <cell r="AA403">
            <v>2049</v>
          </cell>
          <cell r="AB403">
            <v>212.56533333333334</v>
          </cell>
          <cell r="AD403">
            <v>4950.12</v>
          </cell>
          <cell r="AN403" t="str">
            <v xml:space="preserve">Contrato emergencial nº </v>
          </cell>
          <cell r="AO403" t="str">
            <v>JT</v>
          </cell>
        </row>
        <row r="404">
          <cell r="D404" t="str">
            <v>1261/11</v>
          </cell>
          <cell r="E404" t="str">
            <v>25/04/2011</v>
          </cell>
          <cell r="F404">
            <v>40837</v>
          </cell>
          <cell r="G404">
            <v>40837</v>
          </cell>
          <cell r="H404" t="str">
            <v>2011-0.084.030-0</v>
          </cell>
          <cell r="I404">
            <v>31012.38</v>
          </cell>
          <cell r="J404" t="str">
            <v xml:space="preserve">              123611122                  2848                    33903600</v>
          </cell>
          <cell r="K404">
            <v>40817</v>
          </cell>
          <cell r="L404">
            <v>21</v>
          </cell>
          <cell r="M404">
            <v>3700</v>
          </cell>
          <cell r="N404">
            <v>57278</v>
          </cell>
          <cell r="O404">
            <v>13125</v>
          </cell>
          <cell r="P404">
            <v>16</v>
          </cell>
          <cell r="Q404">
            <v>3</v>
          </cell>
          <cell r="S404">
            <v>688.98</v>
          </cell>
          <cell r="T404">
            <v>5280</v>
          </cell>
          <cell r="U404">
            <v>1047</v>
          </cell>
          <cell r="AA404">
            <v>1047</v>
          </cell>
          <cell r="AB404">
            <v>172.291</v>
          </cell>
          <cell r="AD404">
            <v>5657.13</v>
          </cell>
          <cell r="AN404" t="str">
            <v xml:space="preserve">Contrato emergencial nº </v>
          </cell>
          <cell r="AO404" t="str">
            <v>JT</v>
          </cell>
        </row>
        <row r="405">
          <cell r="D405" t="str">
            <v>1281/11</v>
          </cell>
          <cell r="E405" t="str">
            <v>25/04/2011</v>
          </cell>
          <cell r="F405">
            <v>40837</v>
          </cell>
          <cell r="G405">
            <v>40837</v>
          </cell>
          <cell r="H405" t="str">
            <v>2011-0.085.093-3</v>
          </cell>
          <cell r="I405">
            <v>30150.54</v>
          </cell>
          <cell r="J405" t="str">
            <v xml:space="preserve">              123611122                  2848                    33903600</v>
          </cell>
          <cell r="K405">
            <v>40817</v>
          </cell>
          <cell r="L405">
            <v>21</v>
          </cell>
          <cell r="M405">
            <v>3600</v>
          </cell>
          <cell r="N405">
            <v>57278</v>
          </cell>
          <cell r="O405">
            <v>13344</v>
          </cell>
          <cell r="P405">
            <v>16</v>
          </cell>
          <cell r="Q405">
            <v>3</v>
          </cell>
          <cell r="T405">
            <v>4822.1099999999997</v>
          </cell>
          <cell r="U405">
            <v>0</v>
          </cell>
          <cell r="AA405">
            <v>0</v>
          </cell>
          <cell r="AB405">
            <v>167.50300000000001</v>
          </cell>
          <cell r="AD405">
            <v>5206.91</v>
          </cell>
          <cell r="AN405" t="str">
            <v xml:space="preserve">Contrato emergencial nº </v>
          </cell>
          <cell r="AO405" t="str">
            <v>JT</v>
          </cell>
        </row>
        <row r="406">
          <cell r="D406" t="str">
            <v>1291/11</v>
          </cell>
          <cell r="E406" t="str">
            <v>25/04/2011</v>
          </cell>
          <cell r="F406">
            <v>40837</v>
          </cell>
          <cell r="G406">
            <v>40837</v>
          </cell>
          <cell r="H406" t="str">
            <v>2011-0.085.447-5</v>
          </cell>
          <cell r="I406">
            <v>30556.68</v>
          </cell>
          <cell r="J406" t="str">
            <v xml:space="preserve">              123651121                 2847                    33903600</v>
          </cell>
          <cell r="K406">
            <v>40817</v>
          </cell>
          <cell r="L406">
            <v>21</v>
          </cell>
          <cell r="M406">
            <v>3600</v>
          </cell>
          <cell r="N406">
            <v>57273</v>
          </cell>
          <cell r="O406">
            <v>13440</v>
          </cell>
          <cell r="P406">
            <v>16</v>
          </cell>
          <cell r="Q406">
            <v>2</v>
          </cell>
          <cell r="T406">
            <v>5220</v>
          </cell>
          <cell r="U406">
            <v>0</v>
          </cell>
          <cell r="AA406">
            <v>0</v>
          </cell>
          <cell r="AB406">
            <v>169.75933333333333</v>
          </cell>
          <cell r="AD406">
            <v>5312.16</v>
          </cell>
          <cell r="AN406" t="str">
            <v xml:space="preserve">Contrato emergencial nº </v>
          </cell>
          <cell r="AO406" t="str">
            <v>MP</v>
          </cell>
        </row>
        <row r="407">
          <cell r="D407" t="str">
            <v>1242/11</v>
          </cell>
          <cell r="E407" t="str">
            <v>25/04/2011</v>
          </cell>
          <cell r="F407">
            <v>40837</v>
          </cell>
          <cell r="G407">
            <v>40837</v>
          </cell>
          <cell r="H407" t="str">
            <v>2011-0.082.649-8</v>
          </cell>
          <cell r="I407">
            <v>37607.879999999997</v>
          </cell>
          <cell r="J407" t="str">
            <v xml:space="preserve">              123611122                  2848                    33903600</v>
          </cell>
          <cell r="K407">
            <v>40817</v>
          </cell>
          <cell r="L407">
            <v>21</v>
          </cell>
          <cell r="M407">
            <v>4400</v>
          </cell>
          <cell r="N407">
            <v>57278</v>
          </cell>
          <cell r="O407">
            <v>12881</v>
          </cell>
          <cell r="P407">
            <v>16</v>
          </cell>
          <cell r="Q407">
            <v>3</v>
          </cell>
          <cell r="T407">
            <v>6420</v>
          </cell>
          <cell r="U407">
            <v>3258.2579999999998</v>
          </cell>
          <cell r="AA407">
            <v>3258.2579999999998</v>
          </cell>
          <cell r="AB407">
            <v>208.93266666666665</v>
          </cell>
          <cell r="AD407">
            <v>5161.7900000000009</v>
          </cell>
          <cell r="AN407" t="str">
            <v xml:space="preserve">Contrato emergencial nº </v>
          </cell>
          <cell r="AO407" t="str">
            <v>MP</v>
          </cell>
        </row>
        <row r="408">
          <cell r="D408" t="str">
            <v>1287/11</v>
          </cell>
          <cell r="E408" t="str">
            <v>25/04/2011</v>
          </cell>
          <cell r="F408">
            <v>40837</v>
          </cell>
          <cell r="G408">
            <v>40837</v>
          </cell>
          <cell r="H408" t="str">
            <v>2011-0.085.108-5</v>
          </cell>
          <cell r="I408">
            <v>23860.02</v>
          </cell>
          <cell r="J408" t="str">
            <v xml:space="preserve">              123611122                  2848                    33903600</v>
          </cell>
          <cell r="K408">
            <v>40817</v>
          </cell>
          <cell r="L408">
            <v>21</v>
          </cell>
          <cell r="M408">
            <v>2800</v>
          </cell>
          <cell r="N408">
            <v>57278</v>
          </cell>
          <cell r="O408">
            <v>13427</v>
          </cell>
          <cell r="P408">
            <v>16</v>
          </cell>
          <cell r="Q408">
            <v>3</v>
          </cell>
          <cell r="S408">
            <v>1913.98</v>
          </cell>
          <cell r="T408">
            <v>4080</v>
          </cell>
          <cell r="U408">
            <v>801.55300000000034</v>
          </cell>
          <cell r="AA408">
            <v>801.55300000000034</v>
          </cell>
          <cell r="AB408">
            <v>132.55566666666667</v>
          </cell>
          <cell r="AD408">
            <v>4540.84</v>
          </cell>
          <cell r="AN408" t="str">
            <v xml:space="preserve">Contrato emergencial nº </v>
          </cell>
          <cell r="AO408" t="str">
            <v>MP</v>
          </cell>
        </row>
        <row r="409">
          <cell r="D409" t="str">
            <v>1263/11</v>
          </cell>
          <cell r="E409" t="str">
            <v>25/04/2011</v>
          </cell>
          <cell r="F409">
            <v>40837</v>
          </cell>
          <cell r="G409">
            <v>40837</v>
          </cell>
          <cell r="H409" t="str">
            <v>2011-0.084.066-0</v>
          </cell>
          <cell r="I409">
            <v>26901.3</v>
          </cell>
          <cell r="J409" t="str">
            <v xml:space="preserve">              123651121                 2847                    33903600</v>
          </cell>
          <cell r="K409">
            <v>40817</v>
          </cell>
          <cell r="L409">
            <v>21</v>
          </cell>
          <cell r="M409">
            <v>3200</v>
          </cell>
          <cell r="N409">
            <v>57273</v>
          </cell>
          <cell r="O409">
            <v>13134</v>
          </cell>
          <cell r="P409">
            <v>16</v>
          </cell>
          <cell r="Q409">
            <v>2</v>
          </cell>
          <cell r="T409">
            <v>4620</v>
          </cell>
          <cell r="U409">
            <v>0</v>
          </cell>
          <cell r="AA409">
            <v>0</v>
          </cell>
          <cell r="AB409">
            <v>149.45166666666665</v>
          </cell>
          <cell r="AD409">
            <v>2899.6916666666666</v>
          </cell>
          <cell r="AN409" t="str">
            <v xml:space="preserve">Contrato emergencial nº </v>
          </cell>
          <cell r="AO409" t="str">
            <v>PE</v>
          </cell>
        </row>
        <row r="410">
          <cell r="D410" t="str">
            <v>1264/11</v>
          </cell>
          <cell r="E410" t="str">
            <v>25/04/2011</v>
          </cell>
          <cell r="F410">
            <v>40837</v>
          </cell>
          <cell r="G410">
            <v>40837</v>
          </cell>
          <cell r="H410" t="str">
            <v>2011-0.085.484-0</v>
          </cell>
          <cell r="I410">
            <v>44978.400000000001</v>
          </cell>
          <cell r="J410" t="str">
            <v xml:space="preserve">              123651121                 2847                    33903600</v>
          </cell>
          <cell r="K410">
            <v>40817</v>
          </cell>
          <cell r="L410">
            <v>21</v>
          </cell>
          <cell r="M410">
            <v>5300</v>
          </cell>
          <cell r="N410">
            <v>57273</v>
          </cell>
          <cell r="P410">
            <v>16</v>
          </cell>
          <cell r="Q410">
            <v>2</v>
          </cell>
          <cell r="T410">
            <v>7680</v>
          </cell>
          <cell r="AA410">
            <v>0</v>
          </cell>
          <cell r="AB410">
            <v>249.88</v>
          </cell>
          <cell r="AN410" t="str">
            <v xml:space="preserve">Contrato emergencial nº </v>
          </cell>
          <cell r="AO410" t="str">
            <v>PE</v>
          </cell>
        </row>
        <row r="411">
          <cell r="D411" t="str">
            <v>1288/11</v>
          </cell>
          <cell r="E411" t="str">
            <v>25/04/2011</v>
          </cell>
          <cell r="F411">
            <v>40837</v>
          </cell>
          <cell r="G411">
            <v>40837</v>
          </cell>
          <cell r="H411" t="str">
            <v>2011-0.085.110-7</v>
          </cell>
          <cell r="I411">
            <v>44978.400000000001</v>
          </cell>
          <cell r="J411" t="str">
            <v xml:space="preserve">              123611122                  2848                    33903600</v>
          </cell>
          <cell r="K411">
            <v>40817</v>
          </cell>
          <cell r="L411">
            <v>21</v>
          </cell>
          <cell r="M411">
            <v>5300</v>
          </cell>
          <cell r="N411">
            <v>57278</v>
          </cell>
          <cell r="O411">
            <v>13432</v>
          </cell>
          <cell r="P411">
            <v>16</v>
          </cell>
          <cell r="Q411">
            <v>3</v>
          </cell>
          <cell r="T411">
            <v>7680</v>
          </cell>
          <cell r="AA411">
            <v>0</v>
          </cell>
          <cell r="AB411">
            <v>249.88</v>
          </cell>
          <cell r="AD411">
            <v>5983.3899999999994</v>
          </cell>
          <cell r="AN411" t="str">
            <v xml:space="preserve">Contrato emergencial nº </v>
          </cell>
          <cell r="AO411" t="str">
            <v>PE</v>
          </cell>
        </row>
        <row r="412">
          <cell r="D412" t="str">
            <v>1265/11</v>
          </cell>
          <cell r="E412" t="str">
            <v>25/04/2011</v>
          </cell>
          <cell r="F412">
            <v>40837</v>
          </cell>
          <cell r="G412">
            <v>40837</v>
          </cell>
          <cell r="H412" t="str">
            <v>2011-0.085.487-4</v>
          </cell>
          <cell r="I412">
            <v>42184.92</v>
          </cell>
          <cell r="J412" t="str">
            <v xml:space="preserve">             123671125                  2863                   33903600</v>
          </cell>
          <cell r="K412">
            <v>40817</v>
          </cell>
          <cell r="L412">
            <v>21</v>
          </cell>
          <cell r="M412">
            <v>5000</v>
          </cell>
          <cell r="N412">
            <v>918</v>
          </cell>
          <cell r="O412">
            <v>13140</v>
          </cell>
          <cell r="P412">
            <v>16</v>
          </cell>
          <cell r="Q412">
            <v>4</v>
          </cell>
          <cell r="S412">
            <v>6045.83</v>
          </cell>
          <cell r="T412">
            <v>6428.76</v>
          </cell>
          <cell r="AA412">
            <v>0</v>
          </cell>
          <cell r="AB412">
            <v>234.36066666666665</v>
          </cell>
          <cell r="AD412">
            <v>7239.37</v>
          </cell>
          <cell r="AN412" t="str">
            <v xml:space="preserve">Contrato emergencial nº </v>
          </cell>
          <cell r="AO412" t="str">
            <v>PE</v>
          </cell>
        </row>
        <row r="413">
          <cell r="D413" t="str">
            <v>1245/11</v>
          </cell>
          <cell r="E413" t="str">
            <v>25/04/2011</v>
          </cell>
          <cell r="F413">
            <v>40837</v>
          </cell>
          <cell r="G413">
            <v>40837</v>
          </cell>
          <cell r="H413" t="str">
            <v>2011-0.083.953-0</v>
          </cell>
          <cell r="I413">
            <v>38261.760000000002</v>
          </cell>
          <cell r="J413" t="str">
            <v xml:space="preserve">              123611122                  2848                    33903600</v>
          </cell>
          <cell r="K413">
            <v>40817</v>
          </cell>
          <cell r="L413">
            <v>21</v>
          </cell>
          <cell r="M413">
            <v>4500</v>
          </cell>
          <cell r="N413">
            <v>57278</v>
          </cell>
          <cell r="O413">
            <v>12896</v>
          </cell>
          <cell r="P413">
            <v>16</v>
          </cell>
          <cell r="Q413">
            <v>3</v>
          </cell>
          <cell r="T413">
            <v>6540</v>
          </cell>
          <cell r="AA413">
            <v>0</v>
          </cell>
          <cell r="AB413">
            <v>212.56533333333334</v>
          </cell>
          <cell r="AD413">
            <v>6047.2</v>
          </cell>
          <cell r="AN413" t="str">
            <v xml:space="preserve">Contrato emergencial nº </v>
          </cell>
          <cell r="AO413" t="str">
            <v>PJ</v>
          </cell>
        </row>
        <row r="414">
          <cell r="D414" t="str">
            <v>1266/11</v>
          </cell>
          <cell r="E414" t="str">
            <v>25/04/2011</v>
          </cell>
          <cell r="F414">
            <v>40837</v>
          </cell>
          <cell r="G414">
            <v>40837</v>
          </cell>
          <cell r="H414" t="str">
            <v>2011-0.085.490-4</v>
          </cell>
          <cell r="I414">
            <v>30150.54</v>
          </cell>
          <cell r="J414" t="str">
            <v xml:space="preserve">              123611122                  2848                    33903600</v>
          </cell>
          <cell r="K414">
            <v>40817</v>
          </cell>
          <cell r="L414">
            <v>21</v>
          </cell>
          <cell r="M414">
            <v>3600</v>
          </cell>
          <cell r="N414">
            <v>57278</v>
          </cell>
          <cell r="O414">
            <v>13176</v>
          </cell>
          <cell r="P414">
            <v>16</v>
          </cell>
          <cell r="Q414">
            <v>3</v>
          </cell>
          <cell r="T414">
            <v>5160</v>
          </cell>
          <cell r="AA414">
            <v>0</v>
          </cell>
          <cell r="AB414">
            <v>167.50300000000001</v>
          </cell>
          <cell r="AD414">
            <v>5367.7400000000007</v>
          </cell>
          <cell r="AN414" t="str">
            <v xml:space="preserve">Contrato emergencial nº </v>
          </cell>
          <cell r="AO414" t="str">
            <v>PJ</v>
          </cell>
        </row>
        <row r="415">
          <cell r="D415" t="str">
            <v>1275/11</v>
          </cell>
          <cell r="E415" t="str">
            <v>25/04/2011</v>
          </cell>
          <cell r="F415">
            <v>40837</v>
          </cell>
          <cell r="G415">
            <v>40837</v>
          </cell>
          <cell r="H415" t="str">
            <v>2011-0.085.503-0</v>
          </cell>
          <cell r="I415">
            <v>30150.54</v>
          </cell>
          <cell r="J415" t="str">
            <v xml:space="preserve">              123611122                  2848                    33903600</v>
          </cell>
          <cell r="K415">
            <v>40817</v>
          </cell>
          <cell r="L415">
            <v>21</v>
          </cell>
          <cell r="M415">
            <v>3600</v>
          </cell>
          <cell r="N415">
            <v>57278</v>
          </cell>
          <cell r="O415">
            <v>13303</v>
          </cell>
          <cell r="P415">
            <v>16</v>
          </cell>
          <cell r="Q415">
            <v>3</v>
          </cell>
          <cell r="S415">
            <v>1237.99</v>
          </cell>
          <cell r="T415">
            <v>5160</v>
          </cell>
          <cell r="AA415">
            <v>0</v>
          </cell>
          <cell r="AB415">
            <v>167.50300000000001</v>
          </cell>
          <cell r="AD415">
            <v>5549.6125000000002</v>
          </cell>
          <cell r="AN415" t="str">
            <v xml:space="preserve">Contrato emergencial nº </v>
          </cell>
          <cell r="AO415" t="str">
            <v>PJ</v>
          </cell>
        </row>
        <row r="416">
          <cell r="D416" t="str">
            <v>1276/11</v>
          </cell>
          <cell r="E416" t="str">
            <v>25/04/2011</v>
          </cell>
          <cell r="F416">
            <v>40837</v>
          </cell>
          <cell r="G416">
            <v>40837</v>
          </cell>
          <cell r="H416" t="str">
            <v>2011-0.085.504-8</v>
          </cell>
          <cell r="I416">
            <v>36954.120000000003</v>
          </cell>
          <cell r="J416" t="str">
            <v xml:space="preserve">              123611122                  2848                    33903600</v>
          </cell>
          <cell r="K416">
            <v>40817</v>
          </cell>
          <cell r="L416">
            <v>21</v>
          </cell>
          <cell r="M416">
            <v>4400</v>
          </cell>
          <cell r="N416">
            <v>57278</v>
          </cell>
          <cell r="O416">
            <v>13308</v>
          </cell>
          <cell r="P416">
            <v>16</v>
          </cell>
          <cell r="Q416">
            <v>3</v>
          </cell>
          <cell r="T416">
            <v>6300</v>
          </cell>
          <cell r="AA416">
            <v>0</v>
          </cell>
          <cell r="AB416">
            <v>205.30066666666667</v>
          </cell>
          <cell r="AD416">
            <v>5246.8799999999992</v>
          </cell>
          <cell r="AN416" t="str">
            <v xml:space="preserve">Contrato emergencial nº </v>
          </cell>
          <cell r="AO416" t="str">
            <v>PJ</v>
          </cell>
        </row>
        <row r="417">
          <cell r="D417" t="str">
            <v>1282/11</v>
          </cell>
          <cell r="E417" t="str">
            <v>25/04/2011</v>
          </cell>
          <cell r="F417">
            <v>40837</v>
          </cell>
          <cell r="G417">
            <v>40837</v>
          </cell>
          <cell r="H417" t="str">
            <v>2011-0.085.095-0</v>
          </cell>
          <cell r="I417">
            <v>37607.879999999997</v>
          </cell>
          <cell r="J417" t="str">
            <v xml:space="preserve">              123611122                  2848                    33903600</v>
          </cell>
          <cell r="K417">
            <v>40817</v>
          </cell>
          <cell r="L417">
            <v>21</v>
          </cell>
          <cell r="M417">
            <v>4400</v>
          </cell>
          <cell r="N417">
            <v>57278</v>
          </cell>
          <cell r="O417">
            <v>13347</v>
          </cell>
          <cell r="P417">
            <v>16</v>
          </cell>
          <cell r="Q417">
            <v>3</v>
          </cell>
          <cell r="T417">
            <v>6420</v>
          </cell>
          <cell r="AA417">
            <v>0</v>
          </cell>
          <cell r="AB417">
            <v>208.93266666666665</v>
          </cell>
          <cell r="AD417">
            <v>5953.0199999999995</v>
          </cell>
          <cell r="AN417" t="str">
            <v xml:space="preserve">Contrato emergencial nº </v>
          </cell>
          <cell r="AO417" t="str">
            <v>PJ</v>
          </cell>
        </row>
        <row r="418">
          <cell r="D418" t="str">
            <v>1234/11</v>
          </cell>
          <cell r="E418" t="str">
            <v>25/04/2011</v>
          </cell>
          <cell r="F418">
            <v>40837</v>
          </cell>
          <cell r="G418">
            <v>40837</v>
          </cell>
          <cell r="H418" t="str">
            <v>2011-0.082.601-3</v>
          </cell>
          <cell r="I418">
            <v>39569.46</v>
          </cell>
          <cell r="J418" t="str">
            <v xml:space="preserve">              123651121                 2847                    33903600</v>
          </cell>
          <cell r="K418">
            <v>40817</v>
          </cell>
          <cell r="L418">
            <v>21</v>
          </cell>
          <cell r="M418">
            <v>4700</v>
          </cell>
          <cell r="N418">
            <v>57273</v>
          </cell>
          <cell r="O418">
            <v>12850</v>
          </cell>
          <cell r="P418">
            <v>16</v>
          </cell>
          <cell r="Q418">
            <v>2</v>
          </cell>
          <cell r="T418">
            <v>6780</v>
          </cell>
          <cell r="AA418">
            <v>0</v>
          </cell>
          <cell r="AB418">
            <v>219.83033333333333</v>
          </cell>
          <cell r="AD418">
            <v>6284.16</v>
          </cell>
          <cell r="AN418" t="str">
            <v xml:space="preserve">Contrato emergencial nº </v>
          </cell>
          <cell r="AO418" t="str">
            <v>PJ</v>
          </cell>
        </row>
        <row r="419">
          <cell r="D419" t="str">
            <v>1246/11</v>
          </cell>
          <cell r="E419" t="str">
            <v>25/04/2011</v>
          </cell>
          <cell r="F419">
            <v>40837</v>
          </cell>
          <cell r="G419">
            <v>40837</v>
          </cell>
          <cell r="H419" t="str">
            <v>2011-0.083.954-9</v>
          </cell>
          <cell r="I419">
            <v>40223.339999999997</v>
          </cell>
          <cell r="J419" t="str">
            <v xml:space="preserve">              123651121                 2847                    33903600</v>
          </cell>
          <cell r="K419">
            <v>40817</v>
          </cell>
          <cell r="L419">
            <v>21</v>
          </cell>
          <cell r="M419">
            <v>4700</v>
          </cell>
          <cell r="N419">
            <v>57273</v>
          </cell>
          <cell r="O419">
            <v>12901</v>
          </cell>
          <cell r="P419">
            <v>16</v>
          </cell>
          <cell r="Q419">
            <v>2</v>
          </cell>
          <cell r="T419">
            <v>6840</v>
          </cell>
          <cell r="AA419">
            <v>0</v>
          </cell>
          <cell r="AB419">
            <v>223.46299999999999</v>
          </cell>
          <cell r="AD419">
            <v>6330.3499999999995</v>
          </cell>
          <cell r="AN419" t="str">
            <v xml:space="preserve">Contrato emergencial nº </v>
          </cell>
          <cell r="AO419" t="str">
            <v>PJ</v>
          </cell>
        </row>
        <row r="420">
          <cell r="D420" t="str">
            <v>1285/11</v>
          </cell>
          <cell r="E420" t="str">
            <v>25/04/2011</v>
          </cell>
          <cell r="F420">
            <v>40837</v>
          </cell>
          <cell r="G420">
            <v>40837</v>
          </cell>
          <cell r="H420" t="str">
            <v>2011-0.085.105-0</v>
          </cell>
          <cell r="I420">
            <v>38261.760000000002</v>
          </cell>
          <cell r="J420" t="str">
            <v xml:space="preserve">              123651121                 2847                    33903600</v>
          </cell>
          <cell r="K420">
            <v>40817</v>
          </cell>
          <cell r="L420">
            <v>21</v>
          </cell>
          <cell r="M420">
            <v>4500</v>
          </cell>
          <cell r="N420">
            <v>57273</v>
          </cell>
          <cell r="O420">
            <v>13418</v>
          </cell>
          <cell r="P420">
            <v>16</v>
          </cell>
          <cell r="Q420">
            <v>2</v>
          </cell>
          <cell r="T420">
            <v>6540</v>
          </cell>
          <cell r="AA420">
            <v>0</v>
          </cell>
          <cell r="AB420">
            <v>212.56533333333334</v>
          </cell>
          <cell r="AD420">
            <v>5164.6299999999992</v>
          </cell>
          <cell r="AN420" t="str">
            <v xml:space="preserve">Contrato emergencial nº </v>
          </cell>
          <cell r="AO420" t="str">
            <v>PJ</v>
          </cell>
        </row>
        <row r="421">
          <cell r="D421" t="str">
            <v>1247/11</v>
          </cell>
          <cell r="E421" t="str">
            <v>25/04/2011</v>
          </cell>
          <cell r="F421">
            <v>40837</v>
          </cell>
          <cell r="G421">
            <v>40837</v>
          </cell>
          <cell r="H421" t="str">
            <v>2011-0.083.956-5</v>
          </cell>
          <cell r="I421">
            <v>40223.339999999997</v>
          </cell>
          <cell r="J421" t="str">
            <v xml:space="preserve">              123651121                 2847                    33903600</v>
          </cell>
          <cell r="K421">
            <v>40817</v>
          </cell>
          <cell r="L421">
            <v>21</v>
          </cell>
          <cell r="M421">
            <v>4700</v>
          </cell>
          <cell r="N421">
            <v>57273</v>
          </cell>
          <cell r="O421">
            <v>12906</v>
          </cell>
          <cell r="P421">
            <v>16</v>
          </cell>
          <cell r="Q421">
            <v>2</v>
          </cell>
          <cell r="T421">
            <v>202.28999999999996</v>
          </cell>
          <cell r="AA421">
            <v>0</v>
          </cell>
          <cell r="AB421">
            <v>223.46299999999999</v>
          </cell>
          <cell r="AD421">
            <v>5648.65</v>
          </cell>
          <cell r="AN421" t="str">
            <v xml:space="preserve">Contrato emergencial nº </v>
          </cell>
          <cell r="AO421" t="str">
            <v>SA</v>
          </cell>
        </row>
        <row r="422">
          <cell r="D422" t="str">
            <v>1249/11</v>
          </cell>
          <cell r="E422" t="str">
            <v>25/04/2011</v>
          </cell>
          <cell r="F422">
            <v>40837</v>
          </cell>
          <cell r="G422">
            <v>40837</v>
          </cell>
          <cell r="H422" t="str">
            <v>2011-0.083.961-1</v>
          </cell>
          <cell r="I422">
            <v>38261.760000000002</v>
          </cell>
          <cell r="J422" t="str">
            <v xml:space="preserve">              123651121                 2847                    33903600</v>
          </cell>
          <cell r="K422">
            <v>40817</v>
          </cell>
          <cell r="L422">
            <v>21</v>
          </cell>
          <cell r="M422">
            <v>4500</v>
          </cell>
          <cell r="N422">
            <v>57273</v>
          </cell>
          <cell r="O422">
            <v>12918</v>
          </cell>
          <cell r="P422">
            <v>16</v>
          </cell>
          <cell r="Q422">
            <v>2</v>
          </cell>
          <cell r="T422">
            <v>5123.8575000000001</v>
          </cell>
          <cell r="U422">
            <v>101.77</v>
          </cell>
          <cell r="AA422">
            <v>101.77</v>
          </cell>
          <cell r="AB422">
            <v>212.56533333333334</v>
          </cell>
          <cell r="AD422">
            <v>6490.8099999999995</v>
          </cell>
          <cell r="AN422" t="str">
            <v xml:space="preserve">Contrato emergencial nº </v>
          </cell>
          <cell r="AO422" t="str">
            <v>SA</v>
          </cell>
        </row>
        <row r="423">
          <cell r="D423" t="str">
            <v>1250/11</v>
          </cell>
          <cell r="E423" t="str">
            <v>25/04/2011</v>
          </cell>
          <cell r="F423">
            <v>40837</v>
          </cell>
          <cell r="G423">
            <v>40837</v>
          </cell>
          <cell r="H423" t="str">
            <v>2011-0.083.963-8</v>
          </cell>
          <cell r="I423">
            <v>44978.400000000001</v>
          </cell>
          <cell r="J423" t="str">
            <v xml:space="preserve">              123651121                 2847                    33903600</v>
          </cell>
          <cell r="K423">
            <v>40817</v>
          </cell>
          <cell r="L423">
            <v>21</v>
          </cell>
          <cell r="M423">
            <v>5300</v>
          </cell>
          <cell r="N423">
            <v>57273</v>
          </cell>
          <cell r="O423">
            <v>12924</v>
          </cell>
          <cell r="P423">
            <v>16</v>
          </cell>
          <cell r="Q423">
            <v>2</v>
          </cell>
          <cell r="T423">
            <v>5108.83</v>
          </cell>
          <cell r="AA423">
            <v>0</v>
          </cell>
          <cell r="AB423">
            <v>249.88</v>
          </cell>
          <cell r="AD423">
            <v>7354.88</v>
          </cell>
          <cell r="AN423" t="str">
            <v xml:space="preserve">Contrato emergencial nº </v>
          </cell>
          <cell r="AO423" t="str">
            <v>SA</v>
          </cell>
        </row>
        <row r="424">
          <cell r="D424" t="str">
            <v>1267/11</v>
          </cell>
          <cell r="E424" t="str">
            <v>25/04/2011</v>
          </cell>
          <cell r="F424">
            <v>40837</v>
          </cell>
          <cell r="G424">
            <v>40837</v>
          </cell>
          <cell r="H424" t="str">
            <v>2011-0.085.491-2</v>
          </cell>
          <cell r="I424">
            <v>25633.26</v>
          </cell>
          <cell r="J424" t="str">
            <v xml:space="preserve">              123651121                 2847                    33903600</v>
          </cell>
          <cell r="K424">
            <v>40817</v>
          </cell>
          <cell r="L424">
            <v>21</v>
          </cell>
          <cell r="M424">
            <v>3000</v>
          </cell>
          <cell r="N424">
            <v>57273</v>
          </cell>
          <cell r="O424">
            <v>13282</v>
          </cell>
          <cell r="P424">
            <v>16</v>
          </cell>
          <cell r="Q424">
            <v>2</v>
          </cell>
          <cell r="T424">
            <v>2227.0400000000004</v>
          </cell>
          <cell r="AA424">
            <v>0</v>
          </cell>
          <cell r="AB424">
            <v>142.40699999999998</v>
          </cell>
          <cell r="AD424">
            <v>4065.9700000000003</v>
          </cell>
          <cell r="AN424" t="str">
            <v xml:space="preserve">Contrato emergencial nº </v>
          </cell>
          <cell r="AO424" t="str">
            <v>SA</v>
          </cell>
        </row>
        <row r="425">
          <cell r="D425" t="str">
            <v>1235/11</v>
          </cell>
          <cell r="E425" t="str">
            <v>25/04/2011</v>
          </cell>
          <cell r="F425">
            <v>40837</v>
          </cell>
          <cell r="G425">
            <v>40837</v>
          </cell>
          <cell r="H425" t="str">
            <v>2011-0.082.608-0</v>
          </cell>
          <cell r="I425">
            <v>30556.68</v>
          </cell>
          <cell r="J425" t="str">
            <v xml:space="preserve">              123611122                  2848                    33903600</v>
          </cell>
          <cell r="K425">
            <v>40817</v>
          </cell>
          <cell r="L425">
            <v>21</v>
          </cell>
          <cell r="M425">
            <v>3600</v>
          </cell>
          <cell r="N425">
            <v>57278</v>
          </cell>
          <cell r="O425">
            <v>12852</v>
          </cell>
          <cell r="P425">
            <v>16</v>
          </cell>
          <cell r="Q425">
            <v>3</v>
          </cell>
          <cell r="S425">
            <v>1585.06</v>
          </cell>
          <cell r="T425">
            <v>5220</v>
          </cell>
          <cell r="U425">
            <v>1062.23</v>
          </cell>
          <cell r="AA425">
            <v>1062.23</v>
          </cell>
          <cell r="AB425">
            <v>169.75933333333333</v>
          </cell>
          <cell r="AD425">
            <v>5831.09</v>
          </cell>
          <cell r="AN425" t="str">
            <v xml:space="preserve">Contrato emergencial nº </v>
          </cell>
          <cell r="AO425" t="str">
            <v>SA</v>
          </cell>
        </row>
        <row r="426">
          <cell r="D426" t="str">
            <v>1248/11</v>
          </cell>
          <cell r="E426" t="str">
            <v>25/04/2011</v>
          </cell>
          <cell r="F426">
            <v>40837</v>
          </cell>
          <cell r="G426">
            <v>40837</v>
          </cell>
          <cell r="H426" t="str">
            <v>2011-0.083.957-3</v>
          </cell>
          <cell r="I426">
            <v>30556.68</v>
          </cell>
          <cell r="J426" t="str">
            <v xml:space="preserve">              123611122                  2848                    33903600</v>
          </cell>
          <cell r="K426">
            <v>40817</v>
          </cell>
          <cell r="L426">
            <v>21</v>
          </cell>
          <cell r="M426">
            <v>3600</v>
          </cell>
          <cell r="N426">
            <v>57278</v>
          </cell>
          <cell r="O426">
            <v>12914</v>
          </cell>
          <cell r="P426">
            <v>16</v>
          </cell>
          <cell r="Q426">
            <v>3</v>
          </cell>
          <cell r="S426">
            <v>1056.25</v>
          </cell>
          <cell r="T426">
            <v>5220</v>
          </cell>
          <cell r="U426">
            <v>487.19</v>
          </cell>
          <cell r="AA426">
            <v>487.19</v>
          </cell>
          <cell r="AB426">
            <v>169.75933333333333</v>
          </cell>
          <cell r="AD426">
            <v>5519.3899999999994</v>
          </cell>
          <cell r="AN426" t="str">
            <v xml:space="preserve">Contrato emergencial nº </v>
          </cell>
          <cell r="AO426" t="str">
            <v>SA</v>
          </cell>
        </row>
        <row r="427">
          <cell r="D427" t="str">
            <v>1280/11</v>
          </cell>
          <cell r="E427" t="str">
            <v>25/04/2011</v>
          </cell>
          <cell r="F427">
            <v>40837</v>
          </cell>
          <cell r="G427">
            <v>40837</v>
          </cell>
          <cell r="H427" t="str">
            <v>2011-0.085.089-5</v>
          </cell>
          <cell r="I427">
            <v>30150.54</v>
          </cell>
          <cell r="J427" t="str">
            <v xml:space="preserve">              123611122                  2848                    33903600</v>
          </cell>
          <cell r="K427">
            <v>40817</v>
          </cell>
          <cell r="L427">
            <v>21</v>
          </cell>
          <cell r="M427">
            <v>3600</v>
          </cell>
          <cell r="N427">
            <v>57278</v>
          </cell>
          <cell r="O427">
            <v>13341</v>
          </cell>
          <cell r="P427">
            <v>16</v>
          </cell>
          <cell r="Q427">
            <v>3</v>
          </cell>
          <cell r="S427">
            <v>1201.26</v>
          </cell>
          <cell r="T427">
            <v>5160</v>
          </cell>
          <cell r="U427">
            <v>878.81</v>
          </cell>
          <cell r="AA427">
            <v>878.81</v>
          </cell>
          <cell r="AB427">
            <v>167.50300000000001</v>
          </cell>
          <cell r="AD427">
            <v>5654.15</v>
          </cell>
          <cell r="AN427" t="str">
            <v xml:space="preserve">Contrato emergencial nº </v>
          </cell>
          <cell r="AO427" t="str">
            <v>SA</v>
          </cell>
        </row>
        <row r="428">
          <cell r="D428" t="str">
            <v>1292/11</v>
          </cell>
          <cell r="E428" t="str">
            <v>25/04/2011</v>
          </cell>
          <cell r="F428">
            <v>40837</v>
          </cell>
          <cell r="G428">
            <v>40837</v>
          </cell>
          <cell r="H428" t="str">
            <v>2011-0.085.448-3</v>
          </cell>
          <cell r="I428">
            <v>42184.92</v>
          </cell>
          <cell r="J428" t="str">
            <v xml:space="preserve">             123671125                  2863                   33903600</v>
          </cell>
          <cell r="K428">
            <v>40817</v>
          </cell>
          <cell r="L428">
            <v>21</v>
          </cell>
          <cell r="M428">
            <v>5000</v>
          </cell>
          <cell r="N428">
            <v>57287</v>
          </cell>
          <cell r="O428">
            <v>13443</v>
          </cell>
          <cell r="P428">
            <v>16</v>
          </cell>
          <cell r="Q428">
            <v>4</v>
          </cell>
          <cell r="T428">
            <v>6024.44</v>
          </cell>
          <cell r="U428">
            <v>4952.3599999999997</v>
          </cell>
          <cell r="AA428">
            <v>4952.3599999999997</v>
          </cell>
          <cell r="AB428">
            <v>234.36066666666665</v>
          </cell>
          <cell r="AD428">
            <v>7221.7999999999993</v>
          </cell>
          <cell r="AN428" t="str">
            <v xml:space="preserve">Contrato emergencial nº </v>
          </cell>
          <cell r="AO428" t="str">
            <v>SA</v>
          </cell>
        </row>
        <row r="429">
          <cell r="D429" t="str">
            <v>1278/11</v>
          </cell>
          <cell r="E429" t="str">
            <v>25/04/2011</v>
          </cell>
          <cell r="F429">
            <v>40837</v>
          </cell>
          <cell r="G429">
            <v>40837</v>
          </cell>
          <cell r="H429" t="str">
            <v>2011-0.085.505-6</v>
          </cell>
          <cell r="I429">
            <v>45186.36</v>
          </cell>
          <cell r="J429" t="str">
            <v xml:space="preserve">              123611122                  2848                    33903600</v>
          </cell>
          <cell r="K429">
            <v>40817</v>
          </cell>
          <cell r="L429">
            <v>21</v>
          </cell>
          <cell r="M429">
            <v>5300</v>
          </cell>
          <cell r="N429">
            <v>57278</v>
          </cell>
          <cell r="O429">
            <v>13309</v>
          </cell>
          <cell r="P429">
            <v>16</v>
          </cell>
          <cell r="Q429">
            <v>3</v>
          </cell>
          <cell r="T429">
            <v>1598.33177777778</v>
          </cell>
          <cell r="AA429">
            <v>0</v>
          </cell>
          <cell r="AB429">
            <v>251.03533333333334</v>
          </cell>
          <cell r="AD429">
            <v>6602.9100000000017</v>
          </cell>
          <cell r="AN429" t="str">
            <v xml:space="preserve">Contrato emergencial nº </v>
          </cell>
          <cell r="AO429" t="str">
            <v>SM</v>
          </cell>
        </row>
        <row r="430">
          <cell r="D430" t="str">
            <v>1629/11</v>
          </cell>
          <cell r="E430" t="str">
            <v>26/04/2011</v>
          </cell>
          <cell r="F430">
            <v>40838</v>
          </cell>
          <cell r="G430">
            <v>40838</v>
          </cell>
          <cell r="H430" t="str">
            <v>2011-0.113.722-0</v>
          </cell>
          <cell r="I430">
            <v>37607.879999999997</v>
          </cell>
          <cell r="J430" t="str">
            <v xml:space="preserve">              123651121                 2847                    33903600</v>
          </cell>
          <cell r="K430">
            <v>40817</v>
          </cell>
          <cell r="L430">
            <v>22</v>
          </cell>
          <cell r="M430">
            <v>4600</v>
          </cell>
          <cell r="N430">
            <v>57273</v>
          </cell>
          <cell r="O430">
            <v>13821</v>
          </cell>
          <cell r="P430">
            <v>16</v>
          </cell>
          <cell r="Q430">
            <v>2</v>
          </cell>
          <cell r="T430">
            <v>6540</v>
          </cell>
          <cell r="U430">
            <v>1094.4100000000001</v>
          </cell>
          <cell r="AA430">
            <v>1094.4100000000001</v>
          </cell>
          <cell r="AB430">
            <v>208.93266666666665</v>
          </cell>
          <cell r="AD430">
            <v>4758.8</v>
          </cell>
          <cell r="AN430" t="str">
            <v xml:space="preserve">Contrato emergencial nº </v>
          </cell>
          <cell r="AO430" t="str">
            <v>IP</v>
          </cell>
        </row>
        <row r="431">
          <cell r="D431" t="str">
            <v>1631/11</v>
          </cell>
          <cell r="E431" t="str">
            <v>26/04/2011</v>
          </cell>
          <cell r="F431">
            <v>40838</v>
          </cell>
          <cell r="G431">
            <v>40838</v>
          </cell>
          <cell r="H431" t="str">
            <v>2011-0.113.730-0</v>
          </cell>
          <cell r="I431">
            <v>31418.52</v>
          </cell>
          <cell r="J431" t="str">
            <v xml:space="preserve">              123651121                 2847                    33903600</v>
          </cell>
          <cell r="K431">
            <v>40817</v>
          </cell>
          <cell r="L431">
            <v>22</v>
          </cell>
          <cell r="M431">
            <v>3900</v>
          </cell>
          <cell r="N431">
            <v>57273</v>
          </cell>
          <cell r="O431">
            <v>15482</v>
          </cell>
          <cell r="P431">
            <v>16</v>
          </cell>
          <cell r="Q431">
            <v>2</v>
          </cell>
          <cell r="T431">
            <v>5460</v>
          </cell>
          <cell r="U431">
            <v>1802.12</v>
          </cell>
          <cell r="AA431">
            <v>1802.12</v>
          </cell>
          <cell r="AB431">
            <v>174.54733333333334</v>
          </cell>
          <cell r="AD431">
            <v>4104.7800000000007</v>
          </cell>
          <cell r="AN431" t="str">
            <v xml:space="preserve">Contrato emergencial nº </v>
          </cell>
          <cell r="AO431" t="str">
            <v>IP</v>
          </cell>
        </row>
        <row r="432">
          <cell r="D432" t="str">
            <v>1630/11</v>
          </cell>
          <cell r="E432" t="str">
            <v>26/04/2011</v>
          </cell>
          <cell r="F432">
            <v>40838</v>
          </cell>
          <cell r="G432">
            <v>40838</v>
          </cell>
          <cell r="H432" t="str">
            <v>2011-0.113.724-6</v>
          </cell>
          <cell r="I432">
            <v>27565.02</v>
          </cell>
          <cell r="J432" t="str">
            <v xml:space="preserve">              123651121                 2847                    33903600</v>
          </cell>
          <cell r="K432">
            <v>40817</v>
          </cell>
          <cell r="L432">
            <v>22</v>
          </cell>
          <cell r="M432">
            <v>3400</v>
          </cell>
          <cell r="N432">
            <v>57273</v>
          </cell>
          <cell r="O432">
            <v>14819</v>
          </cell>
          <cell r="P432">
            <v>16</v>
          </cell>
          <cell r="Q432">
            <v>2</v>
          </cell>
          <cell r="T432">
            <v>4800</v>
          </cell>
          <cell r="U432">
            <v>2536.81</v>
          </cell>
          <cell r="AA432">
            <v>2536.81</v>
          </cell>
          <cell r="AB432">
            <v>153.13900000000001</v>
          </cell>
          <cell r="AD432">
            <v>6286.2300000000005</v>
          </cell>
          <cell r="AN432" t="str">
            <v xml:space="preserve">Contrato emergencial nº </v>
          </cell>
          <cell r="AO432" t="str">
            <v>PJ</v>
          </cell>
        </row>
        <row r="433">
          <cell r="D433" t="str">
            <v>1293/11</v>
          </cell>
          <cell r="E433">
            <v>40660</v>
          </cell>
          <cell r="F433">
            <v>40839</v>
          </cell>
          <cell r="G433">
            <v>40839</v>
          </cell>
          <cell r="H433" t="str">
            <v>2011-0.085.450-5</v>
          </cell>
          <cell r="I433">
            <v>44324.52</v>
          </cell>
          <cell r="J433" t="str">
            <v xml:space="preserve">              123611122                  2848                    33903600</v>
          </cell>
          <cell r="K433">
            <v>40817</v>
          </cell>
          <cell r="L433">
            <v>23</v>
          </cell>
          <cell r="M433">
            <v>5700</v>
          </cell>
          <cell r="N433">
            <v>57278</v>
          </cell>
          <cell r="O433">
            <v>13445</v>
          </cell>
          <cell r="P433">
            <v>16</v>
          </cell>
          <cell r="Q433">
            <v>3</v>
          </cell>
          <cell r="T433">
            <v>2446.1</v>
          </cell>
          <cell r="U433">
            <v>0</v>
          </cell>
          <cell r="AA433">
            <v>0</v>
          </cell>
          <cell r="AB433">
            <v>246.2473333333333</v>
          </cell>
          <cell r="AD433">
            <v>6669.1100000000006</v>
          </cell>
          <cell r="AN433" t="str">
            <v xml:space="preserve">Contrato emergencial nº </v>
          </cell>
          <cell r="AO433" t="str">
            <v>CL</v>
          </cell>
        </row>
        <row r="434">
          <cell r="D434" t="str">
            <v>0988/11</v>
          </cell>
          <cell r="E434" t="str">
            <v>27/04/2011</v>
          </cell>
          <cell r="F434">
            <v>40839</v>
          </cell>
          <cell r="G434">
            <v>40839</v>
          </cell>
          <cell r="H434" t="str">
            <v>2011-0.073.402-0</v>
          </cell>
          <cell r="I434">
            <v>28377.3</v>
          </cell>
          <cell r="J434" t="str">
            <v xml:space="preserve">              123611122                  2848                    33903600</v>
          </cell>
          <cell r="K434">
            <v>40817</v>
          </cell>
          <cell r="L434">
            <v>23</v>
          </cell>
          <cell r="M434">
            <v>3700</v>
          </cell>
          <cell r="N434">
            <v>57278</v>
          </cell>
          <cell r="O434">
            <v>13661</v>
          </cell>
          <cell r="P434">
            <v>16</v>
          </cell>
          <cell r="Q434">
            <v>3</v>
          </cell>
          <cell r="T434">
            <v>2782.3</v>
          </cell>
          <cell r="U434">
            <v>57</v>
          </cell>
          <cell r="AA434">
            <v>57</v>
          </cell>
          <cell r="AB434">
            <v>157.65166666666667</v>
          </cell>
          <cell r="AD434">
            <v>4466.8</v>
          </cell>
          <cell r="AN434" t="str">
            <v xml:space="preserve">Contrato emergencial nº </v>
          </cell>
          <cell r="AO434" t="str">
            <v>FO</v>
          </cell>
        </row>
        <row r="435">
          <cell r="D435" t="str">
            <v>1272/11</v>
          </cell>
          <cell r="E435">
            <v>40660</v>
          </cell>
          <cell r="F435">
            <v>40839</v>
          </cell>
          <cell r="G435">
            <v>40839</v>
          </cell>
          <cell r="H435" t="str">
            <v>2011-0.085.500-5</v>
          </cell>
          <cell r="I435">
            <v>38261.760000000002</v>
          </cell>
          <cell r="J435" t="str">
            <v xml:space="preserve">              123611122                  2848                    33903600</v>
          </cell>
          <cell r="K435">
            <v>40817</v>
          </cell>
          <cell r="L435">
            <v>23</v>
          </cell>
          <cell r="M435">
            <v>4900</v>
          </cell>
          <cell r="N435">
            <v>57278</v>
          </cell>
          <cell r="O435">
            <v>13299</v>
          </cell>
          <cell r="P435">
            <v>16</v>
          </cell>
          <cell r="Q435">
            <v>3</v>
          </cell>
          <cell r="T435">
            <v>4104.4799999999996</v>
          </cell>
          <cell r="U435">
            <v>0</v>
          </cell>
          <cell r="AA435">
            <v>0</v>
          </cell>
          <cell r="AB435">
            <v>212.56533333333334</v>
          </cell>
          <cell r="AD435">
            <v>6619.4699999999993</v>
          </cell>
          <cell r="AN435" t="str">
            <v xml:space="preserve">Contrato emergencial nº </v>
          </cell>
          <cell r="AO435" t="str">
            <v>JT</v>
          </cell>
        </row>
        <row r="436">
          <cell r="D436" t="str">
            <v>1279/11</v>
          </cell>
          <cell r="E436">
            <v>40661</v>
          </cell>
          <cell r="F436">
            <v>40840</v>
          </cell>
          <cell r="G436">
            <v>40840</v>
          </cell>
          <cell r="H436" t="str">
            <v>2011-0.085.083-6</v>
          </cell>
          <cell r="I436">
            <v>30150.54</v>
          </cell>
          <cell r="J436" t="str">
            <v xml:space="preserve">              123651121                 2847                    33903600</v>
          </cell>
          <cell r="K436">
            <v>40817</v>
          </cell>
          <cell r="L436">
            <v>24</v>
          </cell>
          <cell r="M436">
            <v>4100</v>
          </cell>
          <cell r="N436">
            <v>57273</v>
          </cell>
          <cell r="O436">
            <v>13337</v>
          </cell>
          <cell r="P436">
            <v>16</v>
          </cell>
          <cell r="Q436">
            <v>2</v>
          </cell>
          <cell r="S436">
            <v>638.92999999999995</v>
          </cell>
          <cell r="T436">
            <v>5460</v>
          </cell>
          <cell r="U436">
            <v>1326.1350000000002</v>
          </cell>
          <cell r="AA436">
            <v>1326.1350000000002</v>
          </cell>
          <cell r="AB436">
            <v>167.50300000000001</v>
          </cell>
          <cell r="AD436">
            <v>5740.4</v>
          </cell>
          <cell r="AN436" t="str">
            <v xml:space="preserve">Contrato emergencial nº </v>
          </cell>
          <cell r="AO436" t="str">
            <v>BT</v>
          </cell>
        </row>
        <row r="437">
          <cell r="D437" t="str">
            <v>1636/11</v>
          </cell>
          <cell r="E437">
            <v>40662</v>
          </cell>
          <cell r="F437">
            <v>40841</v>
          </cell>
          <cell r="G437">
            <v>40841</v>
          </cell>
          <cell r="H437" t="str">
            <v>2011-0127.139-2</v>
          </cell>
          <cell r="I437">
            <v>23860.02</v>
          </cell>
          <cell r="J437" t="str">
            <v xml:space="preserve">              123651121                 2847                    33903600</v>
          </cell>
          <cell r="K437">
            <v>40817</v>
          </cell>
          <cell r="L437">
            <v>25</v>
          </cell>
          <cell r="M437">
            <v>3400</v>
          </cell>
          <cell r="N437">
            <v>57273</v>
          </cell>
          <cell r="O437">
            <v>15528</v>
          </cell>
          <cell r="P437">
            <v>16</v>
          </cell>
          <cell r="Q437">
            <v>2</v>
          </cell>
          <cell r="S437">
            <v>1015.47</v>
          </cell>
          <cell r="T437">
            <v>4379.9999999999991</v>
          </cell>
          <cell r="U437">
            <v>2049.6999999999998</v>
          </cell>
          <cell r="AA437">
            <v>2049.6999999999998</v>
          </cell>
          <cell r="AB437">
            <v>132.55566666666667</v>
          </cell>
          <cell r="AD437">
            <v>4846.1100000000006</v>
          </cell>
          <cell r="AN437" t="str">
            <v xml:space="preserve">Contrato emergencial nº </v>
          </cell>
          <cell r="AO437" t="str">
            <v>CS</v>
          </cell>
        </row>
        <row r="438">
          <cell r="D438" t="str">
            <v>1637/11</v>
          </cell>
          <cell r="E438">
            <v>40662</v>
          </cell>
          <cell r="F438">
            <v>40841</v>
          </cell>
          <cell r="G438">
            <v>40841</v>
          </cell>
          <cell r="H438" t="str">
            <v>2011-0.127.152-0</v>
          </cell>
          <cell r="I438">
            <v>29744.400000000001</v>
          </cell>
          <cell r="J438" t="str">
            <v xml:space="preserve">              123651121                 2847                    33903600</v>
          </cell>
          <cell r="K438">
            <v>40817</v>
          </cell>
          <cell r="L438">
            <v>25</v>
          </cell>
          <cell r="M438">
            <v>4200</v>
          </cell>
          <cell r="N438">
            <v>57273</v>
          </cell>
          <cell r="O438">
            <v>14715</v>
          </cell>
          <cell r="P438">
            <v>16</v>
          </cell>
          <cell r="Q438">
            <v>2</v>
          </cell>
          <cell r="T438">
            <v>3328.0549999999998</v>
          </cell>
          <cell r="U438">
            <v>323.38333333333367</v>
          </cell>
          <cell r="AA438">
            <v>323.38333333333367</v>
          </cell>
          <cell r="AB438">
            <v>165.24666666666667</v>
          </cell>
          <cell r="AD438">
            <v>4751.13</v>
          </cell>
          <cell r="AN438" t="str">
            <v xml:space="preserve">Contrato emergencial nº </v>
          </cell>
          <cell r="AO438" t="str">
            <v>CL</v>
          </cell>
        </row>
        <row r="439">
          <cell r="D439" t="str">
            <v>1268/11</v>
          </cell>
          <cell r="E439" t="str">
            <v>02/05/2011</v>
          </cell>
          <cell r="F439">
            <v>40844</v>
          </cell>
          <cell r="G439">
            <v>40844</v>
          </cell>
          <cell r="H439" t="str">
            <v>2011-0.085.493-9</v>
          </cell>
          <cell r="I439">
            <v>31824.66</v>
          </cell>
          <cell r="J439" t="str">
            <v xml:space="preserve">              123611122                  2848                    33903600</v>
          </cell>
          <cell r="K439">
            <v>40817</v>
          </cell>
          <cell r="L439">
            <v>28</v>
          </cell>
          <cell r="M439">
            <v>5000</v>
          </cell>
          <cell r="N439">
            <v>57278</v>
          </cell>
          <cell r="O439">
            <v>13285</v>
          </cell>
          <cell r="P439">
            <v>16</v>
          </cell>
          <cell r="Q439">
            <v>3</v>
          </cell>
          <cell r="S439">
            <v>813.26</v>
          </cell>
          <cell r="T439">
            <v>6180</v>
          </cell>
          <cell r="U439">
            <v>1481.91</v>
          </cell>
          <cell r="AA439">
            <v>1481.91</v>
          </cell>
          <cell r="AB439">
            <v>176.80366666666666</v>
          </cell>
          <cell r="AD439">
            <v>6034.9250000000002</v>
          </cell>
          <cell r="AN439" t="str">
            <v xml:space="preserve">Contrato emergencial nº </v>
          </cell>
          <cell r="AO439" t="str">
            <v>SM</v>
          </cell>
        </row>
        <row r="440">
          <cell r="D440" t="str">
            <v>1294/11</v>
          </cell>
          <cell r="E440" t="str">
            <v>02/05/2011</v>
          </cell>
          <cell r="F440">
            <v>40844</v>
          </cell>
          <cell r="G440">
            <v>40844</v>
          </cell>
          <cell r="H440" t="str">
            <v>2011-0.085.451-3</v>
          </cell>
          <cell r="I440">
            <v>39569.46</v>
          </cell>
          <cell r="J440" t="str">
            <v xml:space="preserve">              123611122                  2848                    33903600</v>
          </cell>
          <cell r="K440">
            <v>40817</v>
          </cell>
          <cell r="L440">
            <v>28</v>
          </cell>
          <cell r="M440">
            <v>6200</v>
          </cell>
          <cell r="N440">
            <v>57278</v>
          </cell>
          <cell r="O440">
            <v>13446</v>
          </cell>
          <cell r="P440">
            <v>16</v>
          </cell>
          <cell r="Q440">
            <v>3</v>
          </cell>
          <cell r="S440">
            <v>1998.08</v>
          </cell>
          <cell r="T440">
            <v>10240</v>
          </cell>
          <cell r="U440">
            <v>0</v>
          </cell>
          <cell r="AA440">
            <v>0</v>
          </cell>
          <cell r="AB440">
            <v>219.83033333333333</v>
          </cell>
          <cell r="AD440">
            <v>5786.7300000000005</v>
          </cell>
          <cell r="AN440" t="str">
            <v xml:space="preserve">Contrato emergencial nº </v>
          </cell>
          <cell r="AO440" t="str">
            <v>FO</v>
          </cell>
        </row>
        <row r="441">
          <cell r="D441" t="str">
            <v>1295/11</v>
          </cell>
          <cell r="E441" t="str">
            <v>02/05/2011</v>
          </cell>
          <cell r="F441">
            <v>40844</v>
          </cell>
          <cell r="G441">
            <v>40844</v>
          </cell>
          <cell r="H441" t="str">
            <v>2011-0.085.453-0</v>
          </cell>
          <cell r="I441">
            <v>26901.3</v>
          </cell>
          <cell r="J441" t="str">
            <v xml:space="preserve">              123611122                  2848                    33903600</v>
          </cell>
          <cell r="K441">
            <v>40817</v>
          </cell>
          <cell r="L441">
            <v>28</v>
          </cell>
          <cell r="M441">
            <v>4200</v>
          </cell>
          <cell r="N441">
            <v>57278</v>
          </cell>
          <cell r="P441">
            <v>16</v>
          </cell>
          <cell r="Q441">
            <v>3</v>
          </cell>
          <cell r="T441">
            <v>5220</v>
          </cell>
          <cell r="AA441">
            <v>0</v>
          </cell>
          <cell r="AB441">
            <v>149.45166666666665</v>
          </cell>
          <cell r="AN441" t="str">
            <v xml:space="preserve">Contrato emergencial nº </v>
          </cell>
          <cell r="AO441" t="str">
            <v>JT</v>
          </cell>
        </row>
        <row r="442">
          <cell r="D442" t="str">
            <v>1296/11</v>
          </cell>
          <cell r="E442" t="str">
            <v>02/05/2011</v>
          </cell>
          <cell r="F442">
            <v>40844</v>
          </cell>
          <cell r="G442">
            <v>40844</v>
          </cell>
          <cell r="H442" t="str">
            <v>2011-0.085.454-8</v>
          </cell>
          <cell r="I442">
            <v>39593.160000000003</v>
          </cell>
          <cell r="J442" t="str">
            <v xml:space="preserve">              123651121                 2847                    33903600</v>
          </cell>
          <cell r="K442">
            <v>40817</v>
          </cell>
          <cell r="L442">
            <v>28</v>
          </cell>
          <cell r="M442">
            <v>6200</v>
          </cell>
          <cell r="N442">
            <v>57273</v>
          </cell>
          <cell r="O442">
            <v>13448</v>
          </cell>
          <cell r="P442">
            <v>16</v>
          </cell>
          <cell r="Q442">
            <v>2</v>
          </cell>
          <cell r="S442">
            <v>4110.6899999999996</v>
          </cell>
          <cell r="T442">
            <v>7680</v>
          </cell>
          <cell r="U442">
            <v>0</v>
          </cell>
          <cell r="AA442">
            <v>0</v>
          </cell>
          <cell r="AB442">
            <v>219.96200000000002</v>
          </cell>
          <cell r="AD442">
            <v>6558.920000000001</v>
          </cell>
          <cell r="AN442" t="str">
            <v xml:space="preserve">Contrato emergencial nº </v>
          </cell>
          <cell r="AO442" t="str">
            <v>MP</v>
          </cell>
        </row>
        <row r="443">
          <cell r="D443" t="str">
            <v>1297/11</v>
          </cell>
          <cell r="E443" t="str">
            <v>02/05/2011</v>
          </cell>
          <cell r="F443">
            <v>40844</v>
          </cell>
          <cell r="G443">
            <v>40844</v>
          </cell>
          <cell r="H443" t="str">
            <v>2011-0.085.456-4</v>
          </cell>
          <cell r="I443">
            <v>38261.760000000002</v>
          </cell>
          <cell r="J443" t="str">
            <v xml:space="preserve">              123611122                  2848                    33903600</v>
          </cell>
          <cell r="K443">
            <v>40817</v>
          </cell>
          <cell r="L443">
            <v>28</v>
          </cell>
          <cell r="M443">
            <v>6000</v>
          </cell>
          <cell r="N443">
            <v>57278</v>
          </cell>
          <cell r="O443">
            <v>13452</v>
          </cell>
          <cell r="P443">
            <v>16</v>
          </cell>
          <cell r="Q443">
            <v>3</v>
          </cell>
          <cell r="S443">
            <v>3460.64</v>
          </cell>
          <cell r="T443">
            <v>7440</v>
          </cell>
          <cell r="U443">
            <v>0</v>
          </cell>
          <cell r="AA443">
            <v>0</v>
          </cell>
          <cell r="AB443">
            <v>212.56533333333334</v>
          </cell>
          <cell r="AD443">
            <v>6202.41</v>
          </cell>
          <cell r="AN443" t="str">
            <v xml:space="preserve">Contrato emergencial nº </v>
          </cell>
          <cell r="AO443" t="str">
            <v>CL</v>
          </cell>
        </row>
        <row r="444">
          <cell r="D444" t="str">
            <v>1298/11</v>
          </cell>
          <cell r="E444" t="str">
            <v>02/05/2011</v>
          </cell>
          <cell r="F444">
            <v>40844</v>
          </cell>
          <cell r="G444">
            <v>40844</v>
          </cell>
          <cell r="H444" t="str">
            <v>2011-0.085.461-0</v>
          </cell>
          <cell r="I444">
            <v>37607.879999999997</v>
          </cell>
          <cell r="J444" t="str">
            <v xml:space="preserve">              123651121                 2847                    33903600</v>
          </cell>
          <cell r="K444">
            <v>40817</v>
          </cell>
          <cell r="L444">
            <v>28</v>
          </cell>
          <cell r="M444">
            <v>5900</v>
          </cell>
          <cell r="N444">
            <v>57273</v>
          </cell>
          <cell r="O444">
            <v>13454</v>
          </cell>
          <cell r="P444">
            <v>16</v>
          </cell>
          <cell r="Q444">
            <v>2</v>
          </cell>
          <cell r="S444">
            <v>1018.1</v>
          </cell>
          <cell r="T444">
            <v>7320</v>
          </cell>
          <cell r="U444">
            <v>0</v>
          </cell>
          <cell r="AA444">
            <v>0</v>
          </cell>
          <cell r="AB444">
            <v>208.93266666666665</v>
          </cell>
          <cell r="AD444">
            <v>5034.74</v>
          </cell>
          <cell r="AN444" t="str">
            <v xml:space="preserve">Contrato emergencial nº </v>
          </cell>
          <cell r="AO444" t="str">
            <v>BT</v>
          </cell>
        </row>
        <row r="445">
          <cell r="D445" t="str">
            <v>1299/11</v>
          </cell>
          <cell r="E445" t="str">
            <v>02/05/2011</v>
          </cell>
          <cell r="F445">
            <v>40844</v>
          </cell>
          <cell r="G445">
            <v>40844</v>
          </cell>
          <cell r="H445" t="str">
            <v>2011-0.085.464-5</v>
          </cell>
          <cell r="I445">
            <v>38261.760000000002</v>
          </cell>
          <cell r="J445" t="str">
            <v xml:space="preserve">              123611122                  2848                    33903600</v>
          </cell>
          <cell r="K445">
            <v>40817</v>
          </cell>
          <cell r="L445">
            <v>28</v>
          </cell>
          <cell r="M445">
            <v>6000</v>
          </cell>
          <cell r="N445">
            <v>57278</v>
          </cell>
          <cell r="O445">
            <v>13455</v>
          </cell>
          <cell r="P445">
            <v>16</v>
          </cell>
          <cell r="Q445">
            <v>3</v>
          </cell>
          <cell r="S445">
            <v>1952.03</v>
          </cell>
          <cell r="T445">
            <v>7440</v>
          </cell>
          <cell r="U445">
            <v>0</v>
          </cell>
          <cell r="AA445">
            <v>0</v>
          </cell>
          <cell r="AB445">
            <v>212.56533333333334</v>
          </cell>
          <cell r="AD445">
            <v>5681.4584444444445</v>
          </cell>
          <cell r="AN445" t="str">
            <v xml:space="preserve">Contrato emergencial nº </v>
          </cell>
          <cell r="AO445" t="str">
            <v>CL</v>
          </cell>
        </row>
        <row r="446">
          <cell r="D446" t="str">
            <v>1301/11</v>
          </cell>
          <cell r="E446" t="str">
            <v>02/05/2011</v>
          </cell>
          <cell r="F446">
            <v>40844</v>
          </cell>
          <cell r="G446">
            <v>40844</v>
          </cell>
          <cell r="H446" t="str">
            <v>2011-0.085.465-3</v>
          </cell>
          <cell r="I446">
            <v>40976.04</v>
          </cell>
          <cell r="J446" t="str">
            <v xml:space="preserve">              123611122                  2848                    33903600</v>
          </cell>
          <cell r="K446">
            <v>40817</v>
          </cell>
          <cell r="L446">
            <v>28</v>
          </cell>
          <cell r="M446">
            <v>6400</v>
          </cell>
          <cell r="N446">
            <v>57278</v>
          </cell>
          <cell r="O446">
            <v>13457</v>
          </cell>
          <cell r="P446">
            <v>16</v>
          </cell>
          <cell r="Q446">
            <v>3</v>
          </cell>
          <cell r="T446">
            <v>7980</v>
          </cell>
          <cell r="U446">
            <v>3314.86</v>
          </cell>
          <cell r="AA446">
            <v>3314.86</v>
          </cell>
          <cell r="AB446">
            <v>227.64466666666667</v>
          </cell>
          <cell r="AD446">
            <v>4352.2849999999999</v>
          </cell>
          <cell r="AN446" t="str">
            <v xml:space="preserve">Contrato emergencial nº </v>
          </cell>
          <cell r="AO446" t="str">
            <v>IQ</v>
          </cell>
        </row>
        <row r="447">
          <cell r="D447" t="str">
            <v>1302/11</v>
          </cell>
          <cell r="E447" t="str">
            <v>02/05/2011</v>
          </cell>
          <cell r="F447">
            <v>40844</v>
          </cell>
          <cell r="G447">
            <v>40844</v>
          </cell>
          <cell r="H447" t="str">
            <v>2011-0.085.467-0</v>
          </cell>
          <cell r="I447">
            <v>52251.96</v>
          </cell>
          <cell r="J447" t="str">
            <v xml:space="preserve">              123651121                 2847                    33903600</v>
          </cell>
          <cell r="K447">
            <v>40817</v>
          </cell>
          <cell r="L447">
            <v>28</v>
          </cell>
          <cell r="M447">
            <v>8200</v>
          </cell>
          <cell r="N447">
            <v>57273</v>
          </cell>
          <cell r="O447">
            <v>13476</v>
          </cell>
          <cell r="P447">
            <v>16</v>
          </cell>
          <cell r="Q447">
            <v>2</v>
          </cell>
          <cell r="T447">
            <v>10140</v>
          </cell>
          <cell r="U447">
            <v>0</v>
          </cell>
          <cell r="AA447">
            <v>0</v>
          </cell>
          <cell r="AB447">
            <v>290.28866666666664</v>
          </cell>
          <cell r="AD447">
            <v>6144.4870000000001</v>
          </cell>
          <cell r="AN447" t="str">
            <v xml:space="preserve">Contrato emergencial nº </v>
          </cell>
          <cell r="AO447" t="str">
            <v>MP</v>
          </cell>
        </row>
        <row r="448">
          <cell r="D448" t="str">
            <v>1303/11</v>
          </cell>
          <cell r="E448" t="str">
            <v>02/05/2011</v>
          </cell>
          <cell r="F448">
            <v>40844</v>
          </cell>
          <cell r="G448">
            <v>40844</v>
          </cell>
          <cell r="H448" t="str">
            <v>2011-0.085.469-6</v>
          </cell>
          <cell r="I448">
            <v>39593.160000000003</v>
          </cell>
          <cell r="J448" t="str">
            <v xml:space="preserve">              123651121                 2847                    33903600</v>
          </cell>
          <cell r="K448">
            <v>40817</v>
          </cell>
          <cell r="L448">
            <v>28</v>
          </cell>
          <cell r="M448">
            <v>6200</v>
          </cell>
          <cell r="N448">
            <v>57273</v>
          </cell>
          <cell r="O448">
            <v>13477</v>
          </cell>
          <cell r="P448">
            <v>16</v>
          </cell>
          <cell r="Q448">
            <v>2</v>
          </cell>
          <cell r="S448">
            <v>8809.7900000000009</v>
          </cell>
          <cell r="T448">
            <v>7680</v>
          </cell>
          <cell r="U448">
            <v>9036.3809999999994</v>
          </cell>
          <cell r="AA448">
            <v>9036.3809999999994</v>
          </cell>
          <cell r="AB448">
            <v>219.96200000000002</v>
          </cell>
          <cell r="AD448">
            <v>8809.7860000000001</v>
          </cell>
          <cell r="AN448" t="str">
            <v xml:space="preserve">Contrato emergencial nº </v>
          </cell>
          <cell r="AO448" t="str">
            <v>MP</v>
          </cell>
        </row>
        <row r="449">
          <cell r="D449" t="str">
            <v>1304/11</v>
          </cell>
          <cell r="E449" t="str">
            <v>02/05/2011</v>
          </cell>
          <cell r="F449">
            <v>40844</v>
          </cell>
          <cell r="G449">
            <v>40844</v>
          </cell>
          <cell r="H449" t="str">
            <v>2011-0.085.472-6</v>
          </cell>
          <cell r="I449">
            <v>52251.96</v>
          </cell>
          <cell r="J449" t="str">
            <v xml:space="preserve">              123651121                 2847                    33903600</v>
          </cell>
          <cell r="K449">
            <v>40817</v>
          </cell>
          <cell r="L449">
            <v>28</v>
          </cell>
          <cell r="M449">
            <v>8200</v>
          </cell>
          <cell r="N449">
            <v>57273</v>
          </cell>
          <cell r="O449">
            <v>13479</v>
          </cell>
          <cell r="P449">
            <v>16</v>
          </cell>
          <cell r="Q449">
            <v>2</v>
          </cell>
          <cell r="T449">
            <v>10140</v>
          </cell>
          <cell r="U449">
            <v>0</v>
          </cell>
          <cell r="AA449">
            <v>0</v>
          </cell>
          <cell r="AB449">
            <v>290.28866666666664</v>
          </cell>
          <cell r="AD449">
            <v>6147.5045</v>
          </cell>
          <cell r="AN449" t="str">
            <v xml:space="preserve">Contrato emergencial nº </v>
          </cell>
          <cell r="AO449" t="str">
            <v>MP</v>
          </cell>
        </row>
        <row r="450">
          <cell r="D450" t="str">
            <v>1305/11</v>
          </cell>
          <cell r="E450" t="str">
            <v>02/05/2011</v>
          </cell>
          <cell r="F450">
            <v>40844</v>
          </cell>
          <cell r="G450">
            <v>40844</v>
          </cell>
          <cell r="H450" t="str">
            <v>2011-0.085.473-4</v>
          </cell>
          <cell r="I450">
            <v>21373.56</v>
          </cell>
          <cell r="J450" t="str">
            <v xml:space="preserve">              123611122                  2848                    33903600</v>
          </cell>
          <cell r="K450">
            <v>40817</v>
          </cell>
          <cell r="L450">
            <v>28</v>
          </cell>
          <cell r="M450">
            <v>3400</v>
          </cell>
          <cell r="N450">
            <v>57278</v>
          </cell>
          <cell r="O450">
            <v>13480</v>
          </cell>
          <cell r="P450">
            <v>16</v>
          </cell>
          <cell r="Q450">
            <v>3</v>
          </cell>
          <cell r="T450">
            <v>4140</v>
          </cell>
          <cell r="AA450">
            <v>0</v>
          </cell>
          <cell r="AB450">
            <v>118.742</v>
          </cell>
          <cell r="AD450">
            <v>2901.8999999999996</v>
          </cell>
          <cell r="AN450" t="str">
            <v xml:space="preserve">Contrato emergencial nº </v>
          </cell>
          <cell r="AO450" t="str">
            <v>PJ</v>
          </cell>
        </row>
        <row r="451">
          <cell r="D451" t="str">
            <v>1306/11</v>
          </cell>
          <cell r="E451" t="str">
            <v>02/05/2011</v>
          </cell>
          <cell r="F451">
            <v>40844</v>
          </cell>
          <cell r="G451">
            <v>40844</v>
          </cell>
          <cell r="H451" t="str">
            <v>2011-0.085.476-9</v>
          </cell>
          <cell r="I451">
            <v>42838.74</v>
          </cell>
          <cell r="J451" t="str">
            <v xml:space="preserve">              123651121                 2847                    33903600</v>
          </cell>
          <cell r="K451">
            <v>40817</v>
          </cell>
          <cell r="L451">
            <v>28</v>
          </cell>
          <cell r="M451">
            <v>6700</v>
          </cell>
          <cell r="N451">
            <v>57273</v>
          </cell>
          <cell r="O451">
            <v>13481</v>
          </cell>
          <cell r="P451">
            <v>16</v>
          </cell>
          <cell r="Q451">
            <v>2</v>
          </cell>
          <cell r="S451">
            <v>7172.08</v>
          </cell>
          <cell r="T451">
            <v>8340</v>
          </cell>
          <cell r="U451">
            <v>1551.86</v>
          </cell>
          <cell r="AA451">
            <v>1551.86</v>
          </cell>
          <cell r="AB451">
            <v>237.99299999999999</v>
          </cell>
          <cell r="AD451">
            <v>7881.24</v>
          </cell>
          <cell r="AN451" t="str">
            <v xml:space="preserve">Contrato emergencial nº </v>
          </cell>
          <cell r="AO451" t="str">
            <v>SA</v>
          </cell>
        </row>
        <row r="452">
          <cell r="D452" t="str">
            <v>1307/11</v>
          </cell>
          <cell r="E452" t="str">
            <v>02/05/2011</v>
          </cell>
          <cell r="F452">
            <v>40844</v>
          </cell>
          <cell r="G452">
            <v>40844</v>
          </cell>
          <cell r="H452" t="str">
            <v>2011-0.085.478-5</v>
          </cell>
          <cell r="I452">
            <v>44978.400000000001</v>
          </cell>
          <cell r="J452" t="str">
            <v xml:space="preserve">              123611122                  2848                    33903600</v>
          </cell>
          <cell r="K452">
            <v>40817</v>
          </cell>
          <cell r="L452">
            <v>28</v>
          </cell>
          <cell r="M452">
            <v>7000</v>
          </cell>
          <cell r="N452">
            <v>57278</v>
          </cell>
          <cell r="O452">
            <v>13482</v>
          </cell>
          <cell r="P452">
            <v>16</v>
          </cell>
          <cell r="Q452">
            <v>3</v>
          </cell>
          <cell r="S452">
            <v>54.61</v>
          </cell>
          <cell r="T452">
            <v>8700</v>
          </cell>
          <cell r="U452">
            <v>0</v>
          </cell>
          <cell r="AA452">
            <v>0</v>
          </cell>
          <cell r="AB452">
            <v>249.88</v>
          </cell>
          <cell r="AD452">
            <v>6457.43</v>
          </cell>
          <cell r="AN452" t="str">
            <v xml:space="preserve">Contrato emergencial nº </v>
          </cell>
          <cell r="AO452" t="str">
            <v>CL</v>
          </cell>
        </row>
        <row r="453">
          <cell r="D453" t="str">
            <v>1308/11</v>
          </cell>
          <cell r="E453" t="str">
            <v>02/05/2011</v>
          </cell>
          <cell r="F453">
            <v>40844</v>
          </cell>
          <cell r="G453">
            <v>40844</v>
          </cell>
          <cell r="H453" t="str">
            <v>2011-0.085.479-3</v>
          </cell>
          <cell r="I453">
            <v>37607.879999999997</v>
          </cell>
          <cell r="J453" t="str">
            <v xml:space="preserve">              123611122                  2848                    33903600</v>
          </cell>
          <cell r="K453">
            <v>40817</v>
          </cell>
          <cell r="L453">
            <v>28</v>
          </cell>
          <cell r="M453">
            <v>5900</v>
          </cell>
          <cell r="N453">
            <v>57278</v>
          </cell>
          <cell r="O453">
            <v>13484</v>
          </cell>
          <cell r="P453">
            <v>16</v>
          </cell>
          <cell r="Q453">
            <v>3</v>
          </cell>
          <cell r="S453">
            <v>204.38</v>
          </cell>
          <cell r="T453">
            <v>7320</v>
          </cell>
          <cell r="AA453">
            <v>0</v>
          </cell>
          <cell r="AB453">
            <v>208.93266666666665</v>
          </cell>
          <cell r="AD453">
            <v>5201.24</v>
          </cell>
          <cell r="AN453" t="str">
            <v xml:space="preserve">Contrato emergencial nº </v>
          </cell>
          <cell r="AO453" t="str">
            <v>IP</v>
          </cell>
        </row>
        <row r="454">
          <cell r="D454" t="str">
            <v>1309/11</v>
          </cell>
          <cell r="E454" t="str">
            <v>02/05/2011</v>
          </cell>
          <cell r="F454">
            <v>40844</v>
          </cell>
          <cell r="G454">
            <v>40844</v>
          </cell>
          <cell r="H454" t="str">
            <v>2011-0.082.478-9</v>
          </cell>
          <cell r="I454">
            <v>28723.68</v>
          </cell>
          <cell r="J454" t="str">
            <v xml:space="preserve">              123611122                  2848                    33903600</v>
          </cell>
          <cell r="K454">
            <v>40817</v>
          </cell>
          <cell r="L454">
            <v>28</v>
          </cell>
          <cell r="M454">
            <v>4500</v>
          </cell>
          <cell r="N454">
            <v>57278</v>
          </cell>
          <cell r="O454">
            <v>13486</v>
          </cell>
          <cell r="P454">
            <v>16</v>
          </cell>
          <cell r="Q454">
            <v>3</v>
          </cell>
          <cell r="T454">
            <v>5580</v>
          </cell>
          <cell r="U454">
            <v>2985.52</v>
          </cell>
          <cell r="AA454">
            <v>2985.52</v>
          </cell>
          <cell r="AB454">
            <v>159.57599999999999</v>
          </cell>
          <cell r="AD454">
            <v>3208.5050000000001</v>
          </cell>
          <cell r="AN454" t="str">
            <v xml:space="preserve">Contrato emergencial nº </v>
          </cell>
          <cell r="AO454" t="str">
            <v xml:space="preserve">SA </v>
          </cell>
        </row>
        <row r="455">
          <cell r="D455" t="str">
            <v>1310/11</v>
          </cell>
          <cell r="E455" t="str">
            <v>02/05/2011</v>
          </cell>
          <cell r="F455">
            <v>40844</v>
          </cell>
          <cell r="G455">
            <v>40844</v>
          </cell>
          <cell r="H455" t="str">
            <v>2011-0.084.847-5</v>
          </cell>
          <cell r="I455">
            <v>40976.04</v>
          </cell>
          <cell r="J455" t="str">
            <v xml:space="preserve">              123651121                 2847                    33903600</v>
          </cell>
          <cell r="K455">
            <v>40817</v>
          </cell>
          <cell r="L455">
            <v>28</v>
          </cell>
          <cell r="M455">
            <v>6400</v>
          </cell>
          <cell r="N455">
            <v>57273</v>
          </cell>
          <cell r="O455">
            <v>13488</v>
          </cell>
          <cell r="P455">
            <v>16</v>
          </cell>
          <cell r="Q455">
            <v>2</v>
          </cell>
          <cell r="S455">
            <v>322.81</v>
          </cell>
          <cell r="T455">
            <v>11450.02</v>
          </cell>
          <cell r="AA455">
            <v>0</v>
          </cell>
          <cell r="AB455">
            <v>227.64466666666667</v>
          </cell>
          <cell r="AD455">
            <v>11458.449999999999</v>
          </cell>
          <cell r="AN455" t="str">
            <v xml:space="preserve">Contrato emergencial nº </v>
          </cell>
          <cell r="AO455" t="str">
            <v>SM</v>
          </cell>
        </row>
        <row r="456">
          <cell r="D456" t="str">
            <v>1311/11</v>
          </cell>
          <cell r="E456" t="str">
            <v>02/05/2011</v>
          </cell>
          <cell r="F456">
            <v>40844</v>
          </cell>
          <cell r="G456">
            <v>40844</v>
          </cell>
          <cell r="H456" t="str">
            <v>2011-0.084.848-3</v>
          </cell>
          <cell r="I456">
            <v>38261.760000000002</v>
          </cell>
          <cell r="J456" t="str">
            <v xml:space="preserve">              123651121                 2847                    33903600</v>
          </cell>
          <cell r="K456">
            <v>40817</v>
          </cell>
          <cell r="L456">
            <v>28</v>
          </cell>
          <cell r="M456">
            <v>6000</v>
          </cell>
          <cell r="N456">
            <v>57273</v>
          </cell>
          <cell r="O456">
            <v>13489</v>
          </cell>
          <cell r="P456">
            <v>16</v>
          </cell>
          <cell r="Q456">
            <v>2</v>
          </cell>
          <cell r="S456">
            <v>2858.31</v>
          </cell>
          <cell r="T456">
            <v>7440</v>
          </cell>
          <cell r="AA456">
            <v>0</v>
          </cell>
          <cell r="AB456">
            <v>212.56533333333334</v>
          </cell>
          <cell r="AD456">
            <v>6009.5499999999993</v>
          </cell>
          <cell r="AN456" t="str">
            <v xml:space="preserve">Contrato emergencial nº </v>
          </cell>
          <cell r="AO456" t="str">
            <v xml:space="preserve">SA </v>
          </cell>
        </row>
        <row r="457">
          <cell r="D457" t="str">
            <v>1312/11</v>
          </cell>
          <cell r="E457" t="str">
            <v>02/05/2011</v>
          </cell>
          <cell r="F457">
            <v>40844</v>
          </cell>
          <cell r="G457">
            <v>40844</v>
          </cell>
          <cell r="H457" t="str">
            <v>2011-0.084.850-5</v>
          </cell>
          <cell r="I457">
            <v>41774.04</v>
          </cell>
          <cell r="J457" t="str">
            <v xml:space="preserve">              123651121                 2847                    33903600</v>
          </cell>
          <cell r="K457">
            <v>40817</v>
          </cell>
          <cell r="L457">
            <v>28</v>
          </cell>
          <cell r="M457">
            <v>6500</v>
          </cell>
          <cell r="N457">
            <v>57273</v>
          </cell>
          <cell r="O457">
            <v>13491</v>
          </cell>
          <cell r="P457">
            <v>16</v>
          </cell>
          <cell r="Q457">
            <v>2</v>
          </cell>
          <cell r="S457">
            <v>1289.74</v>
          </cell>
          <cell r="T457">
            <v>8100</v>
          </cell>
          <cell r="U457">
            <v>0</v>
          </cell>
          <cell r="AA457">
            <v>0</v>
          </cell>
          <cell r="AB457">
            <v>232.078</v>
          </cell>
          <cell r="AD457">
            <v>6106.36</v>
          </cell>
          <cell r="AN457" t="str">
            <v xml:space="preserve">Contrato emergencial nº </v>
          </cell>
          <cell r="AO457" t="str">
            <v>CL</v>
          </cell>
        </row>
        <row r="458">
          <cell r="D458" t="str">
            <v>1313/11</v>
          </cell>
          <cell r="E458" t="str">
            <v>02/05/2011</v>
          </cell>
          <cell r="F458">
            <v>40844</v>
          </cell>
          <cell r="G458">
            <v>40844</v>
          </cell>
          <cell r="H458" t="str">
            <v>2011-0.084.856-4</v>
          </cell>
          <cell r="I458">
            <v>38261.760000000002</v>
          </cell>
          <cell r="J458" t="str">
            <v xml:space="preserve">              123651121                 2847                    33903600</v>
          </cell>
          <cell r="K458">
            <v>40817</v>
          </cell>
          <cell r="L458">
            <v>28</v>
          </cell>
          <cell r="M458">
            <v>6000</v>
          </cell>
          <cell r="N458">
            <v>57273</v>
          </cell>
          <cell r="O458">
            <v>13494</v>
          </cell>
          <cell r="P458">
            <v>16</v>
          </cell>
          <cell r="Q458">
            <v>2</v>
          </cell>
          <cell r="S458">
            <v>543.33000000000004</v>
          </cell>
          <cell r="T458">
            <v>7440</v>
          </cell>
          <cell r="AA458">
            <v>0</v>
          </cell>
          <cell r="AB458">
            <v>212.56533333333334</v>
          </cell>
          <cell r="AD458">
            <v>5364.7799999999988</v>
          </cell>
          <cell r="AN458" t="str">
            <v xml:space="preserve">Contrato emergencial nº </v>
          </cell>
          <cell r="AO458" t="str">
            <v xml:space="preserve">SA </v>
          </cell>
        </row>
        <row r="459">
          <cell r="D459" t="str">
            <v>1314/11</v>
          </cell>
          <cell r="E459" t="str">
            <v>02/05/2011</v>
          </cell>
          <cell r="F459">
            <v>40844</v>
          </cell>
          <cell r="G459">
            <v>40844</v>
          </cell>
          <cell r="H459" t="str">
            <v>2011-0.084.862-9</v>
          </cell>
          <cell r="I459">
            <v>40835.160000000003</v>
          </cell>
          <cell r="J459" t="str">
            <v xml:space="preserve">              123651121                 2847                    33903600</v>
          </cell>
          <cell r="K459">
            <v>40817</v>
          </cell>
          <cell r="L459">
            <v>28</v>
          </cell>
          <cell r="M459">
            <v>6400</v>
          </cell>
          <cell r="N459">
            <v>57273</v>
          </cell>
          <cell r="O459">
            <v>13495</v>
          </cell>
          <cell r="P459">
            <v>16</v>
          </cell>
          <cell r="Q459">
            <v>2</v>
          </cell>
          <cell r="S459">
            <v>8477.7999999999993</v>
          </cell>
          <cell r="T459">
            <v>7920</v>
          </cell>
          <cell r="U459">
            <v>4940.6000000000004</v>
          </cell>
          <cell r="AA459">
            <v>4940.6000000000004</v>
          </cell>
          <cell r="AB459">
            <v>226.86200000000002</v>
          </cell>
          <cell r="AD459">
            <v>8477.7999999999993</v>
          </cell>
          <cell r="AN459" t="str">
            <v xml:space="preserve">Contrato emergencial nº </v>
          </cell>
          <cell r="AO459" t="str">
            <v>CS</v>
          </cell>
        </row>
        <row r="460">
          <cell r="D460" t="str">
            <v>1315/11</v>
          </cell>
          <cell r="E460" t="str">
            <v>02/05/2011</v>
          </cell>
          <cell r="F460">
            <v>40844</v>
          </cell>
          <cell r="G460">
            <v>40844</v>
          </cell>
          <cell r="H460" t="str">
            <v>2011-0.084.869-6</v>
          </cell>
          <cell r="I460">
            <v>47355.96</v>
          </cell>
          <cell r="J460" t="str">
            <v xml:space="preserve">              123651121                 2847                    33903600</v>
          </cell>
          <cell r="K460">
            <v>40817</v>
          </cell>
          <cell r="L460">
            <v>28</v>
          </cell>
          <cell r="M460">
            <v>7400</v>
          </cell>
          <cell r="N460">
            <v>57273</v>
          </cell>
          <cell r="O460">
            <v>13497</v>
          </cell>
          <cell r="P460">
            <v>16</v>
          </cell>
          <cell r="Q460">
            <v>2</v>
          </cell>
          <cell r="S460">
            <v>1835.35</v>
          </cell>
          <cell r="T460">
            <v>9179.9999999999982</v>
          </cell>
          <cell r="U460">
            <v>0</v>
          </cell>
          <cell r="AA460">
            <v>0</v>
          </cell>
          <cell r="AB460">
            <v>263.08866666666665</v>
          </cell>
          <cell r="AD460">
            <v>6898.420000000001</v>
          </cell>
          <cell r="AN460" t="str">
            <v xml:space="preserve">Contrato emergencial nº </v>
          </cell>
          <cell r="AO460" t="str">
            <v>JT</v>
          </cell>
        </row>
        <row r="461">
          <cell r="D461" t="str">
            <v>1316/11</v>
          </cell>
          <cell r="E461" t="str">
            <v>02/05/2011</v>
          </cell>
          <cell r="F461">
            <v>40844</v>
          </cell>
          <cell r="G461">
            <v>40844</v>
          </cell>
          <cell r="H461" t="str">
            <v>2011-0.084.872-6</v>
          </cell>
          <cell r="I461">
            <v>44978.400000000001</v>
          </cell>
          <cell r="J461" t="str">
            <v xml:space="preserve">              123651121                 2847                    33903600</v>
          </cell>
          <cell r="K461">
            <v>40817</v>
          </cell>
          <cell r="L461">
            <v>28</v>
          </cell>
          <cell r="M461">
            <v>7000</v>
          </cell>
          <cell r="N461">
            <v>57273</v>
          </cell>
          <cell r="O461">
            <v>13500</v>
          </cell>
          <cell r="P461">
            <v>16</v>
          </cell>
          <cell r="Q461">
            <v>2</v>
          </cell>
          <cell r="S461">
            <v>2131.15</v>
          </cell>
          <cell r="T461">
            <v>8700</v>
          </cell>
          <cell r="AA461">
            <v>0</v>
          </cell>
          <cell r="AB461">
            <v>249.88</v>
          </cell>
          <cell r="AD461">
            <v>6734.3899999999994</v>
          </cell>
          <cell r="AN461" t="str">
            <v xml:space="preserve">Contrato emergencial nº </v>
          </cell>
          <cell r="AO461" t="str">
            <v xml:space="preserve">SA </v>
          </cell>
        </row>
        <row r="462">
          <cell r="D462" t="str">
            <v>1317/11</v>
          </cell>
          <cell r="E462" t="str">
            <v>02/05/2011</v>
          </cell>
          <cell r="F462">
            <v>40844</v>
          </cell>
          <cell r="G462">
            <v>40844</v>
          </cell>
          <cell r="H462" t="str">
            <v>2011-0.084.880-7</v>
          </cell>
          <cell r="I462">
            <v>37399.919999999998</v>
          </cell>
          <cell r="J462" t="str">
            <v xml:space="preserve">              123651121                 2847                    33903600</v>
          </cell>
          <cell r="K462">
            <v>40817</v>
          </cell>
          <cell r="L462">
            <v>28</v>
          </cell>
          <cell r="M462">
            <v>5900</v>
          </cell>
          <cell r="N462">
            <v>57273</v>
          </cell>
          <cell r="O462">
            <v>13502</v>
          </cell>
          <cell r="P462">
            <v>16</v>
          </cell>
          <cell r="Q462">
            <v>2</v>
          </cell>
          <cell r="S462">
            <v>1798.11</v>
          </cell>
          <cell r="T462">
            <v>7260</v>
          </cell>
          <cell r="U462">
            <v>0</v>
          </cell>
          <cell r="AA462">
            <v>0</v>
          </cell>
          <cell r="AB462">
            <v>207.77733333333333</v>
          </cell>
          <cell r="AD462">
            <v>5599.24</v>
          </cell>
          <cell r="AN462" t="str">
            <v xml:space="preserve">Contrato emergencial nº </v>
          </cell>
          <cell r="AO462" t="str">
            <v>CL</v>
          </cell>
        </row>
        <row r="463">
          <cell r="D463" t="str">
            <v>1318/11</v>
          </cell>
          <cell r="E463" t="str">
            <v>02/05/2011</v>
          </cell>
          <cell r="F463">
            <v>40844</v>
          </cell>
          <cell r="G463">
            <v>40844</v>
          </cell>
          <cell r="H463" t="str">
            <v>2011-0.084.928-5</v>
          </cell>
          <cell r="I463">
            <v>40976.04</v>
          </cell>
          <cell r="J463" t="str">
            <v xml:space="preserve">              123611122                  2848                    33903600</v>
          </cell>
          <cell r="K463">
            <v>40817</v>
          </cell>
          <cell r="L463">
            <v>28</v>
          </cell>
          <cell r="M463">
            <v>6400</v>
          </cell>
          <cell r="N463">
            <v>57278</v>
          </cell>
          <cell r="O463">
            <v>13504</v>
          </cell>
          <cell r="P463">
            <v>16</v>
          </cell>
          <cell r="Q463">
            <v>3</v>
          </cell>
          <cell r="T463">
            <v>7980</v>
          </cell>
          <cell r="U463">
            <v>2134.2566666666671</v>
          </cell>
          <cell r="AA463">
            <v>2134.2566666666671</v>
          </cell>
          <cell r="AB463">
            <v>227.64466666666667</v>
          </cell>
          <cell r="AD463">
            <v>4343.96</v>
          </cell>
          <cell r="AN463" t="str">
            <v xml:space="preserve">Contrato emergencial nº </v>
          </cell>
          <cell r="AO463" t="str">
            <v>MP</v>
          </cell>
        </row>
        <row r="464">
          <cell r="D464" t="str">
            <v>1319/11</v>
          </cell>
          <cell r="E464" t="str">
            <v>02/05/2011</v>
          </cell>
          <cell r="F464">
            <v>40844</v>
          </cell>
          <cell r="G464">
            <v>40844</v>
          </cell>
          <cell r="H464" t="str">
            <v>2011-0.084.932-3</v>
          </cell>
          <cell r="I464">
            <v>32036.639999999999</v>
          </cell>
          <cell r="J464" t="str">
            <v xml:space="preserve">              123611122                  2848                    33903600</v>
          </cell>
          <cell r="K464">
            <v>40817</v>
          </cell>
          <cell r="L464">
            <v>28</v>
          </cell>
          <cell r="M464">
            <v>5000</v>
          </cell>
          <cell r="N464">
            <v>57278</v>
          </cell>
          <cell r="O464">
            <v>13505</v>
          </cell>
          <cell r="P464">
            <v>16</v>
          </cell>
          <cell r="Q464">
            <v>3</v>
          </cell>
          <cell r="T464">
            <v>6240</v>
          </cell>
          <cell r="U464">
            <v>0</v>
          </cell>
          <cell r="AA464">
            <v>0</v>
          </cell>
          <cell r="AB464">
            <v>177.98133333333334</v>
          </cell>
          <cell r="AD464">
            <v>3134.87</v>
          </cell>
          <cell r="AN464" t="str">
            <v xml:space="preserve">Contrato emergencial nº </v>
          </cell>
          <cell r="AO464" t="str">
            <v>CS</v>
          </cell>
        </row>
        <row r="465">
          <cell r="D465" t="str">
            <v>1320/11</v>
          </cell>
          <cell r="E465" t="str">
            <v>02/05/2011</v>
          </cell>
          <cell r="F465">
            <v>40844</v>
          </cell>
          <cell r="G465">
            <v>40844</v>
          </cell>
          <cell r="H465" t="str">
            <v>2011-0.084.944-7</v>
          </cell>
          <cell r="I465">
            <v>39593.160000000003</v>
          </cell>
          <cell r="J465" t="str">
            <v xml:space="preserve">              123611122                  2848                    33903600</v>
          </cell>
          <cell r="K465">
            <v>40817</v>
          </cell>
          <cell r="L465">
            <v>28</v>
          </cell>
          <cell r="M465">
            <v>6200</v>
          </cell>
          <cell r="N465">
            <v>57278</v>
          </cell>
          <cell r="O465">
            <v>13507</v>
          </cell>
          <cell r="P465">
            <v>16</v>
          </cell>
          <cell r="Q465">
            <v>3</v>
          </cell>
          <cell r="S465">
            <v>3609.71</v>
          </cell>
          <cell r="T465">
            <v>7680</v>
          </cell>
          <cell r="U465">
            <v>3101.76</v>
          </cell>
          <cell r="AA465">
            <v>3101.76</v>
          </cell>
          <cell r="AB465">
            <v>219.96200000000002</v>
          </cell>
          <cell r="AD465">
            <v>7757.5700000000006</v>
          </cell>
          <cell r="AN465" t="str">
            <v xml:space="preserve">Contrato emergencial nº </v>
          </cell>
          <cell r="AO465" t="str">
            <v>CL</v>
          </cell>
        </row>
        <row r="466">
          <cell r="D466" t="str">
            <v>1321/11</v>
          </cell>
          <cell r="E466" t="str">
            <v>02/05/2011</v>
          </cell>
          <cell r="F466">
            <v>40844</v>
          </cell>
          <cell r="G466">
            <v>40844</v>
          </cell>
          <cell r="H466" t="str">
            <v>2011-0.084.949-8</v>
          </cell>
          <cell r="I466">
            <v>44978.400000000001</v>
          </cell>
          <cell r="J466" t="str">
            <v xml:space="preserve">              123611122                  2848                    33903600</v>
          </cell>
          <cell r="K466">
            <v>40817</v>
          </cell>
          <cell r="L466">
            <v>28</v>
          </cell>
          <cell r="M466">
            <v>7000</v>
          </cell>
          <cell r="N466">
            <v>57278</v>
          </cell>
          <cell r="O466">
            <v>13508</v>
          </cell>
          <cell r="P466">
            <v>16</v>
          </cell>
          <cell r="Q466">
            <v>3</v>
          </cell>
          <cell r="T466">
            <v>5758.03</v>
          </cell>
          <cell r="U466">
            <v>0</v>
          </cell>
          <cell r="AA466">
            <v>0</v>
          </cell>
          <cell r="AB466">
            <v>249.88</v>
          </cell>
          <cell r="AD466">
            <v>6028.6850000000004</v>
          </cell>
          <cell r="AN466" t="str">
            <v xml:space="preserve">Contrato emergencial nº </v>
          </cell>
          <cell r="AO466" t="str">
            <v>JT</v>
          </cell>
        </row>
        <row r="467">
          <cell r="D467" t="str">
            <v>1322/11</v>
          </cell>
          <cell r="E467" t="str">
            <v>02/05/2011</v>
          </cell>
          <cell r="F467">
            <v>40844</v>
          </cell>
          <cell r="G467">
            <v>40844</v>
          </cell>
          <cell r="H467" t="str">
            <v>2011-0.084.953-6</v>
          </cell>
          <cell r="I467">
            <v>42184.92</v>
          </cell>
          <cell r="J467" t="str">
            <v xml:space="preserve">              123611122                  2848                    33903600</v>
          </cell>
          <cell r="K467">
            <v>40817</v>
          </cell>
          <cell r="L467">
            <v>28</v>
          </cell>
          <cell r="M467">
            <v>6600</v>
          </cell>
          <cell r="N467">
            <v>57278</v>
          </cell>
          <cell r="O467">
            <v>13509</v>
          </cell>
          <cell r="P467">
            <v>16</v>
          </cell>
          <cell r="Q467">
            <v>3</v>
          </cell>
          <cell r="S467">
            <v>4367.04</v>
          </cell>
          <cell r="T467">
            <v>8160</v>
          </cell>
          <cell r="AA467">
            <v>0</v>
          </cell>
          <cell r="AB467">
            <v>234.36066666666665</v>
          </cell>
          <cell r="AD467">
            <v>7059.8424999999997</v>
          </cell>
          <cell r="AN467" t="str">
            <v xml:space="preserve">Contrato emergencial nº </v>
          </cell>
          <cell r="AO467" t="str">
            <v xml:space="preserve">SA </v>
          </cell>
        </row>
        <row r="468">
          <cell r="D468" t="str">
            <v>1323/11</v>
          </cell>
          <cell r="E468" t="str">
            <v>02/05/2011</v>
          </cell>
          <cell r="F468">
            <v>40844</v>
          </cell>
          <cell r="G468">
            <v>40844</v>
          </cell>
          <cell r="H468" t="str">
            <v>2011-0.084.956-0</v>
          </cell>
          <cell r="I468">
            <v>37301.160000000003</v>
          </cell>
          <cell r="J468" t="str">
            <v xml:space="preserve">              123611122                  2848                    33903600</v>
          </cell>
          <cell r="K468">
            <v>40817</v>
          </cell>
          <cell r="L468">
            <v>28</v>
          </cell>
          <cell r="M468">
            <v>5900</v>
          </cell>
          <cell r="N468">
            <v>57278</v>
          </cell>
          <cell r="O468">
            <v>13511</v>
          </cell>
          <cell r="P468">
            <v>16</v>
          </cell>
          <cell r="Q468">
            <v>3</v>
          </cell>
          <cell r="S468">
            <v>6294.77</v>
          </cell>
          <cell r="T468">
            <v>7260</v>
          </cell>
          <cell r="AA468">
            <v>0</v>
          </cell>
          <cell r="AB468">
            <v>207.2286666666667</v>
          </cell>
          <cell r="AD468">
            <v>6718.16</v>
          </cell>
          <cell r="AN468" t="str">
            <v xml:space="preserve">Contrato emergencial nº </v>
          </cell>
          <cell r="AO468" t="str">
            <v>PE</v>
          </cell>
        </row>
        <row r="469">
          <cell r="D469" t="str">
            <v>1324/11</v>
          </cell>
          <cell r="E469" t="str">
            <v>02/05/2011</v>
          </cell>
          <cell r="F469">
            <v>40844</v>
          </cell>
          <cell r="G469">
            <v>40844</v>
          </cell>
          <cell r="H469" t="str">
            <v>2011-0.084.962-5</v>
          </cell>
          <cell r="I469">
            <v>38261.760000000002</v>
          </cell>
          <cell r="J469" t="str">
            <v xml:space="preserve">              123611122                  2848                    33903600</v>
          </cell>
          <cell r="K469">
            <v>40817</v>
          </cell>
          <cell r="L469">
            <v>28</v>
          </cell>
          <cell r="M469">
            <v>6000</v>
          </cell>
          <cell r="N469">
            <v>57278</v>
          </cell>
          <cell r="O469">
            <v>13514</v>
          </cell>
          <cell r="P469">
            <v>16</v>
          </cell>
          <cell r="Q469">
            <v>3</v>
          </cell>
          <cell r="T469">
            <v>4900.47</v>
          </cell>
          <cell r="U469">
            <v>0</v>
          </cell>
          <cell r="AA469">
            <v>0</v>
          </cell>
          <cell r="AB469">
            <v>212.56533333333334</v>
          </cell>
          <cell r="AD469">
            <v>5115.71</v>
          </cell>
          <cell r="AN469" t="str">
            <v xml:space="preserve">Contrato emergencial nº </v>
          </cell>
          <cell r="AO469" t="str">
            <v>CS</v>
          </cell>
        </row>
        <row r="470">
          <cell r="D470" t="str">
            <v>1325/11</v>
          </cell>
          <cell r="E470" t="str">
            <v>02/05/2011</v>
          </cell>
          <cell r="F470">
            <v>40844</v>
          </cell>
          <cell r="G470">
            <v>40844</v>
          </cell>
          <cell r="H470" t="str">
            <v>2011-0.084.967-6</v>
          </cell>
          <cell r="I470">
            <v>51135.96</v>
          </cell>
          <cell r="J470" t="str">
            <v xml:space="preserve">              123651121                 2847                    33903600</v>
          </cell>
          <cell r="K470">
            <v>40817</v>
          </cell>
          <cell r="L470">
            <v>28</v>
          </cell>
          <cell r="M470">
            <v>8000</v>
          </cell>
          <cell r="N470">
            <v>57273</v>
          </cell>
          <cell r="O470">
            <v>13517</v>
          </cell>
          <cell r="P470">
            <v>16</v>
          </cell>
          <cell r="Q470">
            <v>2</v>
          </cell>
          <cell r="S470">
            <v>6382.54</v>
          </cell>
          <cell r="T470">
            <v>9900</v>
          </cell>
          <cell r="U470">
            <v>0</v>
          </cell>
          <cell r="AA470">
            <v>0</v>
          </cell>
          <cell r="AB470">
            <v>284.08866666666665</v>
          </cell>
          <cell r="AD470">
            <v>9196.06</v>
          </cell>
          <cell r="AN470" t="str">
            <v xml:space="preserve">Contrato emergencial nº </v>
          </cell>
          <cell r="AO470" t="str">
            <v>CS</v>
          </cell>
        </row>
        <row r="471">
          <cell r="D471" t="str">
            <v>1326/11</v>
          </cell>
          <cell r="E471" t="str">
            <v>02/05/2011</v>
          </cell>
          <cell r="F471">
            <v>40844</v>
          </cell>
          <cell r="G471">
            <v>40844</v>
          </cell>
          <cell r="H471" t="str">
            <v>2011-0.084.978-1</v>
          </cell>
          <cell r="I471">
            <v>51135.96</v>
          </cell>
          <cell r="J471" t="str">
            <v xml:space="preserve">              123651121                 2847                    33903600</v>
          </cell>
          <cell r="K471">
            <v>40817</v>
          </cell>
          <cell r="L471">
            <v>28</v>
          </cell>
          <cell r="M471">
            <v>8000</v>
          </cell>
          <cell r="N471">
            <v>57273</v>
          </cell>
          <cell r="O471">
            <v>13521</v>
          </cell>
          <cell r="P471">
            <v>16</v>
          </cell>
          <cell r="Q471">
            <v>2</v>
          </cell>
          <cell r="T471">
            <v>1876.0099999999993</v>
          </cell>
          <cell r="U471">
            <v>0</v>
          </cell>
          <cell r="AA471">
            <v>0</v>
          </cell>
          <cell r="AB471">
            <v>284.08866666666665</v>
          </cell>
          <cell r="AD471">
            <v>5908.8919999999989</v>
          </cell>
          <cell r="AN471" t="str">
            <v xml:space="preserve">Contrato emergencial nº </v>
          </cell>
          <cell r="AO471" t="str">
            <v>IQ</v>
          </cell>
        </row>
        <row r="472">
          <cell r="D472" t="str">
            <v>1327/11</v>
          </cell>
          <cell r="E472" t="str">
            <v>02/05/2011</v>
          </cell>
          <cell r="F472">
            <v>40844</v>
          </cell>
          <cell r="G472">
            <v>40844</v>
          </cell>
          <cell r="H472" t="str">
            <v>2011-0.085.061-5</v>
          </cell>
          <cell r="I472">
            <v>37607.879999999997</v>
          </cell>
          <cell r="J472" t="str">
            <v xml:space="preserve">              123651121                 2847                    33903600</v>
          </cell>
          <cell r="K472">
            <v>40817</v>
          </cell>
          <cell r="L472">
            <v>28</v>
          </cell>
          <cell r="M472">
            <v>5900</v>
          </cell>
          <cell r="N472">
            <v>57273</v>
          </cell>
          <cell r="O472">
            <v>13522</v>
          </cell>
          <cell r="P472">
            <v>16</v>
          </cell>
          <cell r="Q472">
            <v>2</v>
          </cell>
          <cell r="T472">
            <v>3586.42</v>
          </cell>
          <cell r="AA472">
            <v>0</v>
          </cell>
          <cell r="AB472">
            <v>208.93266666666665</v>
          </cell>
          <cell r="AD472">
            <v>4759.08</v>
          </cell>
          <cell r="AN472" t="str">
            <v xml:space="preserve">Contrato emergencial nº </v>
          </cell>
          <cell r="AO472" t="str">
            <v>PE</v>
          </cell>
        </row>
        <row r="473">
          <cell r="D473" t="str">
            <v>1328/11</v>
          </cell>
          <cell r="E473" t="str">
            <v>02/05/2011</v>
          </cell>
          <cell r="F473">
            <v>40844</v>
          </cell>
          <cell r="G473">
            <v>40844</v>
          </cell>
          <cell r="H473" t="str">
            <v>2011-0.085.066-6</v>
          </cell>
          <cell r="I473">
            <v>51135.96</v>
          </cell>
          <cell r="J473" t="str">
            <v xml:space="preserve">              123651121                 2847                    33903600</v>
          </cell>
          <cell r="K473">
            <v>40817</v>
          </cell>
          <cell r="L473">
            <v>28</v>
          </cell>
          <cell r="M473">
            <v>8000</v>
          </cell>
          <cell r="N473">
            <v>57273</v>
          </cell>
          <cell r="O473">
            <v>13524</v>
          </cell>
          <cell r="P473">
            <v>16</v>
          </cell>
          <cell r="Q473">
            <v>2</v>
          </cell>
          <cell r="S473">
            <v>613.79</v>
          </cell>
          <cell r="T473">
            <v>9900</v>
          </cell>
          <cell r="U473">
            <v>0</v>
          </cell>
          <cell r="AA473">
            <v>0</v>
          </cell>
          <cell r="AB473">
            <v>284.08866666666665</v>
          </cell>
          <cell r="AD473">
            <v>7417.01</v>
          </cell>
          <cell r="AN473" t="str">
            <v xml:space="preserve">Contrato emergencial nº </v>
          </cell>
          <cell r="AO473" t="str">
            <v>CS</v>
          </cell>
        </row>
        <row r="474">
          <cell r="D474" t="str">
            <v>1329/11</v>
          </cell>
          <cell r="E474" t="str">
            <v>02/05/2011</v>
          </cell>
          <cell r="F474">
            <v>40844</v>
          </cell>
          <cell r="G474">
            <v>40844</v>
          </cell>
          <cell r="H474" t="str">
            <v>2011-0.085.071-2</v>
          </cell>
          <cell r="I474">
            <v>51135.96</v>
          </cell>
          <cell r="J474" t="str">
            <v xml:space="preserve">              123651121                 2847                    33903600</v>
          </cell>
          <cell r="K474">
            <v>40817</v>
          </cell>
          <cell r="L474">
            <v>28</v>
          </cell>
          <cell r="M474">
            <v>8000</v>
          </cell>
          <cell r="N474">
            <v>57273</v>
          </cell>
          <cell r="O474">
            <v>13527</v>
          </cell>
          <cell r="P474">
            <v>16</v>
          </cell>
          <cell r="Q474">
            <v>2</v>
          </cell>
          <cell r="S474">
            <v>2136.86</v>
          </cell>
          <cell r="T474">
            <v>9900</v>
          </cell>
          <cell r="U474">
            <v>0</v>
          </cell>
          <cell r="AA474">
            <v>0</v>
          </cell>
          <cell r="AB474">
            <v>284.08866666666665</v>
          </cell>
          <cell r="AD474">
            <v>7864.9800000000005</v>
          </cell>
          <cell r="AN474" t="str">
            <v xml:space="preserve">Contrato emergencial nº </v>
          </cell>
          <cell r="AO474" t="str">
            <v>CS</v>
          </cell>
        </row>
        <row r="475">
          <cell r="D475" t="str">
            <v>1330/11</v>
          </cell>
          <cell r="E475" t="str">
            <v>02/05/2011</v>
          </cell>
          <cell r="F475">
            <v>40844</v>
          </cell>
          <cell r="G475">
            <v>40844</v>
          </cell>
          <cell r="H475" t="str">
            <v>2011-0.085.074-7</v>
          </cell>
          <cell r="I475">
            <v>23735.759999999998</v>
          </cell>
          <cell r="J475" t="str">
            <v xml:space="preserve">             123671125                  2863                   33903600</v>
          </cell>
          <cell r="K475">
            <v>40817</v>
          </cell>
          <cell r="L475">
            <v>28</v>
          </cell>
          <cell r="M475">
            <v>3700</v>
          </cell>
          <cell r="N475">
            <v>57287</v>
          </cell>
          <cell r="O475">
            <v>13530</v>
          </cell>
          <cell r="P475">
            <v>16</v>
          </cell>
          <cell r="Q475">
            <v>4</v>
          </cell>
          <cell r="S475">
            <v>1379.85</v>
          </cell>
          <cell r="T475">
            <v>4620</v>
          </cell>
          <cell r="U475">
            <v>711.50800000000027</v>
          </cell>
          <cell r="AA475">
            <v>711.50800000000027</v>
          </cell>
          <cell r="AB475">
            <v>131.86533333333333</v>
          </cell>
          <cell r="AD475">
            <v>3994.25</v>
          </cell>
          <cell r="AN475" t="str">
            <v xml:space="preserve">Contrato emergencial nº </v>
          </cell>
          <cell r="AO475" t="str">
            <v>BT</v>
          </cell>
        </row>
        <row r="476">
          <cell r="D476" t="str">
            <v>1331/11</v>
          </cell>
          <cell r="E476" t="str">
            <v>02/05/2011</v>
          </cell>
          <cell r="F476">
            <v>40844</v>
          </cell>
          <cell r="G476">
            <v>40844</v>
          </cell>
          <cell r="H476" t="str">
            <v>2011-0.085.078-0</v>
          </cell>
          <cell r="I476">
            <v>51135.96</v>
          </cell>
          <cell r="J476" t="str">
            <v xml:space="preserve">              123611122                  2848                    33903600</v>
          </cell>
          <cell r="K476">
            <v>40817</v>
          </cell>
          <cell r="L476">
            <v>28</v>
          </cell>
          <cell r="M476">
            <v>8000</v>
          </cell>
          <cell r="N476">
            <v>57278</v>
          </cell>
          <cell r="P476">
            <v>16</v>
          </cell>
          <cell r="Q476">
            <v>3</v>
          </cell>
          <cell r="T476">
            <v>9900</v>
          </cell>
          <cell r="AA476">
            <v>0</v>
          </cell>
          <cell r="AB476">
            <v>284.08866666666665</v>
          </cell>
          <cell r="AN476" t="str">
            <v xml:space="preserve">Contrato emergencial nº </v>
          </cell>
          <cell r="AO476" t="str">
            <v>MP</v>
          </cell>
        </row>
        <row r="477">
          <cell r="D477" t="str">
            <v>1332/11</v>
          </cell>
          <cell r="E477" t="str">
            <v>02/05/2011</v>
          </cell>
          <cell r="F477">
            <v>40844</v>
          </cell>
          <cell r="G477">
            <v>40844</v>
          </cell>
          <cell r="H477" t="str">
            <v>2011-0.085.523-4</v>
          </cell>
          <cell r="I477">
            <v>39593.160000000003</v>
          </cell>
          <cell r="J477" t="str">
            <v xml:space="preserve">              123611122                  2848                    33903600</v>
          </cell>
          <cell r="K477">
            <v>40817</v>
          </cell>
          <cell r="L477">
            <v>28</v>
          </cell>
          <cell r="M477">
            <v>6200</v>
          </cell>
          <cell r="N477">
            <v>57278</v>
          </cell>
          <cell r="O477">
            <v>13533</v>
          </cell>
          <cell r="P477">
            <v>16</v>
          </cell>
          <cell r="Q477">
            <v>3</v>
          </cell>
          <cell r="S477">
            <v>3324.69</v>
          </cell>
          <cell r="T477">
            <v>7680</v>
          </cell>
          <cell r="AA477">
            <v>0</v>
          </cell>
          <cell r="AB477">
            <v>219.96200000000002</v>
          </cell>
          <cell r="AD477">
            <v>6435.2040000000006</v>
          </cell>
          <cell r="AN477" t="str">
            <v xml:space="preserve">Contrato emergencial nº </v>
          </cell>
          <cell r="AO477" t="str">
            <v>PJ</v>
          </cell>
        </row>
        <row r="478">
          <cell r="D478" t="str">
            <v>1333/11</v>
          </cell>
          <cell r="E478" t="str">
            <v>02/05/2011</v>
          </cell>
          <cell r="F478">
            <v>40844</v>
          </cell>
          <cell r="G478">
            <v>40844</v>
          </cell>
          <cell r="H478" t="str">
            <v>2011-0.085.524-2</v>
          </cell>
          <cell r="I478">
            <v>37033.68</v>
          </cell>
          <cell r="J478" t="str">
            <v xml:space="preserve">              123611122                  2848                    33903600</v>
          </cell>
          <cell r="K478">
            <v>40817</v>
          </cell>
          <cell r="L478">
            <v>28</v>
          </cell>
          <cell r="M478">
            <v>5800</v>
          </cell>
          <cell r="N478">
            <v>57278</v>
          </cell>
          <cell r="O478">
            <v>13538</v>
          </cell>
          <cell r="P478">
            <v>16</v>
          </cell>
          <cell r="Q478">
            <v>3</v>
          </cell>
          <cell r="T478">
            <v>2588.0300000000002</v>
          </cell>
          <cell r="U478">
            <v>11449.8</v>
          </cell>
          <cell r="AA478">
            <v>11449.8</v>
          </cell>
          <cell r="AB478">
            <v>205.74266666666668</v>
          </cell>
          <cell r="AD478">
            <v>8793.36</v>
          </cell>
          <cell r="AN478" t="str">
            <v xml:space="preserve">Contrato emergencial nº </v>
          </cell>
          <cell r="AO478" t="str">
            <v>PJ</v>
          </cell>
        </row>
        <row r="479">
          <cell r="D479" t="str">
            <v>1334/11</v>
          </cell>
          <cell r="E479" t="str">
            <v>02/05/2011</v>
          </cell>
          <cell r="F479">
            <v>40844</v>
          </cell>
          <cell r="G479">
            <v>40844</v>
          </cell>
          <cell r="H479" t="str">
            <v>2011-0.085.525-0</v>
          </cell>
          <cell r="I479">
            <v>48455.4</v>
          </cell>
          <cell r="J479" t="str">
            <v xml:space="preserve">             123671125                  2863                   33903600</v>
          </cell>
          <cell r="K479">
            <v>40817</v>
          </cell>
          <cell r="L479">
            <v>28</v>
          </cell>
          <cell r="M479">
            <v>7600</v>
          </cell>
          <cell r="N479">
            <v>57287</v>
          </cell>
          <cell r="O479">
            <v>13541</v>
          </cell>
          <cell r="P479">
            <v>16</v>
          </cell>
          <cell r="Q479">
            <v>4</v>
          </cell>
          <cell r="S479">
            <v>1224.21</v>
          </cell>
          <cell r="T479">
            <v>9420</v>
          </cell>
          <cell r="U479">
            <v>0</v>
          </cell>
          <cell r="AA479">
            <v>0</v>
          </cell>
          <cell r="AB479">
            <v>269.19666666666666</v>
          </cell>
          <cell r="AD479">
            <v>7758.64</v>
          </cell>
          <cell r="AN479" t="str">
            <v xml:space="preserve">Contrato emergencial nº </v>
          </cell>
          <cell r="AO479" t="str">
            <v>JT</v>
          </cell>
        </row>
        <row r="480">
          <cell r="D480" t="str">
            <v>1335/11</v>
          </cell>
          <cell r="E480" t="str">
            <v>02/05/2011</v>
          </cell>
          <cell r="F480">
            <v>40844</v>
          </cell>
          <cell r="G480">
            <v>40844</v>
          </cell>
          <cell r="H480" t="str">
            <v>2011-0.085.527-7</v>
          </cell>
          <cell r="I480">
            <v>51135.96</v>
          </cell>
          <cell r="J480" t="str">
            <v xml:space="preserve">              123651121                 2847                    33903600</v>
          </cell>
          <cell r="K480">
            <v>40817</v>
          </cell>
          <cell r="L480">
            <v>28</v>
          </cell>
          <cell r="M480">
            <v>8000</v>
          </cell>
          <cell r="N480">
            <v>57273</v>
          </cell>
          <cell r="O480">
            <v>13575</v>
          </cell>
          <cell r="P480">
            <v>16</v>
          </cell>
          <cell r="Q480">
            <v>2</v>
          </cell>
          <cell r="S480">
            <v>209.29</v>
          </cell>
          <cell r="T480">
            <v>9900</v>
          </cell>
          <cell r="U480">
            <v>0</v>
          </cell>
          <cell r="AA480">
            <v>0</v>
          </cell>
          <cell r="AB480">
            <v>284.08866666666665</v>
          </cell>
          <cell r="AD480">
            <v>7122.0274999999992</v>
          </cell>
          <cell r="AN480" t="str">
            <v xml:space="preserve">Contrato emergencial nº </v>
          </cell>
          <cell r="AO480" t="str">
            <v>JT</v>
          </cell>
        </row>
        <row r="481">
          <cell r="D481" t="str">
            <v>1336/11</v>
          </cell>
          <cell r="E481" t="str">
            <v>02/05/2011</v>
          </cell>
          <cell r="F481">
            <v>40844</v>
          </cell>
          <cell r="G481">
            <v>40844</v>
          </cell>
          <cell r="H481" t="str">
            <v>2011-0.085.529-3</v>
          </cell>
          <cell r="I481">
            <v>51135.96</v>
          </cell>
          <cell r="J481" t="str">
            <v xml:space="preserve">              123611122                  2848                    33903600</v>
          </cell>
          <cell r="K481">
            <v>40817</v>
          </cell>
          <cell r="L481">
            <v>28</v>
          </cell>
          <cell r="M481">
            <v>8000</v>
          </cell>
          <cell r="N481">
            <v>57278</v>
          </cell>
          <cell r="O481">
            <v>13577</v>
          </cell>
          <cell r="P481">
            <v>16</v>
          </cell>
          <cell r="Q481">
            <v>3</v>
          </cell>
          <cell r="S481">
            <v>8465.0400000000009</v>
          </cell>
          <cell r="T481">
            <v>9900</v>
          </cell>
          <cell r="U481">
            <v>2223.42</v>
          </cell>
          <cell r="AA481">
            <v>2223.42</v>
          </cell>
          <cell r="AB481">
            <v>284.08866666666665</v>
          </cell>
          <cell r="AD481">
            <v>9098.5360000000001</v>
          </cell>
          <cell r="AN481" t="str">
            <v xml:space="preserve">Contrato emergencial nº </v>
          </cell>
          <cell r="AO481" t="str">
            <v>CS</v>
          </cell>
        </row>
        <row r="482">
          <cell r="D482" t="str">
            <v>1337/11</v>
          </cell>
          <cell r="E482" t="str">
            <v>02/05/2011</v>
          </cell>
          <cell r="F482">
            <v>40844</v>
          </cell>
          <cell r="G482">
            <v>40844</v>
          </cell>
          <cell r="H482" t="str">
            <v>2011-0.085.531-5</v>
          </cell>
          <cell r="I482">
            <v>49752.480000000003</v>
          </cell>
          <cell r="J482" t="str">
            <v xml:space="preserve">              123611122                  2848                    33903600</v>
          </cell>
          <cell r="K482">
            <v>40817</v>
          </cell>
          <cell r="L482">
            <v>28</v>
          </cell>
          <cell r="M482">
            <v>7800</v>
          </cell>
          <cell r="N482">
            <v>57278</v>
          </cell>
          <cell r="O482">
            <v>13579</v>
          </cell>
          <cell r="P482">
            <v>16</v>
          </cell>
          <cell r="Q482">
            <v>3</v>
          </cell>
          <cell r="T482">
            <v>6692.5999999999995</v>
          </cell>
          <cell r="U482">
            <v>0</v>
          </cell>
          <cell r="AA482">
            <v>0</v>
          </cell>
          <cell r="AB482">
            <v>276.40266666666668</v>
          </cell>
          <cell r="AD482">
            <v>6892.4800000000005</v>
          </cell>
          <cell r="AN482" t="str">
            <v xml:space="preserve">Contrato emergencial nº </v>
          </cell>
          <cell r="AO482" t="str">
            <v>CS</v>
          </cell>
        </row>
        <row r="483">
          <cell r="D483" t="str">
            <v>1338/11</v>
          </cell>
          <cell r="E483" t="str">
            <v>02/05/2011</v>
          </cell>
          <cell r="F483">
            <v>40844</v>
          </cell>
          <cell r="G483">
            <v>40844</v>
          </cell>
          <cell r="H483" t="str">
            <v>2011-0.085.534-0</v>
          </cell>
          <cell r="I483">
            <v>41774.04</v>
          </cell>
          <cell r="J483" t="str">
            <v xml:space="preserve">              123651121                 2847                    33903600</v>
          </cell>
          <cell r="K483">
            <v>40817</v>
          </cell>
          <cell r="L483">
            <v>28</v>
          </cell>
          <cell r="M483">
            <v>6500</v>
          </cell>
          <cell r="N483">
            <v>57273</v>
          </cell>
          <cell r="O483">
            <v>13646</v>
          </cell>
          <cell r="P483">
            <v>16</v>
          </cell>
          <cell r="Q483">
            <v>2</v>
          </cell>
          <cell r="T483">
            <v>1824.12</v>
          </cell>
          <cell r="U483">
            <v>0</v>
          </cell>
          <cell r="AA483">
            <v>0</v>
          </cell>
          <cell r="AB483">
            <v>232.078</v>
          </cell>
          <cell r="AD483">
            <v>5037.26</v>
          </cell>
          <cell r="AN483" t="str">
            <v xml:space="preserve">Contrato emergencial nº </v>
          </cell>
          <cell r="AO483" t="str">
            <v>CS</v>
          </cell>
        </row>
        <row r="484">
          <cell r="D484" t="str">
            <v>1339/11</v>
          </cell>
          <cell r="E484" t="str">
            <v>02/05/2011</v>
          </cell>
          <cell r="F484">
            <v>40844</v>
          </cell>
          <cell r="G484">
            <v>40844</v>
          </cell>
          <cell r="H484" t="str">
            <v>2011-0.085.537-4</v>
          </cell>
          <cell r="I484">
            <v>37607.879999999997</v>
          </cell>
          <cell r="J484" t="str">
            <v xml:space="preserve">              123651121                 2847                    33903600</v>
          </cell>
          <cell r="K484">
            <v>40817</v>
          </cell>
          <cell r="L484">
            <v>28</v>
          </cell>
          <cell r="M484">
            <v>5900</v>
          </cell>
          <cell r="N484">
            <v>57273</v>
          </cell>
          <cell r="O484">
            <v>13655</v>
          </cell>
          <cell r="P484">
            <v>16</v>
          </cell>
          <cell r="Q484">
            <v>2</v>
          </cell>
          <cell r="T484">
            <v>4930.03</v>
          </cell>
          <cell r="AA484">
            <v>0</v>
          </cell>
          <cell r="AB484">
            <v>208.93266666666665</v>
          </cell>
          <cell r="AD484">
            <v>5011.4400000000005</v>
          </cell>
          <cell r="AN484" t="str">
            <v xml:space="preserve">Contrato emergencial nº </v>
          </cell>
          <cell r="AO484" t="str">
            <v>PE</v>
          </cell>
        </row>
        <row r="485">
          <cell r="D485" t="str">
            <v>1340/11</v>
          </cell>
          <cell r="E485" t="str">
            <v>02/05/2011</v>
          </cell>
          <cell r="F485">
            <v>40844</v>
          </cell>
          <cell r="G485">
            <v>40844</v>
          </cell>
          <cell r="H485" t="str">
            <v>2011-0.085.540-4</v>
          </cell>
          <cell r="I485">
            <v>44978.400000000001</v>
          </cell>
          <cell r="J485" t="str">
            <v xml:space="preserve">              123611122                  2848                    33903600</v>
          </cell>
          <cell r="K485">
            <v>40817</v>
          </cell>
          <cell r="L485">
            <v>28</v>
          </cell>
          <cell r="M485">
            <v>7000</v>
          </cell>
          <cell r="N485">
            <v>57278</v>
          </cell>
          <cell r="O485">
            <v>13658</v>
          </cell>
          <cell r="P485">
            <v>16</v>
          </cell>
          <cell r="Q485">
            <v>3</v>
          </cell>
          <cell r="S485">
            <v>2129.36</v>
          </cell>
          <cell r="T485">
            <v>8700</v>
          </cell>
          <cell r="AA485">
            <v>0</v>
          </cell>
          <cell r="AB485">
            <v>249.88</v>
          </cell>
          <cell r="AD485">
            <v>6771.19</v>
          </cell>
          <cell r="AN485" t="str">
            <v xml:space="preserve">Contrato emergencial nº </v>
          </cell>
          <cell r="AO485" t="str">
            <v>SA</v>
          </cell>
        </row>
        <row r="486">
          <cell r="D486" t="str">
            <v>1341/11</v>
          </cell>
          <cell r="E486" t="str">
            <v>02/05/2011</v>
          </cell>
          <cell r="F486">
            <v>40844</v>
          </cell>
          <cell r="G486">
            <v>40844</v>
          </cell>
          <cell r="H486" t="str">
            <v>2011-0.085.541-2</v>
          </cell>
          <cell r="I486">
            <v>52251.96</v>
          </cell>
          <cell r="J486" t="str">
            <v xml:space="preserve">              123651121                 2847                    33903600</v>
          </cell>
          <cell r="K486">
            <v>40817</v>
          </cell>
          <cell r="L486">
            <v>28</v>
          </cell>
          <cell r="M486">
            <v>8200</v>
          </cell>
          <cell r="N486">
            <v>57273</v>
          </cell>
          <cell r="P486">
            <v>16</v>
          </cell>
          <cell r="Q486">
            <v>2</v>
          </cell>
          <cell r="T486">
            <v>10140</v>
          </cell>
          <cell r="AA486">
            <v>0</v>
          </cell>
          <cell r="AB486">
            <v>290.28866666666664</v>
          </cell>
          <cell r="AN486" t="str">
            <v xml:space="preserve">Contrato emergencial nº </v>
          </cell>
          <cell r="AO486" t="str">
            <v>SA</v>
          </cell>
        </row>
        <row r="487">
          <cell r="D487" t="str">
            <v>1342/11</v>
          </cell>
          <cell r="E487" t="str">
            <v>02/05/2011</v>
          </cell>
          <cell r="F487">
            <v>40844</v>
          </cell>
          <cell r="G487">
            <v>40844</v>
          </cell>
          <cell r="H487" t="str">
            <v>2011-0.085.544-7</v>
          </cell>
          <cell r="I487">
            <v>29881.68</v>
          </cell>
          <cell r="J487" t="str">
            <v xml:space="preserve">              123651121                 2847                    33903600</v>
          </cell>
          <cell r="K487">
            <v>40817</v>
          </cell>
          <cell r="L487">
            <v>28</v>
          </cell>
          <cell r="M487">
            <v>4700</v>
          </cell>
          <cell r="N487">
            <v>57273</v>
          </cell>
          <cell r="O487">
            <v>13659</v>
          </cell>
          <cell r="P487">
            <v>16</v>
          </cell>
          <cell r="Q487">
            <v>2</v>
          </cell>
          <cell r="S487">
            <v>6141.16</v>
          </cell>
          <cell r="T487">
            <v>5820</v>
          </cell>
          <cell r="U487">
            <v>2560.48</v>
          </cell>
          <cell r="AA487">
            <v>2560.48</v>
          </cell>
          <cell r="AB487">
            <v>166.00933333333333</v>
          </cell>
          <cell r="AD487">
            <v>6141.1600000000008</v>
          </cell>
          <cell r="AN487" t="str">
            <v xml:space="preserve">Contrato emergencial nº </v>
          </cell>
          <cell r="AO487" t="str">
            <v>PE</v>
          </cell>
        </row>
        <row r="488">
          <cell r="D488" t="str">
            <v>1343/11</v>
          </cell>
          <cell r="E488" t="str">
            <v>02/05/2011</v>
          </cell>
          <cell r="F488">
            <v>40844</v>
          </cell>
          <cell r="G488">
            <v>40844</v>
          </cell>
          <cell r="H488" t="str">
            <v>2011-0.085.546-3</v>
          </cell>
          <cell r="I488">
            <v>38261.760000000002</v>
          </cell>
          <cell r="J488" t="str">
            <v xml:space="preserve">              123651121                 2847                    33903600</v>
          </cell>
          <cell r="K488">
            <v>40817</v>
          </cell>
          <cell r="L488">
            <v>28</v>
          </cell>
          <cell r="M488">
            <v>6000</v>
          </cell>
          <cell r="N488">
            <v>57273</v>
          </cell>
          <cell r="O488">
            <v>13665</v>
          </cell>
          <cell r="P488">
            <v>16</v>
          </cell>
          <cell r="Q488">
            <v>2</v>
          </cell>
          <cell r="S488">
            <v>332.11</v>
          </cell>
          <cell r="T488">
            <v>7440</v>
          </cell>
          <cell r="AA488">
            <v>0</v>
          </cell>
          <cell r="AB488">
            <v>212.56533333333334</v>
          </cell>
          <cell r="AD488">
            <v>5315.47</v>
          </cell>
          <cell r="AN488" t="str">
            <v xml:space="preserve">Contrato emergencial nº </v>
          </cell>
          <cell r="AO488" t="str">
            <v>IP</v>
          </cell>
        </row>
        <row r="489">
          <cell r="D489" t="str">
            <v>1344/11</v>
          </cell>
          <cell r="E489" t="str">
            <v>02/05/2011</v>
          </cell>
          <cell r="F489">
            <v>40844</v>
          </cell>
          <cell r="G489">
            <v>40844</v>
          </cell>
          <cell r="H489" t="str">
            <v>2011-0.085.550-1</v>
          </cell>
          <cell r="I489">
            <v>29881.68</v>
          </cell>
          <cell r="J489" t="str">
            <v xml:space="preserve">              123611122                  2848                    33903600</v>
          </cell>
          <cell r="K489">
            <v>40817</v>
          </cell>
          <cell r="L489">
            <v>28</v>
          </cell>
          <cell r="M489">
            <v>4700</v>
          </cell>
          <cell r="N489">
            <v>57278</v>
          </cell>
          <cell r="O489">
            <v>13692</v>
          </cell>
          <cell r="P489">
            <v>16</v>
          </cell>
          <cell r="Q489">
            <v>3</v>
          </cell>
          <cell r="S489">
            <v>4438.01</v>
          </cell>
          <cell r="T489">
            <v>7760</v>
          </cell>
          <cell r="U489">
            <v>217.63000000000011</v>
          </cell>
          <cell r="AA489">
            <v>217.63000000000011</v>
          </cell>
          <cell r="AB489">
            <v>166.00933333333333</v>
          </cell>
          <cell r="AD489">
            <v>5265.22</v>
          </cell>
          <cell r="AN489" t="str">
            <v xml:space="preserve">Contrato emergencial nº </v>
          </cell>
          <cell r="AO489" t="str">
            <v>FO</v>
          </cell>
        </row>
        <row r="490">
          <cell r="D490" t="str">
            <v>1345/11</v>
          </cell>
          <cell r="E490" t="str">
            <v>02/05/2011</v>
          </cell>
          <cell r="F490">
            <v>40844</v>
          </cell>
          <cell r="G490">
            <v>40844</v>
          </cell>
          <cell r="H490" t="str">
            <v>2011-0.084.922-6</v>
          </cell>
          <cell r="I490">
            <v>37607.879999999997</v>
          </cell>
          <cell r="J490" t="str">
            <v xml:space="preserve">              123611122                  2848                    33903600</v>
          </cell>
          <cell r="K490">
            <v>40817</v>
          </cell>
          <cell r="L490">
            <v>28</v>
          </cell>
          <cell r="M490">
            <v>5900</v>
          </cell>
          <cell r="N490">
            <v>57278</v>
          </cell>
          <cell r="O490">
            <v>13696</v>
          </cell>
          <cell r="P490">
            <v>16</v>
          </cell>
          <cell r="Q490">
            <v>3</v>
          </cell>
          <cell r="S490">
            <v>5727.11</v>
          </cell>
          <cell r="T490">
            <v>7320</v>
          </cell>
          <cell r="U490">
            <v>730.69</v>
          </cell>
          <cell r="AA490">
            <v>730.69</v>
          </cell>
          <cell r="AB490">
            <v>208.93266666666665</v>
          </cell>
          <cell r="AD490">
            <v>6819.9800000000005</v>
          </cell>
          <cell r="AN490" t="str">
            <v xml:space="preserve">Contrato emergencial nº </v>
          </cell>
          <cell r="AO490" t="str">
            <v xml:space="preserve">SA </v>
          </cell>
        </row>
        <row r="491">
          <cell r="D491" t="str">
            <v>1346/11</v>
          </cell>
          <cell r="E491" t="str">
            <v>02/05/2011</v>
          </cell>
          <cell r="F491">
            <v>40844</v>
          </cell>
          <cell r="G491">
            <v>40844</v>
          </cell>
          <cell r="H491" t="str">
            <v>2011-0.085.749-0</v>
          </cell>
          <cell r="I491">
            <v>28723.68</v>
          </cell>
          <cell r="J491" t="str">
            <v xml:space="preserve">              123611122                  2848                    33903600</v>
          </cell>
          <cell r="K491">
            <v>40817</v>
          </cell>
          <cell r="L491">
            <v>28</v>
          </cell>
          <cell r="M491">
            <v>4500</v>
          </cell>
          <cell r="N491">
            <v>57278</v>
          </cell>
          <cell r="O491">
            <v>13697</v>
          </cell>
          <cell r="P491">
            <v>16</v>
          </cell>
          <cell r="Q491">
            <v>3</v>
          </cell>
          <cell r="S491">
            <v>3465.88</v>
          </cell>
          <cell r="T491">
            <v>5580</v>
          </cell>
          <cell r="AA491">
            <v>0</v>
          </cell>
          <cell r="AB491">
            <v>159.57599999999999</v>
          </cell>
          <cell r="AD491">
            <v>5156.9400000000005</v>
          </cell>
          <cell r="AN491" t="str">
            <v xml:space="preserve">Contrato emergencial nº </v>
          </cell>
          <cell r="AO491" t="str">
            <v>PJ</v>
          </cell>
        </row>
        <row r="492">
          <cell r="D492" t="str">
            <v>1347/11</v>
          </cell>
          <cell r="E492" t="str">
            <v>02/05/2011</v>
          </cell>
          <cell r="F492">
            <v>40844</v>
          </cell>
          <cell r="G492">
            <v>40844</v>
          </cell>
          <cell r="H492" t="str">
            <v>2011-0.085.751-2</v>
          </cell>
          <cell r="I492">
            <v>49631.4</v>
          </cell>
          <cell r="J492" t="str">
            <v xml:space="preserve">             123671125                  2863                   33903600</v>
          </cell>
          <cell r="K492">
            <v>40817</v>
          </cell>
          <cell r="L492">
            <v>28</v>
          </cell>
          <cell r="M492">
            <v>7800</v>
          </cell>
          <cell r="N492">
            <v>57287</v>
          </cell>
          <cell r="O492">
            <v>13700</v>
          </cell>
          <cell r="P492">
            <v>16</v>
          </cell>
          <cell r="Q492">
            <v>4</v>
          </cell>
          <cell r="S492">
            <v>506.69</v>
          </cell>
          <cell r="T492">
            <v>405.91</v>
          </cell>
          <cell r="U492">
            <v>1393.43</v>
          </cell>
          <cell r="AA492">
            <v>1393.43</v>
          </cell>
          <cell r="AB492">
            <v>275.73</v>
          </cell>
          <cell r="AD492">
            <v>9210.67</v>
          </cell>
          <cell r="AN492" t="str">
            <v xml:space="preserve">Contrato emergencial nº </v>
          </cell>
          <cell r="AO492" t="str">
            <v>G</v>
          </cell>
        </row>
        <row r="493">
          <cell r="D493" t="str">
            <v>1348/11</v>
          </cell>
          <cell r="E493" t="str">
            <v>02/05/2011</v>
          </cell>
          <cell r="F493">
            <v>40844</v>
          </cell>
          <cell r="G493">
            <v>40844</v>
          </cell>
          <cell r="H493" t="str">
            <v>2011-0.085.752-0</v>
          </cell>
          <cell r="I493">
            <v>38261.760000000002</v>
          </cell>
          <cell r="J493" t="str">
            <v xml:space="preserve">              123651121                 2847                    33903600</v>
          </cell>
          <cell r="K493">
            <v>40817</v>
          </cell>
          <cell r="L493">
            <v>28</v>
          </cell>
          <cell r="M493">
            <v>6000</v>
          </cell>
          <cell r="N493">
            <v>57273</v>
          </cell>
          <cell r="O493">
            <v>13702</v>
          </cell>
          <cell r="P493">
            <v>16</v>
          </cell>
          <cell r="Q493">
            <v>2</v>
          </cell>
          <cell r="S493">
            <v>5991.65</v>
          </cell>
          <cell r="T493">
            <v>7440.0000000000009</v>
          </cell>
          <cell r="U493">
            <v>489.88933333333352</v>
          </cell>
          <cell r="AA493">
            <v>489.88933333333352</v>
          </cell>
          <cell r="AB493">
            <v>212.56533333333334</v>
          </cell>
          <cell r="AD493">
            <v>6856.2300000000005</v>
          </cell>
          <cell r="AN493" t="str">
            <v xml:space="preserve">Contrato emergencial nº </v>
          </cell>
          <cell r="AO493" t="str">
            <v>CL</v>
          </cell>
        </row>
        <row r="494">
          <cell r="D494" t="str">
            <v>1349/11</v>
          </cell>
          <cell r="E494" t="str">
            <v>02/05/2011</v>
          </cell>
          <cell r="F494">
            <v>40844</v>
          </cell>
          <cell r="G494">
            <v>40844</v>
          </cell>
          <cell r="H494" t="str">
            <v>2011-0.085.755-5</v>
          </cell>
          <cell r="I494">
            <v>33150.720000000001</v>
          </cell>
          <cell r="J494" t="str">
            <v xml:space="preserve">              123651121                 2847                    33903600</v>
          </cell>
          <cell r="K494">
            <v>40817</v>
          </cell>
          <cell r="L494">
            <v>28</v>
          </cell>
          <cell r="M494">
            <v>5200</v>
          </cell>
          <cell r="N494">
            <v>57273</v>
          </cell>
          <cell r="O494">
            <v>13703</v>
          </cell>
          <cell r="P494">
            <v>16</v>
          </cell>
          <cell r="Q494">
            <v>2</v>
          </cell>
          <cell r="S494">
            <v>1359.85</v>
          </cell>
          <cell r="T494">
            <v>6420</v>
          </cell>
          <cell r="U494">
            <v>0</v>
          </cell>
          <cell r="AA494">
            <v>0</v>
          </cell>
          <cell r="AB494">
            <v>184.17066666666668</v>
          </cell>
          <cell r="AD494">
            <v>4960.28</v>
          </cell>
          <cell r="AN494" t="str">
            <v xml:space="preserve">Contrato emergencial nº </v>
          </cell>
          <cell r="AO494" t="str">
            <v>MP</v>
          </cell>
        </row>
        <row r="495">
          <cell r="D495" t="str">
            <v>1350/11</v>
          </cell>
          <cell r="E495" t="str">
            <v>02/05/2011</v>
          </cell>
          <cell r="F495">
            <v>40844</v>
          </cell>
          <cell r="G495">
            <v>40844</v>
          </cell>
          <cell r="H495" t="str">
            <v>2011-0.085.757-1</v>
          </cell>
          <cell r="I495">
            <v>25956.720000000001</v>
          </cell>
          <cell r="J495" t="str">
            <v xml:space="preserve">              123651121                 2847                    33903600</v>
          </cell>
          <cell r="K495">
            <v>40817</v>
          </cell>
          <cell r="L495">
            <v>28</v>
          </cell>
          <cell r="M495">
            <v>4100</v>
          </cell>
          <cell r="N495">
            <v>57273</v>
          </cell>
          <cell r="O495">
            <v>13707</v>
          </cell>
          <cell r="P495">
            <v>16</v>
          </cell>
          <cell r="Q495">
            <v>2</v>
          </cell>
          <cell r="T495">
            <v>2011.0150000000003</v>
          </cell>
          <cell r="U495">
            <v>0</v>
          </cell>
          <cell r="AA495">
            <v>0</v>
          </cell>
          <cell r="AB495">
            <v>144.20400000000001</v>
          </cell>
          <cell r="AD495">
            <v>3384.5000000000005</v>
          </cell>
          <cell r="AN495" t="str">
            <v xml:space="preserve">Contrato emergencial nº </v>
          </cell>
          <cell r="AO495" t="str">
            <v>IQ</v>
          </cell>
        </row>
        <row r="496">
          <cell r="D496" t="str">
            <v>1351/11</v>
          </cell>
          <cell r="E496" t="str">
            <v>02/05/2011</v>
          </cell>
          <cell r="F496">
            <v>40844</v>
          </cell>
          <cell r="G496">
            <v>40844</v>
          </cell>
          <cell r="H496" t="str">
            <v>2011-0.085.762-8</v>
          </cell>
          <cell r="I496">
            <v>44324.52</v>
          </cell>
          <cell r="J496" t="str">
            <v xml:space="preserve">              123651121                 2847                    33903600</v>
          </cell>
          <cell r="K496">
            <v>40817</v>
          </cell>
          <cell r="L496">
            <v>28</v>
          </cell>
          <cell r="M496">
            <v>6900</v>
          </cell>
          <cell r="N496">
            <v>57273</v>
          </cell>
          <cell r="O496">
            <v>13711</v>
          </cell>
          <cell r="P496">
            <v>16</v>
          </cell>
          <cell r="Q496">
            <v>2</v>
          </cell>
          <cell r="T496">
            <v>5320.8</v>
          </cell>
          <cell r="U496">
            <v>0</v>
          </cell>
          <cell r="AA496">
            <v>0</v>
          </cell>
          <cell r="AB496">
            <v>246.2473333333333</v>
          </cell>
          <cell r="AD496">
            <v>5869.16</v>
          </cell>
          <cell r="AN496" t="str">
            <v xml:space="preserve">Contrato emergencial nº </v>
          </cell>
          <cell r="AO496" t="str">
            <v>CS</v>
          </cell>
        </row>
        <row r="497">
          <cell r="D497" t="str">
            <v>1352/11</v>
          </cell>
          <cell r="E497" t="str">
            <v>02/05/2011</v>
          </cell>
          <cell r="F497">
            <v>40844</v>
          </cell>
          <cell r="G497">
            <v>40844</v>
          </cell>
          <cell r="H497" t="str">
            <v>2011-0.085.764-4</v>
          </cell>
          <cell r="I497">
            <v>51135.96</v>
          </cell>
          <cell r="J497" t="str">
            <v xml:space="preserve">              123651121                 2847                    33903600</v>
          </cell>
          <cell r="K497">
            <v>40817</v>
          </cell>
          <cell r="L497">
            <v>28</v>
          </cell>
          <cell r="M497">
            <v>8000</v>
          </cell>
          <cell r="N497">
            <v>57273</v>
          </cell>
          <cell r="O497">
            <v>13724</v>
          </cell>
          <cell r="P497">
            <v>16</v>
          </cell>
          <cell r="Q497">
            <v>2</v>
          </cell>
          <cell r="S497">
            <v>3145.31</v>
          </cell>
          <cell r="T497">
            <v>9900</v>
          </cell>
          <cell r="U497">
            <v>0</v>
          </cell>
          <cell r="AA497">
            <v>0</v>
          </cell>
          <cell r="AB497">
            <v>284.08866666666665</v>
          </cell>
          <cell r="AD497">
            <v>8115.1</v>
          </cell>
          <cell r="AN497" t="str">
            <v xml:space="preserve">Contrato emergencial nº </v>
          </cell>
          <cell r="AO497" t="str">
            <v>CS</v>
          </cell>
        </row>
        <row r="498">
          <cell r="D498" t="str">
            <v>1353/11</v>
          </cell>
          <cell r="E498" t="str">
            <v>02/05/2011</v>
          </cell>
          <cell r="F498">
            <v>40844</v>
          </cell>
          <cell r="G498">
            <v>40844</v>
          </cell>
          <cell r="H498" t="str">
            <v>2011-0.085.773-3</v>
          </cell>
          <cell r="I498">
            <v>32883.24</v>
          </cell>
          <cell r="J498" t="str">
            <v xml:space="preserve">              123651121                 2847                    33903600</v>
          </cell>
          <cell r="K498">
            <v>40817</v>
          </cell>
          <cell r="L498">
            <v>28</v>
          </cell>
          <cell r="M498">
            <v>5200</v>
          </cell>
          <cell r="N498">
            <v>57273</v>
          </cell>
          <cell r="O498">
            <v>13730</v>
          </cell>
          <cell r="P498">
            <v>16</v>
          </cell>
          <cell r="Q498">
            <v>2</v>
          </cell>
          <cell r="S498">
            <v>489.93</v>
          </cell>
          <cell r="T498">
            <v>6360</v>
          </cell>
          <cell r="AA498">
            <v>0</v>
          </cell>
          <cell r="AB498">
            <v>182.68466666666666</v>
          </cell>
          <cell r="AD498">
            <v>4664.66</v>
          </cell>
          <cell r="AN498" t="str">
            <v xml:space="preserve">Contrato emergencial nº </v>
          </cell>
          <cell r="AO498" t="str">
            <v>PE</v>
          </cell>
        </row>
        <row r="499">
          <cell r="D499" t="str">
            <v>1354/11</v>
          </cell>
          <cell r="E499" t="str">
            <v>02/05/2011</v>
          </cell>
          <cell r="F499">
            <v>40844</v>
          </cell>
          <cell r="G499">
            <v>40844</v>
          </cell>
          <cell r="H499" t="str">
            <v>2011-0.085.777-6</v>
          </cell>
          <cell r="I499">
            <v>36954.120000000003</v>
          </cell>
          <cell r="J499" t="str">
            <v xml:space="preserve">              123651121                 2847                    33903600</v>
          </cell>
          <cell r="K499">
            <v>40817</v>
          </cell>
          <cell r="L499">
            <v>28</v>
          </cell>
          <cell r="M499">
            <v>5800</v>
          </cell>
          <cell r="N499">
            <v>57273</v>
          </cell>
          <cell r="O499">
            <v>13739</v>
          </cell>
          <cell r="P499">
            <v>16</v>
          </cell>
          <cell r="Q499">
            <v>2</v>
          </cell>
          <cell r="S499">
            <v>2607.75</v>
          </cell>
          <cell r="T499">
            <v>7200</v>
          </cell>
          <cell r="AA499">
            <v>0</v>
          </cell>
          <cell r="AB499">
            <v>205.30066666666667</v>
          </cell>
          <cell r="AD499">
            <v>5783.64</v>
          </cell>
          <cell r="AN499" t="str">
            <v xml:space="preserve">Contrato emergencial nº </v>
          </cell>
          <cell r="AO499" t="str">
            <v xml:space="preserve">SA </v>
          </cell>
        </row>
        <row r="500">
          <cell r="D500" t="str">
            <v>1355/11</v>
          </cell>
          <cell r="E500" t="str">
            <v>02/05/2011</v>
          </cell>
          <cell r="F500">
            <v>40844</v>
          </cell>
          <cell r="G500">
            <v>40844</v>
          </cell>
          <cell r="H500" t="str">
            <v>2011-0.085.780-6</v>
          </cell>
          <cell r="I500">
            <v>46494.12</v>
          </cell>
          <cell r="J500" t="str">
            <v xml:space="preserve">              123611122                  2848                    33903600</v>
          </cell>
          <cell r="K500">
            <v>40817</v>
          </cell>
          <cell r="L500">
            <v>28</v>
          </cell>
          <cell r="M500">
            <v>7300</v>
          </cell>
          <cell r="N500">
            <v>57278</v>
          </cell>
          <cell r="O500">
            <v>13744</v>
          </cell>
          <cell r="P500">
            <v>16</v>
          </cell>
          <cell r="Q500">
            <v>3</v>
          </cell>
          <cell r="T500">
            <v>5571.84</v>
          </cell>
          <cell r="U500">
            <v>0</v>
          </cell>
          <cell r="AA500">
            <v>0</v>
          </cell>
          <cell r="AB500">
            <v>258.3006666666667</v>
          </cell>
          <cell r="AD500">
            <v>6143.74</v>
          </cell>
          <cell r="AN500" t="str">
            <v xml:space="preserve">Contrato emergencial nº </v>
          </cell>
          <cell r="AO500" t="str">
            <v>CL</v>
          </cell>
        </row>
        <row r="501">
          <cell r="D501" t="str">
            <v>1356/11</v>
          </cell>
          <cell r="E501" t="str">
            <v>02/05/2011</v>
          </cell>
          <cell r="F501">
            <v>40844</v>
          </cell>
          <cell r="G501">
            <v>40844</v>
          </cell>
          <cell r="H501" t="str">
            <v>2011-0.085.781-4</v>
          </cell>
          <cell r="I501">
            <v>24820.92</v>
          </cell>
          <cell r="J501" t="str">
            <v xml:space="preserve">              123611122                  2848                    33903600</v>
          </cell>
          <cell r="K501">
            <v>40817</v>
          </cell>
          <cell r="L501">
            <v>28</v>
          </cell>
          <cell r="M501">
            <v>3900</v>
          </cell>
          <cell r="N501">
            <v>57278</v>
          </cell>
          <cell r="O501">
            <v>13749</v>
          </cell>
          <cell r="P501">
            <v>16</v>
          </cell>
          <cell r="Q501">
            <v>3</v>
          </cell>
          <cell r="S501">
            <v>2530.77</v>
          </cell>
          <cell r="T501">
            <v>4800</v>
          </cell>
          <cell r="U501">
            <v>1803.9553333333329</v>
          </cell>
          <cell r="AA501">
            <v>1803.9553333333329</v>
          </cell>
          <cell r="AB501">
            <v>137.89399999999998</v>
          </cell>
          <cell r="AD501">
            <v>5106.7700000000004</v>
          </cell>
          <cell r="AN501" t="str">
            <v xml:space="preserve">Contrato emergencial nº </v>
          </cell>
          <cell r="AO501" t="str">
            <v>CL</v>
          </cell>
        </row>
        <row r="502">
          <cell r="D502" t="str">
            <v>1357/11</v>
          </cell>
          <cell r="E502" t="str">
            <v>02/05/2011</v>
          </cell>
          <cell r="F502">
            <v>40844</v>
          </cell>
          <cell r="G502">
            <v>40844</v>
          </cell>
          <cell r="H502" t="str">
            <v>2011-0.085.785-7</v>
          </cell>
          <cell r="I502">
            <v>40223.339999999997</v>
          </cell>
          <cell r="J502" t="str">
            <v xml:space="preserve">              123651121                 2847                    33903600</v>
          </cell>
          <cell r="K502">
            <v>40817</v>
          </cell>
          <cell r="L502">
            <v>28</v>
          </cell>
          <cell r="M502">
            <v>6300</v>
          </cell>
          <cell r="N502">
            <v>57273</v>
          </cell>
          <cell r="O502">
            <v>13755</v>
          </cell>
          <cell r="P502">
            <v>16</v>
          </cell>
          <cell r="Q502">
            <v>2</v>
          </cell>
          <cell r="S502">
            <v>5968.75</v>
          </cell>
          <cell r="T502">
            <v>7800</v>
          </cell>
          <cell r="U502">
            <v>230.5</v>
          </cell>
          <cell r="AA502">
            <v>230.5</v>
          </cell>
          <cell r="AB502">
            <v>223.46299999999999</v>
          </cell>
          <cell r="AD502">
            <v>7203.5649999999996</v>
          </cell>
          <cell r="AN502" t="str">
            <v xml:space="preserve">Contrato emergencial nº </v>
          </cell>
          <cell r="AO502" t="str">
            <v>SA</v>
          </cell>
        </row>
        <row r="503">
          <cell r="D503" t="str">
            <v>1358/11</v>
          </cell>
          <cell r="E503" t="str">
            <v>02/05/2011</v>
          </cell>
          <cell r="F503">
            <v>40844</v>
          </cell>
          <cell r="G503">
            <v>40844</v>
          </cell>
          <cell r="H503" t="str">
            <v>2011-0.085.787-3</v>
          </cell>
          <cell r="I503">
            <v>30553.68</v>
          </cell>
          <cell r="J503" t="str">
            <v xml:space="preserve">              123611122                  2848                    33903600</v>
          </cell>
          <cell r="K503">
            <v>40817</v>
          </cell>
          <cell r="L503">
            <v>28</v>
          </cell>
          <cell r="M503">
            <v>4800</v>
          </cell>
          <cell r="N503">
            <v>57278</v>
          </cell>
          <cell r="O503">
            <v>13764</v>
          </cell>
          <cell r="P503">
            <v>16</v>
          </cell>
          <cell r="Q503">
            <v>3</v>
          </cell>
          <cell r="S503">
            <v>2934.38</v>
          </cell>
          <cell r="T503">
            <v>5940</v>
          </cell>
          <cell r="U503">
            <v>119.92</v>
          </cell>
          <cell r="AA503">
            <v>119.92</v>
          </cell>
          <cell r="AB503">
            <v>169.74266666666668</v>
          </cell>
          <cell r="AD503">
            <v>5340.5450000000001</v>
          </cell>
          <cell r="AN503" t="str">
            <v xml:space="preserve">Contrato emergencial nº </v>
          </cell>
          <cell r="AO503" t="str">
            <v>JT</v>
          </cell>
        </row>
        <row r="504">
          <cell r="D504" t="str">
            <v>1359/11</v>
          </cell>
          <cell r="E504" t="str">
            <v>02/05/2011</v>
          </cell>
          <cell r="F504">
            <v>40844</v>
          </cell>
          <cell r="G504">
            <v>40844</v>
          </cell>
          <cell r="H504" t="str">
            <v>2011-0.085.788-1</v>
          </cell>
          <cell r="I504">
            <v>36954.120000000003</v>
          </cell>
          <cell r="J504" t="str">
            <v xml:space="preserve">              123611122                  2848                    33903600</v>
          </cell>
          <cell r="K504">
            <v>40817</v>
          </cell>
          <cell r="L504">
            <v>28</v>
          </cell>
          <cell r="M504">
            <v>5800</v>
          </cell>
          <cell r="N504">
            <v>57278</v>
          </cell>
          <cell r="O504">
            <v>13809</v>
          </cell>
          <cell r="P504">
            <v>16</v>
          </cell>
          <cell r="Q504">
            <v>3</v>
          </cell>
          <cell r="S504">
            <v>2764</v>
          </cell>
          <cell r="T504">
            <v>7200</v>
          </cell>
          <cell r="U504">
            <v>1988.8386666666665</v>
          </cell>
          <cell r="AA504">
            <v>1988.8386666666665</v>
          </cell>
          <cell r="AB504">
            <v>205.30066666666667</v>
          </cell>
          <cell r="AD504">
            <v>5832.12</v>
          </cell>
          <cell r="AN504" t="str">
            <v xml:space="preserve">Contrato emergencial nº </v>
          </cell>
          <cell r="AO504" t="str">
            <v>CL</v>
          </cell>
        </row>
        <row r="505">
          <cell r="D505" t="str">
            <v>1360/11</v>
          </cell>
          <cell r="E505" t="str">
            <v>02/05/2011</v>
          </cell>
          <cell r="F505">
            <v>40844</v>
          </cell>
          <cell r="G505">
            <v>40844</v>
          </cell>
          <cell r="H505" t="str">
            <v>2011-0.085.790-3</v>
          </cell>
          <cell r="I505">
            <v>39593.160000000003</v>
          </cell>
          <cell r="J505" t="str">
            <v xml:space="preserve">              123651121                 2847                    33903600</v>
          </cell>
          <cell r="K505">
            <v>40817</v>
          </cell>
          <cell r="L505">
            <v>28</v>
          </cell>
          <cell r="M505">
            <v>6200</v>
          </cell>
          <cell r="N505">
            <v>57273</v>
          </cell>
          <cell r="O505">
            <v>13802</v>
          </cell>
          <cell r="P505">
            <v>16</v>
          </cell>
          <cell r="Q505">
            <v>2</v>
          </cell>
          <cell r="S505">
            <v>7165.88</v>
          </cell>
          <cell r="T505">
            <v>7680</v>
          </cell>
          <cell r="U505">
            <v>3091.89</v>
          </cell>
          <cell r="AA505">
            <v>3091.89</v>
          </cell>
          <cell r="AB505">
            <v>219.96200000000002</v>
          </cell>
          <cell r="AD505">
            <v>8078.86</v>
          </cell>
          <cell r="AN505" t="str">
            <v xml:space="preserve">Contrato emergencial nº </v>
          </cell>
          <cell r="AO505" t="str">
            <v>CS</v>
          </cell>
        </row>
        <row r="506">
          <cell r="D506" t="str">
            <v>1361/11</v>
          </cell>
          <cell r="E506" t="str">
            <v>02/05/2011</v>
          </cell>
          <cell r="F506">
            <v>40844</v>
          </cell>
          <cell r="G506">
            <v>40844</v>
          </cell>
          <cell r="H506" t="str">
            <v>2011-0.085.792-0</v>
          </cell>
          <cell r="I506">
            <v>37607.879999999997</v>
          </cell>
          <cell r="J506" t="str">
            <v xml:space="preserve">              123611122                  2848                    33903600</v>
          </cell>
          <cell r="K506">
            <v>40817</v>
          </cell>
          <cell r="L506">
            <v>28</v>
          </cell>
          <cell r="M506">
            <v>5900</v>
          </cell>
          <cell r="N506">
            <v>57278</v>
          </cell>
          <cell r="P506">
            <v>16</v>
          </cell>
          <cell r="Q506">
            <v>3</v>
          </cell>
          <cell r="T506">
            <v>7320</v>
          </cell>
          <cell r="AA506">
            <v>0</v>
          </cell>
          <cell r="AB506">
            <v>208.93266666666665</v>
          </cell>
          <cell r="AN506" t="str">
            <v xml:space="preserve">Contrato emergencial nº </v>
          </cell>
          <cell r="AO506" t="str">
            <v>SM</v>
          </cell>
        </row>
        <row r="507">
          <cell r="D507" t="str">
            <v>1362/11</v>
          </cell>
          <cell r="E507" t="str">
            <v>02/05/2011</v>
          </cell>
          <cell r="F507">
            <v>40844</v>
          </cell>
          <cell r="G507">
            <v>40844</v>
          </cell>
          <cell r="H507" t="str">
            <v>2011-0.085.794-6</v>
          </cell>
          <cell r="I507">
            <v>45632.28</v>
          </cell>
          <cell r="J507" t="str">
            <v xml:space="preserve">              123611122                  2848                    33903600</v>
          </cell>
          <cell r="K507">
            <v>40817</v>
          </cell>
          <cell r="L507">
            <v>28</v>
          </cell>
          <cell r="M507">
            <v>7100</v>
          </cell>
          <cell r="N507">
            <v>57278</v>
          </cell>
          <cell r="O507">
            <v>13796</v>
          </cell>
          <cell r="P507">
            <v>16</v>
          </cell>
          <cell r="Q507">
            <v>3</v>
          </cell>
          <cell r="S507">
            <v>2935.53</v>
          </cell>
          <cell r="T507">
            <v>8879.9999999999982</v>
          </cell>
          <cell r="AA507">
            <v>0</v>
          </cell>
          <cell r="AB507">
            <v>253.51266666666666</v>
          </cell>
          <cell r="AD507">
            <v>7021.13</v>
          </cell>
          <cell r="AN507" t="str">
            <v xml:space="preserve">Contrato emergencial nº </v>
          </cell>
          <cell r="AO507" t="str">
            <v>SM</v>
          </cell>
        </row>
        <row r="508">
          <cell r="D508" t="str">
            <v>1363/11</v>
          </cell>
          <cell r="E508" t="str">
            <v>02/05/2011</v>
          </cell>
          <cell r="F508">
            <v>40844</v>
          </cell>
          <cell r="G508">
            <v>40844</v>
          </cell>
          <cell r="H508" t="str">
            <v>2011-0.085.799-7</v>
          </cell>
          <cell r="I508">
            <v>26039.46</v>
          </cell>
          <cell r="J508" t="str">
            <v xml:space="preserve">              123651121                 2847                    33903600</v>
          </cell>
          <cell r="K508">
            <v>40817</v>
          </cell>
          <cell r="L508">
            <v>28</v>
          </cell>
          <cell r="M508">
            <v>4100</v>
          </cell>
          <cell r="N508">
            <v>57273</v>
          </cell>
          <cell r="O508">
            <v>13790</v>
          </cell>
          <cell r="P508">
            <v>16</v>
          </cell>
          <cell r="Q508">
            <v>2</v>
          </cell>
          <cell r="S508">
            <v>2309.8000000000002</v>
          </cell>
          <cell r="T508">
            <v>5040</v>
          </cell>
          <cell r="AA508">
            <v>0</v>
          </cell>
          <cell r="AB508">
            <v>144.66366666666667</v>
          </cell>
          <cell r="AD508">
            <v>4203.51</v>
          </cell>
          <cell r="AN508" t="str">
            <v xml:space="preserve">Contrato emergencial nº </v>
          </cell>
          <cell r="AO508" t="str">
            <v>SM</v>
          </cell>
        </row>
        <row r="509">
          <cell r="D509" t="str">
            <v>1364/11</v>
          </cell>
          <cell r="E509" t="str">
            <v>02/05/2011</v>
          </cell>
          <cell r="F509">
            <v>40844</v>
          </cell>
          <cell r="G509">
            <v>40844</v>
          </cell>
          <cell r="H509" t="str">
            <v>2011-0.086.638-4</v>
          </cell>
          <cell r="I509">
            <v>40976.639999999999</v>
          </cell>
          <cell r="J509" t="str">
            <v xml:space="preserve">              123651121                 2847                    33903600</v>
          </cell>
          <cell r="K509">
            <v>40817</v>
          </cell>
          <cell r="L509">
            <v>28</v>
          </cell>
          <cell r="M509">
            <v>6400</v>
          </cell>
          <cell r="N509">
            <v>57273</v>
          </cell>
          <cell r="O509">
            <v>13784</v>
          </cell>
          <cell r="P509">
            <v>16</v>
          </cell>
          <cell r="Q509">
            <v>2</v>
          </cell>
          <cell r="S509">
            <v>3338.86</v>
          </cell>
          <cell r="T509">
            <v>7980</v>
          </cell>
          <cell r="AA509">
            <v>0</v>
          </cell>
          <cell r="AB509">
            <v>227.648</v>
          </cell>
          <cell r="AD509">
            <v>6642.3150000000005</v>
          </cell>
          <cell r="AN509" t="str">
            <v xml:space="preserve">Contrato emergencial nº </v>
          </cell>
          <cell r="AO509" t="str">
            <v xml:space="preserve">SA </v>
          </cell>
        </row>
        <row r="510">
          <cell r="D510" t="str">
            <v>1365/11</v>
          </cell>
          <cell r="E510" t="str">
            <v>02/05/2011</v>
          </cell>
          <cell r="F510">
            <v>40844</v>
          </cell>
          <cell r="G510">
            <v>40844</v>
          </cell>
          <cell r="H510" t="str">
            <v>2011-0.086.333-0</v>
          </cell>
          <cell r="I510">
            <v>37301.160000000003</v>
          </cell>
          <cell r="J510" t="str">
            <v xml:space="preserve">              123651121                 2847                    33903600</v>
          </cell>
          <cell r="K510">
            <v>40817</v>
          </cell>
          <cell r="L510">
            <v>28</v>
          </cell>
          <cell r="M510">
            <v>5900</v>
          </cell>
          <cell r="N510">
            <v>57273</v>
          </cell>
          <cell r="O510">
            <v>14043</v>
          </cell>
          <cell r="P510">
            <v>16</v>
          </cell>
          <cell r="Q510">
            <v>2</v>
          </cell>
          <cell r="T510">
            <v>3044.95</v>
          </cell>
          <cell r="U510">
            <v>0</v>
          </cell>
          <cell r="AA510">
            <v>0</v>
          </cell>
          <cell r="AB510">
            <v>207.2286666666667</v>
          </cell>
          <cell r="AD510">
            <v>4674.76</v>
          </cell>
          <cell r="AN510" t="str">
            <v xml:space="preserve">Contrato emergencial nº </v>
          </cell>
          <cell r="AO510" t="str">
            <v>JT</v>
          </cell>
        </row>
        <row r="511">
          <cell r="D511" t="str">
            <v>1366/11</v>
          </cell>
          <cell r="E511" t="str">
            <v>02/05/2011</v>
          </cell>
          <cell r="F511">
            <v>40844</v>
          </cell>
          <cell r="G511">
            <v>40844</v>
          </cell>
          <cell r="H511" t="str">
            <v>2011-0.086.491-8</v>
          </cell>
          <cell r="I511">
            <v>40223.339999999997</v>
          </cell>
          <cell r="J511" t="str">
            <v xml:space="preserve">              123651121                 2847                    33903600</v>
          </cell>
          <cell r="K511">
            <v>40817</v>
          </cell>
          <cell r="L511">
            <v>28</v>
          </cell>
          <cell r="M511">
            <v>6300</v>
          </cell>
          <cell r="N511">
            <v>57273</v>
          </cell>
          <cell r="O511">
            <v>13776</v>
          </cell>
          <cell r="P511">
            <v>16</v>
          </cell>
          <cell r="Q511">
            <v>2</v>
          </cell>
          <cell r="S511">
            <v>1664.05</v>
          </cell>
          <cell r="T511">
            <v>7800</v>
          </cell>
          <cell r="U511">
            <v>0</v>
          </cell>
          <cell r="AA511">
            <v>0</v>
          </cell>
          <cell r="AB511">
            <v>223.46299999999999</v>
          </cell>
          <cell r="AD511">
            <v>5900.2499999999991</v>
          </cell>
          <cell r="AN511" t="str">
            <v xml:space="preserve">Contrato emergencial nº </v>
          </cell>
          <cell r="AO511" t="str">
            <v>JT</v>
          </cell>
        </row>
        <row r="512">
          <cell r="D512" t="str">
            <v>1367/11</v>
          </cell>
          <cell r="E512" t="str">
            <v>02/05/2011</v>
          </cell>
          <cell r="F512">
            <v>40844</v>
          </cell>
          <cell r="G512">
            <v>40844</v>
          </cell>
          <cell r="H512" t="str">
            <v>2011-0.086.495-0</v>
          </cell>
          <cell r="I512">
            <v>39593.160000000003</v>
          </cell>
          <cell r="J512" t="str">
            <v xml:space="preserve">              123611122                  2848                    33903600</v>
          </cell>
          <cell r="K512">
            <v>40817</v>
          </cell>
          <cell r="L512">
            <v>28</v>
          </cell>
          <cell r="M512">
            <v>6200</v>
          </cell>
          <cell r="N512">
            <v>57278</v>
          </cell>
          <cell r="O512">
            <v>13765</v>
          </cell>
          <cell r="P512">
            <v>16</v>
          </cell>
          <cell r="Q512">
            <v>3</v>
          </cell>
          <cell r="S512">
            <v>4414.78</v>
          </cell>
          <cell r="T512">
            <v>7680</v>
          </cell>
          <cell r="U512">
            <v>4124.3706666666676</v>
          </cell>
          <cell r="AA512">
            <v>4124.3706666666676</v>
          </cell>
          <cell r="AB512">
            <v>219.96200000000002</v>
          </cell>
          <cell r="AD512">
            <v>6724.4800000000005</v>
          </cell>
          <cell r="AN512" t="str">
            <v xml:space="preserve">Contrato emergencial nº </v>
          </cell>
          <cell r="AO512" t="str">
            <v>CL</v>
          </cell>
        </row>
        <row r="513">
          <cell r="D513" t="str">
            <v>1368/11</v>
          </cell>
          <cell r="E513" t="str">
            <v>02/05/2011</v>
          </cell>
          <cell r="F513">
            <v>40844</v>
          </cell>
          <cell r="G513">
            <v>40844</v>
          </cell>
          <cell r="H513" t="str">
            <v>2011-0.086.500-0</v>
          </cell>
          <cell r="I513">
            <v>41774.04</v>
          </cell>
          <cell r="J513" t="str">
            <v xml:space="preserve">              123611122                  2848                    33903600</v>
          </cell>
          <cell r="K513">
            <v>40817</v>
          </cell>
          <cell r="L513">
            <v>28</v>
          </cell>
          <cell r="M513">
            <v>6500</v>
          </cell>
          <cell r="N513">
            <v>57278</v>
          </cell>
          <cell r="O513">
            <v>13762</v>
          </cell>
          <cell r="P513">
            <v>16</v>
          </cell>
          <cell r="Q513">
            <v>3</v>
          </cell>
          <cell r="S513">
            <v>2277.11</v>
          </cell>
          <cell r="T513">
            <v>8100</v>
          </cell>
          <cell r="AA513">
            <v>0</v>
          </cell>
          <cell r="AB513">
            <v>232.078</v>
          </cell>
          <cell r="AD513">
            <v>6976.5000000000009</v>
          </cell>
          <cell r="AN513" t="str">
            <v xml:space="preserve">Contrato emergencial nº </v>
          </cell>
          <cell r="AO513" t="str">
            <v>IP</v>
          </cell>
        </row>
        <row r="514">
          <cell r="D514" t="str">
            <v>1369/11</v>
          </cell>
          <cell r="E514" t="str">
            <v>02/05/2011</v>
          </cell>
          <cell r="F514">
            <v>40844</v>
          </cell>
          <cell r="G514">
            <v>40844</v>
          </cell>
          <cell r="H514" t="str">
            <v>2011-0.086.502-7</v>
          </cell>
          <cell r="I514">
            <v>45186.36</v>
          </cell>
          <cell r="J514" t="str">
            <v xml:space="preserve">              123611122                  2848                    33903600</v>
          </cell>
          <cell r="K514">
            <v>40817</v>
          </cell>
          <cell r="L514">
            <v>28</v>
          </cell>
          <cell r="M514">
            <v>7100</v>
          </cell>
          <cell r="N514">
            <v>57278</v>
          </cell>
          <cell r="O514">
            <v>13760</v>
          </cell>
          <cell r="P514">
            <v>16</v>
          </cell>
          <cell r="Q514">
            <v>3</v>
          </cell>
          <cell r="T514">
            <v>5047.3999999999996</v>
          </cell>
          <cell r="U514">
            <v>0</v>
          </cell>
          <cell r="AA514">
            <v>0</v>
          </cell>
          <cell r="AB514">
            <v>251.03533333333334</v>
          </cell>
          <cell r="AD514">
            <v>5887.8599999999988</v>
          </cell>
          <cell r="AN514" t="str">
            <v xml:space="preserve">Contrato emergencial nº </v>
          </cell>
          <cell r="AO514" t="str">
            <v>CL</v>
          </cell>
        </row>
        <row r="515">
          <cell r="D515" t="str">
            <v>1370/11</v>
          </cell>
          <cell r="E515" t="str">
            <v>02/05/2011</v>
          </cell>
          <cell r="F515">
            <v>40844</v>
          </cell>
          <cell r="G515">
            <v>40844</v>
          </cell>
          <cell r="H515" t="str">
            <v>2011-0.086.519-1</v>
          </cell>
          <cell r="I515">
            <v>40976.04</v>
          </cell>
          <cell r="J515" t="str">
            <v xml:space="preserve">              123611122                  2848                    33903600</v>
          </cell>
          <cell r="K515">
            <v>40817</v>
          </cell>
          <cell r="L515">
            <v>28</v>
          </cell>
          <cell r="M515">
            <v>6400</v>
          </cell>
          <cell r="N515">
            <v>57278</v>
          </cell>
          <cell r="O515">
            <v>13758</v>
          </cell>
          <cell r="P515">
            <v>16</v>
          </cell>
          <cell r="Q515">
            <v>3</v>
          </cell>
          <cell r="S515">
            <v>1111.6099999999999</v>
          </cell>
          <cell r="T515">
            <v>7980</v>
          </cell>
          <cell r="AA515">
            <v>0</v>
          </cell>
          <cell r="AB515">
            <v>227.64466666666667</v>
          </cell>
          <cell r="AD515">
            <v>6387.82</v>
          </cell>
          <cell r="AN515" t="str">
            <v xml:space="preserve">Contrato emergencial nº </v>
          </cell>
          <cell r="AO515" t="str">
            <v>SM</v>
          </cell>
        </row>
        <row r="516">
          <cell r="D516" t="str">
            <v>1371/11</v>
          </cell>
          <cell r="E516" t="str">
            <v>02/05/2011</v>
          </cell>
          <cell r="F516">
            <v>40844</v>
          </cell>
          <cell r="G516">
            <v>40844</v>
          </cell>
          <cell r="H516" t="str">
            <v>2011-0.086.524-8</v>
          </cell>
          <cell r="I516">
            <v>31418.52</v>
          </cell>
          <cell r="J516" t="str">
            <v xml:space="preserve">              123611122                  2848                    33903600</v>
          </cell>
          <cell r="K516">
            <v>40817</v>
          </cell>
          <cell r="L516">
            <v>28</v>
          </cell>
          <cell r="M516">
            <v>4900</v>
          </cell>
          <cell r="N516">
            <v>57278</v>
          </cell>
          <cell r="O516">
            <v>13754</v>
          </cell>
          <cell r="P516">
            <v>16</v>
          </cell>
          <cell r="Q516">
            <v>3</v>
          </cell>
          <cell r="S516">
            <v>2530.9699999999998</v>
          </cell>
          <cell r="T516">
            <v>6120</v>
          </cell>
          <cell r="AA516">
            <v>0</v>
          </cell>
          <cell r="AB516">
            <v>174.54733333333334</v>
          </cell>
          <cell r="AD516">
            <v>5233.2800000000007</v>
          </cell>
          <cell r="AN516" t="str">
            <v xml:space="preserve">Contrato emergencial nº </v>
          </cell>
          <cell r="AO516" t="str">
            <v>IP</v>
          </cell>
        </row>
        <row r="517">
          <cell r="D517" t="str">
            <v>1372/11</v>
          </cell>
          <cell r="E517" t="str">
            <v>02/05/2011</v>
          </cell>
          <cell r="F517">
            <v>40844</v>
          </cell>
          <cell r="G517">
            <v>40844</v>
          </cell>
          <cell r="H517" t="str">
            <v>2011-0.086.527-2</v>
          </cell>
          <cell r="I517">
            <v>39569.46</v>
          </cell>
          <cell r="J517" t="str">
            <v xml:space="preserve">              123651121                 2847                    33903600</v>
          </cell>
          <cell r="K517">
            <v>40817</v>
          </cell>
          <cell r="L517">
            <v>28</v>
          </cell>
          <cell r="M517">
            <v>6200</v>
          </cell>
          <cell r="N517">
            <v>57273</v>
          </cell>
          <cell r="O517">
            <v>13750</v>
          </cell>
          <cell r="P517">
            <v>16</v>
          </cell>
          <cell r="Q517">
            <v>2</v>
          </cell>
          <cell r="T517">
            <v>7680</v>
          </cell>
          <cell r="AA517">
            <v>0</v>
          </cell>
          <cell r="AB517">
            <v>219.83033333333333</v>
          </cell>
          <cell r="AD517">
            <v>5216.93</v>
          </cell>
          <cell r="AN517" t="str">
            <v xml:space="preserve">Contrato emergencial nº </v>
          </cell>
          <cell r="AO517" t="str">
            <v>PJ</v>
          </cell>
        </row>
        <row r="518">
          <cell r="D518" t="str">
            <v>1373/11</v>
          </cell>
          <cell r="E518" t="str">
            <v>02/05/2011</v>
          </cell>
          <cell r="F518">
            <v>40844</v>
          </cell>
          <cell r="G518">
            <v>40844</v>
          </cell>
          <cell r="H518" t="str">
            <v>2011-0.086.533-7</v>
          </cell>
          <cell r="I518">
            <v>40877.160000000003</v>
          </cell>
          <cell r="J518" t="str">
            <v xml:space="preserve">              123611122                  2848                    33903600</v>
          </cell>
          <cell r="K518">
            <v>40817</v>
          </cell>
          <cell r="L518">
            <v>28</v>
          </cell>
          <cell r="M518">
            <v>6400</v>
          </cell>
          <cell r="N518">
            <v>57278</v>
          </cell>
          <cell r="O518">
            <v>13745</v>
          </cell>
          <cell r="P518">
            <v>16</v>
          </cell>
          <cell r="Q518">
            <v>3</v>
          </cell>
          <cell r="S518">
            <v>3259.81</v>
          </cell>
          <cell r="T518">
            <v>7920.0000000000009</v>
          </cell>
          <cell r="U518">
            <v>0</v>
          </cell>
          <cell r="AA518">
            <v>0</v>
          </cell>
          <cell r="AB518">
            <v>227.09533333333334</v>
          </cell>
          <cell r="AD518">
            <v>6486.19</v>
          </cell>
          <cell r="AN518" t="str">
            <v xml:space="preserve">Contrato emergencial nº </v>
          </cell>
          <cell r="AO518" t="str">
            <v>CL</v>
          </cell>
        </row>
        <row r="519">
          <cell r="D519" t="str">
            <v>1374/11</v>
          </cell>
          <cell r="E519" t="str">
            <v>02/05/2011</v>
          </cell>
          <cell r="F519">
            <v>40844</v>
          </cell>
          <cell r="G519">
            <v>40844</v>
          </cell>
          <cell r="H519" t="str">
            <v>2011-0.086.536-1</v>
          </cell>
          <cell r="I519">
            <v>39593.160000000003</v>
          </cell>
          <cell r="J519" t="str">
            <v xml:space="preserve">              123611122                  2848                    33903600</v>
          </cell>
          <cell r="K519">
            <v>40817</v>
          </cell>
          <cell r="L519">
            <v>28</v>
          </cell>
          <cell r="M519">
            <v>6200</v>
          </cell>
          <cell r="N519">
            <v>57278</v>
          </cell>
          <cell r="O519">
            <v>13740</v>
          </cell>
          <cell r="P519">
            <v>16</v>
          </cell>
          <cell r="Q519">
            <v>3</v>
          </cell>
          <cell r="T519">
            <v>4682.3500000000004</v>
          </cell>
          <cell r="U519">
            <v>26.99</v>
          </cell>
          <cell r="AA519">
            <v>26.99</v>
          </cell>
          <cell r="AB519">
            <v>219.96200000000002</v>
          </cell>
          <cell r="AD519">
            <v>5593.2399999999989</v>
          </cell>
          <cell r="AN519" t="str">
            <v xml:space="preserve">Contrato emergencial nº </v>
          </cell>
          <cell r="AO519" t="str">
            <v>G</v>
          </cell>
        </row>
        <row r="520">
          <cell r="D520" t="str">
            <v>1375/11</v>
          </cell>
          <cell r="E520" t="str">
            <v>02/05/2011</v>
          </cell>
          <cell r="F520">
            <v>40844</v>
          </cell>
          <cell r="G520">
            <v>40844</v>
          </cell>
          <cell r="H520" t="str">
            <v>2011-0.086.537-0</v>
          </cell>
          <cell r="I520">
            <v>38417.160000000003</v>
          </cell>
          <cell r="J520" t="str">
            <v xml:space="preserve">              123651121                 2847                    33903600</v>
          </cell>
          <cell r="K520">
            <v>40817</v>
          </cell>
          <cell r="L520">
            <v>28</v>
          </cell>
          <cell r="M520">
            <v>6000</v>
          </cell>
          <cell r="N520">
            <v>57273</v>
          </cell>
          <cell r="O520">
            <v>13734</v>
          </cell>
          <cell r="P520">
            <v>16</v>
          </cell>
          <cell r="Q520">
            <v>2</v>
          </cell>
          <cell r="S520">
            <v>1214.96</v>
          </cell>
          <cell r="T520">
            <v>7440</v>
          </cell>
          <cell r="U520">
            <v>0</v>
          </cell>
          <cell r="AA520">
            <v>0</v>
          </cell>
          <cell r="AB520">
            <v>213.42866666666669</v>
          </cell>
          <cell r="AD520">
            <v>5693.0440000000008</v>
          </cell>
          <cell r="AN520" t="str">
            <v xml:space="preserve">Contrato emergencial nº </v>
          </cell>
          <cell r="AO520" t="str">
            <v>JT</v>
          </cell>
        </row>
        <row r="521">
          <cell r="D521" t="str">
            <v>1376/11</v>
          </cell>
          <cell r="E521" t="str">
            <v>02/05/2011</v>
          </cell>
          <cell r="F521">
            <v>40844</v>
          </cell>
          <cell r="G521">
            <v>40844</v>
          </cell>
          <cell r="H521" t="str">
            <v>2011-0.086.612-0</v>
          </cell>
          <cell r="I521">
            <v>40835.160000000003</v>
          </cell>
          <cell r="J521" t="str">
            <v xml:space="preserve">              123651121                 2847                    33903600</v>
          </cell>
          <cell r="K521">
            <v>40817</v>
          </cell>
          <cell r="L521">
            <v>28</v>
          </cell>
          <cell r="M521">
            <v>6400</v>
          </cell>
          <cell r="N521">
            <v>57273</v>
          </cell>
          <cell r="O521">
            <v>13728</v>
          </cell>
          <cell r="P521">
            <v>16</v>
          </cell>
          <cell r="Q521">
            <v>2</v>
          </cell>
          <cell r="S521">
            <v>121.74</v>
          </cell>
          <cell r="T521">
            <v>7920</v>
          </cell>
          <cell r="U521">
            <v>0</v>
          </cell>
          <cell r="AA521">
            <v>0</v>
          </cell>
          <cell r="AB521">
            <v>226.86200000000002</v>
          </cell>
          <cell r="AD521">
            <v>5644.74</v>
          </cell>
          <cell r="AN521" t="str">
            <v xml:space="preserve">Contrato emergencial nº </v>
          </cell>
          <cell r="AO521" t="str">
            <v>CL</v>
          </cell>
        </row>
        <row r="522">
          <cell r="D522" t="str">
            <v>1377/11</v>
          </cell>
          <cell r="E522" t="str">
            <v>02/05/2011</v>
          </cell>
          <cell r="F522">
            <v>40844</v>
          </cell>
          <cell r="G522">
            <v>40844</v>
          </cell>
          <cell r="H522" t="str">
            <v>2011-0.086.622-8</v>
          </cell>
          <cell r="I522">
            <v>45602.04</v>
          </cell>
          <cell r="J522" t="str">
            <v xml:space="preserve">              123651121                 2847                    33903600</v>
          </cell>
          <cell r="K522">
            <v>40817</v>
          </cell>
          <cell r="L522">
            <v>28</v>
          </cell>
          <cell r="M522">
            <v>7100</v>
          </cell>
          <cell r="N522">
            <v>57273</v>
          </cell>
          <cell r="O522">
            <v>13725</v>
          </cell>
          <cell r="P522">
            <v>16</v>
          </cell>
          <cell r="Q522">
            <v>2</v>
          </cell>
          <cell r="S522">
            <v>998.37</v>
          </cell>
          <cell r="T522">
            <v>8820</v>
          </cell>
          <cell r="AA522">
            <v>0</v>
          </cell>
          <cell r="AB522">
            <v>253.34466666666668</v>
          </cell>
          <cell r="AD522">
            <v>6718.03</v>
          </cell>
          <cell r="AN522" t="str">
            <v xml:space="preserve">Contrato emergencial nº </v>
          </cell>
          <cell r="AO522" t="str">
            <v>PJ</v>
          </cell>
        </row>
        <row r="523">
          <cell r="D523" t="str">
            <v>1378/11</v>
          </cell>
          <cell r="E523" t="str">
            <v>02/05/2011</v>
          </cell>
          <cell r="F523">
            <v>40844</v>
          </cell>
          <cell r="G523">
            <v>40844</v>
          </cell>
          <cell r="H523" t="str">
            <v>2011-0.086.623-6</v>
          </cell>
          <cell r="I523">
            <v>42184.92</v>
          </cell>
          <cell r="J523" t="str">
            <v xml:space="preserve">             123671125                  2863                   33903600</v>
          </cell>
          <cell r="K523">
            <v>40817</v>
          </cell>
          <cell r="L523">
            <v>28</v>
          </cell>
          <cell r="M523">
            <v>6600</v>
          </cell>
          <cell r="N523">
            <v>57287</v>
          </cell>
          <cell r="O523">
            <v>13860</v>
          </cell>
          <cell r="P523">
            <v>16</v>
          </cell>
          <cell r="Q523">
            <v>4</v>
          </cell>
          <cell r="S523">
            <v>5789.62</v>
          </cell>
          <cell r="T523">
            <v>8160</v>
          </cell>
          <cell r="U523">
            <v>171.66</v>
          </cell>
          <cell r="AA523">
            <v>171.66</v>
          </cell>
          <cell r="AB523">
            <v>234.36066666666665</v>
          </cell>
          <cell r="AD523">
            <v>6983.16</v>
          </cell>
          <cell r="AN523" t="str">
            <v xml:space="preserve">Contrato emergencial nº </v>
          </cell>
          <cell r="AO523" t="str">
            <v>PE</v>
          </cell>
        </row>
        <row r="524">
          <cell r="D524" t="str">
            <v>1379/11</v>
          </cell>
          <cell r="E524" t="str">
            <v>02/05/2011</v>
          </cell>
          <cell r="F524">
            <v>40844</v>
          </cell>
          <cell r="G524">
            <v>40844</v>
          </cell>
          <cell r="H524" t="str">
            <v>2011-0.086.625-2</v>
          </cell>
          <cell r="I524">
            <v>50500.08</v>
          </cell>
          <cell r="J524" t="str">
            <v xml:space="preserve">             123671125                  2863                   33903600</v>
          </cell>
          <cell r="K524">
            <v>40817</v>
          </cell>
          <cell r="L524">
            <v>28</v>
          </cell>
          <cell r="M524">
            <v>7900</v>
          </cell>
          <cell r="N524">
            <v>918</v>
          </cell>
          <cell r="O524">
            <v>13867</v>
          </cell>
          <cell r="P524">
            <v>16</v>
          </cell>
          <cell r="Q524">
            <v>4</v>
          </cell>
          <cell r="S524">
            <v>8099.82</v>
          </cell>
          <cell r="T524">
            <v>9619.6</v>
          </cell>
          <cell r="U524">
            <v>2107.37</v>
          </cell>
          <cell r="AA524">
            <v>2107.37</v>
          </cell>
          <cell r="AB524">
            <v>280.55599999999998</v>
          </cell>
          <cell r="AD524">
            <v>9857.76</v>
          </cell>
          <cell r="AN524" t="str">
            <v xml:space="preserve">Contrato emergencial nº </v>
          </cell>
          <cell r="AO524" t="str">
            <v>PE</v>
          </cell>
        </row>
        <row r="525">
          <cell r="D525" t="str">
            <v>1380/11</v>
          </cell>
          <cell r="E525" t="str">
            <v>02/05/2011</v>
          </cell>
          <cell r="F525">
            <v>40844</v>
          </cell>
          <cell r="G525">
            <v>40844</v>
          </cell>
          <cell r="H525" t="str">
            <v>2011-0.086.628-7</v>
          </cell>
          <cell r="I525">
            <v>50500.08</v>
          </cell>
          <cell r="J525" t="str">
            <v xml:space="preserve">              123611122                  2848                    33903600</v>
          </cell>
          <cell r="K525">
            <v>40817</v>
          </cell>
          <cell r="L525">
            <v>28</v>
          </cell>
          <cell r="M525">
            <v>7900</v>
          </cell>
          <cell r="N525">
            <v>57278</v>
          </cell>
          <cell r="O525">
            <v>13865</v>
          </cell>
          <cell r="P525">
            <v>16</v>
          </cell>
          <cell r="Q525">
            <v>3</v>
          </cell>
          <cell r="T525">
            <v>4473.7300000000005</v>
          </cell>
          <cell r="U525">
            <v>0</v>
          </cell>
          <cell r="AA525">
            <v>0</v>
          </cell>
          <cell r="AB525">
            <v>280.55599999999998</v>
          </cell>
          <cell r="AD525">
            <v>6561.6800000000012</v>
          </cell>
          <cell r="AN525" t="str">
            <v xml:space="preserve">Contrato emergencial nº </v>
          </cell>
          <cell r="AO525" t="str">
            <v>IQ</v>
          </cell>
        </row>
        <row r="526">
          <cell r="D526" t="str">
            <v>1381/11</v>
          </cell>
          <cell r="E526" t="str">
            <v>02/05/2011</v>
          </cell>
          <cell r="F526">
            <v>40844</v>
          </cell>
          <cell r="G526">
            <v>40844</v>
          </cell>
          <cell r="H526" t="str">
            <v>2011-0.087.327-5</v>
          </cell>
          <cell r="I526">
            <v>49324.08</v>
          </cell>
          <cell r="J526" t="str">
            <v xml:space="preserve">             123671125                  2863                   33903600</v>
          </cell>
          <cell r="K526">
            <v>40817</v>
          </cell>
          <cell r="L526">
            <v>28</v>
          </cell>
          <cell r="M526">
            <v>7700</v>
          </cell>
          <cell r="N526">
            <v>57287</v>
          </cell>
          <cell r="O526">
            <v>14044</v>
          </cell>
          <cell r="P526">
            <v>16</v>
          </cell>
          <cell r="Q526">
            <v>4</v>
          </cell>
          <cell r="S526">
            <v>11999.85</v>
          </cell>
          <cell r="T526">
            <v>9539.9999999999982</v>
          </cell>
          <cell r="U526">
            <v>8127.97</v>
          </cell>
          <cell r="AA526">
            <v>8127.97</v>
          </cell>
          <cell r="AB526">
            <v>274.02266666666668</v>
          </cell>
          <cell r="AD526">
            <v>11999.85</v>
          </cell>
          <cell r="AN526" t="str">
            <v xml:space="preserve">Contrato emergencial nº </v>
          </cell>
          <cell r="AO526" t="str">
            <v>SM</v>
          </cell>
        </row>
        <row r="527">
          <cell r="D527" t="str">
            <v>1382/11</v>
          </cell>
          <cell r="E527" t="str">
            <v>02/05/2011</v>
          </cell>
          <cell r="F527">
            <v>40844</v>
          </cell>
          <cell r="G527">
            <v>40844</v>
          </cell>
          <cell r="H527" t="str">
            <v>2011-0.086.646-5</v>
          </cell>
          <cell r="I527">
            <v>42184.92</v>
          </cell>
          <cell r="J527" t="str">
            <v xml:space="preserve">              123611122                  2848                    33903600</v>
          </cell>
          <cell r="K527">
            <v>40817</v>
          </cell>
          <cell r="L527">
            <v>28</v>
          </cell>
          <cell r="M527">
            <v>6600</v>
          </cell>
          <cell r="N527">
            <v>57278</v>
          </cell>
          <cell r="O527">
            <v>13858</v>
          </cell>
          <cell r="P527">
            <v>16</v>
          </cell>
          <cell r="Q527">
            <v>3</v>
          </cell>
          <cell r="S527">
            <v>2890.96</v>
          </cell>
          <cell r="T527">
            <v>8160</v>
          </cell>
          <cell r="U527">
            <v>2835.45</v>
          </cell>
          <cell r="AA527">
            <v>2835.45</v>
          </cell>
          <cell r="AB527">
            <v>234.36066666666665</v>
          </cell>
          <cell r="AD527">
            <v>7197.1799999999994</v>
          </cell>
          <cell r="AN527" t="str">
            <v xml:space="preserve">Contrato emergencial nº </v>
          </cell>
          <cell r="AO527" t="str">
            <v>G</v>
          </cell>
        </row>
        <row r="528">
          <cell r="D528" t="str">
            <v>1383/11</v>
          </cell>
          <cell r="E528" t="str">
            <v>02/05/2011</v>
          </cell>
          <cell r="F528">
            <v>40844</v>
          </cell>
          <cell r="G528">
            <v>40844</v>
          </cell>
          <cell r="H528" t="str">
            <v>2011-0.086.649-0</v>
          </cell>
          <cell r="I528">
            <v>42184.92</v>
          </cell>
          <cell r="J528" t="str">
            <v xml:space="preserve">              123611122                  2848                    33903600</v>
          </cell>
          <cell r="K528">
            <v>40817</v>
          </cell>
          <cell r="L528">
            <v>28</v>
          </cell>
          <cell r="M528">
            <v>6600</v>
          </cell>
          <cell r="N528">
            <v>57278</v>
          </cell>
          <cell r="O528">
            <v>13855</v>
          </cell>
          <cell r="P528">
            <v>16</v>
          </cell>
          <cell r="Q528">
            <v>3</v>
          </cell>
          <cell r="S528">
            <v>5678.17</v>
          </cell>
          <cell r="T528">
            <v>8159.9999999999982</v>
          </cell>
          <cell r="AA528">
            <v>0</v>
          </cell>
          <cell r="AB528">
            <v>234.36066666666665</v>
          </cell>
          <cell r="AD528">
            <v>7619.13</v>
          </cell>
          <cell r="AN528" t="str">
            <v xml:space="preserve">Contrato emergencial nº </v>
          </cell>
          <cell r="AO528" t="str">
            <v>PE</v>
          </cell>
        </row>
        <row r="529">
          <cell r="D529" t="str">
            <v>1384/11</v>
          </cell>
          <cell r="E529" t="str">
            <v>02/05/2011</v>
          </cell>
          <cell r="F529">
            <v>40844</v>
          </cell>
          <cell r="G529">
            <v>40844</v>
          </cell>
          <cell r="H529" t="str">
            <v>2011-0.086.651-1</v>
          </cell>
          <cell r="I529">
            <v>50500.08</v>
          </cell>
          <cell r="J529" t="str">
            <v xml:space="preserve">             123671125                  2863                   33903600</v>
          </cell>
          <cell r="K529">
            <v>40817</v>
          </cell>
          <cell r="L529">
            <v>28</v>
          </cell>
          <cell r="M529">
            <v>7900</v>
          </cell>
          <cell r="N529">
            <v>57273</v>
          </cell>
          <cell r="O529">
            <v>13850</v>
          </cell>
          <cell r="P529">
            <v>16</v>
          </cell>
          <cell r="Q529">
            <v>4</v>
          </cell>
          <cell r="S529">
            <v>4461.4799999999996</v>
          </cell>
          <cell r="T529">
            <v>6520</v>
          </cell>
          <cell r="U529">
            <v>6068.5530000000008</v>
          </cell>
          <cell r="AA529">
            <v>6068.5530000000008</v>
          </cell>
          <cell r="AB529">
            <v>280.55599999999998</v>
          </cell>
          <cell r="AD529">
            <v>10167.219999999999</v>
          </cell>
          <cell r="AN529" t="str">
            <v xml:space="preserve">Contrato emergencial nº </v>
          </cell>
          <cell r="AO529" t="str">
            <v>CL</v>
          </cell>
        </row>
        <row r="530">
          <cell r="D530" t="str">
            <v>1385/11</v>
          </cell>
          <cell r="E530" t="str">
            <v>02/05/2011</v>
          </cell>
          <cell r="F530">
            <v>40844</v>
          </cell>
          <cell r="G530">
            <v>40844</v>
          </cell>
          <cell r="H530" t="str">
            <v>2011-0.086.660-0</v>
          </cell>
          <cell r="I530">
            <v>50500.08</v>
          </cell>
          <cell r="J530" t="str">
            <v xml:space="preserve">              123611122                  2848                    33903600</v>
          </cell>
          <cell r="K530">
            <v>40817</v>
          </cell>
          <cell r="L530">
            <v>28</v>
          </cell>
          <cell r="M530">
            <v>7900</v>
          </cell>
          <cell r="N530">
            <v>57278</v>
          </cell>
          <cell r="O530">
            <v>13841</v>
          </cell>
          <cell r="P530">
            <v>16</v>
          </cell>
          <cell r="Q530">
            <v>3</v>
          </cell>
          <cell r="S530">
            <v>9874.94</v>
          </cell>
          <cell r="T530">
            <v>4947.5200000000004</v>
          </cell>
          <cell r="U530">
            <v>11164.654666666667</v>
          </cell>
          <cell r="AA530">
            <v>11164.654666666667</v>
          </cell>
          <cell r="AB530">
            <v>280.55599999999998</v>
          </cell>
          <cell r="AD530">
            <v>12433.735000000001</v>
          </cell>
          <cell r="AN530" t="str">
            <v xml:space="preserve">Contrato emergencial nº </v>
          </cell>
          <cell r="AO530" t="str">
            <v>CL</v>
          </cell>
        </row>
        <row r="531">
          <cell r="D531" t="str">
            <v>1386/11</v>
          </cell>
          <cell r="E531" t="str">
            <v>02/05/2011</v>
          </cell>
          <cell r="F531">
            <v>40844</v>
          </cell>
          <cell r="G531">
            <v>40844</v>
          </cell>
          <cell r="H531" t="str">
            <v>2011-0.086.665-1</v>
          </cell>
          <cell r="I531">
            <v>51135.96</v>
          </cell>
          <cell r="J531" t="str">
            <v xml:space="preserve">              123651121                 2847                    33903600</v>
          </cell>
          <cell r="K531">
            <v>40817</v>
          </cell>
          <cell r="L531">
            <v>28</v>
          </cell>
          <cell r="M531">
            <v>8000</v>
          </cell>
          <cell r="N531">
            <v>57273</v>
          </cell>
          <cell r="O531">
            <v>13834</v>
          </cell>
          <cell r="P531">
            <v>16</v>
          </cell>
          <cell r="Q531">
            <v>2</v>
          </cell>
          <cell r="T531">
            <v>9900</v>
          </cell>
          <cell r="AA531">
            <v>0</v>
          </cell>
          <cell r="AB531">
            <v>284.08866666666665</v>
          </cell>
          <cell r="AN531" t="str">
            <v xml:space="preserve">Contrato emergencial nº </v>
          </cell>
          <cell r="AO531" t="str">
            <v>IP</v>
          </cell>
        </row>
        <row r="532">
          <cell r="D532" t="str">
            <v>1387/11</v>
          </cell>
          <cell r="E532" t="str">
            <v>02/05/2011</v>
          </cell>
          <cell r="F532">
            <v>40844</v>
          </cell>
          <cell r="G532">
            <v>40844</v>
          </cell>
          <cell r="H532" t="str">
            <v>2011-0.086.677-5</v>
          </cell>
          <cell r="I532">
            <v>40238.04</v>
          </cell>
          <cell r="J532" t="str">
            <v xml:space="preserve">              123611122                  2848                    33903600</v>
          </cell>
          <cell r="K532">
            <v>40817</v>
          </cell>
          <cell r="L532">
            <v>28</v>
          </cell>
          <cell r="M532">
            <v>6300</v>
          </cell>
          <cell r="N532">
            <v>57278</v>
          </cell>
          <cell r="O532">
            <v>13832</v>
          </cell>
          <cell r="P532">
            <v>16</v>
          </cell>
          <cell r="Q532">
            <v>3</v>
          </cell>
          <cell r="T532">
            <v>7800</v>
          </cell>
          <cell r="AA532">
            <v>0</v>
          </cell>
          <cell r="AB532">
            <v>223.54466666666667</v>
          </cell>
          <cell r="AD532">
            <v>4872.42</v>
          </cell>
          <cell r="AN532" t="str">
            <v xml:space="preserve">Contrato emergencial nº </v>
          </cell>
          <cell r="AO532" t="str">
            <v>PJ</v>
          </cell>
        </row>
        <row r="533">
          <cell r="D533" t="str">
            <v>1388/11</v>
          </cell>
          <cell r="E533" t="str">
            <v>02/05/2011</v>
          </cell>
          <cell r="F533">
            <v>40844</v>
          </cell>
          <cell r="G533">
            <v>40844</v>
          </cell>
          <cell r="H533" t="str">
            <v>2011-0.086.680-5</v>
          </cell>
          <cell r="I533">
            <v>29744.400000000001</v>
          </cell>
          <cell r="J533" t="str">
            <v xml:space="preserve">              123611122                  2848                    33903600</v>
          </cell>
          <cell r="K533">
            <v>40817</v>
          </cell>
          <cell r="L533">
            <v>28</v>
          </cell>
          <cell r="M533">
            <v>4700</v>
          </cell>
          <cell r="N533">
            <v>57278</v>
          </cell>
          <cell r="O533">
            <v>13824</v>
          </cell>
          <cell r="P533">
            <v>16</v>
          </cell>
          <cell r="Q533">
            <v>3</v>
          </cell>
          <cell r="T533">
            <v>5760</v>
          </cell>
          <cell r="AA533">
            <v>0</v>
          </cell>
          <cell r="AB533">
            <v>165.24666666666667</v>
          </cell>
          <cell r="AN533" t="str">
            <v xml:space="preserve">Contrato emergencial nº </v>
          </cell>
          <cell r="AO533" t="str">
            <v xml:space="preserve">SA </v>
          </cell>
        </row>
        <row r="534">
          <cell r="D534" t="str">
            <v>1389/11</v>
          </cell>
          <cell r="E534" t="str">
            <v>02/05/2011</v>
          </cell>
          <cell r="F534">
            <v>40844</v>
          </cell>
          <cell r="G534">
            <v>40844</v>
          </cell>
          <cell r="H534" t="str">
            <v>2011-0.086.685-6</v>
          </cell>
          <cell r="I534">
            <v>40223.339999999997</v>
          </cell>
          <cell r="J534" t="str">
            <v xml:space="preserve">              123611122                  2848                    33903600</v>
          </cell>
          <cell r="K534">
            <v>40817</v>
          </cell>
          <cell r="L534">
            <v>28</v>
          </cell>
          <cell r="M534">
            <v>6300</v>
          </cell>
          <cell r="N534">
            <v>57278</v>
          </cell>
          <cell r="O534">
            <v>13817</v>
          </cell>
          <cell r="P534">
            <v>16</v>
          </cell>
          <cell r="Q534">
            <v>3</v>
          </cell>
          <cell r="S534">
            <v>170.82</v>
          </cell>
          <cell r="T534">
            <v>7800</v>
          </cell>
          <cell r="AA534">
            <v>0</v>
          </cell>
          <cell r="AB534">
            <v>223.46299999999999</v>
          </cell>
          <cell r="AD534">
            <v>5461.7300000000005</v>
          </cell>
          <cell r="AN534" t="str">
            <v xml:space="preserve">Contrato emergencial nº </v>
          </cell>
          <cell r="AO534" t="str">
            <v>PE</v>
          </cell>
        </row>
        <row r="535">
          <cell r="D535" t="str">
            <v>1480/11</v>
          </cell>
          <cell r="E535" t="str">
            <v>02/05/2011</v>
          </cell>
          <cell r="F535">
            <v>40844</v>
          </cell>
          <cell r="G535">
            <v>40844</v>
          </cell>
          <cell r="H535" t="str">
            <v>2011-0.102.853-6</v>
          </cell>
          <cell r="I535">
            <v>45632.28</v>
          </cell>
          <cell r="J535" t="str">
            <v xml:space="preserve">              123611122                  2848                    33903600</v>
          </cell>
          <cell r="K535">
            <v>40817</v>
          </cell>
          <cell r="L535">
            <v>28</v>
          </cell>
          <cell r="M535">
            <v>7100</v>
          </cell>
          <cell r="N535">
            <v>57278</v>
          </cell>
          <cell r="O535">
            <v>14150</v>
          </cell>
          <cell r="P535">
            <v>16</v>
          </cell>
          <cell r="Q535">
            <v>3</v>
          </cell>
          <cell r="S535">
            <v>1894.96</v>
          </cell>
          <cell r="T535">
            <v>8880</v>
          </cell>
          <cell r="AA535">
            <v>0</v>
          </cell>
          <cell r="AB535">
            <v>253.51266666666666</v>
          </cell>
          <cell r="AD535">
            <v>6739.75</v>
          </cell>
          <cell r="AN535" t="str">
            <v xml:space="preserve">Contrato emergencial nº </v>
          </cell>
          <cell r="AO535" t="str">
            <v>PJ</v>
          </cell>
        </row>
        <row r="536">
          <cell r="D536" t="str">
            <v>1481/11</v>
          </cell>
          <cell r="E536" t="str">
            <v>02/05/2011</v>
          </cell>
          <cell r="F536">
            <v>40844</v>
          </cell>
          <cell r="G536">
            <v>40844</v>
          </cell>
          <cell r="H536" t="str">
            <v>2011-0.102.863-3</v>
          </cell>
          <cell r="I536">
            <v>51135.96</v>
          </cell>
          <cell r="J536" t="str">
            <v xml:space="preserve">              123611122                  2848                    33903600</v>
          </cell>
          <cell r="K536">
            <v>40817</v>
          </cell>
          <cell r="L536">
            <v>28</v>
          </cell>
          <cell r="M536">
            <v>8000</v>
          </cell>
          <cell r="N536">
            <v>57278</v>
          </cell>
          <cell r="O536">
            <v>14762</v>
          </cell>
          <cell r="P536">
            <v>16</v>
          </cell>
          <cell r="Q536">
            <v>3</v>
          </cell>
          <cell r="S536">
            <v>1507.54</v>
          </cell>
          <cell r="T536">
            <v>9900</v>
          </cell>
          <cell r="AA536">
            <v>0</v>
          </cell>
          <cell r="AB536">
            <v>284.08866666666665</v>
          </cell>
          <cell r="AD536">
            <v>7636.0599999999995</v>
          </cell>
          <cell r="AN536" t="str">
            <v xml:space="preserve">Contrato emergencial nº </v>
          </cell>
          <cell r="AO536" t="str">
            <v>SM</v>
          </cell>
        </row>
        <row r="537">
          <cell r="D537" t="str">
            <v>1283/11</v>
          </cell>
          <cell r="E537" t="str">
            <v>03/05/2011</v>
          </cell>
          <cell r="F537">
            <v>40845</v>
          </cell>
          <cell r="G537">
            <v>40845</v>
          </cell>
          <cell r="H537" t="str">
            <v>2011-0.085.100-0</v>
          </cell>
          <cell r="I537">
            <v>42838.74</v>
          </cell>
          <cell r="J537" t="str">
            <v xml:space="preserve">              123651121                 2847                    33903600</v>
          </cell>
          <cell r="K537">
            <v>40817</v>
          </cell>
          <cell r="L537">
            <v>29</v>
          </cell>
          <cell r="M537">
            <v>7000</v>
          </cell>
          <cell r="N537">
            <v>57273</v>
          </cell>
          <cell r="O537">
            <v>13351</v>
          </cell>
          <cell r="P537">
            <v>16</v>
          </cell>
          <cell r="Q537">
            <v>2</v>
          </cell>
          <cell r="T537">
            <v>8460</v>
          </cell>
          <cell r="AA537">
            <v>0</v>
          </cell>
          <cell r="AB537">
            <v>237.99299999999999</v>
          </cell>
          <cell r="AD537">
            <v>6386.86</v>
          </cell>
          <cell r="AN537" t="str">
            <v xml:space="preserve">Contrato emergencial nº </v>
          </cell>
          <cell r="AO537" t="str">
            <v>PE</v>
          </cell>
        </row>
        <row r="538">
          <cell r="D538" t="str">
            <v>1483/11</v>
          </cell>
          <cell r="E538" t="str">
            <v>04/05/2011</v>
          </cell>
          <cell r="F538">
            <v>40846</v>
          </cell>
          <cell r="G538">
            <v>40846</v>
          </cell>
          <cell r="H538" t="str">
            <v>2011-0.102.913-3</v>
          </cell>
          <cell r="I538">
            <v>40835.160000000003</v>
          </cell>
          <cell r="J538" t="str">
            <v xml:space="preserve">              123611122                  2848                    33903600</v>
          </cell>
          <cell r="K538">
            <v>40817</v>
          </cell>
          <cell r="L538">
            <v>30</v>
          </cell>
          <cell r="M538">
            <v>6900</v>
          </cell>
          <cell r="N538">
            <v>57278</v>
          </cell>
          <cell r="O538">
            <v>14763</v>
          </cell>
          <cell r="P538">
            <v>16</v>
          </cell>
          <cell r="Q538">
            <v>3</v>
          </cell>
          <cell r="T538">
            <v>575.74</v>
          </cell>
          <cell r="AA538">
            <v>0</v>
          </cell>
          <cell r="AB538">
            <v>226.86200000000002</v>
          </cell>
          <cell r="AD538">
            <v>2650.1979999999994</v>
          </cell>
          <cell r="AN538" t="str">
            <v xml:space="preserve">Contrato emergencial nº </v>
          </cell>
          <cell r="AO538" t="str">
            <v>PE</v>
          </cell>
        </row>
        <row r="539">
          <cell r="D539" t="str">
            <v>1638/11</v>
          </cell>
          <cell r="E539" t="str">
            <v>04/05/2011</v>
          </cell>
          <cell r="F539">
            <v>40846</v>
          </cell>
          <cell r="G539">
            <v>40846</v>
          </cell>
          <cell r="H539" t="str">
            <v>2011-0.127.160-0</v>
          </cell>
          <cell r="I539">
            <v>37607.879999999997</v>
          </cell>
          <cell r="J539" t="str">
            <v xml:space="preserve">              123651121                 2847                    33903600</v>
          </cell>
          <cell r="K539">
            <v>40817</v>
          </cell>
          <cell r="L539">
            <v>30</v>
          </cell>
          <cell r="M539">
            <v>6300</v>
          </cell>
          <cell r="N539">
            <v>57273</v>
          </cell>
          <cell r="O539">
            <v>14782</v>
          </cell>
          <cell r="P539">
            <v>16</v>
          </cell>
          <cell r="Q539">
            <v>2</v>
          </cell>
          <cell r="S539">
            <v>7223.83</v>
          </cell>
          <cell r="T539">
            <v>7560.0000000000009</v>
          </cell>
          <cell r="U539">
            <v>3190.97</v>
          </cell>
          <cell r="AA539">
            <v>3190.97</v>
          </cell>
          <cell r="AB539">
            <v>208.93266666666665</v>
          </cell>
          <cell r="AD539">
            <v>7223.8290000000006</v>
          </cell>
          <cell r="AN539" t="str">
            <v xml:space="preserve">Contrato emergencial nº </v>
          </cell>
          <cell r="AO539" t="str">
            <v>PE</v>
          </cell>
        </row>
        <row r="540">
          <cell r="D540" t="str">
            <v>1639/11</v>
          </cell>
          <cell r="E540" t="str">
            <v>05/05/2011</v>
          </cell>
          <cell r="F540">
            <v>40847</v>
          </cell>
          <cell r="G540">
            <v>40847</v>
          </cell>
          <cell r="H540" t="str">
            <v>2011-0.127.171-6</v>
          </cell>
          <cell r="I540">
            <v>31418.52</v>
          </cell>
          <cell r="J540" t="str">
            <v xml:space="preserve">              123651121                 2847                    33903600</v>
          </cell>
          <cell r="K540">
            <v>40817</v>
          </cell>
          <cell r="L540">
            <v>31</v>
          </cell>
          <cell r="M540">
            <v>5500</v>
          </cell>
          <cell r="N540">
            <v>57273</v>
          </cell>
          <cell r="P540">
            <v>16</v>
          </cell>
          <cell r="Q540">
            <v>2</v>
          </cell>
          <cell r="T540">
            <v>6420</v>
          </cell>
          <cell r="AA540">
            <v>0</v>
          </cell>
          <cell r="AB540">
            <v>174.54733333333334</v>
          </cell>
          <cell r="AN540" t="str">
            <v xml:space="preserve">Contrato emergencial nº </v>
          </cell>
          <cell r="AO540" t="str">
            <v>PE</v>
          </cell>
        </row>
        <row r="541">
          <cell r="D541" t="str">
            <v>1640/11</v>
          </cell>
          <cell r="E541" t="str">
            <v>05/05/2011</v>
          </cell>
          <cell r="F541">
            <v>40847</v>
          </cell>
          <cell r="G541">
            <v>40847</v>
          </cell>
          <cell r="H541" t="str">
            <v>2011-0.127.178-3</v>
          </cell>
          <cell r="I541">
            <v>31418.52</v>
          </cell>
          <cell r="J541" t="str">
            <v xml:space="preserve">              123651121                 2847                    33903600</v>
          </cell>
          <cell r="K541">
            <v>40817</v>
          </cell>
          <cell r="L541">
            <v>31</v>
          </cell>
          <cell r="M541">
            <v>5500</v>
          </cell>
          <cell r="N541">
            <v>57273</v>
          </cell>
          <cell r="O541">
            <v>18939</v>
          </cell>
          <cell r="P541">
            <v>16</v>
          </cell>
          <cell r="Q541">
            <v>2</v>
          </cell>
          <cell r="S541">
            <v>4243.05</v>
          </cell>
          <cell r="T541">
            <v>8560</v>
          </cell>
          <cell r="U541">
            <v>505.77999999999975</v>
          </cell>
          <cell r="AA541">
            <v>505.77999999999975</v>
          </cell>
          <cell r="AB541">
            <v>174.54733333333334</v>
          </cell>
          <cell r="AD541">
            <v>5713.3650000000007</v>
          </cell>
          <cell r="AN541" t="str">
            <v xml:space="preserve">Contrato emergencial nº </v>
          </cell>
          <cell r="AO541" t="str">
            <v>FO</v>
          </cell>
        </row>
        <row r="542">
          <cell r="D542" t="str">
            <v>1641/11</v>
          </cell>
          <cell r="E542" t="str">
            <v>05/05/2011</v>
          </cell>
          <cell r="F542">
            <v>40847</v>
          </cell>
          <cell r="G542">
            <v>40847</v>
          </cell>
          <cell r="H542" t="str">
            <v>2011-0.127.183-0</v>
          </cell>
          <cell r="I542">
            <v>31012.38</v>
          </cell>
          <cell r="J542" t="str">
            <v xml:space="preserve">              123651121                 2847                    33903600</v>
          </cell>
          <cell r="K542">
            <v>40817</v>
          </cell>
          <cell r="L542">
            <v>31</v>
          </cell>
          <cell r="M542">
            <v>5400</v>
          </cell>
          <cell r="N542">
            <v>57273</v>
          </cell>
          <cell r="O542">
            <v>18645</v>
          </cell>
          <cell r="P542">
            <v>16</v>
          </cell>
          <cell r="Q542">
            <v>2</v>
          </cell>
          <cell r="T542">
            <v>6360</v>
          </cell>
          <cell r="U542">
            <v>0</v>
          </cell>
          <cell r="AA542">
            <v>0</v>
          </cell>
          <cell r="AB542">
            <v>172.291</v>
          </cell>
          <cell r="AD542">
            <v>4296.99</v>
          </cell>
          <cell r="AN542" t="str">
            <v xml:space="preserve">Contrato emergencial nº </v>
          </cell>
          <cell r="AO542" t="str">
            <v>MP</v>
          </cell>
        </row>
        <row r="543">
          <cell r="D543" t="str">
            <v>1484/11</v>
          </cell>
          <cell r="E543" t="str">
            <v>09/05/2011</v>
          </cell>
          <cell r="F543">
            <v>40851</v>
          </cell>
          <cell r="G543">
            <v>40851</v>
          </cell>
          <cell r="H543" t="str">
            <v>2011-0.102.946-0</v>
          </cell>
          <cell r="I543">
            <v>38261.760000000002</v>
          </cell>
          <cell r="J543" t="str">
            <v xml:space="preserve">              123651121                 2847                    33903600</v>
          </cell>
          <cell r="K543">
            <v>40848</v>
          </cell>
          <cell r="L543">
            <v>4</v>
          </cell>
          <cell r="M543">
            <v>900</v>
          </cell>
          <cell r="N543">
            <v>57273</v>
          </cell>
          <cell r="O543">
            <v>14155</v>
          </cell>
          <cell r="P543">
            <v>16</v>
          </cell>
          <cell r="Q543">
            <v>2</v>
          </cell>
          <cell r="S543">
            <v>5197.6899999999996</v>
          </cell>
          <cell r="T543">
            <v>5560</v>
          </cell>
          <cell r="U543">
            <v>569.92999999999995</v>
          </cell>
          <cell r="V543">
            <v>1200</v>
          </cell>
          <cell r="W543">
            <v>4</v>
          </cell>
          <cell r="AA543">
            <v>1769.9299999999998</v>
          </cell>
          <cell r="AB543">
            <v>212.56533333333334</v>
          </cell>
          <cell r="AD543">
            <v>6712.12</v>
          </cell>
          <cell r="AN543" t="str">
            <v xml:space="preserve">Contrato emergencial nº </v>
          </cell>
          <cell r="AO543" t="str">
            <v>G</v>
          </cell>
        </row>
        <row r="544">
          <cell r="D544" t="str">
            <v>1486/11</v>
          </cell>
          <cell r="E544" t="str">
            <v>09/05/2011</v>
          </cell>
          <cell r="F544">
            <v>40851</v>
          </cell>
          <cell r="G544">
            <v>40851</v>
          </cell>
          <cell r="H544" t="str">
            <v>2011-0.102.951-6</v>
          </cell>
          <cell r="I544">
            <v>51135.96</v>
          </cell>
          <cell r="J544" t="str">
            <v xml:space="preserve">              123651121                 2847                    33903600</v>
          </cell>
          <cell r="K544">
            <v>40848</v>
          </cell>
          <cell r="L544">
            <v>4</v>
          </cell>
          <cell r="M544">
            <v>1200</v>
          </cell>
          <cell r="N544">
            <v>57273</v>
          </cell>
          <cell r="O544">
            <v>14173</v>
          </cell>
          <cell r="P544">
            <v>16</v>
          </cell>
          <cell r="Q544">
            <v>2</v>
          </cell>
          <cell r="S544">
            <v>287.11</v>
          </cell>
          <cell r="T544">
            <v>7400</v>
          </cell>
          <cell r="U544">
            <v>0</v>
          </cell>
          <cell r="V544">
            <v>1200</v>
          </cell>
          <cell r="W544">
            <v>4</v>
          </cell>
          <cell r="Y544">
            <v>93416</v>
          </cell>
          <cell r="Z544">
            <v>4354.9399999999996</v>
          </cell>
          <cell r="AA544">
            <v>-3154.9399999999996</v>
          </cell>
          <cell r="AB544">
            <v>284.08866666666665</v>
          </cell>
          <cell r="AD544">
            <v>7225.28</v>
          </cell>
          <cell r="AN544" t="str">
            <v xml:space="preserve">Contrato emergencial nº </v>
          </cell>
          <cell r="AO544" t="str">
            <v>CS</v>
          </cell>
        </row>
        <row r="545">
          <cell r="D545" t="str">
            <v>1487/11</v>
          </cell>
          <cell r="E545" t="str">
            <v>09/05/2011</v>
          </cell>
          <cell r="F545">
            <v>40851</v>
          </cell>
          <cell r="G545">
            <v>40851</v>
          </cell>
          <cell r="H545" t="str">
            <v>2011-0.102.954-0</v>
          </cell>
          <cell r="I545">
            <v>42184.92</v>
          </cell>
          <cell r="J545" t="str">
            <v xml:space="preserve">             123671125                  2863                   33903600</v>
          </cell>
          <cell r="K545">
            <v>40848</v>
          </cell>
          <cell r="L545">
            <v>4</v>
          </cell>
          <cell r="M545">
            <v>1000</v>
          </cell>
          <cell r="N545">
            <v>57287</v>
          </cell>
          <cell r="O545">
            <v>14175</v>
          </cell>
          <cell r="P545">
            <v>16</v>
          </cell>
          <cell r="Q545">
            <v>4</v>
          </cell>
          <cell r="S545">
            <v>6838.2</v>
          </cell>
          <cell r="T545">
            <v>6120</v>
          </cell>
          <cell r="U545">
            <v>0</v>
          </cell>
          <cell r="V545">
            <v>1200</v>
          </cell>
          <cell r="W545">
            <v>4</v>
          </cell>
          <cell r="Y545">
            <v>93591</v>
          </cell>
          <cell r="Z545">
            <v>4411.55</v>
          </cell>
          <cell r="AA545">
            <v>-3211.55</v>
          </cell>
          <cell r="AB545">
            <v>234.36066666666665</v>
          </cell>
          <cell r="AD545">
            <v>6838.1950000000006</v>
          </cell>
          <cell r="AN545" t="str">
            <v xml:space="preserve">Contrato emergencial nº </v>
          </cell>
          <cell r="AO545" t="str">
            <v>PE</v>
          </cell>
        </row>
        <row r="546">
          <cell r="D546" t="str">
            <v>1488/11</v>
          </cell>
          <cell r="E546" t="str">
            <v>09/05/2011</v>
          </cell>
          <cell r="F546">
            <v>40851</v>
          </cell>
          <cell r="G546">
            <v>40851</v>
          </cell>
          <cell r="H546" t="str">
            <v>2011-0.102.956-7</v>
          </cell>
          <cell r="I546">
            <v>38261.760000000002</v>
          </cell>
          <cell r="J546" t="str">
            <v xml:space="preserve">              123611122                  2848                    33903600</v>
          </cell>
          <cell r="K546">
            <v>40848</v>
          </cell>
          <cell r="L546">
            <v>4</v>
          </cell>
          <cell r="M546">
            <v>900</v>
          </cell>
          <cell r="N546">
            <v>57278</v>
          </cell>
          <cell r="O546">
            <v>14176</v>
          </cell>
          <cell r="P546">
            <v>16</v>
          </cell>
          <cell r="Q546">
            <v>3</v>
          </cell>
          <cell r="T546">
            <v>4718.6000000000004</v>
          </cell>
          <cell r="U546">
            <v>0</v>
          </cell>
          <cell r="V546">
            <v>800</v>
          </cell>
          <cell r="W546">
            <v>4</v>
          </cell>
          <cell r="Y546">
            <v>105503</v>
          </cell>
          <cell r="Z546">
            <v>3359.68</v>
          </cell>
          <cell r="AA546">
            <v>-2559.6799999999998</v>
          </cell>
          <cell r="AB546">
            <v>212.56533333333334</v>
          </cell>
          <cell r="AD546">
            <v>5027.12</v>
          </cell>
          <cell r="AN546" t="str">
            <v xml:space="preserve">Contrato emergencial nº </v>
          </cell>
          <cell r="AO546" t="str">
            <v>JT</v>
          </cell>
        </row>
        <row r="547">
          <cell r="D547" t="str">
            <v>1489/11</v>
          </cell>
          <cell r="E547" t="str">
            <v>09/05/2011</v>
          </cell>
          <cell r="F547">
            <v>40851</v>
          </cell>
          <cell r="G547">
            <v>40851</v>
          </cell>
          <cell r="H547" t="str">
            <v>2011-0.102.958-3</v>
          </cell>
          <cell r="I547">
            <v>51135.96</v>
          </cell>
          <cell r="J547" t="str">
            <v xml:space="preserve">              123611122                  2848                    33903600</v>
          </cell>
          <cell r="K547">
            <v>40848</v>
          </cell>
          <cell r="L547">
            <v>4</v>
          </cell>
          <cell r="M547">
            <v>1200</v>
          </cell>
          <cell r="N547">
            <v>57278</v>
          </cell>
          <cell r="O547">
            <v>14177</v>
          </cell>
          <cell r="P547">
            <v>16</v>
          </cell>
          <cell r="Q547">
            <v>3</v>
          </cell>
          <cell r="S547">
            <v>540.34</v>
          </cell>
          <cell r="T547">
            <v>7400</v>
          </cell>
          <cell r="U547">
            <v>0</v>
          </cell>
          <cell r="V547">
            <v>1200</v>
          </cell>
          <cell r="W547">
            <v>4</v>
          </cell>
          <cell r="Y547">
            <v>93417</v>
          </cell>
          <cell r="Z547">
            <v>4125.17</v>
          </cell>
          <cell r="AA547">
            <v>-2925.17</v>
          </cell>
          <cell r="AB547">
            <v>284.08866666666665</v>
          </cell>
          <cell r="AD547">
            <v>7348.29</v>
          </cell>
          <cell r="AN547" t="str">
            <v xml:space="preserve">Contrato emergencial nº </v>
          </cell>
          <cell r="AO547" t="str">
            <v>CS</v>
          </cell>
        </row>
        <row r="548">
          <cell r="D548" t="str">
            <v>1490/11</v>
          </cell>
          <cell r="E548" t="str">
            <v>09/05/2011</v>
          </cell>
          <cell r="F548">
            <v>40851</v>
          </cell>
          <cell r="G548">
            <v>40851</v>
          </cell>
          <cell r="H548" t="str">
            <v>2011-0.102.960-5</v>
          </cell>
          <cell r="I548">
            <v>38261.760000000002</v>
          </cell>
          <cell r="J548" t="str">
            <v xml:space="preserve">              123611122                  2848                    33903600</v>
          </cell>
          <cell r="K548">
            <v>40848</v>
          </cell>
          <cell r="L548">
            <v>4</v>
          </cell>
          <cell r="M548">
            <v>900</v>
          </cell>
          <cell r="N548">
            <v>57278</v>
          </cell>
          <cell r="O548">
            <v>14181</v>
          </cell>
          <cell r="P548">
            <v>16</v>
          </cell>
          <cell r="Q548">
            <v>3</v>
          </cell>
          <cell r="S548">
            <v>3570.54</v>
          </cell>
          <cell r="T548">
            <v>5560</v>
          </cell>
          <cell r="U548">
            <v>0</v>
          </cell>
          <cell r="V548">
            <v>1200</v>
          </cell>
          <cell r="W548">
            <v>4</v>
          </cell>
          <cell r="Y548">
            <v>93150</v>
          </cell>
          <cell r="Z548">
            <v>1582.83</v>
          </cell>
          <cell r="AA548">
            <v>-382.82999999999993</v>
          </cell>
          <cell r="AB548">
            <v>212.56533333333334</v>
          </cell>
          <cell r="AD548">
            <v>6210.2099999999991</v>
          </cell>
          <cell r="AN548" t="str">
            <v xml:space="preserve">Contrato emergencial nº </v>
          </cell>
          <cell r="AO548" t="str">
            <v>IP</v>
          </cell>
        </row>
        <row r="549">
          <cell r="D549" t="str">
            <v>1491/11</v>
          </cell>
          <cell r="E549" t="str">
            <v>09/05/2011</v>
          </cell>
          <cell r="F549">
            <v>40851</v>
          </cell>
          <cell r="G549">
            <v>40851</v>
          </cell>
          <cell r="H549" t="str">
            <v>2011-0.102.961-3</v>
          </cell>
          <cell r="I549">
            <v>41774.04</v>
          </cell>
          <cell r="J549" t="str">
            <v xml:space="preserve">              123611122                  2848                    33903600</v>
          </cell>
          <cell r="K549">
            <v>40848</v>
          </cell>
          <cell r="L549">
            <v>4</v>
          </cell>
          <cell r="M549">
            <v>1000</v>
          </cell>
          <cell r="N549">
            <v>57278</v>
          </cell>
          <cell r="O549">
            <v>14182</v>
          </cell>
          <cell r="P549">
            <v>16</v>
          </cell>
          <cell r="Q549">
            <v>3</v>
          </cell>
          <cell r="S549">
            <v>4151.1400000000003</v>
          </cell>
          <cell r="T549">
            <v>6040</v>
          </cell>
          <cell r="U549">
            <v>0</v>
          </cell>
          <cell r="V549">
            <v>1200</v>
          </cell>
          <cell r="W549">
            <v>4</v>
          </cell>
          <cell r="Y549">
            <v>93418</v>
          </cell>
          <cell r="Z549">
            <v>517.5</v>
          </cell>
          <cell r="AA549">
            <v>682.5</v>
          </cell>
          <cell r="AB549">
            <v>232.078</v>
          </cell>
          <cell r="AD549">
            <v>7560.8399999999992</v>
          </cell>
          <cell r="AN549" t="str">
            <v xml:space="preserve">Contrato emergencial nº </v>
          </cell>
          <cell r="AO549" t="str">
            <v>CS</v>
          </cell>
        </row>
        <row r="550">
          <cell r="D550" t="str">
            <v>1492/11</v>
          </cell>
          <cell r="E550" t="str">
            <v>09/05/2011</v>
          </cell>
          <cell r="F550">
            <v>40851</v>
          </cell>
          <cell r="G550">
            <v>40851</v>
          </cell>
          <cell r="H550" t="str">
            <v>2011-0.102.962-1</v>
          </cell>
          <cell r="I550">
            <v>38261.760000000002</v>
          </cell>
          <cell r="J550" t="str">
            <v xml:space="preserve">              123611122                  2848                    33903600</v>
          </cell>
          <cell r="K550">
            <v>40848</v>
          </cell>
          <cell r="L550">
            <v>4</v>
          </cell>
          <cell r="M550">
            <v>900</v>
          </cell>
          <cell r="N550">
            <v>57278</v>
          </cell>
          <cell r="O550">
            <v>14184</v>
          </cell>
          <cell r="P550">
            <v>16</v>
          </cell>
          <cell r="Q550">
            <v>3</v>
          </cell>
          <cell r="S550">
            <v>122.5</v>
          </cell>
          <cell r="T550">
            <v>5560</v>
          </cell>
          <cell r="U550">
            <v>0</v>
          </cell>
          <cell r="V550">
            <v>800</v>
          </cell>
          <cell r="W550">
            <v>4</v>
          </cell>
          <cell r="Y550">
            <v>90584</v>
          </cell>
          <cell r="Z550">
            <v>4498</v>
          </cell>
          <cell r="AA550">
            <v>-3698</v>
          </cell>
          <cell r="AB550">
            <v>212.56533333333334</v>
          </cell>
          <cell r="AD550">
            <v>4722.835</v>
          </cell>
          <cell r="AN550" t="str">
            <v xml:space="preserve">Contrato emergencial nº </v>
          </cell>
          <cell r="AO550" t="str">
            <v>FO</v>
          </cell>
        </row>
        <row r="551">
          <cell r="D551" t="str">
            <v>1493/11</v>
          </cell>
          <cell r="E551" t="str">
            <v>09/05/2011</v>
          </cell>
          <cell r="F551">
            <v>40851</v>
          </cell>
          <cell r="G551">
            <v>40851</v>
          </cell>
          <cell r="H551" t="str">
            <v>2011-0.102.967-2</v>
          </cell>
          <cell r="I551">
            <v>38417.160000000003</v>
          </cell>
          <cell r="J551" t="str">
            <v xml:space="preserve">              123651121                 2847                    33903600</v>
          </cell>
          <cell r="K551">
            <v>40848</v>
          </cell>
          <cell r="L551">
            <v>4</v>
          </cell>
          <cell r="M551">
            <v>900</v>
          </cell>
          <cell r="N551">
            <v>57273</v>
          </cell>
          <cell r="O551">
            <v>14234</v>
          </cell>
          <cell r="P551">
            <v>16</v>
          </cell>
          <cell r="Q551">
            <v>2</v>
          </cell>
          <cell r="S551">
            <v>4929.67</v>
          </cell>
          <cell r="T551">
            <v>5560</v>
          </cell>
          <cell r="U551">
            <v>0</v>
          </cell>
          <cell r="V551">
            <v>1200</v>
          </cell>
          <cell r="W551">
            <v>4</v>
          </cell>
          <cell r="Y551">
            <v>93690</v>
          </cell>
          <cell r="Z551">
            <v>1470.26</v>
          </cell>
          <cell r="AA551">
            <v>-270.26</v>
          </cell>
          <cell r="AB551">
            <v>213.42866666666669</v>
          </cell>
          <cell r="AD551">
            <v>6775.66</v>
          </cell>
          <cell r="AN551" t="str">
            <v xml:space="preserve">Contrato emergencial nº </v>
          </cell>
          <cell r="AO551" t="str">
            <v>MP</v>
          </cell>
        </row>
        <row r="552">
          <cell r="D552" t="str">
            <v>1494/11</v>
          </cell>
          <cell r="E552" t="str">
            <v>09/05/2011</v>
          </cell>
          <cell r="F552">
            <v>40851</v>
          </cell>
          <cell r="G552">
            <v>40851</v>
          </cell>
          <cell r="H552" t="str">
            <v>2011-0.102.970-2</v>
          </cell>
          <cell r="I552">
            <v>52251.96</v>
          </cell>
          <cell r="J552" t="str">
            <v xml:space="preserve">              123651121                 2847                    33903600</v>
          </cell>
          <cell r="K552">
            <v>40848</v>
          </cell>
          <cell r="L552">
            <v>4</v>
          </cell>
          <cell r="M552">
            <v>1200</v>
          </cell>
          <cell r="N552">
            <v>57273</v>
          </cell>
          <cell r="O552">
            <v>14236</v>
          </cell>
          <cell r="P552">
            <v>16</v>
          </cell>
          <cell r="Q552">
            <v>2</v>
          </cell>
          <cell r="S552">
            <v>8164.27</v>
          </cell>
          <cell r="T552">
            <v>7560</v>
          </cell>
          <cell r="U552">
            <v>0</v>
          </cell>
          <cell r="V552">
            <v>1600</v>
          </cell>
          <cell r="W552">
            <v>4</v>
          </cell>
          <cell r="Y552">
            <v>93419</v>
          </cell>
          <cell r="Z552">
            <v>314.68</v>
          </cell>
          <cell r="AA552">
            <v>1285.32</v>
          </cell>
          <cell r="AB552">
            <v>290.28866666666664</v>
          </cell>
          <cell r="AD552">
            <v>9775.76</v>
          </cell>
          <cell r="AN552" t="str">
            <v xml:space="preserve">Contrato emergencial nº </v>
          </cell>
          <cell r="AO552" t="str">
            <v>CS</v>
          </cell>
        </row>
        <row r="553">
          <cell r="D553" t="str">
            <v>1495/11</v>
          </cell>
          <cell r="E553" t="str">
            <v>09/05/2011</v>
          </cell>
          <cell r="F553">
            <v>40851</v>
          </cell>
          <cell r="G553">
            <v>40851</v>
          </cell>
          <cell r="H553" t="str">
            <v>2011-0.103.580-0</v>
          </cell>
          <cell r="I553">
            <v>37607.879999999997</v>
          </cell>
          <cell r="J553" t="str">
            <v xml:space="preserve">              123611122                  2848                    33903600</v>
          </cell>
          <cell r="K553">
            <v>40848</v>
          </cell>
          <cell r="L553">
            <v>4</v>
          </cell>
          <cell r="M553">
            <v>900</v>
          </cell>
          <cell r="N553">
            <v>57278</v>
          </cell>
          <cell r="O553">
            <v>14238</v>
          </cell>
          <cell r="P553">
            <v>16</v>
          </cell>
          <cell r="Q553">
            <v>3</v>
          </cell>
          <cell r="T553">
            <v>4803.6900000000005</v>
          </cell>
          <cell r="U553">
            <v>0</v>
          </cell>
          <cell r="V553">
            <v>800</v>
          </cell>
          <cell r="W553">
            <v>4</v>
          </cell>
          <cell r="Y553">
            <v>107687</v>
          </cell>
          <cell r="Z553">
            <v>3208.9</v>
          </cell>
          <cell r="AA553">
            <v>-2408.9</v>
          </cell>
          <cell r="AB553">
            <v>208.93266666666665</v>
          </cell>
          <cell r="AD553">
            <v>5011.25</v>
          </cell>
          <cell r="AN553" t="str">
            <v xml:space="preserve">Contrato emergencial nº </v>
          </cell>
          <cell r="AO553" t="str">
            <v xml:space="preserve">SA </v>
          </cell>
        </row>
        <row r="554">
          <cell r="D554" t="str">
            <v>1496/11</v>
          </cell>
          <cell r="E554" t="str">
            <v>09/05/2011</v>
          </cell>
          <cell r="F554">
            <v>40851</v>
          </cell>
          <cell r="G554">
            <v>40851</v>
          </cell>
          <cell r="H554" t="str">
            <v>2011-0.103.613-0</v>
          </cell>
          <cell r="I554">
            <v>37607.879999999997</v>
          </cell>
          <cell r="J554" t="str">
            <v xml:space="preserve">              123611122                  2848                    33903600</v>
          </cell>
          <cell r="K554">
            <v>40848</v>
          </cell>
          <cell r="L554">
            <v>4</v>
          </cell>
          <cell r="M554">
            <v>900</v>
          </cell>
          <cell r="N554">
            <v>57278</v>
          </cell>
          <cell r="O554">
            <v>14239</v>
          </cell>
          <cell r="P554">
            <v>16</v>
          </cell>
          <cell r="Q554">
            <v>3</v>
          </cell>
          <cell r="S554">
            <v>3519.44</v>
          </cell>
          <cell r="T554">
            <v>5440</v>
          </cell>
          <cell r="U554">
            <v>0</v>
          </cell>
          <cell r="V554">
            <v>1200</v>
          </cell>
          <cell r="W554">
            <v>4</v>
          </cell>
          <cell r="Y554">
            <v>93305</v>
          </cell>
          <cell r="Z554">
            <v>1163.94</v>
          </cell>
          <cell r="AA554">
            <v>36.059999999999945</v>
          </cell>
          <cell r="AB554">
            <v>208.93266666666665</v>
          </cell>
          <cell r="AD554">
            <v>6327.1497777777786</v>
          </cell>
          <cell r="AN554" t="str">
            <v xml:space="preserve">Contrato emergencial nº </v>
          </cell>
          <cell r="AO554" t="str">
            <v>PJ</v>
          </cell>
        </row>
        <row r="555">
          <cell r="D555" t="str">
            <v>1497/11</v>
          </cell>
          <cell r="E555" t="str">
            <v>09/05/2011</v>
          </cell>
          <cell r="F555">
            <v>40851</v>
          </cell>
          <cell r="G555">
            <v>40851</v>
          </cell>
          <cell r="H555" t="str">
            <v>2011-0.103.617-2</v>
          </cell>
          <cell r="I555">
            <v>39569.46</v>
          </cell>
          <cell r="J555" t="str">
            <v xml:space="preserve">              123611122                  2848                    33903600</v>
          </cell>
          <cell r="K555">
            <v>40848</v>
          </cell>
          <cell r="L555">
            <v>4</v>
          </cell>
          <cell r="M555">
            <v>900</v>
          </cell>
          <cell r="N555">
            <v>57278</v>
          </cell>
          <cell r="O555">
            <v>14240</v>
          </cell>
          <cell r="P555">
            <v>16</v>
          </cell>
          <cell r="Q555">
            <v>3</v>
          </cell>
          <cell r="S555">
            <v>569.09</v>
          </cell>
          <cell r="T555">
            <v>5720</v>
          </cell>
          <cell r="U555">
            <v>0</v>
          </cell>
          <cell r="V555">
            <v>800</v>
          </cell>
          <cell r="W555">
            <v>4</v>
          </cell>
          <cell r="Y555">
            <v>93445</v>
          </cell>
          <cell r="Z555">
            <v>2797.85</v>
          </cell>
          <cell r="AA555">
            <v>-1997.85</v>
          </cell>
          <cell r="AB555">
            <v>219.83033333333333</v>
          </cell>
          <cell r="AD555">
            <v>5424.6699999999992</v>
          </cell>
          <cell r="AN555" t="str">
            <v xml:space="preserve">Contrato emergencial nº </v>
          </cell>
          <cell r="AO555" t="str">
            <v>CS</v>
          </cell>
        </row>
        <row r="556">
          <cell r="D556" t="str">
            <v>1498/11</v>
          </cell>
          <cell r="E556" t="str">
            <v>09/05/2011</v>
          </cell>
          <cell r="F556">
            <v>40851</v>
          </cell>
          <cell r="G556">
            <v>40851</v>
          </cell>
          <cell r="H556" t="str">
            <v>2011-0.103.620-2</v>
          </cell>
          <cell r="I556">
            <v>38261.760000000002</v>
          </cell>
          <cell r="J556" t="str">
            <v xml:space="preserve">              123611122                  2848                    33903600</v>
          </cell>
          <cell r="K556">
            <v>40848</v>
          </cell>
          <cell r="L556">
            <v>4</v>
          </cell>
          <cell r="M556">
            <v>900</v>
          </cell>
          <cell r="N556">
            <v>57278</v>
          </cell>
          <cell r="O556">
            <v>14242</v>
          </cell>
          <cell r="P556">
            <v>16</v>
          </cell>
          <cell r="Q556">
            <v>3</v>
          </cell>
          <cell r="S556">
            <v>976.95</v>
          </cell>
          <cell r="T556">
            <v>5560</v>
          </cell>
          <cell r="U556">
            <v>0</v>
          </cell>
          <cell r="V556">
            <v>800</v>
          </cell>
          <cell r="W556">
            <v>4</v>
          </cell>
          <cell r="Y556">
            <v>93692</v>
          </cell>
          <cell r="Z556">
            <v>3448.76</v>
          </cell>
          <cell r="AA556">
            <v>-2648.76</v>
          </cell>
          <cell r="AB556">
            <v>212.56533333333334</v>
          </cell>
          <cell r="AD556">
            <v>5269.12</v>
          </cell>
          <cell r="AN556" t="str">
            <v xml:space="preserve">Contrato emergencial nº </v>
          </cell>
          <cell r="AO556" t="str">
            <v>MP</v>
          </cell>
        </row>
        <row r="557">
          <cell r="D557" t="str">
            <v>1499/11</v>
          </cell>
          <cell r="E557" t="str">
            <v>09/05/2011</v>
          </cell>
          <cell r="F557">
            <v>40851</v>
          </cell>
          <cell r="G557">
            <v>40851</v>
          </cell>
          <cell r="H557" t="str">
            <v>2011-0.103.622-9</v>
          </cell>
          <cell r="I557">
            <v>38417.160000000003</v>
          </cell>
          <cell r="J557" t="str">
            <v xml:space="preserve">              123651121                 2847                    33903600</v>
          </cell>
          <cell r="K557">
            <v>40848</v>
          </cell>
          <cell r="L557">
            <v>4</v>
          </cell>
          <cell r="M557">
            <v>900</v>
          </cell>
          <cell r="N557">
            <v>57273</v>
          </cell>
          <cell r="O557">
            <v>14244</v>
          </cell>
          <cell r="P557">
            <v>16</v>
          </cell>
          <cell r="Q557">
            <v>2</v>
          </cell>
          <cell r="T557">
            <v>6971.02</v>
          </cell>
          <cell r="U557">
            <v>0</v>
          </cell>
          <cell r="V557">
            <v>1600</v>
          </cell>
          <cell r="W557">
            <v>4</v>
          </cell>
          <cell r="Y557">
            <v>112565</v>
          </cell>
          <cell r="Z557">
            <v>2069.09</v>
          </cell>
          <cell r="AA557">
            <v>-469.09000000000015</v>
          </cell>
          <cell r="AB557">
            <v>213.42866666666669</v>
          </cell>
          <cell r="AD557">
            <v>10379.481999999998</v>
          </cell>
          <cell r="AN557" t="str">
            <v xml:space="preserve">Contrato emergencial nº </v>
          </cell>
          <cell r="AO557" t="str">
            <v>PJ</v>
          </cell>
        </row>
        <row r="558">
          <cell r="D558" t="str">
            <v>1500/11</v>
          </cell>
          <cell r="E558" t="str">
            <v>09/05/2011</v>
          </cell>
          <cell r="F558">
            <v>40851</v>
          </cell>
          <cell r="G558">
            <v>40851</v>
          </cell>
          <cell r="H558" t="str">
            <v>2011-0.103.626-1</v>
          </cell>
          <cell r="I558">
            <v>45632.28</v>
          </cell>
          <cell r="J558" t="str">
            <v xml:space="preserve">              123651121                 2847                    33903600</v>
          </cell>
          <cell r="K558">
            <v>40848</v>
          </cell>
          <cell r="L558">
            <v>4</v>
          </cell>
          <cell r="M558">
            <v>1100</v>
          </cell>
          <cell r="N558">
            <v>57273</v>
          </cell>
          <cell r="O558">
            <v>14248</v>
          </cell>
          <cell r="P558">
            <v>16</v>
          </cell>
          <cell r="Q558">
            <v>2</v>
          </cell>
          <cell r="S558">
            <v>4858.54</v>
          </cell>
          <cell r="T558">
            <v>6600</v>
          </cell>
          <cell r="U558">
            <v>0</v>
          </cell>
          <cell r="V558">
            <v>1200</v>
          </cell>
          <cell r="W558">
            <v>4</v>
          </cell>
          <cell r="Y558">
            <v>92630</v>
          </cell>
          <cell r="Z558">
            <v>1651.07</v>
          </cell>
          <cell r="AA558">
            <v>-451.06999999999994</v>
          </cell>
          <cell r="AB558">
            <v>253.51266666666666</v>
          </cell>
          <cell r="AD558">
            <v>7682.62</v>
          </cell>
          <cell r="AN558" t="str">
            <v xml:space="preserve">Contrato emergencial nº </v>
          </cell>
          <cell r="AO558" t="str">
            <v>PJ</v>
          </cell>
        </row>
        <row r="559">
          <cell r="D559" t="str">
            <v>1501/11</v>
          </cell>
          <cell r="E559" t="str">
            <v>09/05/2011</v>
          </cell>
          <cell r="F559">
            <v>40851</v>
          </cell>
          <cell r="G559">
            <v>40851</v>
          </cell>
          <cell r="H559" t="str">
            <v>2011-0.103.630-0</v>
          </cell>
          <cell r="I559">
            <v>37607.879999999997</v>
          </cell>
          <cell r="J559" t="str">
            <v xml:space="preserve">              123651121                 2847                    33903600</v>
          </cell>
          <cell r="K559">
            <v>40848</v>
          </cell>
          <cell r="L559">
            <v>4</v>
          </cell>
          <cell r="M559">
            <v>900</v>
          </cell>
          <cell r="N559">
            <v>57273</v>
          </cell>
          <cell r="O559">
            <v>14249</v>
          </cell>
          <cell r="P559">
            <v>16</v>
          </cell>
          <cell r="Q559">
            <v>2</v>
          </cell>
          <cell r="S559">
            <v>2080.44</v>
          </cell>
          <cell r="T559">
            <v>5440</v>
          </cell>
          <cell r="U559">
            <v>0</v>
          </cell>
          <cell r="V559">
            <v>800</v>
          </cell>
          <cell r="W559">
            <v>4</v>
          </cell>
          <cell r="Y559">
            <v>93140</v>
          </cell>
          <cell r="Z559">
            <v>2062.15</v>
          </cell>
          <cell r="AA559">
            <v>-1262.1500000000001</v>
          </cell>
          <cell r="AB559">
            <v>208.93266666666665</v>
          </cell>
          <cell r="AD559">
            <v>5712.1899999999987</v>
          </cell>
          <cell r="AN559" t="str">
            <v xml:space="preserve">Contrato emergencial nº </v>
          </cell>
          <cell r="AO559" t="str">
            <v>JT</v>
          </cell>
        </row>
        <row r="560">
          <cell r="D560" t="str">
            <v>1503/11</v>
          </cell>
          <cell r="E560" t="str">
            <v>09/05/2011</v>
          </cell>
          <cell r="F560">
            <v>40851</v>
          </cell>
          <cell r="G560">
            <v>40851</v>
          </cell>
          <cell r="H560" t="str">
            <v>2011-0.103.633-4</v>
          </cell>
          <cell r="I560">
            <v>40976.639999999999</v>
          </cell>
          <cell r="J560" t="str">
            <v xml:space="preserve">              123651121                 2847                    33903600</v>
          </cell>
          <cell r="K560">
            <v>40848</v>
          </cell>
          <cell r="L560">
            <v>4</v>
          </cell>
          <cell r="M560">
            <v>1000</v>
          </cell>
          <cell r="N560">
            <v>57273</v>
          </cell>
          <cell r="O560">
            <v>14252</v>
          </cell>
          <cell r="P560">
            <v>16</v>
          </cell>
          <cell r="Q560">
            <v>2</v>
          </cell>
          <cell r="S560">
            <v>121.97</v>
          </cell>
          <cell r="T560">
            <v>5920</v>
          </cell>
          <cell r="U560">
            <v>0</v>
          </cell>
          <cell r="V560">
            <v>800</v>
          </cell>
          <cell r="W560">
            <v>4</v>
          </cell>
          <cell r="Y560">
            <v>93962</v>
          </cell>
          <cell r="Z560">
            <v>3816.84</v>
          </cell>
          <cell r="AA560">
            <v>-3016.84</v>
          </cell>
          <cell r="AB560">
            <v>227.648</v>
          </cell>
          <cell r="AD560">
            <v>5615.2574999999997</v>
          </cell>
          <cell r="AN560" t="str">
            <v xml:space="preserve">Contrato emergencial nº </v>
          </cell>
          <cell r="AO560" t="str">
            <v xml:space="preserve">SA </v>
          </cell>
        </row>
        <row r="561">
          <cell r="D561" t="str">
            <v>1504/11</v>
          </cell>
          <cell r="E561" t="str">
            <v>09/05/2011</v>
          </cell>
          <cell r="F561">
            <v>40851</v>
          </cell>
          <cell r="G561">
            <v>40851</v>
          </cell>
          <cell r="H561" t="str">
            <v>2011-0.103.637-7</v>
          </cell>
          <cell r="I561">
            <v>37607.879999999997</v>
          </cell>
          <cell r="J561" t="str">
            <v xml:space="preserve">              123651121                 2847                    33903600</v>
          </cell>
          <cell r="K561">
            <v>40848</v>
          </cell>
          <cell r="L561">
            <v>4</v>
          </cell>
          <cell r="M561">
            <v>900</v>
          </cell>
          <cell r="N561">
            <v>57273</v>
          </cell>
          <cell r="O561">
            <v>14254</v>
          </cell>
          <cell r="P561">
            <v>16</v>
          </cell>
          <cell r="Q561">
            <v>2</v>
          </cell>
          <cell r="S561">
            <v>1139.06</v>
          </cell>
          <cell r="T561">
            <v>5440</v>
          </cell>
          <cell r="U561">
            <v>0</v>
          </cell>
          <cell r="V561">
            <v>800</v>
          </cell>
          <cell r="W561">
            <v>4</v>
          </cell>
          <cell r="Y561">
            <v>93149</v>
          </cell>
          <cell r="Z561">
            <v>1930.09</v>
          </cell>
          <cell r="AA561">
            <v>-1130.0899999999999</v>
          </cell>
          <cell r="AB561">
            <v>208.93266666666665</v>
          </cell>
          <cell r="AD561">
            <v>5916.28</v>
          </cell>
          <cell r="AN561" t="str">
            <v xml:space="preserve">Contrato emergencial nº </v>
          </cell>
          <cell r="AO561" t="str">
            <v>JT</v>
          </cell>
        </row>
        <row r="562">
          <cell r="D562" t="str">
            <v>1505/11</v>
          </cell>
          <cell r="E562" t="str">
            <v>09/05/2011</v>
          </cell>
          <cell r="F562">
            <v>40851</v>
          </cell>
          <cell r="G562">
            <v>40851</v>
          </cell>
          <cell r="H562" t="str">
            <v>2011-0.104.069-2</v>
          </cell>
          <cell r="I562">
            <v>30150.54</v>
          </cell>
          <cell r="J562" t="str">
            <v xml:space="preserve">              123611122                  2848                    33903600</v>
          </cell>
          <cell r="K562">
            <v>40848</v>
          </cell>
          <cell r="L562">
            <v>4</v>
          </cell>
          <cell r="M562">
            <v>700</v>
          </cell>
          <cell r="N562">
            <v>57278</v>
          </cell>
          <cell r="O562">
            <v>14256</v>
          </cell>
          <cell r="P562">
            <v>16</v>
          </cell>
          <cell r="Q562">
            <v>3</v>
          </cell>
          <cell r="S562">
            <v>4160.6899999999996</v>
          </cell>
          <cell r="T562">
            <v>4360</v>
          </cell>
          <cell r="U562">
            <v>0</v>
          </cell>
          <cell r="V562">
            <v>800</v>
          </cell>
          <cell r="W562">
            <v>4</v>
          </cell>
          <cell r="Y562">
            <v>93207</v>
          </cell>
          <cell r="Z562">
            <v>256.45</v>
          </cell>
          <cell r="AA562">
            <v>543.54999999999995</v>
          </cell>
          <cell r="AB562">
            <v>167.50300000000001</v>
          </cell>
          <cell r="AD562">
            <v>5372.4</v>
          </cell>
          <cell r="AN562" t="str">
            <v xml:space="preserve">Contrato emergencial nº </v>
          </cell>
          <cell r="AO562" t="str">
            <v>JT</v>
          </cell>
        </row>
        <row r="563">
          <cell r="D563" t="str">
            <v>1506/11</v>
          </cell>
          <cell r="E563" t="str">
            <v>09/05/2011</v>
          </cell>
          <cell r="F563">
            <v>40851</v>
          </cell>
          <cell r="G563">
            <v>40851</v>
          </cell>
          <cell r="H563" t="str">
            <v>2011-0.104.070-6</v>
          </cell>
          <cell r="I563">
            <v>38417.160000000003</v>
          </cell>
          <cell r="J563" t="str">
            <v xml:space="preserve">              123611122                  2848                    33903600</v>
          </cell>
          <cell r="K563">
            <v>40848</v>
          </cell>
          <cell r="L563">
            <v>4</v>
          </cell>
          <cell r="M563">
            <v>900</v>
          </cell>
          <cell r="N563">
            <v>57278</v>
          </cell>
          <cell r="O563">
            <v>14258</v>
          </cell>
          <cell r="P563">
            <v>16</v>
          </cell>
          <cell r="Q563">
            <v>3</v>
          </cell>
          <cell r="S563">
            <v>2091.09</v>
          </cell>
          <cell r="T563">
            <v>5560</v>
          </cell>
          <cell r="U563">
            <v>0</v>
          </cell>
          <cell r="V563">
            <v>800</v>
          </cell>
          <cell r="W563">
            <v>4</v>
          </cell>
          <cell r="Y563">
            <v>93807</v>
          </cell>
          <cell r="Z563">
            <v>1616.24</v>
          </cell>
          <cell r="AA563">
            <v>-816.24</v>
          </cell>
          <cell r="AB563">
            <v>213.42866666666669</v>
          </cell>
          <cell r="AD563">
            <v>5918.9999999999991</v>
          </cell>
          <cell r="AN563" t="str">
            <v xml:space="preserve">Contrato emergencial nº </v>
          </cell>
          <cell r="AO563" t="str">
            <v>MP</v>
          </cell>
        </row>
        <row r="564">
          <cell r="D564" t="str">
            <v>1507/11</v>
          </cell>
          <cell r="E564" t="str">
            <v>09/05/2011</v>
          </cell>
          <cell r="F564">
            <v>40851</v>
          </cell>
          <cell r="G564">
            <v>40851</v>
          </cell>
          <cell r="H564" t="str">
            <v>2011-0.104.071-4</v>
          </cell>
          <cell r="I564">
            <v>38417.160000000003</v>
          </cell>
          <cell r="J564" t="str">
            <v xml:space="preserve">              123611122                  2848                    33903600</v>
          </cell>
          <cell r="K564">
            <v>40848</v>
          </cell>
          <cell r="L564">
            <v>4</v>
          </cell>
          <cell r="M564">
            <v>900</v>
          </cell>
          <cell r="N564">
            <v>57278</v>
          </cell>
          <cell r="O564">
            <v>14260</v>
          </cell>
          <cell r="P564">
            <v>16</v>
          </cell>
          <cell r="Q564">
            <v>3</v>
          </cell>
          <cell r="S564">
            <v>1792.52</v>
          </cell>
          <cell r="T564">
            <v>5560</v>
          </cell>
          <cell r="U564">
            <v>0</v>
          </cell>
          <cell r="V564">
            <v>800</v>
          </cell>
          <cell r="W564">
            <v>4</v>
          </cell>
          <cell r="Y564">
            <v>98487</v>
          </cell>
          <cell r="Z564">
            <v>2075.3200000000002</v>
          </cell>
          <cell r="AA564">
            <v>-1275.3200000000002</v>
          </cell>
          <cell r="AB564">
            <v>213.42866666666669</v>
          </cell>
          <cell r="AD564">
            <v>5863.6399999999985</v>
          </cell>
          <cell r="AN564" t="str">
            <v xml:space="preserve">Contrato emergencial nº </v>
          </cell>
          <cell r="AO564" t="str">
            <v>SM</v>
          </cell>
        </row>
        <row r="565">
          <cell r="D565" t="str">
            <v>1508/11</v>
          </cell>
          <cell r="E565" t="str">
            <v>09/05/2011</v>
          </cell>
          <cell r="F565">
            <v>40851</v>
          </cell>
          <cell r="G565">
            <v>40851</v>
          </cell>
          <cell r="H565" t="str">
            <v>2011-0.104.072-2</v>
          </cell>
          <cell r="I565">
            <v>44324.52</v>
          </cell>
          <cell r="J565" t="str">
            <v xml:space="preserve">              123651121                 2847                    33903600</v>
          </cell>
          <cell r="K565">
            <v>40848</v>
          </cell>
          <cell r="L565">
            <v>4</v>
          </cell>
          <cell r="M565">
            <v>1000</v>
          </cell>
          <cell r="N565">
            <v>57273</v>
          </cell>
          <cell r="O565">
            <v>14268</v>
          </cell>
          <cell r="P565">
            <v>16</v>
          </cell>
          <cell r="Q565">
            <v>2</v>
          </cell>
          <cell r="T565">
            <v>4822.1099999999997</v>
          </cell>
          <cell r="U565">
            <v>0</v>
          </cell>
          <cell r="V565">
            <v>800</v>
          </cell>
          <cell r="W565">
            <v>4</v>
          </cell>
          <cell r="Y565">
            <v>108352</v>
          </cell>
          <cell r="Z565">
            <v>4047.29</v>
          </cell>
          <cell r="AA565">
            <v>-3247.29</v>
          </cell>
          <cell r="AB565">
            <v>246.2473333333333</v>
          </cell>
          <cell r="AD565">
            <v>5454.2546666666667</v>
          </cell>
          <cell r="AN565" t="str">
            <v xml:space="preserve">Contrato emergencial nº </v>
          </cell>
          <cell r="AO565" t="str">
            <v>PE</v>
          </cell>
        </row>
        <row r="566">
          <cell r="D566" t="str">
            <v>1509/11</v>
          </cell>
          <cell r="E566" t="str">
            <v>09/05/2011</v>
          </cell>
          <cell r="F566">
            <v>40851</v>
          </cell>
          <cell r="G566">
            <v>40851</v>
          </cell>
          <cell r="H566" t="str">
            <v>2011-0.104.073-0</v>
          </cell>
          <cell r="I566">
            <v>41785.08</v>
          </cell>
          <cell r="J566" t="str">
            <v xml:space="preserve">              123651121                 2847                    33903600</v>
          </cell>
          <cell r="K566">
            <v>40848</v>
          </cell>
          <cell r="L566">
            <v>4</v>
          </cell>
          <cell r="M566">
            <v>1000</v>
          </cell>
          <cell r="N566">
            <v>57273</v>
          </cell>
          <cell r="O566">
            <v>14270</v>
          </cell>
          <cell r="P566">
            <v>16</v>
          </cell>
          <cell r="Q566">
            <v>2</v>
          </cell>
          <cell r="S566">
            <v>215.58</v>
          </cell>
          <cell r="T566">
            <v>6040</v>
          </cell>
          <cell r="U566">
            <v>0</v>
          </cell>
          <cell r="V566">
            <v>800</v>
          </cell>
          <cell r="W566">
            <v>4</v>
          </cell>
          <cell r="Y566">
            <v>93215</v>
          </cell>
          <cell r="Z566">
            <v>3621.42</v>
          </cell>
          <cell r="AA566">
            <v>-2821.42</v>
          </cell>
          <cell r="AB566">
            <v>232.13933333333335</v>
          </cell>
          <cell r="AD566">
            <v>5936.76</v>
          </cell>
          <cell r="AN566" t="str">
            <v xml:space="preserve">Contrato emergencial nº </v>
          </cell>
          <cell r="AO566" t="str">
            <v>JT</v>
          </cell>
        </row>
        <row r="567">
          <cell r="D567" t="str">
            <v>1511/11</v>
          </cell>
          <cell r="E567" t="str">
            <v>09/05/2011</v>
          </cell>
          <cell r="F567">
            <v>40851</v>
          </cell>
          <cell r="G567">
            <v>40851</v>
          </cell>
          <cell r="H567" t="str">
            <v>2011-0.104.076-5</v>
          </cell>
          <cell r="I567">
            <v>51135.96</v>
          </cell>
          <cell r="J567" t="str">
            <v xml:space="preserve">              123651121                 2847                    33903600</v>
          </cell>
          <cell r="K567">
            <v>40848</v>
          </cell>
          <cell r="L567">
            <v>4</v>
          </cell>
          <cell r="M567">
            <v>1200</v>
          </cell>
          <cell r="N567">
            <v>57273</v>
          </cell>
          <cell r="O567">
            <v>14272</v>
          </cell>
          <cell r="P567">
            <v>16</v>
          </cell>
          <cell r="Q567">
            <v>2</v>
          </cell>
          <cell r="S567">
            <v>533.84</v>
          </cell>
          <cell r="T567">
            <v>7400</v>
          </cell>
          <cell r="U567">
            <v>0</v>
          </cell>
          <cell r="V567">
            <v>1200</v>
          </cell>
          <cell r="W567">
            <v>4</v>
          </cell>
          <cell r="Y567">
            <v>93447</v>
          </cell>
          <cell r="Z567">
            <v>4205.12</v>
          </cell>
          <cell r="AA567">
            <v>-3005.12</v>
          </cell>
          <cell r="AB567">
            <v>284.08866666666665</v>
          </cell>
          <cell r="AD567">
            <v>7178.64</v>
          </cell>
          <cell r="AN567" t="str">
            <v xml:space="preserve">Contrato emergencial nº </v>
          </cell>
          <cell r="AO567" t="str">
            <v>CS</v>
          </cell>
        </row>
        <row r="568">
          <cell r="D568" t="str">
            <v>1512/11</v>
          </cell>
          <cell r="E568" t="str">
            <v>09/05/2011</v>
          </cell>
          <cell r="F568">
            <v>40851</v>
          </cell>
          <cell r="G568">
            <v>40851</v>
          </cell>
          <cell r="H568" t="str">
            <v>2011-0.104.077-3</v>
          </cell>
          <cell r="I568">
            <v>44324.52</v>
          </cell>
          <cell r="J568" t="str">
            <v xml:space="preserve">              123651121                 2847                    33903600</v>
          </cell>
          <cell r="K568">
            <v>40848</v>
          </cell>
          <cell r="L568">
            <v>4</v>
          </cell>
          <cell r="M568">
            <v>1000</v>
          </cell>
          <cell r="N568">
            <v>57273</v>
          </cell>
          <cell r="O568">
            <v>14290</v>
          </cell>
          <cell r="P568">
            <v>16</v>
          </cell>
          <cell r="Q568">
            <v>2</v>
          </cell>
          <cell r="S568">
            <v>1474.1</v>
          </cell>
          <cell r="T568">
            <v>6440</v>
          </cell>
          <cell r="U568">
            <v>0</v>
          </cell>
          <cell r="V568">
            <v>1200</v>
          </cell>
          <cell r="W568">
            <v>4</v>
          </cell>
          <cell r="Y568">
            <v>93222</v>
          </cell>
          <cell r="Z568">
            <v>3530.67</v>
          </cell>
          <cell r="AA568">
            <v>-2330.67</v>
          </cell>
          <cell r="AB568">
            <v>246.2473333333333</v>
          </cell>
          <cell r="AD568">
            <v>6243.0849999999991</v>
          </cell>
          <cell r="AN568" t="str">
            <v xml:space="preserve">Contrato emergencial nº </v>
          </cell>
          <cell r="AO568" t="str">
            <v>JT</v>
          </cell>
        </row>
        <row r="569">
          <cell r="D569" t="str">
            <v>1513/11</v>
          </cell>
          <cell r="E569" t="str">
            <v>09/05/2011</v>
          </cell>
          <cell r="F569">
            <v>40851</v>
          </cell>
          <cell r="G569">
            <v>40851</v>
          </cell>
          <cell r="H569" t="str">
            <v>2011-0.104.079-0</v>
          </cell>
          <cell r="I569">
            <v>21829.26</v>
          </cell>
          <cell r="J569" t="str">
            <v xml:space="preserve">              123611122                  2848                    33903600</v>
          </cell>
          <cell r="K569">
            <v>40848</v>
          </cell>
          <cell r="L569">
            <v>4</v>
          </cell>
          <cell r="M569">
            <v>500</v>
          </cell>
          <cell r="N569">
            <v>57278</v>
          </cell>
          <cell r="O569">
            <v>14292</v>
          </cell>
          <cell r="P569">
            <v>16</v>
          </cell>
          <cell r="Q569">
            <v>3</v>
          </cell>
          <cell r="T569">
            <v>3160</v>
          </cell>
          <cell r="V569">
            <v>500</v>
          </cell>
          <cell r="W569">
            <v>4</v>
          </cell>
          <cell r="AA569">
            <v>500</v>
          </cell>
          <cell r="AB569">
            <v>121.27366666666666</v>
          </cell>
          <cell r="AN569" t="str">
            <v xml:space="preserve">Contrato emergencial nº </v>
          </cell>
          <cell r="AO569" t="str">
            <v>JT</v>
          </cell>
        </row>
        <row r="570">
          <cell r="D570" t="str">
            <v>1514/11</v>
          </cell>
          <cell r="E570" t="str">
            <v>09/05/2011</v>
          </cell>
          <cell r="F570">
            <v>40851</v>
          </cell>
          <cell r="G570">
            <v>40851</v>
          </cell>
          <cell r="H570" t="str">
            <v>2011-0.104.080-3</v>
          </cell>
          <cell r="I570">
            <v>45632.28</v>
          </cell>
          <cell r="J570" t="str">
            <v xml:space="preserve">              123611122                  2848                    33903600</v>
          </cell>
          <cell r="K570">
            <v>40848</v>
          </cell>
          <cell r="L570">
            <v>4</v>
          </cell>
          <cell r="M570">
            <v>1100</v>
          </cell>
          <cell r="N570">
            <v>57278</v>
          </cell>
          <cell r="O570">
            <v>14295</v>
          </cell>
          <cell r="P570">
            <v>16</v>
          </cell>
          <cell r="Q570">
            <v>3</v>
          </cell>
          <cell r="S570">
            <v>757.76</v>
          </cell>
          <cell r="T570">
            <v>6600</v>
          </cell>
          <cell r="U570">
            <v>0</v>
          </cell>
          <cell r="V570">
            <v>1200</v>
          </cell>
          <cell r="W570">
            <v>4</v>
          </cell>
          <cell r="Y570">
            <v>93231</v>
          </cell>
          <cell r="Z570">
            <v>2536.21</v>
          </cell>
          <cell r="AA570">
            <v>-1336.21</v>
          </cell>
          <cell r="AB570">
            <v>253.51266666666666</v>
          </cell>
          <cell r="AD570">
            <v>6744.3700000000008</v>
          </cell>
          <cell r="AN570" t="str">
            <v xml:space="preserve">Contrato emergencial nº </v>
          </cell>
          <cell r="AO570" t="str">
            <v>JT</v>
          </cell>
        </row>
        <row r="571">
          <cell r="D571" t="str">
            <v>1515/11</v>
          </cell>
          <cell r="E571" t="str">
            <v>09/05/2011</v>
          </cell>
          <cell r="F571">
            <v>40851</v>
          </cell>
          <cell r="G571">
            <v>40851</v>
          </cell>
          <cell r="H571" t="str">
            <v>2011-0.104.082-0</v>
          </cell>
          <cell r="I571">
            <v>52251.96</v>
          </cell>
          <cell r="J571" t="str">
            <v xml:space="preserve">              123611122                  2848                    33903600</v>
          </cell>
          <cell r="K571">
            <v>40848</v>
          </cell>
          <cell r="L571">
            <v>4</v>
          </cell>
          <cell r="M571">
            <v>1200</v>
          </cell>
          <cell r="N571">
            <v>57278</v>
          </cell>
          <cell r="O571">
            <v>14299</v>
          </cell>
          <cell r="P571">
            <v>16</v>
          </cell>
          <cell r="Q571">
            <v>3</v>
          </cell>
          <cell r="T571">
            <v>5908.61</v>
          </cell>
          <cell r="U571">
            <v>0</v>
          </cell>
          <cell r="V571">
            <v>1200</v>
          </cell>
          <cell r="W571">
            <v>4</v>
          </cell>
          <cell r="Y571">
            <v>108354</v>
          </cell>
          <cell r="Z571">
            <v>4707.21</v>
          </cell>
          <cell r="AA571">
            <v>-3507.21</v>
          </cell>
          <cell r="AB571">
            <v>290.28866666666664</v>
          </cell>
          <cell r="AD571">
            <v>6957.79</v>
          </cell>
          <cell r="AN571" t="str">
            <v xml:space="preserve">Contrato emergencial nº </v>
          </cell>
          <cell r="AO571" t="str">
            <v>PE</v>
          </cell>
        </row>
        <row r="572">
          <cell r="D572" t="str">
            <v>1516/11</v>
          </cell>
          <cell r="E572" t="str">
            <v>09/05/2011</v>
          </cell>
          <cell r="F572">
            <v>40851</v>
          </cell>
          <cell r="G572">
            <v>40851</v>
          </cell>
          <cell r="H572" t="str">
            <v>2011-0.104.083-8</v>
          </cell>
          <cell r="I572">
            <v>27939.24</v>
          </cell>
          <cell r="J572" t="str">
            <v xml:space="preserve">              123611122                  2848                    33903600</v>
          </cell>
          <cell r="K572">
            <v>40848</v>
          </cell>
          <cell r="L572">
            <v>4</v>
          </cell>
          <cell r="M572">
            <v>700</v>
          </cell>
          <cell r="N572">
            <v>57278</v>
          </cell>
          <cell r="O572">
            <v>14301</v>
          </cell>
          <cell r="P572">
            <v>16</v>
          </cell>
          <cell r="Q572">
            <v>3</v>
          </cell>
          <cell r="S572">
            <v>5859.82</v>
          </cell>
          <cell r="T572">
            <v>4040</v>
          </cell>
          <cell r="U572">
            <v>2289.58</v>
          </cell>
          <cell r="V572">
            <v>800</v>
          </cell>
          <cell r="W572">
            <v>4</v>
          </cell>
          <cell r="AA572">
            <v>3089.58</v>
          </cell>
          <cell r="AB572">
            <v>155.21800000000002</v>
          </cell>
          <cell r="AD572">
            <v>5859.82</v>
          </cell>
          <cell r="AN572" t="str">
            <v xml:space="preserve">Contrato emergencial nº </v>
          </cell>
          <cell r="AO572" t="str">
            <v>PJ</v>
          </cell>
        </row>
        <row r="573">
          <cell r="D573" t="str">
            <v>1519/11</v>
          </cell>
          <cell r="E573" t="str">
            <v>09/05/2011</v>
          </cell>
          <cell r="F573">
            <v>40851</v>
          </cell>
          <cell r="G573">
            <v>40851</v>
          </cell>
          <cell r="H573" t="str">
            <v>2011-0.104.087-0</v>
          </cell>
          <cell r="I573">
            <v>38915.58</v>
          </cell>
          <cell r="J573" t="str">
            <v xml:space="preserve">              123611122                  2848                    33903600</v>
          </cell>
          <cell r="K573">
            <v>40848</v>
          </cell>
          <cell r="L573">
            <v>4</v>
          </cell>
          <cell r="M573">
            <v>900</v>
          </cell>
          <cell r="N573">
            <v>57278</v>
          </cell>
          <cell r="O573">
            <v>14306</v>
          </cell>
          <cell r="P573">
            <v>16</v>
          </cell>
          <cell r="Q573">
            <v>3</v>
          </cell>
          <cell r="T573">
            <v>4892.2</v>
          </cell>
          <cell r="U573">
            <v>0</v>
          </cell>
          <cell r="V573">
            <v>800</v>
          </cell>
          <cell r="W573">
            <v>4</v>
          </cell>
          <cell r="Y573">
            <v>108101</v>
          </cell>
          <cell r="Z573">
            <v>3400.71</v>
          </cell>
          <cell r="AA573">
            <v>-2600.71</v>
          </cell>
          <cell r="AB573">
            <v>216.19766666666666</v>
          </cell>
          <cell r="AD573">
            <v>5114.04</v>
          </cell>
          <cell r="AN573" t="str">
            <v xml:space="preserve">Contrato emergencial nº </v>
          </cell>
          <cell r="AO573" t="str">
            <v>SA</v>
          </cell>
        </row>
        <row r="574">
          <cell r="D574" t="str">
            <v>1520/11</v>
          </cell>
          <cell r="E574" t="str">
            <v>09/05/2011</v>
          </cell>
          <cell r="F574">
            <v>40851</v>
          </cell>
          <cell r="G574">
            <v>40851</v>
          </cell>
          <cell r="H574" t="str">
            <v>2011-0.104.089-7</v>
          </cell>
          <cell r="I574">
            <v>38261.760000000002</v>
          </cell>
          <cell r="J574" t="str">
            <v xml:space="preserve">              123651121                 2847                    33903600</v>
          </cell>
          <cell r="K574">
            <v>40848</v>
          </cell>
          <cell r="L574">
            <v>4</v>
          </cell>
          <cell r="M574">
            <v>900</v>
          </cell>
          <cell r="N574">
            <v>57273</v>
          </cell>
          <cell r="O574">
            <v>14308</v>
          </cell>
          <cell r="P574">
            <v>16</v>
          </cell>
          <cell r="Q574">
            <v>2</v>
          </cell>
          <cell r="T574">
            <v>1518.54</v>
          </cell>
          <cell r="U574">
            <v>0</v>
          </cell>
          <cell r="V574">
            <v>800</v>
          </cell>
          <cell r="W574">
            <v>4</v>
          </cell>
          <cell r="Y574">
            <v>107850</v>
          </cell>
          <cell r="Z574">
            <v>3253.59</v>
          </cell>
          <cell r="AA574">
            <v>-2453.59</v>
          </cell>
          <cell r="AB574">
            <v>212.56533333333334</v>
          </cell>
          <cell r="AD574">
            <v>5148.0599999999986</v>
          </cell>
          <cell r="AN574" t="str">
            <v xml:space="preserve">Contrato emergencial nº </v>
          </cell>
          <cell r="AO574" t="str">
            <v>CL</v>
          </cell>
        </row>
        <row r="575">
          <cell r="D575" t="str">
            <v>1521/11</v>
          </cell>
          <cell r="E575" t="str">
            <v>09/05/2011</v>
          </cell>
          <cell r="F575">
            <v>40851</v>
          </cell>
          <cell r="G575">
            <v>40851</v>
          </cell>
          <cell r="H575" t="str">
            <v>2011-0.104-090-0</v>
          </cell>
          <cell r="I575">
            <v>38417.160000000003</v>
          </cell>
          <cell r="J575" t="str">
            <v xml:space="preserve">              123651121                 2847                    33903600</v>
          </cell>
          <cell r="K575">
            <v>40848</v>
          </cell>
          <cell r="L575">
            <v>4</v>
          </cell>
          <cell r="M575">
            <v>900</v>
          </cell>
          <cell r="N575">
            <v>57273</v>
          </cell>
          <cell r="O575">
            <v>14363</v>
          </cell>
          <cell r="P575">
            <v>16</v>
          </cell>
          <cell r="Q575">
            <v>2</v>
          </cell>
          <cell r="S575">
            <v>1613.85</v>
          </cell>
          <cell r="T575">
            <v>5560</v>
          </cell>
          <cell r="U575">
            <v>727.51000000000022</v>
          </cell>
          <cell r="V575">
            <v>800</v>
          </cell>
          <cell r="W575">
            <v>4</v>
          </cell>
          <cell r="AA575">
            <v>1527.5100000000002</v>
          </cell>
          <cell r="AB575">
            <v>213.42866666666669</v>
          </cell>
          <cell r="AD575">
            <v>5519.52</v>
          </cell>
          <cell r="AN575" t="str">
            <v xml:space="preserve">Contrato emergencial nº </v>
          </cell>
          <cell r="AO575" t="str">
            <v>CL</v>
          </cell>
        </row>
        <row r="576">
          <cell r="D576" t="str">
            <v>1522/11</v>
          </cell>
          <cell r="E576" t="str">
            <v>09/05/2011</v>
          </cell>
          <cell r="F576">
            <v>40851</v>
          </cell>
          <cell r="G576">
            <v>40851</v>
          </cell>
          <cell r="H576" t="str">
            <v>2011-0.104.091-9</v>
          </cell>
          <cell r="I576">
            <v>38261.760000000002</v>
          </cell>
          <cell r="J576" t="str">
            <v xml:space="preserve">              123651121                 2847                    33903600</v>
          </cell>
          <cell r="K576">
            <v>40848</v>
          </cell>
          <cell r="L576">
            <v>4</v>
          </cell>
          <cell r="M576">
            <v>900</v>
          </cell>
          <cell r="N576">
            <v>57273</v>
          </cell>
          <cell r="O576">
            <v>14367</v>
          </cell>
          <cell r="P576">
            <v>16</v>
          </cell>
          <cell r="Q576">
            <v>2</v>
          </cell>
          <cell r="T576">
            <v>4714.3999999999996</v>
          </cell>
          <cell r="U576">
            <v>0</v>
          </cell>
          <cell r="V576">
            <v>800</v>
          </cell>
          <cell r="W576">
            <v>4</v>
          </cell>
          <cell r="Y576">
            <v>105505</v>
          </cell>
          <cell r="Z576">
            <v>3415.7</v>
          </cell>
          <cell r="AA576">
            <v>-2615.6999999999998</v>
          </cell>
          <cell r="AB576">
            <v>212.56533333333334</v>
          </cell>
          <cell r="AD576">
            <v>4861.3600000000006</v>
          </cell>
          <cell r="AN576" t="str">
            <v xml:space="preserve">Contrato emergencial nº </v>
          </cell>
          <cell r="AO576" t="str">
            <v>JT</v>
          </cell>
        </row>
        <row r="577">
          <cell r="D577" t="str">
            <v>1523/11</v>
          </cell>
          <cell r="E577" t="str">
            <v>09/05/2011</v>
          </cell>
          <cell r="F577">
            <v>40851</v>
          </cell>
          <cell r="G577">
            <v>40851</v>
          </cell>
          <cell r="H577" t="str">
            <v>2011-0.104.092-7</v>
          </cell>
          <cell r="I577">
            <v>39593.160000000003</v>
          </cell>
          <cell r="J577" t="str">
            <v xml:space="preserve">              123611122                  2848                    33903600</v>
          </cell>
          <cell r="K577">
            <v>40848</v>
          </cell>
          <cell r="L577">
            <v>4</v>
          </cell>
          <cell r="M577">
            <v>900</v>
          </cell>
          <cell r="N577">
            <v>57278</v>
          </cell>
          <cell r="O577">
            <v>14369</v>
          </cell>
          <cell r="P577">
            <v>16</v>
          </cell>
          <cell r="Q577">
            <v>3</v>
          </cell>
          <cell r="S577">
            <v>9682.2000000000007</v>
          </cell>
          <cell r="T577">
            <v>1912.87</v>
          </cell>
          <cell r="U577">
            <v>9319.5</v>
          </cell>
          <cell r="V577">
            <v>5825.7099999999991</v>
          </cell>
          <cell r="W577">
            <v>4</v>
          </cell>
          <cell r="AA577">
            <v>15145.21</v>
          </cell>
          <cell r="AB577">
            <v>219.96200000000002</v>
          </cell>
          <cell r="AD577">
            <v>9682.2000000000007</v>
          </cell>
          <cell r="AN577" t="str">
            <v xml:space="preserve">Contrato emergencial nº </v>
          </cell>
          <cell r="AO577" t="str">
            <v>CS</v>
          </cell>
        </row>
        <row r="578">
          <cell r="D578" t="str">
            <v>1524/11</v>
          </cell>
          <cell r="E578" t="str">
            <v>09/05/2011</v>
          </cell>
          <cell r="F578">
            <v>40851</v>
          </cell>
          <cell r="G578">
            <v>40851</v>
          </cell>
          <cell r="H578" t="str">
            <v>2011-0.104.094-3</v>
          </cell>
          <cell r="I578">
            <v>42184.92</v>
          </cell>
          <cell r="J578" t="str">
            <v xml:space="preserve">             123671125                  2863                   33903600</v>
          </cell>
          <cell r="K578">
            <v>40848</v>
          </cell>
          <cell r="L578">
            <v>4</v>
          </cell>
          <cell r="M578">
            <v>1000</v>
          </cell>
          <cell r="N578">
            <v>57287</v>
          </cell>
          <cell r="O578">
            <v>14371</v>
          </cell>
          <cell r="P578">
            <v>16</v>
          </cell>
          <cell r="Q578">
            <v>4</v>
          </cell>
          <cell r="S578">
            <v>6512.06</v>
          </cell>
          <cell r="T578">
            <v>6120</v>
          </cell>
          <cell r="U578">
            <v>2579.2700000000013</v>
          </cell>
          <cell r="V578">
            <v>1200</v>
          </cell>
          <cell r="W578">
            <v>4</v>
          </cell>
          <cell r="Y578">
            <v>93810</v>
          </cell>
          <cell r="AA578">
            <v>3779.2700000000013</v>
          </cell>
          <cell r="AB578">
            <v>234.36066666666665</v>
          </cell>
          <cell r="AD578">
            <v>7584.5</v>
          </cell>
          <cell r="AN578" t="str">
            <v xml:space="preserve">Contrato emergencial nº </v>
          </cell>
          <cell r="AO578" t="str">
            <v>MP</v>
          </cell>
        </row>
        <row r="579">
          <cell r="D579" t="str">
            <v>1525/11</v>
          </cell>
          <cell r="E579" t="str">
            <v>09/05/2011</v>
          </cell>
          <cell r="F579">
            <v>40851</v>
          </cell>
          <cell r="G579">
            <v>40851</v>
          </cell>
          <cell r="H579" t="str">
            <v>2011-0.104.095-1</v>
          </cell>
          <cell r="I579">
            <v>31418.52</v>
          </cell>
          <cell r="J579" t="str">
            <v xml:space="preserve">              123611122                  2848                    33903600</v>
          </cell>
          <cell r="K579">
            <v>40848</v>
          </cell>
          <cell r="L579">
            <v>4</v>
          </cell>
          <cell r="M579">
            <v>700</v>
          </cell>
          <cell r="N579">
            <v>57278</v>
          </cell>
          <cell r="O579">
            <v>14373</v>
          </cell>
          <cell r="P579">
            <v>16</v>
          </cell>
          <cell r="Q579">
            <v>3</v>
          </cell>
          <cell r="S579">
            <v>5894.3</v>
          </cell>
          <cell r="T579">
            <v>4560</v>
          </cell>
          <cell r="U579">
            <v>4135.67</v>
          </cell>
          <cell r="V579">
            <v>800</v>
          </cell>
          <cell r="W579">
            <v>4</v>
          </cell>
          <cell r="AA579">
            <v>4935.67</v>
          </cell>
          <cell r="AB579">
            <v>174.54733333333334</v>
          </cell>
          <cell r="AD579">
            <v>5894.2960000000012</v>
          </cell>
          <cell r="AN579" t="str">
            <v xml:space="preserve">Contrato emergencial nº </v>
          </cell>
          <cell r="AO579" t="str">
            <v>CS</v>
          </cell>
        </row>
        <row r="580">
          <cell r="D580" t="str">
            <v>1527/11</v>
          </cell>
          <cell r="E580" t="str">
            <v>09/05/2011</v>
          </cell>
          <cell r="F580">
            <v>40851</v>
          </cell>
          <cell r="G580">
            <v>40851</v>
          </cell>
          <cell r="H580" t="str">
            <v>2011-0.104.097-8</v>
          </cell>
          <cell r="I580">
            <v>38261.760000000002</v>
          </cell>
          <cell r="J580" t="str">
            <v xml:space="preserve">              123651121                 2847                    33903600</v>
          </cell>
          <cell r="K580">
            <v>40848</v>
          </cell>
          <cell r="L580">
            <v>4</v>
          </cell>
          <cell r="M580">
            <v>900</v>
          </cell>
          <cell r="N580">
            <v>57273</v>
          </cell>
          <cell r="O580">
            <v>14375</v>
          </cell>
          <cell r="P580">
            <v>16</v>
          </cell>
          <cell r="Q580">
            <v>2</v>
          </cell>
          <cell r="S580">
            <v>1228.7</v>
          </cell>
          <cell r="T580">
            <v>5560</v>
          </cell>
          <cell r="U580">
            <v>0</v>
          </cell>
          <cell r="V580">
            <v>900</v>
          </cell>
          <cell r="W580">
            <v>4</v>
          </cell>
          <cell r="Y580">
            <v>93113</v>
          </cell>
          <cell r="Z580">
            <v>2500.67</v>
          </cell>
          <cell r="AA580">
            <v>-1600.67</v>
          </cell>
          <cell r="AB580">
            <v>212.56533333333334</v>
          </cell>
          <cell r="AN580" t="str">
            <v xml:space="preserve">Contrato emergencial nº </v>
          </cell>
          <cell r="AO580" t="str">
            <v>G</v>
          </cell>
        </row>
        <row r="581">
          <cell r="D581" t="str">
            <v>1528/11</v>
          </cell>
          <cell r="E581" t="str">
            <v>09/05/2011</v>
          </cell>
          <cell r="F581">
            <v>40851</v>
          </cell>
          <cell r="G581">
            <v>40851</v>
          </cell>
          <cell r="H581" t="str">
            <v>2011-0.104.098-6</v>
          </cell>
          <cell r="I581">
            <v>24266.22</v>
          </cell>
          <cell r="J581" t="str">
            <v xml:space="preserve">              123611122                  2848                    33903600</v>
          </cell>
          <cell r="K581">
            <v>40848</v>
          </cell>
          <cell r="L581">
            <v>4</v>
          </cell>
          <cell r="M581">
            <v>600</v>
          </cell>
          <cell r="N581">
            <v>57278</v>
          </cell>
          <cell r="O581">
            <v>14377</v>
          </cell>
          <cell r="P581">
            <v>16</v>
          </cell>
          <cell r="Q581">
            <v>3</v>
          </cell>
          <cell r="S581">
            <v>3936.74</v>
          </cell>
          <cell r="T581">
            <v>3520</v>
          </cell>
          <cell r="U581">
            <v>520.74</v>
          </cell>
          <cell r="V581">
            <v>800</v>
          </cell>
          <cell r="W581">
            <v>4</v>
          </cell>
          <cell r="AA581">
            <v>1320.74</v>
          </cell>
          <cell r="AB581">
            <v>134.81233333333333</v>
          </cell>
          <cell r="AD581">
            <v>4509.6100000000006</v>
          </cell>
          <cell r="AN581" t="str">
            <v xml:space="preserve">Contrato emergencial nº </v>
          </cell>
          <cell r="AO581" t="str">
            <v>CS</v>
          </cell>
        </row>
        <row r="582">
          <cell r="D582" t="str">
            <v>1529/11</v>
          </cell>
          <cell r="E582" t="str">
            <v>09/05/2011</v>
          </cell>
          <cell r="F582">
            <v>40851</v>
          </cell>
          <cell r="G582">
            <v>40851</v>
          </cell>
          <cell r="H582" t="str">
            <v>2011-0.104.099-4</v>
          </cell>
          <cell r="I582">
            <v>23453.94</v>
          </cell>
          <cell r="J582" t="str">
            <v xml:space="preserve">              123651121                 2847                    33903600</v>
          </cell>
          <cell r="K582">
            <v>40848</v>
          </cell>
          <cell r="L582">
            <v>4</v>
          </cell>
          <cell r="M582">
            <v>600</v>
          </cell>
          <cell r="N582">
            <v>57273</v>
          </cell>
          <cell r="O582">
            <v>14380</v>
          </cell>
          <cell r="P582">
            <v>16</v>
          </cell>
          <cell r="Q582">
            <v>2</v>
          </cell>
          <cell r="S582">
            <v>4107.3100000000004</v>
          </cell>
          <cell r="T582">
            <v>3400</v>
          </cell>
          <cell r="U582">
            <v>0</v>
          </cell>
          <cell r="V582">
            <v>800</v>
          </cell>
          <cell r="W582">
            <v>4</v>
          </cell>
          <cell r="Y582">
            <v>93047</v>
          </cell>
          <cell r="Z582">
            <v>124.42</v>
          </cell>
          <cell r="AA582">
            <v>675.58</v>
          </cell>
          <cell r="AB582">
            <v>130.29966666666667</v>
          </cell>
          <cell r="AD582">
            <v>4627.84</v>
          </cell>
          <cell r="AN582" t="str">
            <v xml:space="preserve">Contrato emergencial nº </v>
          </cell>
          <cell r="AO582" t="str">
            <v>CL</v>
          </cell>
        </row>
        <row r="583">
          <cell r="D583" t="str">
            <v>1530/11</v>
          </cell>
          <cell r="E583" t="str">
            <v>09/05/2011</v>
          </cell>
          <cell r="F583">
            <v>40851</v>
          </cell>
          <cell r="G583">
            <v>40851</v>
          </cell>
          <cell r="H583" t="str">
            <v>2011-0.104.100-1</v>
          </cell>
          <cell r="I583">
            <v>28377.3</v>
          </cell>
          <cell r="J583" t="str">
            <v xml:space="preserve">              123651121                 2847                    33903600</v>
          </cell>
          <cell r="K583">
            <v>40848</v>
          </cell>
          <cell r="L583">
            <v>4</v>
          </cell>
          <cell r="M583">
            <v>700</v>
          </cell>
          <cell r="N583">
            <v>57273</v>
          </cell>
          <cell r="O583">
            <v>14382</v>
          </cell>
          <cell r="P583">
            <v>16</v>
          </cell>
          <cell r="Q583">
            <v>2</v>
          </cell>
          <cell r="S583">
            <v>4534.8500000000004</v>
          </cell>
          <cell r="T583">
            <v>4120</v>
          </cell>
          <cell r="U583">
            <v>363.34</v>
          </cell>
          <cell r="V583">
            <v>700</v>
          </cell>
          <cell r="W583">
            <v>4</v>
          </cell>
          <cell r="AA583">
            <v>1063.3399999999999</v>
          </cell>
          <cell r="AB583">
            <v>157.65166666666667</v>
          </cell>
          <cell r="AN583" t="str">
            <v xml:space="preserve">Contrato emergencial nº </v>
          </cell>
          <cell r="AO583" t="str">
            <v>CS</v>
          </cell>
        </row>
        <row r="584">
          <cell r="D584" t="str">
            <v>1532/11</v>
          </cell>
          <cell r="E584" t="str">
            <v>09/05/2011</v>
          </cell>
          <cell r="F584">
            <v>40851</v>
          </cell>
          <cell r="G584">
            <v>40851</v>
          </cell>
          <cell r="H584" t="str">
            <v>2011-0.104.102-8</v>
          </cell>
          <cell r="I584">
            <v>30150.54</v>
          </cell>
          <cell r="J584" t="str">
            <v xml:space="preserve">              123611122                  2848                    33903600</v>
          </cell>
          <cell r="K584">
            <v>40848</v>
          </cell>
          <cell r="L584">
            <v>4</v>
          </cell>
          <cell r="M584">
            <v>700</v>
          </cell>
          <cell r="N584">
            <v>57278</v>
          </cell>
          <cell r="O584">
            <v>14766</v>
          </cell>
          <cell r="P584">
            <v>16</v>
          </cell>
          <cell r="Q584">
            <v>3</v>
          </cell>
          <cell r="S584">
            <v>3727.04</v>
          </cell>
          <cell r="T584">
            <v>4360</v>
          </cell>
          <cell r="U584">
            <v>0</v>
          </cell>
          <cell r="V584">
            <v>800</v>
          </cell>
          <cell r="W584">
            <v>4</v>
          </cell>
          <cell r="Y584">
            <v>93420</v>
          </cell>
          <cell r="Z584">
            <v>1012.01</v>
          </cell>
          <cell r="AA584">
            <v>-212.01</v>
          </cell>
          <cell r="AB584">
            <v>167.50300000000001</v>
          </cell>
          <cell r="AD584">
            <v>3727.04</v>
          </cell>
          <cell r="AN584" t="str">
            <v xml:space="preserve">Contrato emergencial nº </v>
          </cell>
          <cell r="AO584" t="str">
            <v>JT</v>
          </cell>
        </row>
        <row r="585">
          <cell r="D585" t="str">
            <v>0966/11</v>
          </cell>
          <cell r="E585" t="str">
            <v>10/05/2011</v>
          </cell>
          <cell r="F585">
            <v>40852</v>
          </cell>
          <cell r="G585">
            <v>40852</v>
          </cell>
          <cell r="H585" t="str">
            <v>2011-0.073.170-5</v>
          </cell>
          <cell r="I585">
            <v>44324.52</v>
          </cell>
          <cell r="J585" t="str">
            <v xml:space="preserve">              123651121                 2847                    33903600</v>
          </cell>
          <cell r="K585">
            <v>40848</v>
          </cell>
          <cell r="L585">
            <v>5</v>
          </cell>
          <cell r="M585">
            <v>1300</v>
          </cell>
          <cell r="N585">
            <v>57273</v>
          </cell>
          <cell r="O585">
            <v>14708</v>
          </cell>
          <cell r="P585">
            <v>16</v>
          </cell>
          <cell r="Q585">
            <v>2</v>
          </cell>
          <cell r="T585">
            <v>6520</v>
          </cell>
          <cell r="U585">
            <v>0</v>
          </cell>
          <cell r="V585">
            <v>1500</v>
          </cell>
          <cell r="W585">
            <v>5</v>
          </cell>
          <cell r="Y585">
            <v>92596</v>
          </cell>
          <cell r="Z585">
            <v>2130.23</v>
          </cell>
          <cell r="AA585">
            <v>-630.23</v>
          </cell>
          <cell r="AB585">
            <v>246.2473333333333</v>
          </cell>
          <cell r="AD585">
            <v>7245.22</v>
          </cell>
          <cell r="AN585" t="str">
            <v xml:space="preserve">Contrato emergencial nº </v>
          </cell>
          <cell r="AO585" t="str">
            <v>PJ</v>
          </cell>
        </row>
        <row r="586">
          <cell r="D586" t="str">
            <v>1485/11</v>
          </cell>
          <cell r="E586" t="str">
            <v>10/05/2011</v>
          </cell>
          <cell r="F586">
            <v>40852</v>
          </cell>
          <cell r="G586">
            <v>40852</v>
          </cell>
          <cell r="H586" t="str">
            <v>2011-0.102.950-8</v>
          </cell>
          <cell r="I586">
            <v>38954.04</v>
          </cell>
          <cell r="J586" t="str">
            <v xml:space="preserve">              123651121                 2847                    33903600</v>
          </cell>
          <cell r="K586">
            <v>40848</v>
          </cell>
          <cell r="L586">
            <v>5</v>
          </cell>
          <cell r="M586">
            <v>1100</v>
          </cell>
          <cell r="N586">
            <v>57273</v>
          </cell>
          <cell r="O586">
            <v>14172</v>
          </cell>
          <cell r="P586">
            <v>16</v>
          </cell>
          <cell r="Q586">
            <v>2</v>
          </cell>
          <cell r="S586">
            <v>3243.05</v>
          </cell>
          <cell r="T586">
            <v>5720</v>
          </cell>
          <cell r="U586">
            <v>0</v>
          </cell>
          <cell r="V586">
            <v>1500</v>
          </cell>
          <cell r="W586">
            <v>5</v>
          </cell>
          <cell r="Y586">
            <v>93459</v>
          </cell>
          <cell r="Z586">
            <v>1485</v>
          </cell>
          <cell r="AA586">
            <v>15</v>
          </cell>
          <cell r="AB586">
            <v>216.41133333333335</v>
          </cell>
          <cell r="AD586">
            <v>6524.5</v>
          </cell>
          <cell r="AN586" t="str">
            <v xml:space="preserve">Contrato emergencial nº </v>
          </cell>
          <cell r="AO586" t="str">
            <v>CS</v>
          </cell>
        </row>
        <row r="587">
          <cell r="D587" t="str">
            <v>1518/11</v>
          </cell>
          <cell r="E587" t="str">
            <v>10/05/2011</v>
          </cell>
          <cell r="F587">
            <v>40852</v>
          </cell>
          <cell r="G587">
            <v>40852</v>
          </cell>
          <cell r="H587" t="str">
            <v>2011-0.104.086-2</v>
          </cell>
          <cell r="I587">
            <v>40835.160000000003</v>
          </cell>
          <cell r="J587" t="str">
            <v xml:space="preserve">              123611122                  2848                    33903600</v>
          </cell>
          <cell r="K587">
            <v>40848</v>
          </cell>
          <cell r="L587">
            <v>5</v>
          </cell>
          <cell r="M587">
            <v>1200</v>
          </cell>
          <cell r="N587">
            <v>57278</v>
          </cell>
          <cell r="O587">
            <v>14302</v>
          </cell>
          <cell r="P587">
            <v>16</v>
          </cell>
          <cell r="Q587">
            <v>3</v>
          </cell>
          <cell r="S587">
            <v>3065.58</v>
          </cell>
          <cell r="T587">
            <v>6000.0000000000009</v>
          </cell>
          <cell r="U587">
            <v>0</v>
          </cell>
          <cell r="V587">
            <v>1500</v>
          </cell>
          <cell r="W587">
            <v>5</v>
          </cell>
          <cell r="Y587">
            <v>93118</v>
          </cell>
          <cell r="Z587">
            <v>2174.4</v>
          </cell>
          <cell r="AA587">
            <v>-674.40000000000009</v>
          </cell>
          <cell r="AB587">
            <v>226.86200000000002</v>
          </cell>
          <cell r="AD587">
            <v>6495.9</v>
          </cell>
          <cell r="AN587" t="str">
            <v xml:space="preserve">Contrato emergencial nº </v>
          </cell>
          <cell r="AO587" t="str">
            <v>G</v>
          </cell>
        </row>
        <row r="588">
          <cell r="D588" t="str">
            <v>1531/11</v>
          </cell>
          <cell r="E588" t="str">
            <v>10/05/2011</v>
          </cell>
          <cell r="F588">
            <v>40852</v>
          </cell>
          <cell r="G588">
            <v>40852</v>
          </cell>
          <cell r="H588" t="str">
            <v>2011-0.104.101-0</v>
          </cell>
          <cell r="I588">
            <v>29536.32</v>
          </cell>
          <cell r="J588" t="str">
            <v xml:space="preserve">              123611122                  2848                    33903600</v>
          </cell>
          <cell r="K588">
            <v>40848</v>
          </cell>
          <cell r="L588">
            <v>5</v>
          </cell>
          <cell r="M588">
            <v>900</v>
          </cell>
          <cell r="N588">
            <v>57278</v>
          </cell>
          <cell r="O588">
            <v>14383</v>
          </cell>
          <cell r="P588">
            <v>16</v>
          </cell>
          <cell r="Q588">
            <v>3</v>
          </cell>
          <cell r="T588">
            <v>4360</v>
          </cell>
          <cell r="U588">
            <v>0</v>
          </cell>
          <cell r="V588">
            <v>1000</v>
          </cell>
          <cell r="W588">
            <v>5</v>
          </cell>
          <cell r="Y588" t="str">
            <v>58535/93432</v>
          </cell>
          <cell r="Z588">
            <v>3580.87</v>
          </cell>
          <cell r="AA588">
            <v>-2580.87</v>
          </cell>
          <cell r="AB588">
            <v>164.09066666666666</v>
          </cell>
          <cell r="AD588">
            <v>3746.68</v>
          </cell>
          <cell r="AN588" t="str">
            <v xml:space="preserve">Contrato emergencial nº </v>
          </cell>
          <cell r="AO588" t="str">
            <v>PJ</v>
          </cell>
        </row>
        <row r="589">
          <cell r="D589" t="str">
            <v>1482/11</v>
          </cell>
          <cell r="E589" t="str">
            <v>11/05/2011</v>
          </cell>
          <cell r="F589">
            <v>40853</v>
          </cell>
          <cell r="G589">
            <v>40853</v>
          </cell>
          <cell r="H589" t="str">
            <v>2011-0.102.911-7</v>
          </cell>
          <cell r="I589">
            <v>30150.54</v>
          </cell>
          <cell r="J589" t="str">
            <v xml:space="preserve">              123651121                 2847                    33903600</v>
          </cell>
          <cell r="K589">
            <v>40848</v>
          </cell>
          <cell r="L589">
            <v>6</v>
          </cell>
          <cell r="M589">
            <v>1100</v>
          </cell>
          <cell r="N589">
            <v>57273</v>
          </cell>
          <cell r="O589">
            <v>14153</v>
          </cell>
          <cell r="P589">
            <v>16</v>
          </cell>
          <cell r="Q589">
            <v>2</v>
          </cell>
          <cell r="S589">
            <v>5858.52</v>
          </cell>
          <cell r="T589">
            <v>4520</v>
          </cell>
          <cell r="U589">
            <v>1067.92</v>
          </cell>
          <cell r="V589">
            <v>1200</v>
          </cell>
          <cell r="W589">
            <v>6</v>
          </cell>
          <cell r="AA589">
            <v>2267.92</v>
          </cell>
          <cell r="AB589">
            <v>167.50300000000001</v>
          </cell>
          <cell r="AD589">
            <v>5875.5249999999996</v>
          </cell>
          <cell r="AN589" t="str">
            <v xml:space="preserve">Contrato emergencial nº </v>
          </cell>
          <cell r="AO589" t="str">
            <v>SA</v>
          </cell>
        </row>
        <row r="590">
          <cell r="D590" t="str">
            <v>1510/11</v>
          </cell>
          <cell r="E590" t="str">
            <v>12/05/2011</v>
          </cell>
          <cell r="F590">
            <v>40854</v>
          </cell>
          <cell r="G590">
            <v>40854</v>
          </cell>
          <cell r="H590" t="str">
            <v>2011-0.104.075-7</v>
          </cell>
          <cell r="I590">
            <v>40238.04</v>
          </cell>
          <cell r="J590" t="str">
            <v xml:space="preserve">              123651121                 2847                    33903600</v>
          </cell>
          <cell r="K590">
            <v>40848</v>
          </cell>
          <cell r="L590">
            <v>7</v>
          </cell>
          <cell r="M590">
            <v>1600</v>
          </cell>
          <cell r="N590">
            <v>57273</v>
          </cell>
          <cell r="O590">
            <v>14764</v>
          </cell>
          <cell r="P590">
            <v>16</v>
          </cell>
          <cell r="Q590">
            <v>2</v>
          </cell>
          <cell r="S590">
            <v>7892.85</v>
          </cell>
          <cell r="T590">
            <v>6120</v>
          </cell>
          <cell r="U590">
            <v>2219.19</v>
          </cell>
          <cell r="V590">
            <v>2100</v>
          </cell>
          <cell r="W590">
            <v>7</v>
          </cell>
          <cell r="AA590">
            <v>4319.1900000000005</v>
          </cell>
          <cell r="AB590">
            <v>223.54466666666667</v>
          </cell>
          <cell r="AD590">
            <v>8170.87</v>
          </cell>
          <cell r="AN590" t="str">
            <v xml:space="preserve">Contrato emergencial nº </v>
          </cell>
          <cell r="AO590" t="str">
            <v>CS</v>
          </cell>
        </row>
        <row r="591">
          <cell r="D591" t="str">
            <v>1517/11</v>
          </cell>
          <cell r="E591" t="str">
            <v>12/05/2011</v>
          </cell>
          <cell r="F591">
            <v>40854</v>
          </cell>
          <cell r="G591">
            <v>40854</v>
          </cell>
          <cell r="H591" t="str">
            <v>2011-0.104.085-4</v>
          </cell>
          <cell r="I591">
            <v>42184.92</v>
          </cell>
          <cell r="J591" t="str">
            <v xml:space="preserve">             123671125                  2863                   33903600</v>
          </cell>
          <cell r="K591">
            <v>40848</v>
          </cell>
          <cell r="L591">
            <v>7</v>
          </cell>
          <cell r="M591">
            <v>1700</v>
          </cell>
          <cell r="N591">
            <v>57287</v>
          </cell>
          <cell r="O591">
            <v>14765</v>
          </cell>
          <cell r="P591">
            <v>16</v>
          </cell>
          <cell r="Q591">
            <v>4</v>
          </cell>
          <cell r="S591">
            <v>2920.79</v>
          </cell>
          <cell r="T591">
            <v>6400</v>
          </cell>
          <cell r="U591">
            <v>0</v>
          </cell>
          <cell r="V591">
            <v>2100</v>
          </cell>
          <cell r="W591">
            <v>7</v>
          </cell>
          <cell r="Y591">
            <v>95197</v>
          </cell>
          <cell r="Z591">
            <v>3463.4</v>
          </cell>
          <cell r="AA591">
            <v>-1363.4</v>
          </cell>
          <cell r="AB591">
            <v>234.36066666666665</v>
          </cell>
          <cell r="AD591">
            <v>6395.7800000000007</v>
          </cell>
          <cell r="AN591" t="str">
            <v xml:space="preserve">Contrato emergencial nº </v>
          </cell>
          <cell r="AO591" t="str">
            <v>SA</v>
          </cell>
        </row>
        <row r="592">
          <cell r="D592" t="str">
            <v>1233/11</v>
          </cell>
          <cell r="E592" t="str">
            <v>13/05/2011</v>
          </cell>
          <cell r="F592">
            <v>40855</v>
          </cell>
          <cell r="G592">
            <v>40855</v>
          </cell>
          <cell r="H592" t="str">
            <v>2011-0.082.597-1</v>
          </cell>
          <cell r="I592">
            <v>38261.760000000002</v>
          </cell>
          <cell r="J592" t="str">
            <v xml:space="preserve">              123651121                 2847                    33903600</v>
          </cell>
          <cell r="K592">
            <v>40848</v>
          </cell>
          <cell r="L592">
            <v>8</v>
          </cell>
          <cell r="M592">
            <v>1800</v>
          </cell>
          <cell r="N592">
            <v>57273</v>
          </cell>
          <cell r="O592">
            <v>14710</v>
          </cell>
          <cell r="P592">
            <v>16</v>
          </cell>
          <cell r="Q592">
            <v>2</v>
          </cell>
          <cell r="T592">
            <v>5880</v>
          </cell>
          <cell r="U592">
            <v>0</v>
          </cell>
          <cell r="V592">
            <v>2400</v>
          </cell>
          <cell r="W592">
            <v>8</v>
          </cell>
          <cell r="Y592">
            <v>92909</v>
          </cell>
          <cell r="Z592">
            <v>1865.2</v>
          </cell>
          <cell r="AA592">
            <v>534.79999999999995</v>
          </cell>
          <cell r="AB592">
            <v>212.56533333333334</v>
          </cell>
          <cell r="AD592">
            <v>6556.0399999999991</v>
          </cell>
          <cell r="AN592" t="str">
            <v xml:space="preserve">Contrato emergencial nº </v>
          </cell>
          <cell r="AO592" t="str">
            <v>PJ</v>
          </cell>
        </row>
        <row r="593">
          <cell r="D593" t="str">
            <v>1533/11</v>
          </cell>
          <cell r="E593" t="str">
            <v>16/05/2011</v>
          </cell>
          <cell r="F593">
            <v>40858</v>
          </cell>
          <cell r="G593">
            <v>40858</v>
          </cell>
          <cell r="H593" t="str">
            <v>2011-0.104.103-6</v>
          </cell>
          <cell r="I593">
            <v>39593.160000000003</v>
          </cell>
          <cell r="J593" t="str">
            <v xml:space="preserve">              123611122                  2848                    33903600</v>
          </cell>
          <cell r="K593">
            <v>40848</v>
          </cell>
          <cell r="L593">
            <v>11</v>
          </cell>
          <cell r="M593">
            <v>2500</v>
          </cell>
          <cell r="N593">
            <v>57278</v>
          </cell>
          <cell r="O593">
            <v>14767</v>
          </cell>
          <cell r="P593">
            <v>16</v>
          </cell>
          <cell r="Q593">
            <v>3</v>
          </cell>
          <cell r="S593">
            <v>4966.1000000000004</v>
          </cell>
          <cell r="T593">
            <v>6360</v>
          </cell>
          <cell r="U593">
            <v>0</v>
          </cell>
          <cell r="V593">
            <v>3300</v>
          </cell>
          <cell r="W593">
            <v>11</v>
          </cell>
          <cell r="Y593">
            <v>93463</v>
          </cell>
          <cell r="Z593">
            <v>1773.95</v>
          </cell>
          <cell r="AA593">
            <v>1526.05</v>
          </cell>
          <cell r="AB593">
            <v>219.96200000000002</v>
          </cell>
          <cell r="AD593">
            <v>7218.9400000000005</v>
          </cell>
          <cell r="AN593" t="str">
            <v xml:space="preserve">Contrato emergencial nº </v>
          </cell>
          <cell r="AO593" t="str">
            <v>CS</v>
          </cell>
        </row>
        <row r="594">
          <cell r="D594" t="str">
            <v>1534/11</v>
          </cell>
          <cell r="E594" t="str">
            <v>16/05/2011</v>
          </cell>
          <cell r="F594">
            <v>40858</v>
          </cell>
          <cell r="G594">
            <v>40858</v>
          </cell>
          <cell r="H594" t="str">
            <v>2011-0.104.104-4</v>
          </cell>
          <cell r="I594">
            <v>39593.160000000003</v>
          </cell>
          <cell r="J594" t="str">
            <v xml:space="preserve">              123611122                  2848                    33903600</v>
          </cell>
          <cell r="K594">
            <v>40848</v>
          </cell>
          <cell r="L594">
            <v>11</v>
          </cell>
          <cell r="M594">
            <v>2500</v>
          </cell>
          <cell r="N594">
            <v>57278</v>
          </cell>
          <cell r="O594">
            <v>14768</v>
          </cell>
          <cell r="P594">
            <v>16</v>
          </cell>
          <cell r="Q594">
            <v>3</v>
          </cell>
          <cell r="S594">
            <v>1464.89</v>
          </cell>
          <cell r="T594">
            <v>6360</v>
          </cell>
          <cell r="U594">
            <v>0</v>
          </cell>
          <cell r="V594">
            <v>2200</v>
          </cell>
          <cell r="W594">
            <v>11</v>
          </cell>
          <cell r="Y594">
            <v>93421</v>
          </cell>
          <cell r="Z594">
            <v>6254.77</v>
          </cell>
          <cell r="AA594">
            <v>-4054.7700000000004</v>
          </cell>
          <cell r="AB594">
            <v>219.96200000000002</v>
          </cell>
          <cell r="AD594">
            <v>5805.0499999999993</v>
          </cell>
          <cell r="AN594" t="str">
            <v xml:space="preserve">Contrato emergencial nº </v>
          </cell>
          <cell r="AO594" t="str">
            <v>JT</v>
          </cell>
        </row>
        <row r="595">
          <cell r="D595" t="str">
            <v>1535/11</v>
          </cell>
          <cell r="E595" t="str">
            <v>16/05/2011</v>
          </cell>
          <cell r="F595">
            <v>40858</v>
          </cell>
          <cell r="G595">
            <v>40858</v>
          </cell>
          <cell r="H595" t="str">
            <v>2011-0.104.105-2</v>
          </cell>
          <cell r="I595">
            <v>22592.1</v>
          </cell>
          <cell r="J595" t="str">
            <v xml:space="preserve">              123651121                 2847                    33903600</v>
          </cell>
          <cell r="K595">
            <v>40848</v>
          </cell>
          <cell r="L595">
            <v>11</v>
          </cell>
          <cell r="M595">
            <v>1400</v>
          </cell>
          <cell r="N595">
            <v>57273</v>
          </cell>
          <cell r="O595">
            <v>14385</v>
          </cell>
          <cell r="P595">
            <v>16</v>
          </cell>
          <cell r="Q595">
            <v>2</v>
          </cell>
          <cell r="S595">
            <v>4846.91</v>
          </cell>
          <cell r="T595">
            <v>3640</v>
          </cell>
          <cell r="U595">
            <v>3059.3599999999997</v>
          </cell>
          <cell r="V595">
            <v>2200</v>
          </cell>
          <cell r="W595">
            <v>11</v>
          </cell>
          <cell r="Y595">
            <v>93814</v>
          </cell>
          <cell r="AA595">
            <v>5259.36</v>
          </cell>
          <cell r="AB595">
            <v>125.51166666666666</v>
          </cell>
          <cell r="AD595">
            <v>4846.91</v>
          </cell>
          <cell r="AN595" t="str">
            <v xml:space="preserve">Contrato emergencial nº </v>
          </cell>
          <cell r="AO595" t="str">
            <v>MP</v>
          </cell>
        </row>
        <row r="596">
          <cell r="D596" t="str">
            <v>1536/11</v>
          </cell>
          <cell r="E596" t="str">
            <v>16/05/2011</v>
          </cell>
          <cell r="F596">
            <v>40858</v>
          </cell>
          <cell r="G596">
            <v>40858</v>
          </cell>
          <cell r="H596" t="str">
            <v>2011-0.104.487-6</v>
          </cell>
          <cell r="I596">
            <v>40835.160000000003</v>
          </cell>
          <cell r="J596" t="str">
            <v xml:space="preserve">              123651121                 2847                    33903600</v>
          </cell>
          <cell r="K596">
            <v>40848</v>
          </cell>
          <cell r="L596">
            <v>11</v>
          </cell>
          <cell r="M596">
            <v>2500</v>
          </cell>
          <cell r="N596">
            <v>57273</v>
          </cell>
          <cell r="O596">
            <v>14769</v>
          </cell>
          <cell r="P596">
            <v>16</v>
          </cell>
          <cell r="Q596">
            <v>2</v>
          </cell>
          <cell r="S596">
            <v>7906.29</v>
          </cell>
          <cell r="T596">
            <v>6560</v>
          </cell>
          <cell r="U596">
            <v>34.690000000000509</v>
          </cell>
          <cell r="V596">
            <v>3300</v>
          </cell>
          <cell r="W596">
            <v>11</v>
          </cell>
          <cell r="AA596">
            <v>3334.6900000000005</v>
          </cell>
          <cell r="AB596">
            <v>226.86200000000002</v>
          </cell>
          <cell r="AD596">
            <v>8074.9800000000005</v>
          </cell>
          <cell r="AN596" t="str">
            <v xml:space="preserve">Contrato emergencial nº </v>
          </cell>
          <cell r="AO596" t="str">
            <v>CL</v>
          </cell>
        </row>
        <row r="597">
          <cell r="D597" t="str">
            <v>1537/11</v>
          </cell>
          <cell r="E597" t="str">
            <v>16/05/2011</v>
          </cell>
          <cell r="F597">
            <v>40858</v>
          </cell>
          <cell r="G597">
            <v>40858</v>
          </cell>
          <cell r="H597" t="str">
            <v>2011-0.104.502-3</v>
          </cell>
          <cell r="I597">
            <v>27971.16</v>
          </cell>
          <cell r="J597" t="str">
            <v xml:space="preserve">              123611122                  2848                    33903600</v>
          </cell>
          <cell r="K597">
            <v>40848</v>
          </cell>
          <cell r="L597">
            <v>11</v>
          </cell>
          <cell r="M597">
            <v>1800</v>
          </cell>
          <cell r="N597">
            <v>57278</v>
          </cell>
          <cell r="O597">
            <v>15111</v>
          </cell>
          <cell r="P597">
            <v>16</v>
          </cell>
          <cell r="Q597">
            <v>3</v>
          </cell>
          <cell r="S597">
            <v>5675.79</v>
          </cell>
          <cell r="T597">
            <v>4480</v>
          </cell>
          <cell r="U597">
            <v>1237.83</v>
          </cell>
          <cell r="V597">
            <v>2200</v>
          </cell>
          <cell r="W597">
            <v>11</v>
          </cell>
          <cell r="AA597">
            <v>3437.83</v>
          </cell>
          <cell r="AB597">
            <v>155.39533333333333</v>
          </cell>
          <cell r="AD597">
            <v>5675.79</v>
          </cell>
          <cell r="AN597" t="str">
            <v xml:space="preserve">Contrato emergencial nº </v>
          </cell>
          <cell r="AO597" t="str">
            <v xml:space="preserve">SA </v>
          </cell>
        </row>
        <row r="598">
          <cell r="D598" t="str">
            <v>1538/11</v>
          </cell>
          <cell r="E598" t="str">
            <v>16/05/2011</v>
          </cell>
          <cell r="F598">
            <v>40858</v>
          </cell>
          <cell r="G598">
            <v>40858</v>
          </cell>
          <cell r="H598" t="str">
            <v>2011-0.104.509-0</v>
          </cell>
          <cell r="I598">
            <v>52251.96</v>
          </cell>
          <cell r="J598" t="str">
            <v xml:space="preserve">              123611122                  2848                    33903600</v>
          </cell>
          <cell r="K598">
            <v>40848</v>
          </cell>
          <cell r="L598">
            <v>11</v>
          </cell>
          <cell r="M598">
            <v>3200</v>
          </cell>
          <cell r="N598">
            <v>57278</v>
          </cell>
          <cell r="O598">
            <v>15114</v>
          </cell>
          <cell r="P598">
            <v>16</v>
          </cell>
          <cell r="Q598">
            <v>3</v>
          </cell>
          <cell r="T598">
            <v>4513.01</v>
          </cell>
          <cell r="U598">
            <v>0</v>
          </cell>
          <cell r="V598">
            <v>3300</v>
          </cell>
          <cell r="W598">
            <v>11</v>
          </cell>
          <cell r="Y598">
            <v>106660</v>
          </cell>
          <cell r="Z598">
            <v>6177.16</v>
          </cell>
          <cell r="AA598">
            <v>-2877.16</v>
          </cell>
          <cell r="AB598">
            <v>290.28866666666664</v>
          </cell>
          <cell r="AD598">
            <v>6585.18</v>
          </cell>
          <cell r="AN598" t="str">
            <v xml:space="preserve">Contrato emergencial nº </v>
          </cell>
          <cell r="AO598" t="str">
            <v>CS</v>
          </cell>
        </row>
        <row r="599">
          <cell r="D599" t="str">
            <v>1539/11</v>
          </cell>
          <cell r="E599" t="str">
            <v>16/05/2011</v>
          </cell>
          <cell r="F599">
            <v>40858</v>
          </cell>
          <cell r="G599">
            <v>40858</v>
          </cell>
          <cell r="H599" t="str">
            <v>2011-0.104.513-9</v>
          </cell>
          <cell r="I599">
            <v>37928.04</v>
          </cell>
          <cell r="J599" t="str">
            <v xml:space="preserve">              123611122                  2848                    33903600</v>
          </cell>
          <cell r="K599">
            <v>40848</v>
          </cell>
          <cell r="L599">
            <v>11</v>
          </cell>
          <cell r="M599">
            <v>2400</v>
          </cell>
          <cell r="N599">
            <v>57278</v>
          </cell>
          <cell r="O599">
            <v>15116</v>
          </cell>
          <cell r="P599">
            <v>16</v>
          </cell>
          <cell r="Q599">
            <v>3</v>
          </cell>
          <cell r="T599">
            <v>4932.03</v>
          </cell>
          <cell r="U599">
            <v>0</v>
          </cell>
          <cell r="V599">
            <v>2200</v>
          </cell>
          <cell r="W599">
            <v>11</v>
          </cell>
          <cell r="Y599">
            <v>107998</v>
          </cell>
          <cell r="Z599">
            <v>3643.02</v>
          </cell>
          <cell r="AA599">
            <v>-1443.02</v>
          </cell>
          <cell r="AB599">
            <v>210.71133333333333</v>
          </cell>
          <cell r="AD599">
            <v>5363.2400000000007</v>
          </cell>
          <cell r="AN599" t="str">
            <v xml:space="preserve">Contrato emergencial nº </v>
          </cell>
          <cell r="AO599" t="str">
            <v>G</v>
          </cell>
        </row>
        <row r="600">
          <cell r="D600" t="str">
            <v>1540/11</v>
          </cell>
          <cell r="E600" t="str">
            <v>16/05/2011</v>
          </cell>
          <cell r="F600">
            <v>40858</v>
          </cell>
          <cell r="G600">
            <v>40858</v>
          </cell>
          <cell r="H600" t="str">
            <v>2011-0.104.518-0</v>
          </cell>
          <cell r="I600">
            <v>40877.160000000003</v>
          </cell>
          <cell r="J600" t="str">
            <v xml:space="preserve">             123671125                  2863                   33903600</v>
          </cell>
          <cell r="K600">
            <v>40848</v>
          </cell>
          <cell r="L600">
            <v>11</v>
          </cell>
          <cell r="M600">
            <v>2500</v>
          </cell>
          <cell r="N600">
            <v>57287</v>
          </cell>
          <cell r="O600">
            <v>14388</v>
          </cell>
          <cell r="P600">
            <v>16</v>
          </cell>
          <cell r="Q600">
            <v>4</v>
          </cell>
          <cell r="S600">
            <v>3473.62</v>
          </cell>
          <cell r="T600">
            <v>6560</v>
          </cell>
          <cell r="U600">
            <v>0</v>
          </cell>
          <cell r="V600">
            <v>3300</v>
          </cell>
          <cell r="W600">
            <v>11</v>
          </cell>
          <cell r="Y600">
            <v>93422</v>
          </cell>
          <cell r="Z600">
            <v>3393.6</v>
          </cell>
          <cell r="AA600">
            <v>-93.599999999999909</v>
          </cell>
          <cell r="AB600">
            <v>227.09533333333334</v>
          </cell>
          <cell r="AD600">
            <v>6546.6849999999995</v>
          </cell>
          <cell r="AN600" t="str">
            <v xml:space="preserve">Contrato emergencial nº </v>
          </cell>
          <cell r="AO600" t="str">
            <v>JT</v>
          </cell>
        </row>
        <row r="601">
          <cell r="D601" t="str">
            <v>1541/11</v>
          </cell>
          <cell r="E601" t="str">
            <v>16/05/2011</v>
          </cell>
          <cell r="F601">
            <v>40858</v>
          </cell>
          <cell r="G601">
            <v>40858</v>
          </cell>
          <cell r="H601" t="str">
            <v>2011-0.104.529-5</v>
          </cell>
          <cell r="I601">
            <v>51135.96</v>
          </cell>
          <cell r="J601" t="str">
            <v xml:space="preserve">              123611122                  2848                    33903600</v>
          </cell>
          <cell r="K601">
            <v>40848</v>
          </cell>
          <cell r="L601">
            <v>11</v>
          </cell>
          <cell r="M601">
            <v>3200</v>
          </cell>
          <cell r="N601">
            <v>57278</v>
          </cell>
          <cell r="O601">
            <v>15117</v>
          </cell>
          <cell r="P601">
            <v>16</v>
          </cell>
          <cell r="Q601">
            <v>3</v>
          </cell>
          <cell r="S601">
            <v>4155.9799999999996</v>
          </cell>
          <cell r="T601">
            <v>8200</v>
          </cell>
          <cell r="U601">
            <v>0</v>
          </cell>
          <cell r="V601">
            <v>3300</v>
          </cell>
          <cell r="W601">
            <v>11</v>
          </cell>
          <cell r="Y601">
            <v>93464</v>
          </cell>
          <cell r="Z601">
            <v>3857.71</v>
          </cell>
          <cell r="AA601">
            <v>-557.71</v>
          </cell>
          <cell r="AB601">
            <v>284.08866666666665</v>
          </cell>
          <cell r="AD601">
            <v>8377.86</v>
          </cell>
          <cell r="AN601" t="str">
            <v xml:space="preserve">Contrato emergencial nº </v>
          </cell>
          <cell r="AO601" t="str">
            <v>CS</v>
          </cell>
        </row>
        <row r="602">
          <cell r="D602" t="str">
            <v>1542/11</v>
          </cell>
          <cell r="E602" t="str">
            <v>16/05/2011</v>
          </cell>
          <cell r="F602">
            <v>40858</v>
          </cell>
          <cell r="G602">
            <v>40858</v>
          </cell>
          <cell r="H602" t="str">
            <v>2011-0.104.533-3</v>
          </cell>
          <cell r="I602">
            <v>53427.96</v>
          </cell>
          <cell r="J602" t="str">
            <v xml:space="preserve">              123611122                  2848                    33903600</v>
          </cell>
          <cell r="K602">
            <v>40848</v>
          </cell>
          <cell r="L602">
            <v>11</v>
          </cell>
          <cell r="M602">
            <v>3300</v>
          </cell>
          <cell r="N602">
            <v>57278</v>
          </cell>
          <cell r="O602">
            <v>14390</v>
          </cell>
          <cell r="P602">
            <v>16</v>
          </cell>
          <cell r="Q602">
            <v>3</v>
          </cell>
          <cell r="S602">
            <v>1901.39</v>
          </cell>
          <cell r="T602">
            <v>8560</v>
          </cell>
          <cell r="U602">
            <v>0</v>
          </cell>
          <cell r="V602">
            <v>3300</v>
          </cell>
          <cell r="W602">
            <v>11</v>
          </cell>
          <cell r="Y602">
            <v>93469</v>
          </cell>
          <cell r="Z602">
            <v>5877.99</v>
          </cell>
          <cell r="AA602">
            <v>-2577.9899999999998</v>
          </cell>
          <cell r="AB602">
            <v>296.822</v>
          </cell>
          <cell r="AN602" t="str">
            <v xml:space="preserve">Contrato emergencial nº </v>
          </cell>
          <cell r="AO602" t="str">
            <v>CS</v>
          </cell>
        </row>
        <row r="603">
          <cell r="D603" t="str">
            <v>1543/11</v>
          </cell>
          <cell r="E603" t="str">
            <v>16/05/2011</v>
          </cell>
          <cell r="F603">
            <v>40858</v>
          </cell>
          <cell r="G603">
            <v>40858</v>
          </cell>
          <cell r="H603" t="str">
            <v>2011-0.104.538-4</v>
          </cell>
          <cell r="I603">
            <v>38417.160000000003</v>
          </cell>
          <cell r="J603" t="str">
            <v xml:space="preserve">              123611122                  2848                    33903600</v>
          </cell>
          <cell r="K603">
            <v>40848</v>
          </cell>
          <cell r="L603">
            <v>11</v>
          </cell>
          <cell r="M603">
            <v>2400</v>
          </cell>
          <cell r="N603">
            <v>57278</v>
          </cell>
          <cell r="O603">
            <v>15119</v>
          </cell>
          <cell r="P603">
            <v>16</v>
          </cell>
          <cell r="Q603">
            <v>3</v>
          </cell>
          <cell r="S603">
            <v>6605.98</v>
          </cell>
          <cell r="T603">
            <v>6160</v>
          </cell>
          <cell r="U603">
            <v>0</v>
          </cell>
          <cell r="V603">
            <v>3300</v>
          </cell>
          <cell r="W603">
            <v>11</v>
          </cell>
          <cell r="Y603">
            <v>93819</v>
          </cell>
          <cell r="Z603">
            <v>712.55</v>
          </cell>
          <cell r="AA603">
            <v>2587.4499999999998</v>
          </cell>
          <cell r="AB603">
            <v>213.42866666666669</v>
          </cell>
          <cell r="AD603">
            <v>7521.7749999999996</v>
          </cell>
          <cell r="AN603" t="str">
            <v xml:space="preserve">Contrato emergencial nº </v>
          </cell>
          <cell r="AO603" t="str">
            <v>MP</v>
          </cell>
        </row>
        <row r="604">
          <cell r="D604" t="str">
            <v>1544/11</v>
          </cell>
          <cell r="E604" t="str">
            <v>16/05/2011</v>
          </cell>
          <cell r="F604">
            <v>40858</v>
          </cell>
          <cell r="G604">
            <v>40858</v>
          </cell>
          <cell r="H604" t="str">
            <v>2011-0.104.543-0</v>
          </cell>
          <cell r="I604">
            <v>39593.160000000003</v>
          </cell>
          <cell r="J604" t="str">
            <v xml:space="preserve">              123651121                 2847                    33903600</v>
          </cell>
          <cell r="K604">
            <v>40848</v>
          </cell>
          <cell r="L604">
            <v>11</v>
          </cell>
          <cell r="M604">
            <v>2500</v>
          </cell>
          <cell r="N604">
            <v>57273</v>
          </cell>
          <cell r="O604">
            <v>15122</v>
          </cell>
          <cell r="P604">
            <v>16</v>
          </cell>
          <cell r="Q604">
            <v>2</v>
          </cell>
          <cell r="S604">
            <v>105.86</v>
          </cell>
          <cell r="T604">
            <v>6360</v>
          </cell>
          <cell r="U604">
            <v>0</v>
          </cell>
          <cell r="V604">
            <v>2200</v>
          </cell>
          <cell r="W604">
            <v>11</v>
          </cell>
          <cell r="Y604">
            <v>90590</v>
          </cell>
          <cell r="Z604">
            <v>5839.92</v>
          </cell>
          <cell r="AA604">
            <v>-3639.92</v>
          </cell>
          <cell r="AB604">
            <v>219.96200000000002</v>
          </cell>
          <cell r="AD604">
            <v>5338.01</v>
          </cell>
          <cell r="AN604" t="str">
            <v xml:space="preserve">Contrato emergencial nº </v>
          </cell>
          <cell r="AO604" t="str">
            <v>FO</v>
          </cell>
        </row>
        <row r="605">
          <cell r="D605" t="str">
            <v>1545/11</v>
          </cell>
          <cell r="E605" t="str">
            <v>16/05/2011</v>
          </cell>
          <cell r="F605">
            <v>40858</v>
          </cell>
          <cell r="G605">
            <v>40858</v>
          </cell>
          <cell r="H605" t="str">
            <v>2011-0.104.546-5</v>
          </cell>
          <cell r="I605">
            <v>36684.720000000001</v>
          </cell>
          <cell r="J605" t="str">
            <v xml:space="preserve">              123651121                 2847                    33903600</v>
          </cell>
          <cell r="K605">
            <v>40848</v>
          </cell>
          <cell r="L605">
            <v>11</v>
          </cell>
          <cell r="M605">
            <v>2300</v>
          </cell>
          <cell r="N605">
            <v>57273</v>
          </cell>
          <cell r="O605">
            <v>14393</v>
          </cell>
          <cell r="P605">
            <v>16</v>
          </cell>
          <cell r="Q605">
            <v>2</v>
          </cell>
          <cell r="S605">
            <v>2552.41</v>
          </cell>
          <cell r="T605">
            <v>5880</v>
          </cell>
          <cell r="U605">
            <v>0</v>
          </cell>
          <cell r="V605">
            <v>2200</v>
          </cell>
          <cell r="W605">
            <v>11</v>
          </cell>
          <cell r="Y605">
            <v>90595</v>
          </cell>
          <cell r="Z605">
            <v>3660.1</v>
          </cell>
          <cell r="AA605">
            <v>-1460.1</v>
          </cell>
          <cell r="AB605">
            <v>203.804</v>
          </cell>
          <cell r="AD605">
            <v>5598.7526000000007</v>
          </cell>
          <cell r="AN605" t="str">
            <v xml:space="preserve">Contrato emergencial nº </v>
          </cell>
          <cell r="AO605" t="str">
            <v>FO</v>
          </cell>
        </row>
        <row r="606">
          <cell r="D606" t="str">
            <v>1546/11</v>
          </cell>
          <cell r="E606" t="str">
            <v>16/05/2011</v>
          </cell>
          <cell r="F606">
            <v>40858</v>
          </cell>
          <cell r="G606">
            <v>40858</v>
          </cell>
          <cell r="H606" t="str">
            <v>2011-0.104.565-1</v>
          </cell>
          <cell r="I606">
            <v>38417.160000000003</v>
          </cell>
          <cell r="J606" t="str">
            <v xml:space="preserve">              123651121                 2847                    33903600</v>
          </cell>
          <cell r="K606">
            <v>40848</v>
          </cell>
          <cell r="L606">
            <v>11</v>
          </cell>
          <cell r="M606">
            <v>2400</v>
          </cell>
          <cell r="N606">
            <v>57273</v>
          </cell>
          <cell r="O606">
            <v>15129</v>
          </cell>
          <cell r="P606">
            <v>16</v>
          </cell>
          <cell r="Q606">
            <v>2</v>
          </cell>
          <cell r="T606">
            <v>2510.5700000000002</v>
          </cell>
          <cell r="U606">
            <v>0</v>
          </cell>
          <cell r="V606">
            <v>2200</v>
          </cell>
          <cell r="W606">
            <v>11</v>
          </cell>
          <cell r="AA606">
            <v>2200</v>
          </cell>
          <cell r="AB606">
            <v>213.42866666666669</v>
          </cell>
          <cell r="AD606">
            <v>4714.8939999999993</v>
          </cell>
          <cell r="AN606" t="str">
            <v xml:space="preserve">Contrato emergencial nº </v>
          </cell>
          <cell r="AO606" t="str">
            <v>FO</v>
          </cell>
        </row>
        <row r="607">
          <cell r="D607" t="str">
            <v>1547/11</v>
          </cell>
          <cell r="E607" t="str">
            <v>16/05/2011</v>
          </cell>
          <cell r="F607">
            <v>40858</v>
          </cell>
          <cell r="G607">
            <v>40858</v>
          </cell>
          <cell r="H607" t="str">
            <v>2011-0.104.570-8</v>
          </cell>
          <cell r="I607">
            <v>39593.160000000003</v>
          </cell>
          <cell r="J607" t="str">
            <v xml:space="preserve">              123651121                 2847                    33903600</v>
          </cell>
          <cell r="K607">
            <v>40848</v>
          </cell>
          <cell r="L607">
            <v>11</v>
          </cell>
          <cell r="M607">
            <v>2500</v>
          </cell>
          <cell r="N607">
            <v>57273</v>
          </cell>
          <cell r="O607">
            <v>14395</v>
          </cell>
          <cell r="P607">
            <v>16</v>
          </cell>
          <cell r="Q607">
            <v>2</v>
          </cell>
          <cell r="S607">
            <v>676.35</v>
          </cell>
          <cell r="T607">
            <v>6360</v>
          </cell>
          <cell r="U607">
            <v>0</v>
          </cell>
          <cell r="V607">
            <v>2200</v>
          </cell>
          <cell r="W607">
            <v>11</v>
          </cell>
          <cell r="Y607">
            <v>90598</v>
          </cell>
          <cell r="Z607">
            <v>5119.29</v>
          </cell>
          <cell r="AA607">
            <v>-2919.29</v>
          </cell>
          <cell r="AB607">
            <v>219.96200000000002</v>
          </cell>
          <cell r="AD607">
            <v>5511.0599999999995</v>
          </cell>
          <cell r="AN607" t="str">
            <v xml:space="preserve">Contrato emergencial nº </v>
          </cell>
          <cell r="AO607" t="str">
            <v>FO</v>
          </cell>
        </row>
        <row r="608">
          <cell r="D608" t="str">
            <v>1548/11</v>
          </cell>
          <cell r="E608" t="str">
            <v>16/05/2011</v>
          </cell>
          <cell r="F608">
            <v>40858</v>
          </cell>
          <cell r="G608">
            <v>40858</v>
          </cell>
          <cell r="H608" t="str">
            <v>2011-0.104.573-2</v>
          </cell>
          <cell r="I608">
            <v>39593.160000000003</v>
          </cell>
          <cell r="J608" t="str">
            <v xml:space="preserve">              123651121                 2847                    33903600</v>
          </cell>
          <cell r="K608">
            <v>40848</v>
          </cell>
          <cell r="L608">
            <v>11</v>
          </cell>
          <cell r="M608">
            <v>2500</v>
          </cell>
          <cell r="N608">
            <v>57273</v>
          </cell>
          <cell r="O608">
            <v>15130</v>
          </cell>
          <cell r="P608">
            <v>16</v>
          </cell>
          <cell r="Q608">
            <v>2</v>
          </cell>
          <cell r="S608">
            <v>4772.4799999999996</v>
          </cell>
          <cell r="T608">
            <v>6360</v>
          </cell>
          <cell r="U608">
            <v>0</v>
          </cell>
          <cell r="V608">
            <v>2500</v>
          </cell>
          <cell r="W608">
            <v>11</v>
          </cell>
          <cell r="Y608">
            <v>90601</v>
          </cell>
          <cell r="Z608">
            <v>2410.08</v>
          </cell>
          <cell r="AA608">
            <v>89.920000000000073</v>
          </cell>
          <cell r="AB608">
            <v>219.96200000000002</v>
          </cell>
          <cell r="AN608" t="str">
            <v xml:space="preserve">Contrato emergencial nº </v>
          </cell>
          <cell r="AO608" t="str">
            <v>FO</v>
          </cell>
        </row>
        <row r="609">
          <cell r="D609" t="str">
            <v>1549/11</v>
          </cell>
          <cell r="E609" t="str">
            <v>16/05/2011</v>
          </cell>
          <cell r="F609">
            <v>40858</v>
          </cell>
          <cell r="G609">
            <v>40858</v>
          </cell>
          <cell r="H609" t="str">
            <v>2011-0.104.576-7</v>
          </cell>
          <cell r="I609">
            <v>28377.3</v>
          </cell>
          <cell r="J609" t="str">
            <v xml:space="preserve">              123611122                  2848                    33903600</v>
          </cell>
          <cell r="K609">
            <v>40848</v>
          </cell>
          <cell r="L609">
            <v>11</v>
          </cell>
          <cell r="M609">
            <v>1800</v>
          </cell>
          <cell r="N609">
            <v>57278</v>
          </cell>
          <cell r="O609">
            <v>15132</v>
          </cell>
          <cell r="P609">
            <v>16</v>
          </cell>
          <cell r="Q609">
            <v>3</v>
          </cell>
          <cell r="S609">
            <v>3038.3</v>
          </cell>
          <cell r="T609">
            <v>4560</v>
          </cell>
          <cell r="U609">
            <v>0</v>
          </cell>
          <cell r="V609">
            <v>2200</v>
          </cell>
          <cell r="W609">
            <v>11</v>
          </cell>
          <cell r="Y609">
            <v>90603</v>
          </cell>
          <cell r="Z609">
            <v>1164.05</v>
          </cell>
          <cell r="AA609">
            <v>1035.95</v>
          </cell>
          <cell r="AB609">
            <v>157.65166666666667</v>
          </cell>
          <cell r="AD609">
            <v>4825.4299999999994</v>
          </cell>
          <cell r="AN609" t="str">
            <v xml:space="preserve">Contrato emergencial nº </v>
          </cell>
          <cell r="AO609" t="str">
            <v>FO</v>
          </cell>
        </row>
        <row r="610">
          <cell r="D610" t="str">
            <v>1550/11</v>
          </cell>
          <cell r="E610" t="str">
            <v>16/05/2011</v>
          </cell>
          <cell r="F610">
            <v>40858</v>
          </cell>
          <cell r="G610">
            <v>40858</v>
          </cell>
          <cell r="H610" t="str">
            <v>2011-0.104.578-3</v>
          </cell>
          <cell r="I610">
            <v>38417.160000000003</v>
          </cell>
          <cell r="J610" t="str">
            <v xml:space="preserve">              123611122                  2848                    33903600</v>
          </cell>
          <cell r="K610">
            <v>40848</v>
          </cell>
          <cell r="L610">
            <v>11</v>
          </cell>
          <cell r="M610">
            <v>2400</v>
          </cell>
          <cell r="N610">
            <v>57278</v>
          </cell>
          <cell r="O610">
            <v>14397</v>
          </cell>
          <cell r="P610">
            <v>16</v>
          </cell>
          <cell r="Q610">
            <v>3</v>
          </cell>
          <cell r="T610">
            <v>1067.46</v>
          </cell>
          <cell r="U610">
            <v>0</v>
          </cell>
          <cell r="V610">
            <v>2200</v>
          </cell>
          <cell r="W610">
            <v>11</v>
          </cell>
          <cell r="AA610">
            <v>2200</v>
          </cell>
          <cell r="AB610">
            <v>213.42866666666669</v>
          </cell>
          <cell r="AD610">
            <v>3883.0600000000004</v>
          </cell>
          <cell r="AN610" t="str">
            <v xml:space="preserve">Contrato emergencial nº </v>
          </cell>
          <cell r="AO610" t="str">
            <v>FO</v>
          </cell>
        </row>
        <row r="611">
          <cell r="D611" t="str">
            <v>1551/11</v>
          </cell>
          <cell r="E611" t="str">
            <v>16/05/2011</v>
          </cell>
          <cell r="F611">
            <v>40858</v>
          </cell>
          <cell r="G611">
            <v>40858</v>
          </cell>
          <cell r="H611" t="str">
            <v>2011-0.104.583-0</v>
          </cell>
          <cell r="I611">
            <v>45632.28</v>
          </cell>
          <cell r="J611" t="str">
            <v xml:space="preserve">              123611122                  2848                    33903600</v>
          </cell>
          <cell r="K611">
            <v>40848</v>
          </cell>
          <cell r="L611">
            <v>11</v>
          </cell>
          <cell r="M611">
            <v>2800</v>
          </cell>
          <cell r="N611">
            <v>57278</v>
          </cell>
          <cell r="O611">
            <v>14399</v>
          </cell>
          <cell r="P611">
            <v>16</v>
          </cell>
          <cell r="Q611">
            <v>3</v>
          </cell>
          <cell r="S611">
            <v>1075.24</v>
          </cell>
          <cell r="T611">
            <v>7320</v>
          </cell>
          <cell r="U611">
            <v>0</v>
          </cell>
          <cell r="V611">
            <v>3300</v>
          </cell>
          <cell r="W611">
            <v>11</v>
          </cell>
          <cell r="Y611">
            <v>90610</v>
          </cell>
          <cell r="Z611">
            <v>5407.86</v>
          </cell>
          <cell r="AA611">
            <v>-2107.8599999999997</v>
          </cell>
          <cell r="AB611">
            <v>253.51266666666666</v>
          </cell>
          <cell r="AD611">
            <v>7943.41</v>
          </cell>
          <cell r="AN611" t="str">
            <v xml:space="preserve">Contrato emergencial nº </v>
          </cell>
          <cell r="AO611" t="str">
            <v>FO</v>
          </cell>
        </row>
        <row r="612">
          <cell r="D612" t="str">
            <v>1552/11</v>
          </cell>
          <cell r="E612" t="str">
            <v>16/05/2011</v>
          </cell>
          <cell r="F612">
            <v>40858</v>
          </cell>
          <cell r="G612">
            <v>40858</v>
          </cell>
          <cell r="H612" t="str">
            <v>2011-0.104.587-2</v>
          </cell>
          <cell r="I612">
            <v>36954.120000000003</v>
          </cell>
          <cell r="J612" t="str">
            <v xml:space="preserve">              123611122                  2848                    33903600</v>
          </cell>
          <cell r="K612">
            <v>40848</v>
          </cell>
          <cell r="L612">
            <v>11</v>
          </cell>
          <cell r="M612">
            <v>2300</v>
          </cell>
          <cell r="N612">
            <v>57278</v>
          </cell>
          <cell r="O612">
            <v>14411</v>
          </cell>
          <cell r="P612">
            <v>16</v>
          </cell>
          <cell r="Q612">
            <v>3</v>
          </cell>
          <cell r="S612">
            <v>401.71</v>
          </cell>
          <cell r="T612">
            <v>5920</v>
          </cell>
          <cell r="U612">
            <v>0</v>
          </cell>
          <cell r="V612">
            <v>2200</v>
          </cell>
          <cell r="W612">
            <v>11</v>
          </cell>
          <cell r="Y612">
            <v>90615</v>
          </cell>
          <cell r="Z612">
            <v>5019.37</v>
          </cell>
          <cell r="AA612">
            <v>-2819.37</v>
          </cell>
          <cell r="AB612">
            <v>205.30066666666667</v>
          </cell>
          <cell r="AD612">
            <v>5020.1280000000006</v>
          </cell>
          <cell r="AN612" t="str">
            <v xml:space="preserve">Contrato emergencial nº </v>
          </cell>
          <cell r="AO612" t="str">
            <v>FO</v>
          </cell>
        </row>
        <row r="613">
          <cell r="D613" t="str">
            <v>1553/11</v>
          </cell>
          <cell r="E613" t="str">
            <v>16/05/2011</v>
          </cell>
          <cell r="F613">
            <v>40858</v>
          </cell>
          <cell r="G613">
            <v>40858</v>
          </cell>
          <cell r="H613" t="str">
            <v>2011-0.104.590-2</v>
          </cell>
          <cell r="I613">
            <v>42218.64</v>
          </cell>
          <cell r="J613" t="str">
            <v xml:space="preserve">              123611122                  2848                    33903600</v>
          </cell>
          <cell r="K613">
            <v>40848</v>
          </cell>
          <cell r="L613">
            <v>11</v>
          </cell>
          <cell r="M613">
            <v>2600</v>
          </cell>
          <cell r="N613">
            <v>57278</v>
          </cell>
          <cell r="O613">
            <v>14413</v>
          </cell>
          <cell r="P613">
            <v>16</v>
          </cell>
          <cell r="Q613">
            <v>3</v>
          </cell>
          <cell r="S613">
            <v>5134.2700000000004</v>
          </cell>
          <cell r="T613">
            <v>6760</v>
          </cell>
          <cell r="U613">
            <v>0</v>
          </cell>
          <cell r="V613">
            <v>3300</v>
          </cell>
          <cell r="W613">
            <v>11</v>
          </cell>
          <cell r="Y613">
            <v>93366</v>
          </cell>
          <cell r="Z613">
            <v>1781.07</v>
          </cell>
          <cell r="AA613">
            <v>1518.93</v>
          </cell>
          <cell r="AB613">
            <v>234.548</v>
          </cell>
          <cell r="AD613">
            <v>7321.5929999999998</v>
          </cell>
          <cell r="AN613" t="str">
            <v xml:space="preserve">Contrato emergencial nº </v>
          </cell>
          <cell r="AO613" t="str">
            <v>PJ</v>
          </cell>
        </row>
        <row r="614">
          <cell r="D614" t="str">
            <v>1554/11</v>
          </cell>
          <cell r="E614" t="str">
            <v>16/05/2011</v>
          </cell>
          <cell r="F614">
            <v>40858</v>
          </cell>
          <cell r="G614">
            <v>40858</v>
          </cell>
          <cell r="H614" t="str">
            <v>2011-0.105.534-7</v>
          </cell>
          <cell r="I614">
            <v>26297.040000000001</v>
          </cell>
          <cell r="J614" t="str">
            <v xml:space="preserve">              123611122                  2848                    33903600</v>
          </cell>
          <cell r="K614">
            <v>40848</v>
          </cell>
          <cell r="L614">
            <v>11</v>
          </cell>
          <cell r="M614">
            <v>1700</v>
          </cell>
          <cell r="N614">
            <v>57278</v>
          </cell>
          <cell r="O614">
            <v>15134</v>
          </cell>
          <cell r="P614">
            <v>16</v>
          </cell>
          <cell r="Q614">
            <v>3</v>
          </cell>
          <cell r="S614">
            <v>4579.01</v>
          </cell>
          <cell r="T614">
            <v>4240</v>
          </cell>
          <cell r="U614">
            <v>0</v>
          </cell>
          <cell r="V614">
            <v>2200</v>
          </cell>
          <cell r="W614">
            <v>11</v>
          </cell>
          <cell r="Y614">
            <v>90632</v>
          </cell>
          <cell r="Z614">
            <v>1119.96</v>
          </cell>
          <cell r="AA614">
            <v>1080.04</v>
          </cell>
          <cell r="AB614">
            <v>146.09466666666668</v>
          </cell>
          <cell r="AD614">
            <v>4579.01</v>
          </cell>
          <cell r="AN614" t="str">
            <v xml:space="preserve">Contrato emergencial nº </v>
          </cell>
          <cell r="AO614" t="str">
            <v>FO</v>
          </cell>
        </row>
        <row r="615">
          <cell r="D615" t="str">
            <v>1555/11</v>
          </cell>
          <cell r="E615" t="str">
            <v>16/05/2011</v>
          </cell>
          <cell r="F615">
            <v>40858</v>
          </cell>
          <cell r="G615">
            <v>40858</v>
          </cell>
          <cell r="H615" t="str">
            <v>2011-0.105.535-5</v>
          </cell>
          <cell r="I615">
            <v>40835.160000000003</v>
          </cell>
          <cell r="J615" t="str">
            <v xml:space="preserve">              123611122                  2848                    33903600</v>
          </cell>
          <cell r="K615">
            <v>40848</v>
          </cell>
          <cell r="L615">
            <v>11</v>
          </cell>
          <cell r="M615">
            <v>2500</v>
          </cell>
          <cell r="N615">
            <v>57278</v>
          </cell>
          <cell r="O615">
            <v>15135</v>
          </cell>
          <cell r="P615">
            <v>16</v>
          </cell>
          <cell r="Q615">
            <v>3</v>
          </cell>
          <cell r="S615">
            <v>543.61</v>
          </cell>
          <cell r="T615">
            <v>6560</v>
          </cell>
          <cell r="U615">
            <v>0</v>
          </cell>
          <cell r="V615">
            <v>2200</v>
          </cell>
          <cell r="W615">
            <v>11</v>
          </cell>
          <cell r="Y615">
            <v>90636</v>
          </cell>
          <cell r="Z615">
            <v>6142.52</v>
          </cell>
          <cell r="AA615">
            <v>-3942.5200000000004</v>
          </cell>
          <cell r="AB615">
            <v>226.86200000000002</v>
          </cell>
          <cell r="AD615">
            <v>5188.9299999999985</v>
          </cell>
          <cell r="AN615" t="str">
            <v xml:space="preserve">Contrato emergencial nº </v>
          </cell>
          <cell r="AO615" t="str">
            <v>FO</v>
          </cell>
        </row>
        <row r="616">
          <cell r="D616" t="str">
            <v>1556/11</v>
          </cell>
          <cell r="E616" t="str">
            <v>16/05/2011</v>
          </cell>
          <cell r="F616">
            <v>40858</v>
          </cell>
          <cell r="G616">
            <v>40858</v>
          </cell>
          <cell r="H616" t="str">
            <v>2011-0.105.536-3</v>
          </cell>
          <cell r="I616">
            <v>38417.160000000003</v>
          </cell>
          <cell r="J616" t="str">
            <v xml:space="preserve">              123611122                  2848                    33903600</v>
          </cell>
          <cell r="K616">
            <v>40848</v>
          </cell>
          <cell r="L616">
            <v>11</v>
          </cell>
          <cell r="M616">
            <v>2400</v>
          </cell>
          <cell r="N616">
            <v>57278</v>
          </cell>
          <cell r="O616">
            <v>15137</v>
          </cell>
          <cell r="P616">
            <v>16</v>
          </cell>
          <cell r="Q616">
            <v>3</v>
          </cell>
          <cell r="S616">
            <v>3469.41</v>
          </cell>
          <cell r="T616">
            <v>6160</v>
          </cell>
          <cell r="U616">
            <v>0</v>
          </cell>
          <cell r="V616">
            <v>3300</v>
          </cell>
          <cell r="W616">
            <v>11</v>
          </cell>
          <cell r="Y616">
            <v>95219</v>
          </cell>
          <cell r="Z616">
            <v>3162.11</v>
          </cell>
          <cell r="AA616">
            <v>137.88999999999987</v>
          </cell>
          <cell r="AB616">
            <v>213.42866666666669</v>
          </cell>
          <cell r="AD616">
            <v>6273.9699999999993</v>
          </cell>
          <cell r="AN616" t="str">
            <v xml:space="preserve">Contrato emergencial nº </v>
          </cell>
          <cell r="AO616" t="str">
            <v xml:space="preserve">SA </v>
          </cell>
        </row>
        <row r="617">
          <cell r="D617" t="str">
            <v>1557/11</v>
          </cell>
          <cell r="E617" t="str">
            <v>16/05/2011</v>
          </cell>
          <cell r="F617">
            <v>40858</v>
          </cell>
          <cell r="G617">
            <v>40858</v>
          </cell>
          <cell r="H617" t="str">
            <v>2011-0.105.538-0</v>
          </cell>
          <cell r="I617">
            <v>43520.639999999999</v>
          </cell>
          <cell r="J617" t="str">
            <v xml:space="preserve">              123651121                 2847                    33903600</v>
          </cell>
          <cell r="K617">
            <v>40848</v>
          </cell>
          <cell r="L617">
            <v>11</v>
          </cell>
          <cell r="M617">
            <v>2700</v>
          </cell>
          <cell r="N617">
            <v>57273</v>
          </cell>
          <cell r="O617">
            <v>15138</v>
          </cell>
          <cell r="P617">
            <v>16</v>
          </cell>
          <cell r="Q617">
            <v>2</v>
          </cell>
          <cell r="T617">
            <v>3109.35</v>
          </cell>
          <cell r="U617">
            <v>0</v>
          </cell>
          <cell r="V617">
            <v>2200</v>
          </cell>
          <cell r="W617">
            <v>11</v>
          </cell>
          <cell r="AA617">
            <v>2200</v>
          </cell>
          <cell r="AB617">
            <v>241.78133333333332</v>
          </cell>
          <cell r="AD617">
            <v>5110.6177999999991</v>
          </cell>
          <cell r="AN617" t="str">
            <v xml:space="preserve">Contrato emergencial nº </v>
          </cell>
          <cell r="AO617" t="str">
            <v>FO</v>
          </cell>
        </row>
        <row r="618">
          <cell r="D618" t="str">
            <v>1558/11</v>
          </cell>
          <cell r="E618" t="str">
            <v>16/05/2011</v>
          </cell>
          <cell r="F618">
            <v>40858</v>
          </cell>
          <cell r="G618">
            <v>40858</v>
          </cell>
          <cell r="H618" t="str">
            <v>2011-0.105.539-8</v>
          </cell>
          <cell r="I618">
            <v>36684.720000000001</v>
          </cell>
          <cell r="J618" t="str">
            <v xml:space="preserve">              123651121                 2847                    33903600</v>
          </cell>
          <cell r="K618">
            <v>40848</v>
          </cell>
          <cell r="L618">
            <v>11</v>
          </cell>
          <cell r="M618">
            <v>2300</v>
          </cell>
          <cell r="N618">
            <v>57273</v>
          </cell>
          <cell r="O618">
            <v>14416</v>
          </cell>
          <cell r="P618">
            <v>16</v>
          </cell>
          <cell r="Q618">
            <v>2</v>
          </cell>
          <cell r="S618">
            <v>7570.65</v>
          </cell>
          <cell r="T618">
            <v>5880.0000000000009</v>
          </cell>
          <cell r="U618">
            <v>3499.1589999999997</v>
          </cell>
          <cell r="V618">
            <v>3300</v>
          </cell>
          <cell r="W618">
            <v>11</v>
          </cell>
          <cell r="Y618">
            <v>93835</v>
          </cell>
          <cell r="AA618">
            <v>6799.1589999999997</v>
          </cell>
          <cell r="AB618">
            <v>203.804</v>
          </cell>
          <cell r="AD618">
            <v>7570.653666666667</v>
          </cell>
          <cell r="AN618" t="str">
            <v xml:space="preserve">Contrato emergencial nº </v>
          </cell>
          <cell r="AO618" t="str">
            <v>MP</v>
          </cell>
        </row>
        <row r="619">
          <cell r="D619" t="str">
            <v>1559/11</v>
          </cell>
          <cell r="E619" t="str">
            <v>16/05/2011</v>
          </cell>
          <cell r="F619">
            <v>40858</v>
          </cell>
          <cell r="G619">
            <v>40858</v>
          </cell>
          <cell r="H619" t="str">
            <v>2011-0.105.540-1</v>
          </cell>
          <cell r="I619">
            <v>40976.639999999999</v>
          </cell>
          <cell r="J619" t="str">
            <v xml:space="preserve">              123651121                 2847                    33903600</v>
          </cell>
          <cell r="K619">
            <v>40848</v>
          </cell>
          <cell r="L619">
            <v>11</v>
          </cell>
          <cell r="M619">
            <v>2600</v>
          </cell>
          <cell r="N619">
            <v>57273</v>
          </cell>
          <cell r="O619">
            <v>15139</v>
          </cell>
          <cell r="P619">
            <v>16</v>
          </cell>
          <cell r="Q619">
            <v>2</v>
          </cell>
          <cell r="S619">
            <v>6263.36</v>
          </cell>
          <cell r="T619">
            <v>6560</v>
          </cell>
          <cell r="U619">
            <v>0</v>
          </cell>
          <cell r="V619">
            <v>3300</v>
          </cell>
          <cell r="W619">
            <v>11</v>
          </cell>
          <cell r="Y619">
            <v>93906</v>
          </cell>
          <cell r="Z619">
            <v>1582.91</v>
          </cell>
          <cell r="AA619">
            <v>1717.09</v>
          </cell>
          <cell r="AB619">
            <v>227.648</v>
          </cell>
          <cell r="AD619">
            <v>7569.42</v>
          </cell>
          <cell r="AN619" t="str">
            <v xml:space="preserve">Contrato emergencial nº </v>
          </cell>
          <cell r="AO619" t="str">
            <v>MP</v>
          </cell>
        </row>
        <row r="620">
          <cell r="D620" t="str">
            <v>1560/11</v>
          </cell>
          <cell r="E620" t="str">
            <v>16/05/2011</v>
          </cell>
          <cell r="F620">
            <v>40858</v>
          </cell>
          <cell r="G620">
            <v>40858</v>
          </cell>
          <cell r="H620" t="str">
            <v>2011-0.105.542-8</v>
          </cell>
          <cell r="I620">
            <v>36684.720000000001</v>
          </cell>
          <cell r="J620" t="str">
            <v xml:space="preserve">              123651121                 2847                    33903600</v>
          </cell>
          <cell r="K620">
            <v>40848</v>
          </cell>
          <cell r="L620">
            <v>11</v>
          </cell>
          <cell r="M620">
            <v>2300</v>
          </cell>
          <cell r="N620">
            <v>57273</v>
          </cell>
          <cell r="O620">
            <v>14430</v>
          </cell>
          <cell r="P620">
            <v>16</v>
          </cell>
          <cell r="Q620">
            <v>2</v>
          </cell>
          <cell r="S620">
            <v>7476.16</v>
          </cell>
          <cell r="T620">
            <v>5880</v>
          </cell>
          <cell r="U620">
            <v>1700.5899999999992</v>
          </cell>
          <cell r="V620">
            <v>3300</v>
          </cell>
          <cell r="W620">
            <v>11</v>
          </cell>
          <cell r="Y620">
            <v>93915</v>
          </cell>
          <cell r="AA620">
            <v>5000.5899999999992</v>
          </cell>
          <cell r="AB620">
            <v>203.804</v>
          </cell>
          <cell r="AD620">
            <v>7476.16</v>
          </cell>
          <cell r="AN620" t="str">
            <v xml:space="preserve">Contrato emergencial nº </v>
          </cell>
          <cell r="AO620" t="str">
            <v>MP</v>
          </cell>
        </row>
        <row r="621">
          <cell r="D621" t="str">
            <v>1561/11</v>
          </cell>
          <cell r="E621" t="str">
            <v>16/05/2011</v>
          </cell>
          <cell r="F621">
            <v>40858</v>
          </cell>
          <cell r="G621">
            <v>40858</v>
          </cell>
          <cell r="H621" t="str">
            <v>2011-0.105.544-4</v>
          </cell>
          <cell r="I621">
            <v>40976.639999999999</v>
          </cell>
          <cell r="J621" t="str">
            <v xml:space="preserve">              123651121                 2847                    33903600</v>
          </cell>
          <cell r="K621">
            <v>40848</v>
          </cell>
          <cell r="L621">
            <v>11</v>
          </cell>
          <cell r="M621">
            <v>2600</v>
          </cell>
          <cell r="N621">
            <v>57273</v>
          </cell>
          <cell r="O621">
            <v>14432</v>
          </cell>
          <cell r="P621">
            <v>16</v>
          </cell>
          <cell r="Q621">
            <v>2</v>
          </cell>
          <cell r="S621">
            <v>7344.38</v>
          </cell>
          <cell r="T621">
            <v>6560</v>
          </cell>
          <cell r="U621">
            <v>0</v>
          </cell>
          <cell r="V621">
            <v>3300</v>
          </cell>
          <cell r="W621">
            <v>11</v>
          </cell>
          <cell r="Y621">
            <v>93918</v>
          </cell>
          <cell r="Z621">
            <v>404.23</v>
          </cell>
          <cell r="AA621">
            <v>2895.77</v>
          </cell>
          <cell r="AB621">
            <v>227.648</v>
          </cell>
          <cell r="AD621">
            <v>7935.5</v>
          </cell>
          <cell r="AN621" t="str">
            <v xml:space="preserve">Contrato emergencial nº </v>
          </cell>
          <cell r="AO621" t="str">
            <v>MP</v>
          </cell>
        </row>
        <row r="622">
          <cell r="D622" t="str">
            <v>1562/11</v>
          </cell>
          <cell r="E622" t="str">
            <v>16/05/2011</v>
          </cell>
          <cell r="F622">
            <v>40858</v>
          </cell>
          <cell r="G622">
            <v>40858</v>
          </cell>
          <cell r="H622" t="str">
            <v>2011-0.105.546-0</v>
          </cell>
          <cell r="I622">
            <v>39593.160000000003</v>
          </cell>
          <cell r="J622" t="str">
            <v xml:space="preserve">              123651121                 2847                    33903600</v>
          </cell>
          <cell r="K622">
            <v>40848</v>
          </cell>
          <cell r="L622">
            <v>11</v>
          </cell>
          <cell r="M622">
            <v>2500</v>
          </cell>
          <cell r="N622">
            <v>57273</v>
          </cell>
          <cell r="O622">
            <v>14435</v>
          </cell>
          <cell r="P622">
            <v>16</v>
          </cell>
          <cell r="Q622">
            <v>2</v>
          </cell>
          <cell r="S622">
            <v>4745.8999999999996</v>
          </cell>
          <cell r="T622">
            <v>6360.0000000000009</v>
          </cell>
          <cell r="U622">
            <v>0</v>
          </cell>
          <cell r="V622">
            <v>3300</v>
          </cell>
          <cell r="W622">
            <v>11</v>
          </cell>
          <cell r="Y622">
            <v>93921</v>
          </cell>
          <cell r="Z622">
            <v>2314.88</v>
          </cell>
          <cell r="AA622">
            <v>985.11999999999989</v>
          </cell>
          <cell r="AB622">
            <v>219.96200000000002</v>
          </cell>
          <cell r="AD622">
            <v>6913.46</v>
          </cell>
          <cell r="AN622" t="str">
            <v xml:space="preserve">Contrato emergencial nº </v>
          </cell>
          <cell r="AO622" t="str">
            <v>MP</v>
          </cell>
        </row>
        <row r="623">
          <cell r="D623" t="str">
            <v>1563/11</v>
          </cell>
          <cell r="E623" t="str">
            <v>16/05/2011</v>
          </cell>
          <cell r="F623">
            <v>40858</v>
          </cell>
          <cell r="G623">
            <v>40858</v>
          </cell>
          <cell r="H623" t="str">
            <v>2011-0.105.548-7</v>
          </cell>
          <cell r="I623">
            <v>37033.68</v>
          </cell>
          <cell r="J623" t="str">
            <v xml:space="preserve">              123651121                 2847                    33903600</v>
          </cell>
          <cell r="K623">
            <v>40848</v>
          </cell>
          <cell r="L623">
            <v>11</v>
          </cell>
          <cell r="M623">
            <v>2300</v>
          </cell>
          <cell r="N623">
            <v>57273</v>
          </cell>
          <cell r="O623">
            <v>15141</v>
          </cell>
          <cell r="P623">
            <v>16</v>
          </cell>
          <cell r="Q623">
            <v>2</v>
          </cell>
          <cell r="S623">
            <v>6214.09</v>
          </cell>
          <cell r="T623">
            <v>5960</v>
          </cell>
          <cell r="U623">
            <v>504.31999999999971</v>
          </cell>
          <cell r="V623">
            <v>3300</v>
          </cell>
          <cell r="W623">
            <v>11</v>
          </cell>
          <cell r="Y623">
            <v>93926</v>
          </cell>
          <cell r="AA623">
            <v>3804.3199999999997</v>
          </cell>
          <cell r="AB623">
            <v>205.74266666666668</v>
          </cell>
          <cell r="AD623">
            <v>7127.3200000000006</v>
          </cell>
          <cell r="AN623" t="str">
            <v xml:space="preserve">Contrato emergencial nº </v>
          </cell>
          <cell r="AO623" t="str">
            <v>MP</v>
          </cell>
        </row>
        <row r="624">
          <cell r="D624" t="str">
            <v>1564/11</v>
          </cell>
          <cell r="E624" t="str">
            <v>16/05/2011</v>
          </cell>
          <cell r="F624">
            <v>40858</v>
          </cell>
          <cell r="G624">
            <v>40858</v>
          </cell>
          <cell r="H624" t="str">
            <v>2011-0.105.550-9</v>
          </cell>
          <cell r="I624">
            <v>40835.160000000003</v>
          </cell>
          <cell r="J624" t="str">
            <v xml:space="preserve">              123651121                 2847                    33903600</v>
          </cell>
          <cell r="K624">
            <v>40848</v>
          </cell>
          <cell r="L624">
            <v>11</v>
          </cell>
          <cell r="M624">
            <v>2500</v>
          </cell>
          <cell r="N624">
            <v>57273</v>
          </cell>
          <cell r="O624">
            <v>14772</v>
          </cell>
          <cell r="P624">
            <v>16</v>
          </cell>
          <cell r="Q624">
            <v>2</v>
          </cell>
          <cell r="S624">
            <v>6817.2</v>
          </cell>
          <cell r="T624">
            <v>6560</v>
          </cell>
          <cell r="U624">
            <v>0</v>
          </cell>
          <cell r="V624">
            <v>3300</v>
          </cell>
          <cell r="W624">
            <v>11</v>
          </cell>
          <cell r="Y624">
            <v>93927</v>
          </cell>
          <cell r="Z624">
            <v>1377.54</v>
          </cell>
          <cell r="AA624">
            <v>1922.46</v>
          </cell>
          <cell r="AB624">
            <v>226.86200000000002</v>
          </cell>
          <cell r="AD624">
            <v>7683.4800000000005</v>
          </cell>
          <cell r="AN624" t="str">
            <v xml:space="preserve">Contrato emergencial nº </v>
          </cell>
          <cell r="AO624" t="str">
            <v>MP</v>
          </cell>
        </row>
        <row r="625">
          <cell r="D625" t="str">
            <v>1565/11</v>
          </cell>
          <cell r="E625" t="str">
            <v>16/05/2011</v>
          </cell>
          <cell r="F625">
            <v>40858</v>
          </cell>
          <cell r="G625">
            <v>40858</v>
          </cell>
          <cell r="H625" t="str">
            <v>2011-0.105.551-7</v>
          </cell>
          <cell r="I625">
            <v>54669.96</v>
          </cell>
          <cell r="J625" t="str">
            <v xml:space="preserve">              123611122                  2848                    33903600</v>
          </cell>
          <cell r="K625">
            <v>40848</v>
          </cell>
          <cell r="L625">
            <v>11</v>
          </cell>
          <cell r="M625">
            <v>3400</v>
          </cell>
          <cell r="N625">
            <v>57278</v>
          </cell>
          <cell r="O625">
            <v>15142</v>
          </cell>
          <cell r="P625">
            <v>16</v>
          </cell>
          <cell r="Q625">
            <v>3</v>
          </cell>
          <cell r="S625">
            <v>3180.7</v>
          </cell>
          <cell r="T625">
            <v>8760</v>
          </cell>
          <cell r="U625">
            <v>0</v>
          </cell>
          <cell r="V625">
            <v>4400</v>
          </cell>
          <cell r="W625">
            <v>11</v>
          </cell>
          <cell r="Y625">
            <v>93095</v>
          </cell>
          <cell r="Z625">
            <v>4163.84</v>
          </cell>
          <cell r="AA625">
            <v>236.15999999999985</v>
          </cell>
          <cell r="AB625">
            <v>303.72199999999998</v>
          </cell>
          <cell r="AD625">
            <v>9145.27</v>
          </cell>
          <cell r="AN625" t="str">
            <v xml:space="preserve">Contrato emergencial nº </v>
          </cell>
          <cell r="AO625" t="str">
            <v>CL</v>
          </cell>
        </row>
        <row r="626">
          <cell r="D626" t="str">
            <v>1566/11</v>
          </cell>
          <cell r="E626" t="str">
            <v>16/05/2011</v>
          </cell>
          <cell r="F626">
            <v>40858</v>
          </cell>
          <cell r="G626">
            <v>40858</v>
          </cell>
          <cell r="H626" t="str">
            <v>2011-0.105.554-1</v>
          </cell>
          <cell r="I626">
            <v>50500.08</v>
          </cell>
          <cell r="J626" t="str">
            <v xml:space="preserve">             123671125                  2863                   33903600</v>
          </cell>
          <cell r="K626">
            <v>40848</v>
          </cell>
          <cell r="L626">
            <v>11</v>
          </cell>
          <cell r="M626">
            <v>3100</v>
          </cell>
          <cell r="N626">
            <v>57287</v>
          </cell>
          <cell r="O626">
            <v>14775</v>
          </cell>
          <cell r="P626">
            <v>16</v>
          </cell>
          <cell r="Q626">
            <v>4</v>
          </cell>
          <cell r="S626">
            <v>12374.9</v>
          </cell>
          <cell r="T626">
            <v>8120</v>
          </cell>
          <cell r="U626">
            <v>17396.59</v>
          </cell>
          <cell r="V626">
            <v>4115.369999999999</v>
          </cell>
          <cell r="W626">
            <v>11</v>
          </cell>
          <cell r="Y626">
            <v>93943</v>
          </cell>
          <cell r="AA626">
            <v>21511.96</v>
          </cell>
          <cell r="AB626">
            <v>280.55599999999998</v>
          </cell>
          <cell r="AD626">
            <v>12374.897000000001</v>
          </cell>
          <cell r="AN626" t="str">
            <v xml:space="preserve">Contrato emergencial nº </v>
          </cell>
          <cell r="AO626" t="str">
            <v>MP</v>
          </cell>
        </row>
        <row r="627">
          <cell r="D627" t="str">
            <v>1567/11</v>
          </cell>
          <cell r="E627" t="str">
            <v>16/05/2011</v>
          </cell>
          <cell r="F627">
            <v>40858</v>
          </cell>
          <cell r="G627">
            <v>40858</v>
          </cell>
          <cell r="H627" t="str">
            <v>2011-0.105.556-8</v>
          </cell>
          <cell r="I627">
            <v>40835.160000000003</v>
          </cell>
          <cell r="J627" t="str">
            <v xml:space="preserve">              123611122                  2848                    33903600</v>
          </cell>
          <cell r="K627">
            <v>40848</v>
          </cell>
          <cell r="L627">
            <v>11</v>
          </cell>
          <cell r="M627">
            <v>2500</v>
          </cell>
          <cell r="N627">
            <v>57278</v>
          </cell>
          <cell r="O627">
            <v>14776</v>
          </cell>
          <cell r="P627">
            <v>16</v>
          </cell>
          <cell r="Q627">
            <v>3</v>
          </cell>
          <cell r="S627">
            <v>1510.75</v>
          </cell>
          <cell r="T627">
            <v>6560</v>
          </cell>
          <cell r="U627">
            <v>0</v>
          </cell>
          <cell r="V627">
            <v>2200</v>
          </cell>
          <cell r="W627">
            <v>11</v>
          </cell>
          <cell r="Y627">
            <v>93945</v>
          </cell>
          <cell r="Z627">
            <v>4448.76</v>
          </cell>
          <cell r="AA627">
            <v>-2248.7600000000002</v>
          </cell>
          <cell r="AB627">
            <v>226.86200000000002</v>
          </cell>
          <cell r="AD627">
            <v>5938.3189999999995</v>
          </cell>
          <cell r="AN627" t="str">
            <v xml:space="preserve">Contrato emergencial nº </v>
          </cell>
          <cell r="AO627" t="str">
            <v>MP</v>
          </cell>
        </row>
        <row r="628">
          <cell r="D628" t="str">
            <v>1568/11</v>
          </cell>
          <cell r="E628" t="str">
            <v>16/05/2011</v>
          </cell>
          <cell r="F628">
            <v>40858</v>
          </cell>
          <cell r="G628">
            <v>40858</v>
          </cell>
          <cell r="H628" t="str">
            <v>2011-0.105.558-4</v>
          </cell>
          <cell r="I628">
            <v>39593.160000000003</v>
          </cell>
          <cell r="J628" t="str">
            <v xml:space="preserve">              123611122                  2848                    33903600</v>
          </cell>
          <cell r="K628">
            <v>40848</v>
          </cell>
          <cell r="L628">
            <v>11</v>
          </cell>
          <cell r="M628">
            <v>2500</v>
          </cell>
          <cell r="N628">
            <v>57278</v>
          </cell>
          <cell r="O628">
            <v>15146</v>
          </cell>
          <cell r="P628">
            <v>16</v>
          </cell>
          <cell r="Q628">
            <v>3</v>
          </cell>
          <cell r="T628">
            <v>6360</v>
          </cell>
          <cell r="U628">
            <v>0</v>
          </cell>
          <cell r="V628">
            <v>2200</v>
          </cell>
          <cell r="W628">
            <v>11</v>
          </cell>
          <cell r="Y628">
            <v>106749</v>
          </cell>
          <cell r="AA628">
            <v>2200</v>
          </cell>
          <cell r="AB628">
            <v>219.96200000000002</v>
          </cell>
          <cell r="AD628">
            <v>5186.9400000000005</v>
          </cell>
          <cell r="AN628" t="str">
            <v xml:space="preserve">Contrato emergencial nº </v>
          </cell>
          <cell r="AO628" t="str">
            <v>MP</v>
          </cell>
        </row>
        <row r="629">
          <cell r="D629" t="str">
            <v>1569/11</v>
          </cell>
          <cell r="E629" t="str">
            <v>16/05/2011</v>
          </cell>
          <cell r="F629">
            <v>40858</v>
          </cell>
          <cell r="G629">
            <v>40858</v>
          </cell>
          <cell r="H629" t="str">
            <v>2011-0.105.559-2</v>
          </cell>
          <cell r="I629">
            <v>39593.160000000003</v>
          </cell>
          <cell r="J629" t="str">
            <v xml:space="preserve">              123611122                  2848                    33903600</v>
          </cell>
          <cell r="K629">
            <v>40848</v>
          </cell>
          <cell r="L629">
            <v>11</v>
          </cell>
          <cell r="M629">
            <v>2500</v>
          </cell>
          <cell r="N629">
            <v>57278</v>
          </cell>
          <cell r="O629">
            <v>15147</v>
          </cell>
          <cell r="P629">
            <v>16</v>
          </cell>
          <cell r="Q629">
            <v>3</v>
          </cell>
          <cell r="T629">
            <v>6360</v>
          </cell>
          <cell r="U629">
            <v>0</v>
          </cell>
          <cell r="V629">
            <v>1100</v>
          </cell>
          <cell r="W629">
            <v>11</v>
          </cell>
          <cell r="Y629">
            <v>58703</v>
          </cell>
          <cell r="Z629">
            <v>3348.64</v>
          </cell>
          <cell r="AA629">
            <v>-2248.64</v>
          </cell>
          <cell r="AB629">
            <v>219.96200000000002</v>
          </cell>
          <cell r="AD629">
            <v>2442.4999999999995</v>
          </cell>
          <cell r="AN629" t="str">
            <v xml:space="preserve">Contrato emergencial nº </v>
          </cell>
          <cell r="AO629" t="str">
            <v>MP</v>
          </cell>
        </row>
        <row r="630">
          <cell r="D630" t="str">
            <v>1570/11</v>
          </cell>
          <cell r="E630" t="str">
            <v>16/05/2011</v>
          </cell>
          <cell r="F630">
            <v>40858</v>
          </cell>
          <cell r="G630">
            <v>40858</v>
          </cell>
          <cell r="H630" t="str">
            <v>2011-0.105.562-2</v>
          </cell>
          <cell r="I630">
            <v>52251.96</v>
          </cell>
          <cell r="J630" t="str">
            <v xml:space="preserve">              123611122                  2848                    33903600</v>
          </cell>
          <cell r="K630">
            <v>40848</v>
          </cell>
          <cell r="L630">
            <v>11</v>
          </cell>
          <cell r="M630">
            <v>3200</v>
          </cell>
          <cell r="N630">
            <v>57278</v>
          </cell>
          <cell r="O630">
            <v>15152</v>
          </cell>
          <cell r="P630">
            <v>16</v>
          </cell>
          <cell r="Q630">
            <v>3</v>
          </cell>
          <cell r="T630">
            <v>8400</v>
          </cell>
          <cell r="U630">
            <v>6930.46</v>
          </cell>
          <cell r="V630">
            <v>3300</v>
          </cell>
          <cell r="W630">
            <v>11</v>
          </cell>
          <cell r="Y630">
            <v>58749</v>
          </cell>
          <cell r="AA630">
            <v>10230.459999999999</v>
          </cell>
          <cell r="AB630">
            <v>290.28866666666664</v>
          </cell>
          <cell r="AD630">
            <v>7132.6049999999996</v>
          </cell>
          <cell r="AN630" t="str">
            <v xml:space="preserve">Contrato emergencial nº </v>
          </cell>
          <cell r="AO630" t="str">
            <v>MP</v>
          </cell>
        </row>
        <row r="631">
          <cell r="D631" t="str">
            <v>1571/11</v>
          </cell>
          <cell r="E631" t="str">
            <v>16/05/2011</v>
          </cell>
          <cell r="F631">
            <v>40858</v>
          </cell>
          <cell r="G631">
            <v>40858</v>
          </cell>
          <cell r="H631" t="str">
            <v>2011-0.105.564-9</v>
          </cell>
          <cell r="I631">
            <v>39566.04</v>
          </cell>
          <cell r="J631" t="str">
            <v xml:space="preserve">              123651121                 2847                    33903600</v>
          </cell>
          <cell r="K631">
            <v>40848</v>
          </cell>
          <cell r="L631">
            <v>11</v>
          </cell>
          <cell r="M631">
            <v>2500</v>
          </cell>
          <cell r="N631">
            <v>57273</v>
          </cell>
          <cell r="O631">
            <v>15154</v>
          </cell>
          <cell r="P631">
            <v>16</v>
          </cell>
          <cell r="Q631">
            <v>2</v>
          </cell>
          <cell r="S631">
            <v>10371.450000000001</v>
          </cell>
          <cell r="T631">
            <v>141.43</v>
          </cell>
          <cell r="U631">
            <v>9609.630000000001</v>
          </cell>
          <cell r="V631">
            <v>4400</v>
          </cell>
          <cell r="W631">
            <v>11</v>
          </cell>
          <cell r="AA631">
            <v>14009.630000000001</v>
          </cell>
          <cell r="AB631">
            <v>219.81133333333335</v>
          </cell>
          <cell r="AD631">
            <v>10371.450000000001</v>
          </cell>
          <cell r="AN631" t="str">
            <v xml:space="preserve">Contrato emergencial nº </v>
          </cell>
          <cell r="AO631" t="str">
            <v>CS</v>
          </cell>
        </row>
        <row r="632">
          <cell r="D632" t="str">
            <v>1572/11</v>
          </cell>
          <cell r="E632" t="str">
            <v>16/05/2011</v>
          </cell>
          <cell r="F632">
            <v>40858</v>
          </cell>
          <cell r="G632">
            <v>40858</v>
          </cell>
          <cell r="H632" t="str">
            <v>2011-0.105.566-5</v>
          </cell>
          <cell r="I632">
            <v>36684.720000000001</v>
          </cell>
          <cell r="J632" t="str">
            <v xml:space="preserve">              123651121                 2847                    33903600</v>
          </cell>
          <cell r="K632">
            <v>40848</v>
          </cell>
          <cell r="L632">
            <v>11</v>
          </cell>
          <cell r="M632">
            <v>2300</v>
          </cell>
          <cell r="N632">
            <v>57273</v>
          </cell>
          <cell r="O632">
            <v>15156</v>
          </cell>
          <cell r="P632">
            <v>16</v>
          </cell>
          <cell r="Q632">
            <v>2</v>
          </cell>
          <cell r="S632">
            <v>6085.51</v>
          </cell>
          <cell r="T632">
            <v>5880.0000000000009</v>
          </cell>
          <cell r="U632">
            <v>0</v>
          </cell>
          <cell r="V632">
            <v>3300</v>
          </cell>
          <cell r="W632">
            <v>11</v>
          </cell>
          <cell r="Y632">
            <v>93948</v>
          </cell>
          <cell r="Z632">
            <v>1527.18</v>
          </cell>
          <cell r="AA632">
            <v>1772.82</v>
          </cell>
          <cell r="AB632">
            <v>203.804</v>
          </cell>
          <cell r="AD632">
            <v>6806.58</v>
          </cell>
          <cell r="AN632" t="str">
            <v xml:space="preserve">Contrato emergencial nº </v>
          </cell>
          <cell r="AO632" t="str">
            <v>MP</v>
          </cell>
        </row>
        <row r="633">
          <cell r="D633" t="str">
            <v>1573/11</v>
          </cell>
          <cell r="E633" t="str">
            <v>16/05/2011</v>
          </cell>
          <cell r="F633">
            <v>40858</v>
          </cell>
          <cell r="G633">
            <v>40858</v>
          </cell>
          <cell r="H633" t="str">
            <v>2011-0.105.567-3</v>
          </cell>
          <cell r="I633">
            <v>40835.160000000003</v>
          </cell>
          <cell r="J633" t="str">
            <v xml:space="preserve">              123651121                 2847                    33903600</v>
          </cell>
          <cell r="K633">
            <v>40848</v>
          </cell>
          <cell r="L633">
            <v>11</v>
          </cell>
          <cell r="M633">
            <v>2500</v>
          </cell>
          <cell r="N633">
            <v>57273</v>
          </cell>
          <cell r="O633">
            <v>15157</v>
          </cell>
          <cell r="P633">
            <v>16</v>
          </cell>
          <cell r="Q633">
            <v>2</v>
          </cell>
          <cell r="S633">
            <v>7587.72</v>
          </cell>
          <cell r="T633">
            <v>6560</v>
          </cell>
          <cell r="U633">
            <v>0</v>
          </cell>
          <cell r="V633">
            <v>3300</v>
          </cell>
          <cell r="W633">
            <v>11</v>
          </cell>
          <cell r="Y633">
            <v>92582</v>
          </cell>
          <cell r="Z633">
            <v>736.5</v>
          </cell>
          <cell r="AA633">
            <v>2563.5</v>
          </cell>
          <cell r="AB633">
            <v>226.86200000000002</v>
          </cell>
          <cell r="AD633">
            <v>7792.9</v>
          </cell>
          <cell r="AN633" t="str">
            <v xml:space="preserve">Contrato emergencial nº </v>
          </cell>
          <cell r="AO633" t="str">
            <v>PJ</v>
          </cell>
        </row>
        <row r="634">
          <cell r="D634" t="str">
            <v>1575/11</v>
          </cell>
          <cell r="E634" t="str">
            <v>16/05/2011</v>
          </cell>
          <cell r="F634">
            <v>40858</v>
          </cell>
          <cell r="G634">
            <v>40858</v>
          </cell>
          <cell r="H634" t="str">
            <v>2011-0.105.571-1</v>
          </cell>
          <cell r="I634">
            <v>20967.419999999998</v>
          </cell>
          <cell r="J634" t="str">
            <v xml:space="preserve">              123611122                  2848                    33903600</v>
          </cell>
          <cell r="K634">
            <v>40848</v>
          </cell>
          <cell r="L634">
            <v>11</v>
          </cell>
          <cell r="M634">
            <v>1300</v>
          </cell>
          <cell r="N634">
            <v>57278</v>
          </cell>
          <cell r="O634">
            <v>15159</v>
          </cell>
          <cell r="P634">
            <v>16</v>
          </cell>
          <cell r="Q634">
            <v>3</v>
          </cell>
          <cell r="S634">
            <v>3398.13</v>
          </cell>
          <cell r="T634">
            <v>3360</v>
          </cell>
          <cell r="U634">
            <v>0</v>
          </cell>
          <cell r="V634">
            <v>2200</v>
          </cell>
          <cell r="W634">
            <v>11</v>
          </cell>
          <cell r="Y634">
            <v>93423</v>
          </cell>
          <cell r="Z634">
            <v>759.14</v>
          </cell>
          <cell r="AA634">
            <v>1440.8600000000001</v>
          </cell>
          <cell r="AB634">
            <v>116.48566666666666</v>
          </cell>
          <cell r="AD634">
            <v>3844.53</v>
          </cell>
          <cell r="AN634" t="str">
            <v xml:space="preserve">Contrato emergencial nº </v>
          </cell>
          <cell r="AO634" t="str">
            <v>JT</v>
          </cell>
        </row>
        <row r="635">
          <cell r="D635" t="str">
            <v>1576/11</v>
          </cell>
          <cell r="E635" t="str">
            <v>16/05/2011</v>
          </cell>
          <cell r="F635">
            <v>40858</v>
          </cell>
          <cell r="G635">
            <v>40858</v>
          </cell>
          <cell r="H635" t="str">
            <v>2011-0.105.572-0</v>
          </cell>
          <cell r="I635">
            <v>39593.160000000003</v>
          </cell>
          <cell r="J635" t="str">
            <v xml:space="preserve">              123651121                 2847                    33903600</v>
          </cell>
          <cell r="K635">
            <v>40848</v>
          </cell>
          <cell r="L635">
            <v>11</v>
          </cell>
          <cell r="M635">
            <v>2500</v>
          </cell>
          <cell r="N635">
            <v>57273</v>
          </cell>
          <cell r="O635">
            <v>15160</v>
          </cell>
          <cell r="P635">
            <v>16</v>
          </cell>
          <cell r="Q635">
            <v>2</v>
          </cell>
          <cell r="S635">
            <v>8901.1200000000008</v>
          </cell>
          <cell r="T635">
            <v>6360.0000000000009</v>
          </cell>
          <cell r="U635">
            <v>6262.88</v>
          </cell>
          <cell r="V635">
            <v>3300</v>
          </cell>
          <cell r="W635">
            <v>11</v>
          </cell>
          <cell r="AA635">
            <v>9562.880000000001</v>
          </cell>
          <cell r="AB635">
            <v>219.96200000000002</v>
          </cell>
          <cell r="AD635">
            <v>8901.119999999999</v>
          </cell>
          <cell r="AN635" t="str">
            <v xml:space="preserve">Contrato emergencial nº </v>
          </cell>
          <cell r="AO635" t="str">
            <v>CS</v>
          </cell>
        </row>
        <row r="636">
          <cell r="D636" t="str">
            <v>1577/11</v>
          </cell>
          <cell r="E636" t="str">
            <v>16/05/2011</v>
          </cell>
          <cell r="F636">
            <v>40858</v>
          </cell>
          <cell r="G636">
            <v>40858</v>
          </cell>
          <cell r="H636" t="str">
            <v>2011-0.105.573-8</v>
          </cell>
          <cell r="I636">
            <v>43520.639999999999</v>
          </cell>
          <cell r="J636" t="str">
            <v xml:space="preserve">              123611122                  2848                    33903600</v>
          </cell>
          <cell r="K636">
            <v>40848</v>
          </cell>
          <cell r="L636">
            <v>11</v>
          </cell>
          <cell r="M636">
            <v>2700</v>
          </cell>
          <cell r="N636">
            <v>57278</v>
          </cell>
          <cell r="O636">
            <v>14778</v>
          </cell>
          <cell r="P636">
            <v>16</v>
          </cell>
          <cell r="Q636">
            <v>3</v>
          </cell>
          <cell r="S636">
            <v>1622.84</v>
          </cell>
          <cell r="T636">
            <v>7000</v>
          </cell>
          <cell r="U636">
            <v>0</v>
          </cell>
          <cell r="V636">
            <v>3300</v>
          </cell>
          <cell r="W636">
            <v>11</v>
          </cell>
          <cell r="Y636">
            <v>93371</v>
          </cell>
          <cell r="Z636">
            <v>1981.57</v>
          </cell>
          <cell r="AA636">
            <v>1318.43</v>
          </cell>
          <cell r="AB636">
            <v>241.78133333333332</v>
          </cell>
          <cell r="AD636">
            <v>6968.4500000000007</v>
          </cell>
          <cell r="AN636" t="str">
            <v xml:space="preserve">Contrato emergencial nº </v>
          </cell>
          <cell r="AO636" t="str">
            <v>PJ</v>
          </cell>
        </row>
        <row r="637">
          <cell r="D637" t="str">
            <v>1578/11</v>
          </cell>
          <cell r="E637" t="str">
            <v>16/05/2011</v>
          </cell>
          <cell r="F637">
            <v>40858</v>
          </cell>
          <cell r="G637">
            <v>40858</v>
          </cell>
          <cell r="H637" t="str">
            <v>2011-0.105.574-6</v>
          </cell>
          <cell r="I637">
            <v>33150.720000000001</v>
          </cell>
          <cell r="J637" t="str">
            <v xml:space="preserve">              123651121                 2847                    33903600</v>
          </cell>
          <cell r="K637">
            <v>40848</v>
          </cell>
          <cell r="L637">
            <v>11</v>
          </cell>
          <cell r="M637">
            <v>2100</v>
          </cell>
          <cell r="N637">
            <v>57273</v>
          </cell>
          <cell r="O637">
            <v>14779</v>
          </cell>
          <cell r="P637">
            <v>16</v>
          </cell>
          <cell r="Q637">
            <v>2</v>
          </cell>
          <cell r="T637">
            <v>1992.14</v>
          </cell>
          <cell r="U637">
            <v>0</v>
          </cell>
          <cell r="V637">
            <v>2200</v>
          </cell>
          <cell r="W637">
            <v>11</v>
          </cell>
          <cell r="AA637">
            <v>2200</v>
          </cell>
          <cell r="AB637">
            <v>184.17066666666668</v>
          </cell>
          <cell r="AD637">
            <v>3870.8</v>
          </cell>
          <cell r="AN637" t="str">
            <v xml:space="preserve">Contrato emergencial nº </v>
          </cell>
          <cell r="AO637" t="str">
            <v>FO</v>
          </cell>
        </row>
        <row r="638">
          <cell r="D638" t="str">
            <v>1579/11</v>
          </cell>
          <cell r="E638" t="str">
            <v>16/05/2011</v>
          </cell>
          <cell r="F638">
            <v>40858</v>
          </cell>
          <cell r="G638">
            <v>40858</v>
          </cell>
          <cell r="H638" t="str">
            <v>2011-0.105.576-2</v>
          </cell>
          <cell r="I638">
            <v>40835.160000000003</v>
          </cell>
          <cell r="J638" t="str">
            <v xml:space="preserve">              123611122                  2848                    33903600</v>
          </cell>
          <cell r="K638">
            <v>40848</v>
          </cell>
          <cell r="L638">
            <v>11</v>
          </cell>
          <cell r="M638">
            <v>2500</v>
          </cell>
          <cell r="N638">
            <v>57278</v>
          </cell>
          <cell r="O638">
            <v>15161</v>
          </cell>
          <cell r="P638">
            <v>16</v>
          </cell>
          <cell r="Q638">
            <v>3</v>
          </cell>
          <cell r="T638">
            <v>6560</v>
          </cell>
          <cell r="U638">
            <v>0</v>
          </cell>
          <cell r="V638">
            <v>2200</v>
          </cell>
          <cell r="W638">
            <v>11</v>
          </cell>
          <cell r="Y638">
            <v>106757</v>
          </cell>
          <cell r="AA638">
            <v>2200</v>
          </cell>
          <cell r="AB638">
            <v>226.86200000000002</v>
          </cell>
          <cell r="AD638">
            <v>5074.54</v>
          </cell>
          <cell r="AN638" t="str">
            <v xml:space="preserve">Contrato emergencial nº </v>
          </cell>
          <cell r="AO638" t="str">
            <v>MP</v>
          </cell>
        </row>
        <row r="639">
          <cell r="D639" t="str">
            <v>1580/11</v>
          </cell>
          <cell r="E639" t="str">
            <v>16/05/2011</v>
          </cell>
          <cell r="F639">
            <v>40858</v>
          </cell>
          <cell r="G639">
            <v>40858</v>
          </cell>
          <cell r="H639" t="str">
            <v>2011-0.105.577-0</v>
          </cell>
          <cell r="I639">
            <v>29744.400000000001</v>
          </cell>
          <cell r="J639" t="str">
            <v xml:space="preserve">              123651121                 2847                    33903600</v>
          </cell>
          <cell r="K639">
            <v>40848</v>
          </cell>
          <cell r="L639">
            <v>11</v>
          </cell>
          <cell r="M639">
            <v>1900</v>
          </cell>
          <cell r="N639">
            <v>57273</v>
          </cell>
          <cell r="O639">
            <v>14780</v>
          </cell>
          <cell r="P639">
            <v>16</v>
          </cell>
          <cell r="Q639">
            <v>2</v>
          </cell>
          <cell r="S639">
            <v>6781.56</v>
          </cell>
          <cell r="T639">
            <v>4760</v>
          </cell>
          <cell r="U639">
            <v>5235.16</v>
          </cell>
          <cell r="V639">
            <v>3300</v>
          </cell>
          <cell r="W639">
            <v>11</v>
          </cell>
          <cell r="AA639">
            <v>8535.16</v>
          </cell>
          <cell r="AB639">
            <v>165.24666666666667</v>
          </cell>
          <cell r="AD639">
            <v>6781.56</v>
          </cell>
          <cell r="AN639" t="str">
            <v xml:space="preserve">Contrato emergencial nº </v>
          </cell>
          <cell r="AO639" t="str">
            <v>PE</v>
          </cell>
        </row>
        <row r="640">
          <cell r="D640" t="str">
            <v>1581/11</v>
          </cell>
          <cell r="E640" t="str">
            <v>16/05/2011</v>
          </cell>
          <cell r="F640">
            <v>40858</v>
          </cell>
          <cell r="G640">
            <v>40858</v>
          </cell>
          <cell r="H640" t="str">
            <v>2011-0.105.578-9</v>
          </cell>
          <cell r="I640">
            <v>40976.639999999999</v>
          </cell>
          <cell r="J640" t="str">
            <v xml:space="preserve">              123611122                  2848                    33903600</v>
          </cell>
          <cell r="K640">
            <v>40848</v>
          </cell>
          <cell r="L640">
            <v>11</v>
          </cell>
          <cell r="M640">
            <v>2600</v>
          </cell>
          <cell r="N640">
            <v>57278</v>
          </cell>
          <cell r="O640">
            <v>14781</v>
          </cell>
          <cell r="P640">
            <v>16</v>
          </cell>
          <cell r="Q640">
            <v>3</v>
          </cell>
          <cell r="S640">
            <v>4316.8500000000004</v>
          </cell>
          <cell r="T640">
            <v>6560</v>
          </cell>
          <cell r="U640">
            <v>0</v>
          </cell>
          <cell r="V640">
            <v>3300</v>
          </cell>
          <cell r="W640">
            <v>11</v>
          </cell>
          <cell r="Y640">
            <v>95223</v>
          </cell>
          <cell r="Z640">
            <v>3228.53</v>
          </cell>
          <cell r="AA640">
            <v>71.4699999999998</v>
          </cell>
          <cell r="AB640">
            <v>227.648</v>
          </cell>
          <cell r="AD640">
            <v>6960.9349999999995</v>
          </cell>
          <cell r="AN640" t="str">
            <v xml:space="preserve">Contrato emergencial nº </v>
          </cell>
          <cell r="AO640" t="str">
            <v>SA</v>
          </cell>
        </row>
        <row r="641">
          <cell r="D641" t="str">
            <v>1582/11</v>
          </cell>
          <cell r="E641" t="str">
            <v>16/05/2011</v>
          </cell>
          <cell r="F641">
            <v>40858</v>
          </cell>
          <cell r="G641">
            <v>40858</v>
          </cell>
          <cell r="H641" t="str">
            <v>2011-0.105.579-7</v>
          </cell>
          <cell r="I641">
            <v>33473.160000000003</v>
          </cell>
          <cell r="J641" t="str">
            <v xml:space="preserve">              123651121                 2847                    33903600</v>
          </cell>
          <cell r="K641">
            <v>40848</v>
          </cell>
          <cell r="L641">
            <v>11</v>
          </cell>
          <cell r="M641">
            <v>2100</v>
          </cell>
          <cell r="N641">
            <v>57273</v>
          </cell>
          <cell r="O641">
            <v>15163</v>
          </cell>
          <cell r="P641">
            <v>16</v>
          </cell>
          <cell r="Q641">
            <v>2</v>
          </cell>
          <cell r="T641">
            <v>4399.6400000000003</v>
          </cell>
          <cell r="U641">
            <v>0</v>
          </cell>
          <cell r="V641">
            <v>2200</v>
          </cell>
          <cell r="W641">
            <v>11</v>
          </cell>
          <cell r="Y641">
            <v>107690</v>
          </cell>
          <cell r="Z641">
            <v>3614.36</v>
          </cell>
          <cell r="AA641">
            <v>-1414.3600000000001</v>
          </cell>
          <cell r="AB641">
            <v>185.96200000000002</v>
          </cell>
          <cell r="AD641">
            <v>4594.51</v>
          </cell>
          <cell r="AN641" t="str">
            <v xml:space="preserve">Contrato emergencial nº </v>
          </cell>
          <cell r="AO641" t="str">
            <v>SA</v>
          </cell>
        </row>
        <row r="642">
          <cell r="D642" t="str">
            <v>1583/11</v>
          </cell>
          <cell r="E642" t="str">
            <v>16/05/2011</v>
          </cell>
          <cell r="F642">
            <v>40858</v>
          </cell>
          <cell r="G642">
            <v>40858</v>
          </cell>
          <cell r="H642" t="str">
            <v>2011-0.105.984-9</v>
          </cell>
          <cell r="I642">
            <v>31418.52</v>
          </cell>
          <cell r="J642" t="str">
            <v xml:space="preserve">              123651121                 2847                    33903600</v>
          </cell>
          <cell r="K642">
            <v>40848</v>
          </cell>
          <cell r="L642">
            <v>11</v>
          </cell>
          <cell r="M642">
            <v>2000</v>
          </cell>
          <cell r="N642">
            <v>57273</v>
          </cell>
          <cell r="O642">
            <v>15165</v>
          </cell>
          <cell r="P642">
            <v>16</v>
          </cell>
          <cell r="Q642">
            <v>2</v>
          </cell>
          <cell r="S642">
            <v>4699.9399999999996</v>
          </cell>
          <cell r="T642">
            <v>5040</v>
          </cell>
          <cell r="U642">
            <v>0</v>
          </cell>
          <cell r="V642">
            <v>2200</v>
          </cell>
          <cell r="W642">
            <v>11</v>
          </cell>
          <cell r="Y642">
            <v>93952</v>
          </cell>
          <cell r="Z642">
            <v>1954.72</v>
          </cell>
          <cell r="AA642">
            <v>245.27999999999997</v>
          </cell>
          <cell r="AB642">
            <v>174.54733333333334</v>
          </cell>
          <cell r="AD642">
            <v>5410.1399999999994</v>
          </cell>
          <cell r="AN642" t="str">
            <v xml:space="preserve">Contrato emergencial nº </v>
          </cell>
          <cell r="AO642" t="str">
            <v>MP</v>
          </cell>
        </row>
        <row r="643">
          <cell r="D643" t="str">
            <v>1154/11</v>
          </cell>
          <cell r="E643" t="str">
            <v>17/05/2011</v>
          </cell>
          <cell r="F643">
            <v>40859</v>
          </cell>
          <cell r="G643">
            <v>40859</v>
          </cell>
          <cell r="H643" t="str">
            <v>2011-0.081.881-9</v>
          </cell>
          <cell r="I643">
            <v>31418.52</v>
          </cell>
          <cell r="J643" t="str">
            <v xml:space="preserve">              123611122                  2848                    33903600</v>
          </cell>
          <cell r="K643">
            <v>40848</v>
          </cell>
          <cell r="L643">
            <v>12</v>
          </cell>
          <cell r="M643">
            <v>2100</v>
          </cell>
          <cell r="N643">
            <v>57278</v>
          </cell>
          <cell r="O643">
            <v>15590</v>
          </cell>
          <cell r="P643">
            <v>16</v>
          </cell>
          <cell r="Q643">
            <v>3</v>
          </cell>
          <cell r="S643">
            <v>4254.43</v>
          </cell>
          <cell r="T643">
            <v>5120</v>
          </cell>
          <cell r="U643">
            <v>0</v>
          </cell>
          <cell r="V643">
            <v>2400</v>
          </cell>
          <cell r="W643">
            <v>12</v>
          </cell>
          <cell r="Y643">
            <v>90642</v>
          </cell>
          <cell r="Z643">
            <v>3525.22</v>
          </cell>
          <cell r="AA643">
            <v>-1125.2199999999998</v>
          </cell>
          <cell r="AB643">
            <v>174.54733333333334</v>
          </cell>
          <cell r="AD643">
            <v>4663.1400000000003</v>
          </cell>
          <cell r="AN643" t="str">
            <v xml:space="preserve">Contrato emergencial nº </v>
          </cell>
          <cell r="AO643" t="str">
            <v>FO</v>
          </cell>
        </row>
        <row r="644">
          <cell r="D644" t="str">
            <v>1585/11</v>
          </cell>
          <cell r="E644" t="str">
            <v>23/05/2011</v>
          </cell>
          <cell r="F644">
            <v>40865</v>
          </cell>
          <cell r="G644">
            <v>40865</v>
          </cell>
          <cell r="H644" t="str">
            <v>2011-0.105.988-1</v>
          </cell>
          <cell r="I644">
            <v>24414.78</v>
          </cell>
          <cell r="J644" t="str">
            <v xml:space="preserve">              123651121                 2847                    33903600</v>
          </cell>
          <cell r="K644">
            <v>40848</v>
          </cell>
          <cell r="L644">
            <v>18</v>
          </cell>
          <cell r="M644">
            <v>2500</v>
          </cell>
          <cell r="N644">
            <v>57273</v>
          </cell>
          <cell r="O644">
            <v>15594</v>
          </cell>
          <cell r="P644">
            <v>16</v>
          </cell>
          <cell r="Q644">
            <v>2</v>
          </cell>
          <cell r="S644">
            <v>445.05</v>
          </cell>
          <cell r="T644">
            <v>4320</v>
          </cell>
          <cell r="U644">
            <v>0</v>
          </cell>
          <cell r="V644">
            <v>3600</v>
          </cell>
          <cell r="W644">
            <v>18</v>
          </cell>
          <cell r="Y644">
            <v>91785</v>
          </cell>
          <cell r="Z644">
            <v>4207.78</v>
          </cell>
          <cell r="AA644">
            <v>-607.77999999999975</v>
          </cell>
          <cell r="AB644">
            <v>135.63766666666666</v>
          </cell>
          <cell r="AD644">
            <v>3280.9900000000002</v>
          </cell>
          <cell r="AN644" t="str">
            <v xml:space="preserve">Contrato emergencial nº </v>
          </cell>
          <cell r="AO644" t="str">
            <v>PJ</v>
          </cell>
        </row>
        <row r="645">
          <cell r="D645" t="str">
            <v>1586/11</v>
          </cell>
          <cell r="E645" t="str">
            <v>23/05/2011</v>
          </cell>
          <cell r="F645">
            <v>40865</v>
          </cell>
          <cell r="G645">
            <v>40865</v>
          </cell>
          <cell r="H645" t="str">
            <v>2011-0.105.991-1</v>
          </cell>
          <cell r="I645">
            <v>51135.96</v>
          </cell>
          <cell r="J645" t="str">
            <v xml:space="preserve">              123611122                  2848                    33903600</v>
          </cell>
          <cell r="K645">
            <v>40848</v>
          </cell>
          <cell r="L645">
            <v>18</v>
          </cell>
          <cell r="M645">
            <v>5200</v>
          </cell>
          <cell r="N645">
            <v>57278</v>
          </cell>
          <cell r="O645">
            <v>15595</v>
          </cell>
          <cell r="P645">
            <v>16</v>
          </cell>
          <cell r="Q645">
            <v>3</v>
          </cell>
          <cell r="S645">
            <v>2968.3</v>
          </cell>
          <cell r="T645">
            <v>9000</v>
          </cell>
          <cell r="U645">
            <v>0</v>
          </cell>
          <cell r="V645">
            <v>5400</v>
          </cell>
          <cell r="W645">
            <v>18</v>
          </cell>
          <cell r="Y645">
            <v>93125</v>
          </cell>
          <cell r="Z645">
            <v>6889.88</v>
          </cell>
          <cell r="AA645">
            <v>-1489.88</v>
          </cell>
          <cell r="AB645">
            <v>284.08866666666665</v>
          </cell>
          <cell r="AD645">
            <v>7922.0599999999995</v>
          </cell>
          <cell r="AN645" t="str">
            <v xml:space="preserve">Contrato emergencial nº </v>
          </cell>
          <cell r="AO645" t="str">
            <v>G</v>
          </cell>
        </row>
        <row r="646">
          <cell r="D646" t="str">
            <v>1587/11</v>
          </cell>
          <cell r="E646" t="str">
            <v>23/05/2011</v>
          </cell>
          <cell r="F646">
            <v>40865</v>
          </cell>
          <cell r="G646">
            <v>40865</v>
          </cell>
          <cell r="H646" t="str">
            <v>2011-0.105.996-2</v>
          </cell>
          <cell r="I646">
            <v>39871.08</v>
          </cell>
          <cell r="J646" t="str">
            <v xml:space="preserve">              123651121                 2847                    33903600</v>
          </cell>
          <cell r="K646">
            <v>40848</v>
          </cell>
          <cell r="L646">
            <v>18</v>
          </cell>
          <cell r="M646">
            <v>4000</v>
          </cell>
          <cell r="N646">
            <v>57273</v>
          </cell>
          <cell r="O646">
            <v>15597</v>
          </cell>
          <cell r="P646">
            <v>16</v>
          </cell>
          <cell r="Q646">
            <v>2</v>
          </cell>
          <cell r="S646">
            <v>2473.52</v>
          </cell>
          <cell r="T646">
            <v>7000</v>
          </cell>
          <cell r="U646">
            <v>0</v>
          </cell>
          <cell r="V646">
            <v>5400</v>
          </cell>
          <cell r="W646">
            <v>18</v>
          </cell>
          <cell r="Y646">
            <v>93480</v>
          </cell>
          <cell r="Z646">
            <v>5187.24</v>
          </cell>
          <cell r="AA646">
            <v>212.76000000000022</v>
          </cell>
          <cell r="AB646">
            <v>221.506</v>
          </cell>
          <cell r="AD646">
            <v>6287.68</v>
          </cell>
          <cell r="AN646" t="str">
            <v xml:space="preserve">Contrato emergencial nº </v>
          </cell>
          <cell r="AO646" t="str">
            <v>CS</v>
          </cell>
        </row>
        <row r="647">
          <cell r="D647" t="str">
            <v>1588/11</v>
          </cell>
          <cell r="E647" t="str">
            <v>23/05/2011</v>
          </cell>
          <cell r="F647">
            <v>40865</v>
          </cell>
          <cell r="G647">
            <v>40865</v>
          </cell>
          <cell r="H647" t="str">
            <v>2011-0.105.998-9</v>
          </cell>
          <cell r="I647">
            <v>51135.96</v>
          </cell>
          <cell r="J647" t="str">
            <v xml:space="preserve">              123611122                  2848                    33903600</v>
          </cell>
          <cell r="K647">
            <v>40848</v>
          </cell>
          <cell r="L647">
            <v>18</v>
          </cell>
          <cell r="M647">
            <v>5200</v>
          </cell>
          <cell r="N647">
            <v>57278</v>
          </cell>
          <cell r="O647">
            <v>15598</v>
          </cell>
          <cell r="P647">
            <v>16</v>
          </cell>
          <cell r="Q647">
            <v>3</v>
          </cell>
          <cell r="T647">
            <v>5206.75</v>
          </cell>
          <cell r="U647">
            <v>0</v>
          </cell>
          <cell r="V647">
            <v>5400</v>
          </cell>
          <cell r="W647">
            <v>18</v>
          </cell>
          <cell r="Y647">
            <v>107852</v>
          </cell>
          <cell r="Z647">
            <v>7170.1</v>
          </cell>
          <cell r="AA647">
            <v>-1770.1000000000004</v>
          </cell>
          <cell r="AB647">
            <v>284.08866666666665</v>
          </cell>
          <cell r="AD647">
            <v>6398.5999999999995</v>
          </cell>
          <cell r="AN647" t="str">
            <v xml:space="preserve">Contrato emergencial nº </v>
          </cell>
          <cell r="AO647" t="str">
            <v>CL</v>
          </cell>
        </row>
        <row r="648">
          <cell r="D648" t="str">
            <v>1589/11</v>
          </cell>
          <cell r="E648" t="str">
            <v>23/05/2011</v>
          </cell>
          <cell r="F648">
            <v>40865</v>
          </cell>
          <cell r="G648">
            <v>40865</v>
          </cell>
          <cell r="H648" t="str">
            <v>2011-0.106.001-4</v>
          </cell>
          <cell r="I648">
            <v>41531.040000000001</v>
          </cell>
          <cell r="J648" t="str">
            <v xml:space="preserve">             123671125                  2863                   33903600</v>
          </cell>
          <cell r="K648">
            <v>40848</v>
          </cell>
          <cell r="L648">
            <v>18</v>
          </cell>
          <cell r="M648">
            <v>4200</v>
          </cell>
          <cell r="N648">
            <v>57287</v>
          </cell>
          <cell r="O648">
            <v>15600</v>
          </cell>
          <cell r="P648">
            <v>16</v>
          </cell>
          <cell r="Q648">
            <v>4</v>
          </cell>
          <cell r="S648">
            <v>4392.8</v>
          </cell>
          <cell r="T648">
            <v>7320</v>
          </cell>
          <cell r="U648">
            <v>0</v>
          </cell>
          <cell r="V648">
            <v>5400</v>
          </cell>
          <cell r="W648">
            <v>18</v>
          </cell>
          <cell r="Y648">
            <v>93483</v>
          </cell>
          <cell r="Z648">
            <v>4346.3100000000004</v>
          </cell>
          <cell r="AA648">
            <v>1053.6899999999996</v>
          </cell>
          <cell r="AB648">
            <v>230.72800000000001</v>
          </cell>
          <cell r="AD648">
            <v>6853.3300000000008</v>
          </cell>
          <cell r="AN648" t="str">
            <v xml:space="preserve">Contrato emergencial nº </v>
          </cell>
          <cell r="AO648" t="str">
            <v>CS</v>
          </cell>
        </row>
        <row r="649">
          <cell r="D649" t="str">
            <v>1590/11</v>
          </cell>
          <cell r="E649" t="str">
            <v>23/05/2011</v>
          </cell>
          <cell r="F649">
            <v>40865</v>
          </cell>
          <cell r="G649">
            <v>40865</v>
          </cell>
          <cell r="H649" t="str">
            <v>2011-0.106.002-2</v>
          </cell>
          <cell r="I649">
            <v>26039.46</v>
          </cell>
          <cell r="J649" t="str">
            <v xml:space="preserve">              123611122                  2848                    33903600</v>
          </cell>
          <cell r="K649">
            <v>40848</v>
          </cell>
          <cell r="L649">
            <v>18</v>
          </cell>
          <cell r="M649">
            <v>2700</v>
          </cell>
          <cell r="N649">
            <v>57278</v>
          </cell>
          <cell r="O649">
            <v>15603</v>
          </cell>
          <cell r="P649">
            <v>16</v>
          </cell>
          <cell r="Q649">
            <v>3</v>
          </cell>
          <cell r="S649">
            <v>3413.11</v>
          </cell>
          <cell r="T649">
            <v>4600</v>
          </cell>
          <cell r="U649">
            <v>0</v>
          </cell>
          <cell r="V649">
            <v>3600</v>
          </cell>
          <cell r="W649">
            <v>18</v>
          </cell>
          <cell r="Y649">
            <v>92547</v>
          </cell>
          <cell r="Z649">
            <v>2320.1799999999998</v>
          </cell>
          <cell r="AA649">
            <v>1279.8200000000002</v>
          </cell>
          <cell r="AB649">
            <v>144.66366666666667</v>
          </cell>
          <cell r="AD649">
            <v>4639.91</v>
          </cell>
          <cell r="AN649" t="str">
            <v xml:space="preserve">Contrato emergencial nº </v>
          </cell>
          <cell r="AO649" t="str">
            <v>BT</v>
          </cell>
        </row>
        <row r="650">
          <cell r="D650" t="str">
            <v>1591/11</v>
          </cell>
          <cell r="E650" t="str">
            <v>23/05/2011</v>
          </cell>
          <cell r="F650">
            <v>40865</v>
          </cell>
          <cell r="G650">
            <v>40865</v>
          </cell>
          <cell r="H650" t="str">
            <v>2011-0.106.008-1</v>
          </cell>
          <cell r="I650">
            <v>30606.240000000002</v>
          </cell>
          <cell r="J650" t="str">
            <v xml:space="preserve">              123611122                  2848                    33903600</v>
          </cell>
          <cell r="K650">
            <v>40848</v>
          </cell>
          <cell r="L650">
            <v>18</v>
          </cell>
          <cell r="M650">
            <v>3100</v>
          </cell>
          <cell r="N650">
            <v>57278</v>
          </cell>
          <cell r="O650">
            <v>15604</v>
          </cell>
          <cell r="P650">
            <v>16</v>
          </cell>
          <cell r="Q650">
            <v>3</v>
          </cell>
          <cell r="T650">
            <v>3841.58</v>
          </cell>
          <cell r="U650">
            <v>0</v>
          </cell>
          <cell r="V650">
            <v>3600</v>
          </cell>
          <cell r="W650">
            <v>18</v>
          </cell>
          <cell r="Y650">
            <v>105512</v>
          </cell>
          <cell r="Z650">
            <v>4255.59</v>
          </cell>
          <cell r="AA650">
            <v>-655.59000000000015</v>
          </cell>
          <cell r="AB650">
            <v>170.03466666666668</v>
          </cell>
          <cell r="AD650">
            <v>3873.33</v>
          </cell>
          <cell r="AN650" t="str">
            <v xml:space="preserve">Contrato emergencial nº </v>
          </cell>
          <cell r="AO650" t="str">
            <v>JT</v>
          </cell>
        </row>
        <row r="651">
          <cell r="D651" t="str">
            <v>1592/11</v>
          </cell>
          <cell r="E651" t="str">
            <v>23/05/2011</v>
          </cell>
          <cell r="F651">
            <v>40865</v>
          </cell>
          <cell r="G651">
            <v>40865</v>
          </cell>
          <cell r="H651" t="str">
            <v>2011-0.106.009-0</v>
          </cell>
          <cell r="I651">
            <v>26297.040000000001</v>
          </cell>
          <cell r="J651" t="str">
            <v xml:space="preserve">              123611122                  2848                    33903600</v>
          </cell>
          <cell r="K651">
            <v>40848</v>
          </cell>
          <cell r="L651">
            <v>18</v>
          </cell>
          <cell r="M651">
            <v>2700</v>
          </cell>
          <cell r="N651">
            <v>57278</v>
          </cell>
          <cell r="O651">
            <v>15607</v>
          </cell>
          <cell r="P651">
            <v>16</v>
          </cell>
          <cell r="Q651">
            <v>3</v>
          </cell>
          <cell r="S651">
            <v>5541.72</v>
          </cell>
          <cell r="T651">
            <v>4640</v>
          </cell>
          <cell r="U651">
            <v>1965.3000000000002</v>
          </cell>
          <cell r="V651">
            <v>3600</v>
          </cell>
          <cell r="W651">
            <v>18</v>
          </cell>
          <cell r="AA651">
            <v>5565.3</v>
          </cell>
          <cell r="AB651">
            <v>146.09466666666668</v>
          </cell>
          <cell r="AD651">
            <v>5541.7199999999984</v>
          </cell>
          <cell r="AN651" t="str">
            <v xml:space="preserve">Contrato emergencial nº </v>
          </cell>
          <cell r="AO651" t="str">
            <v>FO</v>
          </cell>
        </row>
        <row r="652">
          <cell r="D652" t="str">
            <v>1593/11</v>
          </cell>
          <cell r="E652" t="str">
            <v>23/05/2011</v>
          </cell>
          <cell r="F652">
            <v>40865</v>
          </cell>
          <cell r="G652">
            <v>40865</v>
          </cell>
          <cell r="H652" t="str">
            <v>2011-0.106.010-3</v>
          </cell>
          <cell r="I652">
            <v>53427.96</v>
          </cell>
          <cell r="J652" t="str">
            <v xml:space="preserve">              123611122                  2848                    33903600</v>
          </cell>
          <cell r="K652">
            <v>40848</v>
          </cell>
          <cell r="L652">
            <v>18</v>
          </cell>
          <cell r="M652">
            <v>5400</v>
          </cell>
          <cell r="N652">
            <v>57278</v>
          </cell>
          <cell r="O652">
            <v>15608</v>
          </cell>
          <cell r="P652">
            <v>16</v>
          </cell>
          <cell r="Q652">
            <v>3</v>
          </cell>
          <cell r="S652">
            <v>5856.46</v>
          </cell>
          <cell r="T652">
            <v>9400</v>
          </cell>
          <cell r="U652">
            <v>0</v>
          </cell>
          <cell r="V652">
            <v>7200</v>
          </cell>
          <cell r="W652">
            <v>18</v>
          </cell>
          <cell r="Y652">
            <v>93954</v>
          </cell>
          <cell r="Z652">
            <v>6156.35</v>
          </cell>
          <cell r="AA652">
            <v>1043.6499999999996</v>
          </cell>
          <cell r="AB652">
            <v>296.822</v>
          </cell>
          <cell r="AD652">
            <v>9325.2199999999993</v>
          </cell>
          <cell r="AN652" t="str">
            <v xml:space="preserve">Contrato emergencial nº </v>
          </cell>
          <cell r="AO652" t="str">
            <v>MP</v>
          </cell>
        </row>
        <row r="653">
          <cell r="D653" t="str">
            <v>1594/11</v>
          </cell>
          <cell r="E653" t="str">
            <v>23/05/2011</v>
          </cell>
          <cell r="F653">
            <v>40865</v>
          </cell>
          <cell r="G653">
            <v>40865</v>
          </cell>
          <cell r="H653" t="str">
            <v>2011-0.106.014-6</v>
          </cell>
          <cell r="I653">
            <v>38417.160000000003</v>
          </cell>
          <cell r="J653" t="str">
            <v xml:space="preserve">              123611122                  2848                    33903600</v>
          </cell>
          <cell r="K653">
            <v>40848</v>
          </cell>
          <cell r="L653">
            <v>18</v>
          </cell>
          <cell r="M653">
            <v>3900</v>
          </cell>
          <cell r="N653">
            <v>57278</v>
          </cell>
          <cell r="O653">
            <v>15611</v>
          </cell>
          <cell r="P653">
            <v>16</v>
          </cell>
          <cell r="Q653">
            <v>3</v>
          </cell>
          <cell r="S653">
            <v>1654.1</v>
          </cell>
          <cell r="T653">
            <v>6760</v>
          </cell>
          <cell r="U653">
            <v>0</v>
          </cell>
          <cell r="V653">
            <v>3600</v>
          </cell>
          <cell r="W653">
            <v>18</v>
          </cell>
          <cell r="Y653">
            <v>93260</v>
          </cell>
          <cell r="Z653">
            <v>5660.11</v>
          </cell>
          <cell r="AA653">
            <v>-2060.1099999999997</v>
          </cell>
          <cell r="AB653">
            <v>213.42866666666669</v>
          </cell>
          <cell r="AD653">
            <v>5740.4400000000005</v>
          </cell>
          <cell r="AN653" t="str">
            <v xml:space="preserve">Contrato emergencial nº </v>
          </cell>
          <cell r="AO653" t="str">
            <v>CL</v>
          </cell>
        </row>
        <row r="654">
          <cell r="D654" t="str">
            <v>1595/11</v>
          </cell>
          <cell r="E654" t="str">
            <v>23/05/2011</v>
          </cell>
          <cell r="F654">
            <v>40865</v>
          </cell>
          <cell r="G654">
            <v>40865</v>
          </cell>
          <cell r="H654" t="str">
            <v>2011-0.106.015-4</v>
          </cell>
          <cell r="I654">
            <v>50500.08</v>
          </cell>
          <cell r="J654" t="str">
            <v xml:space="preserve">             123671125                  2863                   33903600</v>
          </cell>
          <cell r="K654">
            <v>40848</v>
          </cell>
          <cell r="L654">
            <v>18</v>
          </cell>
          <cell r="M654">
            <v>5100</v>
          </cell>
          <cell r="N654">
            <v>57287</v>
          </cell>
          <cell r="O654">
            <v>15616</v>
          </cell>
          <cell r="P654">
            <v>16</v>
          </cell>
          <cell r="Q654">
            <v>4</v>
          </cell>
          <cell r="S654">
            <v>8966.57</v>
          </cell>
          <cell r="T654">
            <v>8880</v>
          </cell>
          <cell r="U654">
            <v>0</v>
          </cell>
          <cell r="V654">
            <v>7200</v>
          </cell>
          <cell r="W654">
            <v>18</v>
          </cell>
          <cell r="Y654">
            <v>93115</v>
          </cell>
          <cell r="Z654">
            <v>1996.85</v>
          </cell>
          <cell r="AA654">
            <v>5203.1499999999996</v>
          </cell>
          <cell r="AB654">
            <v>280.55599999999998</v>
          </cell>
          <cell r="AD654">
            <v>9657.3799999999992</v>
          </cell>
          <cell r="AN654" t="str">
            <v xml:space="preserve">Contrato emergencial nº </v>
          </cell>
          <cell r="AO654" t="str">
            <v>CL</v>
          </cell>
        </row>
        <row r="655">
          <cell r="D655" t="str">
            <v>1596/11</v>
          </cell>
          <cell r="E655" t="str">
            <v>23/05/2011</v>
          </cell>
          <cell r="F655">
            <v>40865</v>
          </cell>
          <cell r="G655">
            <v>40865</v>
          </cell>
          <cell r="H655" t="str">
            <v>2011-0.106.018-9</v>
          </cell>
          <cell r="I655">
            <v>29744.400000000001</v>
          </cell>
          <cell r="J655" t="str">
            <v xml:space="preserve">              123651121                 2847                    33903600</v>
          </cell>
          <cell r="K655">
            <v>40848</v>
          </cell>
          <cell r="L655">
            <v>18</v>
          </cell>
          <cell r="M655">
            <v>3000</v>
          </cell>
          <cell r="N655">
            <v>57273</v>
          </cell>
          <cell r="O655">
            <v>15617</v>
          </cell>
          <cell r="P655">
            <v>16</v>
          </cell>
          <cell r="Q655">
            <v>2</v>
          </cell>
          <cell r="S655">
            <v>4333.95</v>
          </cell>
          <cell r="T655">
            <v>5240</v>
          </cell>
          <cell r="U655">
            <v>0</v>
          </cell>
          <cell r="V655">
            <v>3600</v>
          </cell>
          <cell r="W655">
            <v>18</v>
          </cell>
          <cell r="Y655">
            <v>93120</v>
          </cell>
          <cell r="Z655">
            <v>2578.9699999999998</v>
          </cell>
          <cell r="AA655">
            <v>1021.0300000000002</v>
          </cell>
          <cell r="AB655">
            <v>165.24666666666667</v>
          </cell>
          <cell r="AD655">
            <v>5363.0399999999991</v>
          </cell>
          <cell r="AN655" t="str">
            <v xml:space="preserve">Contrato emergencial nº </v>
          </cell>
          <cell r="AO655" t="str">
            <v>CL</v>
          </cell>
        </row>
        <row r="656">
          <cell r="D656" t="str">
            <v>1597/11</v>
          </cell>
          <cell r="E656" t="str">
            <v>23/05/2011</v>
          </cell>
          <cell r="F656">
            <v>40865</v>
          </cell>
          <cell r="G656">
            <v>40865</v>
          </cell>
          <cell r="H656" t="str">
            <v>2011-0.106.021-9</v>
          </cell>
          <cell r="I656">
            <v>30150.54</v>
          </cell>
          <cell r="J656" t="str">
            <v xml:space="preserve">              123611122                  2848                    33903600</v>
          </cell>
          <cell r="K656">
            <v>40848</v>
          </cell>
          <cell r="L656">
            <v>18</v>
          </cell>
          <cell r="M656">
            <v>3100</v>
          </cell>
          <cell r="N656">
            <v>57278</v>
          </cell>
          <cell r="O656">
            <v>15618</v>
          </cell>
          <cell r="P656">
            <v>16</v>
          </cell>
          <cell r="Q656">
            <v>3</v>
          </cell>
          <cell r="S656">
            <v>4671.13</v>
          </cell>
          <cell r="T656">
            <v>5320</v>
          </cell>
          <cell r="U656">
            <v>0</v>
          </cell>
          <cell r="V656">
            <v>3600</v>
          </cell>
          <cell r="W656">
            <v>18</v>
          </cell>
          <cell r="Y656">
            <v>93486</v>
          </cell>
          <cell r="Z656">
            <v>2375.2399999999998</v>
          </cell>
          <cell r="AA656">
            <v>1224.7600000000002</v>
          </cell>
          <cell r="AB656">
            <v>167.50300000000001</v>
          </cell>
          <cell r="AD656">
            <v>5533.93</v>
          </cell>
          <cell r="AN656" t="str">
            <v xml:space="preserve">Contrato emergencial nº </v>
          </cell>
          <cell r="AO656" t="str">
            <v>CS</v>
          </cell>
        </row>
        <row r="657">
          <cell r="D657" t="str">
            <v>1598/11</v>
          </cell>
          <cell r="E657" t="str">
            <v>23/05/2011</v>
          </cell>
          <cell r="F657">
            <v>40865</v>
          </cell>
          <cell r="G657">
            <v>40865</v>
          </cell>
          <cell r="H657" t="str">
            <v>2011-0.106.022-7</v>
          </cell>
          <cell r="I657">
            <v>45216.18</v>
          </cell>
          <cell r="J657" t="str">
            <v xml:space="preserve">              123651121                 2847                    33903600</v>
          </cell>
          <cell r="K657">
            <v>40848</v>
          </cell>
          <cell r="L657">
            <v>18</v>
          </cell>
          <cell r="M657">
            <v>4600</v>
          </cell>
          <cell r="N657">
            <v>57273</v>
          </cell>
          <cell r="O657">
            <v>15619</v>
          </cell>
          <cell r="P657">
            <v>16</v>
          </cell>
          <cell r="Q657">
            <v>2</v>
          </cell>
          <cell r="S657">
            <v>3450.27</v>
          </cell>
          <cell r="T657">
            <v>7960</v>
          </cell>
          <cell r="U657">
            <v>4806.7299999999996</v>
          </cell>
          <cell r="V657">
            <v>5400</v>
          </cell>
          <cell r="W657">
            <v>18</v>
          </cell>
          <cell r="Y657">
            <v>93489</v>
          </cell>
          <cell r="Z657">
            <v>0</v>
          </cell>
          <cell r="AA657">
            <v>10206.73</v>
          </cell>
          <cell r="AB657">
            <v>251.20099999999999</v>
          </cell>
          <cell r="AD657">
            <v>6896.1100000000006</v>
          </cell>
          <cell r="AN657" t="str">
            <v xml:space="preserve">Contrato emergencial nº </v>
          </cell>
          <cell r="AO657" t="str">
            <v>CS</v>
          </cell>
        </row>
        <row r="658">
          <cell r="D658" t="str">
            <v>1600/11</v>
          </cell>
          <cell r="E658" t="str">
            <v>23/05/2011</v>
          </cell>
          <cell r="F658">
            <v>40865</v>
          </cell>
          <cell r="G658">
            <v>40865</v>
          </cell>
          <cell r="H658" t="str">
            <v>2011-0.106.030-8</v>
          </cell>
          <cell r="I658">
            <v>30150.54</v>
          </cell>
          <cell r="J658" t="str">
            <v xml:space="preserve">              123651121                 2847                    33903600</v>
          </cell>
          <cell r="K658">
            <v>40848</v>
          </cell>
          <cell r="L658">
            <v>18</v>
          </cell>
          <cell r="M658">
            <v>3100</v>
          </cell>
          <cell r="N658">
            <v>57273</v>
          </cell>
          <cell r="O658">
            <v>15621</v>
          </cell>
          <cell r="P658">
            <v>16</v>
          </cell>
          <cell r="Q658">
            <v>2</v>
          </cell>
          <cell r="S658">
            <v>4802.62</v>
          </cell>
          <cell r="T658">
            <v>5320</v>
          </cell>
          <cell r="U658">
            <v>0</v>
          </cell>
          <cell r="V658">
            <v>3600</v>
          </cell>
          <cell r="W658">
            <v>18</v>
          </cell>
          <cell r="Y658">
            <v>93130</v>
          </cell>
          <cell r="Z658">
            <v>2382.8000000000002</v>
          </cell>
          <cell r="AA658">
            <v>1217.1999999999998</v>
          </cell>
          <cell r="AB658">
            <v>167.50300000000001</v>
          </cell>
          <cell r="AD658">
            <v>5574.8</v>
          </cell>
          <cell r="AN658" t="str">
            <v xml:space="preserve">Contrato emergencial nº </v>
          </cell>
          <cell r="AO658" t="str">
            <v>CL</v>
          </cell>
        </row>
        <row r="659">
          <cell r="D659" t="str">
            <v>1601/11</v>
          </cell>
          <cell r="E659" t="str">
            <v>25/05/2011</v>
          </cell>
          <cell r="F659">
            <v>40867</v>
          </cell>
          <cell r="G659">
            <v>40867</v>
          </cell>
          <cell r="H659" t="str">
            <v>2011-0.106.033-2</v>
          </cell>
          <cell r="I659">
            <v>23189.759999999998</v>
          </cell>
          <cell r="J659" t="str">
            <v xml:space="preserve">              123651121                 2847                    33903600</v>
          </cell>
          <cell r="K659">
            <v>40848</v>
          </cell>
          <cell r="L659">
            <v>20</v>
          </cell>
          <cell r="M659">
            <v>2600</v>
          </cell>
          <cell r="N659">
            <v>57273</v>
          </cell>
          <cell r="O659">
            <v>15623</v>
          </cell>
          <cell r="P659">
            <v>16</v>
          </cell>
          <cell r="Q659">
            <v>2</v>
          </cell>
          <cell r="S659">
            <v>3181.56</v>
          </cell>
          <cell r="T659">
            <v>4200</v>
          </cell>
          <cell r="U659">
            <v>0</v>
          </cell>
          <cell r="V659">
            <v>4000</v>
          </cell>
          <cell r="W659">
            <v>20</v>
          </cell>
          <cell r="Y659">
            <v>93958</v>
          </cell>
          <cell r="Z659">
            <v>2229.2800000000002</v>
          </cell>
          <cell r="AA659">
            <v>1770.7199999999998</v>
          </cell>
          <cell r="AB659">
            <v>128.83199999999999</v>
          </cell>
          <cell r="AD659">
            <v>4265.3600000000006</v>
          </cell>
          <cell r="AN659" t="str">
            <v xml:space="preserve">Contrato emergencial nº </v>
          </cell>
          <cell r="AO659" t="str">
            <v>MP</v>
          </cell>
        </row>
        <row r="660">
          <cell r="D660" t="str">
            <v>1602/11</v>
          </cell>
          <cell r="E660" t="str">
            <v>30/05/2011</v>
          </cell>
          <cell r="F660">
            <v>40872</v>
          </cell>
          <cell r="G660">
            <v>40872</v>
          </cell>
          <cell r="H660" t="str">
            <v>2011-0.106.054-5</v>
          </cell>
          <cell r="I660">
            <v>31012.38</v>
          </cell>
          <cell r="J660" t="str">
            <v xml:space="preserve">              123611122                  2848                    33903600</v>
          </cell>
          <cell r="K660">
            <v>40848</v>
          </cell>
          <cell r="L660">
            <v>25</v>
          </cell>
          <cell r="M660">
            <v>4400</v>
          </cell>
          <cell r="N660">
            <v>57278</v>
          </cell>
          <cell r="O660">
            <v>16391</v>
          </cell>
          <cell r="P660">
            <v>16</v>
          </cell>
          <cell r="Q660">
            <v>3</v>
          </cell>
          <cell r="S660">
            <v>931.06</v>
          </cell>
          <cell r="T660">
            <v>5960</v>
          </cell>
          <cell r="U660">
            <v>0</v>
          </cell>
          <cell r="V660">
            <v>5000</v>
          </cell>
          <cell r="W660">
            <v>25</v>
          </cell>
          <cell r="Y660">
            <v>93141</v>
          </cell>
          <cell r="Z660">
            <v>6451.21</v>
          </cell>
          <cell r="AA660">
            <v>-1451.21</v>
          </cell>
          <cell r="AB660">
            <v>172.291</v>
          </cell>
          <cell r="AD660">
            <v>4125.3770000000004</v>
          </cell>
          <cell r="AN660" t="str">
            <v xml:space="preserve">Contrato emergencial nº </v>
          </cell>
          <cell r="AO660" t="str">
            <v>CL</v>
          </cell>
        </row>
        <row r="661">
          <cell r="D661" t="str">
            <v>1604/11</v>
          </cell>
          <cell r="E661" t="str">
            <v>30/05/2011</v>
          </cell>
          <cell r="F661">
            <v>40872</v>
          </cell>
          <cell r="G661">
            <v>40872</v>
          </cell>
          <cell r="H661" t="str">
            <v>2011-0.106.069-3</v>
          </cell>
          <cell r="I661">
            <v>40835.160000000003</v>
          </cell>
          <cell r="J661" t="str">
            <v xml:space="preserve">              123651121                 2847                    33903600</v>
          </cell>
          <cell r="K661">
            <v>40848</v>
          </cell>
          <cell r="L661">
            <v>25</v>
          </cell>
          <cell r="M661">
            <v>5700</v>
          </cell>
          <cell r="N661">
            <v>57273</v>
          </cell>
          <cell r="O661">
            <v>16392</v>
          </cell>
          <cell r="P661">
            <v>16</v>
          </cell>
          <cell r="Q661">
            <v>2</v>
          </cell>
          <cell r="S661">
            <v>7369.8</v>
          </cell>
          <cell r="T661">
            <v>7840</v>
          </cell>
          <cell r="U661">
            <v>1036.9700000000007</v>
          </cell>
          <cell r="V661">
            <v>7500</v>
          </cell>
          <cell r="W661">
            <v>25</v>
          </cell>
          <cell r="AA661">
            <v>8536.9700000000012</v>
          </cell>
          <cell r="AB661">
            <v>226.86200000000002</v>
          </cell>
          <cell r="AD661">
            <v>8005.09</v>
          </cell>
          <cell r="AN661" t="str">
            <v xml:space="preserve">Contrato emergencial nº </v>
          </cell>
          <cell r="AO661" t="str">
            <v>BT</v>
          </cell>
        </row>
        <row r="662">
          <cell r="D662" t="str">
            <v>1605/11</v>
          </cell>
          <cell r="E662" t="str">
            <v>30/05/2011</v>
          </cell>
          <cell r="F662">
            <v>40872</v>
          </cell>
          <cell r="G662">
            <v>40872</v>
          </cell>
          <cell r="H662" t="str">
            <v>2011-0.106.071-5</v>
          </cell>
          <cell r="I662">
            <v>45632.28</v>
          </cell>
          <cell r="J662" t="str">
            <v xml:space="preserve">              123611122                  2848                    33903600</v>
          </cell>
          <cell r="K662">
            <v>40848</v>
          </cell>
          <cell r="L662">
            <v>25</v>
          </cell>
          <cell r="M662">
            <v>6400</v>
          </cell>
          <cell r="N662">
            <v>57278</v>
          </cell>
          <cell r="O662">
            <v>16393</v>
          </cell>
          <cell r="P662">
            <v>16</v>
          </cell>
          <cell r="Q662">
            <v>3</v>
          </cell>
          <cell r="S662">
            <v>2552.65</v>
          </cell>
          <cell r="T662">
            <v>8760</v>
          </cell>
          <cell r="U662">
            <v>0</v>
          </cell>
          <cell r="V662">
            <v>7500</v>
          </cell>
          <cell r="W662">
            <v>25</v>
          </cell>
          <cell r="Y662">
            <v>93472</v>
          </cell>
          <cell r="Z662">
            <v>7863.96</v>
          </cell>
          <cell r="AA662">
            <v>-363.96000000000004</v>
          </cell>
          <cell r="AB662">
            <v>253.51266666666666</v>
          </cell>
          <cell r="AD662">
            <v>6921.92</v>
          </cell>
          <cell r="AN662" t="str">
            <v xml:space="preserve">Contrato emergencial nº </v>
          </cell>
          <cell r="AO662" t="str">
            <v>PJ</v>
          </cell>
        </row>
        <row r="663">
          <cell r="D663" t="str">
            <v>1607/11</v>
          </cell>
          <cell r="E663" t="str">
            <v>30/05/2011</v>
          </cell>
          <cell r="F663">
            <v>40872</v>
          </cell>
          <cell r="G663">
            <v>40872</v>
          </cell>
          <cell r="H663" t="str">
            <v>2011-0.106.074-0</v>
          </cell>
          <cell r="I663">
            <v>52251.96</v>
          </cell>
          <cell r="J663" t="str">
            <v xml:space="preserve">              123651121                 2847                    33903600</v>
          </cell>
          <cell r="K663">
            <v>40848</v>
          </cell>
          <cell r="L663">
            <v>25</v>
          </cell>
          <cell r="M663">
            <v>7300</v>
          </cell>
          <cell r="N663">
            <v>57273</v>
          </cell>
          <cell r="O663">
            <v>16395</v>
          </cell>
          <cell r="P663">
            <v>16</v>
          </cell>
          <cell r="Q663">
            <v>2</v>
          </cell>
          <cell r="S663">
            <v>3917.17</v>
          </cell>
          <cell r="T663">
            <v>10000</v>
          </cell>
          <cell r="U663">
            <v>0</v>
          </cell>
          <cell r="V663">
            <v>7500</v>
          </cell>
          <cell r="W663">
            <v>25</v>
          </cell>
          <cell r="Y663">
            <v>93492</v>
          </cell>
          <cell r="Z663">
            <v>8627.8799999999992</v>
          </cell>
          <cell r="AA663">
            <v>-1127.8799999999992</v>
          </cell>
          <cell r="AB663">
            <v>290.28866666666664</v>
          </cell>
          <cell r="AD663">
            <v>8454.59</v>
          </cell>
          <cell r="AN663" t="str">
            <v xml:space="preserve">Contrato emergencial nº </v>
          </cell>
          <cell r="AO663" t="str">
            <v>CS</v>
          </cell>
        </row>
        <row r="664">
          <cell r="D664" t="str">
            <v>1608/11</v>
          </cell>
          <cell r="E664" t="str">
            <v>30/05/2011</v>
          </cell>
          <cell r="F664">
            <v>40872</v>
          </cell>
          <cell r="G664">
            <v>40872</v>
          </cell>
          <cell r="H664" t="str">
            <v>2011-0.106.077-4</v>
          </cell>
          <cell r="I664">
            <v>38261.760000000002</v>
          </cell>
          <cell r="J664" t="str">
            <v xml:space="preserve">              123611122                  2848                    33903600</v>
          </cell>
          <cell r="K664">
            <v>40848</v>
          </cell>
          <cell r="L664">
            <v>25</v>
          </cell>
          <cell r="M664">
            <v>5400</v>
          </cell>
          <cell r="N664">
            <v>57278</v>
          </cell>
          <cell r="O664">
            <v>16396</v>
          </cell>
          <cell r="P664">
            <v>16</v>
          </cell>
          <cell r="Q664">
            <v>3</v>
          </cell>
          <cell r="S664">
            <v>2805.33</v>
          </cell>
          <cell r="T664">
            <v>7320</v>
          </cell>
          <cell r="U664">
            <v>0</v>
          </cell>
          <cell r="V664">
            <v>5000</v>
          </cell>
          <cell r="W664">
            <v>25</v>
          </cell>
          <cell r="Y664">
            <v>93961</v>
          </cell>
          <cell r="Z664">
            <v>6298.67</v>
          </cell>
          <cell r="AA664">
            <v>-1298.67</v>
          </cell>
          <cell r="AB664">
            <v>212.56533333333334</v>
          </cell>
          <cell r="AD664">
            <v>5820.9699999999993</v>
          </cell>
          <cell r="AN664" t="str">
            <v xml:space="preserve">Contrato emergencial nº </v>
          </cell>
          <cell r="AO664" t="str">
            <v>MP</v>
          </cell>
        </row>
        <row r="665">
          <cell r="D665" t="str">
            <v>1609/11</v>
          </cell>
          <cell r="E665" t="str">
            <v>30/05/2011</v>
          </cell>
          <cell r="F665">
            <v>40872</v>
          </cell>
          <cell r="G665">
            <v>40872</v>
          </cell>
          <cell r="H665" t="str">
            <v>2011-0.106.080-4</v>
          </cell>
          <cell r="I665">
            <v>30150.54</v>
          </cell>
          <cell r="J665" t="str">
            <v xml:space="preserve">              123651121                 2847                    33903600</v>
          </cell>
          <cell r="K665">
            <v>40848</v>
          </cell>
          <cell r="L665">
            <v>25</v>
          </cell>
          <cell r="M665">
            <v>4200</v>
          </cell>
          <cell r="N665">
            <v>57273</v>
          </cell>
          <cell r="O665">
            <v>16397</v>
          </cell>
          <cell r="P665">
            <v>16</v>
          </cell>
          <cell r="Q665">
            <v>2</v>
          </cell>
          <cell r="S665">
            <v>4814.12</v>
          </cell>
          <cell r="T665">
            <v>5800</v>
          </cell>
          <cell r="U665">
            <v>112.50999999999931</v>
          </cell>
          <cell r="V665">
            <v>5000</v>
          </cell>
          <cell r="W665">
            <v>25</v>
          </cell>
          <cell r="AA665">
            <v>5112.5099999999993</v>
          </cell>
          <cell r="AB665">
            <v>167.50300000000001</v>
          </cell>
          <cell r="AC665">
            <v>-25</v>
          </cell>
          <cell r="AD665">
            <v>5674.8099999999995</v>
          </cell>
          <cell r="AN665" t="str">
            <v xml:space="preserve">Contrato emergencial nº </v>
          </cell>
          <cell r="AO665" t="str">
            <v>BT</v>
          </cell>
        </row>
        <row r="666">
          <cell r="D666" t="str">
            <v>1610/11</v>
          </cell>
          <cell r="E666" t="str">
            <v>30/05/2011</v>
          </cell>
          <cell r="F666">
            <v>40872</v>
          </cell>
          <cell r="G666">
            <v>40872</v>
          </cell>
          <cell r="H666" t="str">
            <v>2011-0.106.089-8</v>
          </cell>
          <cell r="I666">
            <v>35442.720000000001</v>
          </cell>
          <cell r="J666" t="str">
            <v xml:space="preserve">              123651121                 2847                    33903600</v>
          </cell>
          <cell r="K666">
            <v>40848</v>
          </cell>
          <cell r="L666">
            <v>25</v>
          </cell>
          <cell r="M666">
            <v>5000</v>
          </cell>
          <cell r="N666">
            <v>57273</v>
          </cell>
          <cell r="O666">
            <v>16398</v>
          </cell>
          <cell r="P666">
            <v>16</v>
          </cell>
          <cell r="Q666">
            <v>2</v>
          </cell>
          <cell r="S666">
            <v>1738.89</v>
          </cell>
          <cell r="T666">
            <v>6800</v>
          </cell>
          <cell r="U666">
            <v>0</v>
          </cell>
          <cell r="V666">
            <v>5000</v>
          </cell>
          <cell r="W666">
            <v>25</v>
          </cell>
          <cell r="Y666">
            <v>90664</v>
          </cell>
          <cell r="Z666">
            <v>7168.5</v>
          </cell>
          <cell r="AA666">
            <v>-2168.5</v>
          </cell>
          <cell r="AB666">
            <v>196.904</v>
          </cell>
          <cell r="AD666">
            <v>5070.047333333333</v>
          </cell>
          <cell r="AN666" t="str">
            <v xml:space="preserve">Contrato emergencial nº </v>
          </cell>
          <cell r="AO666" t="str">
            <v>FO</v>
          </cell>
        </row>
        <row r="667">
          <cell r="D667" t="str">
            <v>1611/11</v>
          </cell>
          <cell r="E667" t="str">
            <v>30/05/2011</v>
          </cell>
          <cell r="F667">
            <v>40872</v>
          </cell>
          <cell r="G667">
            <v>40872</v>
          </cell>
          <cell r="H667" t="str">
            <v>2011-0.106.093-6</v>
          </cell>
          <cell r="I667">
            <v>40835.160000000003</v>
          </cell>
          <cell r="J667" t="str">
            <v xml:space="preserve">              123611122                  2848                    33903600</v>
          </cell>
          <cell r="K667">
            <v>40848</v>
          </cell>
          <cell r="L667">
            <v>25</v>
          </cell>
          <cell r="M667">
            <v>5700</v>
          </cell>
          <cell r="N667">
            <v>57278</v>
          </cell>
          <cell r="O667">
            <v>16399</v>
          </cell>
          <cell r="P667">
            <v>16</v>
          </cell>
          <cell r="Q667">
            <v>3</v>
          </cell>
          <cell r="S667">
            <v>3182.5</v>
          </cell>
          <cell r="T667">
            <v>7840</v>
          </cell>
          <cell r="U667">
            <v>0</v>
          </cell>
          <cell r="V667">
            <v>5000</v>
          </cell>
          <cell r="W667">
            <v>25</v>
          </cell>
          <cell r="Y667">
            <v>95238</v>
          </cell>
          <cell r="Z667">
            <v>3611.5</v>
          </cell>
          <cell r="AA667">
            <v>1388.5</v>
          </cell>
          <cell r="AB667">
            <v>226.86200000000002</v>
          </cell>
          <cell r="AD667">
            <v>4932.84</v>
          </cell>
          <cell r="AN667" t="str">
            <v xml:space="preserve">Contrato emergencial nº </v>
          </cell>
          <cell r="AO667" t="str">
            <v xml:space="preserve">SA </v>
          </cell>
        </row>
        <row r="668">
          <cell r="D668" t="str">
            <v>1644/11</v>
          </cell>
          <cell r="E668" t="str">
            <v>06/06/2011</v>
          </cell>
          <cell r="F668">
            <v>40879</v>
          </cell>
          <cell r="G668">
            <v>40877</v>
          </cell>
          <cell r="H668" t="str">
            <v>2011-0.133.554-4</v>
          </cell>
          <cell r="I668">
            <v>36300.300000000003</v>
          </cell>
          <cell r="J668" t="str">
            <v xml:space="preserve">              123651121                 2847                    33903600</v>
          </cell>
          <cell r="K668">
            <v>40878</v>
          </cell>
          <cell r="L668">
            <v>0</v>
          </cell>
          <cell r="M668">
            <v>0</v>
          </cell>
          <cell r="N668">
            <v>57273</v>
          </cell>
          <cell r="O668">
            <v>16871</v>
          </cell>
          <cell r="P668">
            <v>16</v>
          </cell>
          <cell r="Q668">
            <v>2</v>
          </cell>
          <cell r="T668">
            <v>1677.72</v>
          </cell>
          <cell r="U668">
            <v>0</v>
          </cell>
          <cell r="V668">
            <v>3680</v>
          </cell>
          <cell r="W668">
            <v>2</v>
          </cell>
          <cell r="X668">
            <v>500</v>
          </cell>
          <cell r="Y668">
            <v>107855</v>
          </cell>
          <cell r="Z668">
            <v>6398.78</v>
          </cell>
          <cell r="AA668">
            <v>-2218.7799999999997</v>
          </cell>
          <cell r="AB668">
            <v>201.66833333333335</v>
          </cell>
          <cell r="AD668">
            <v>5313.8377777777778</v>
          </cell>
          <cell r="AN668" t="str">
            <v xml:space="preserve">Contrato emergencial nº </v>
          </cell>
          <cell r="AO668" t="str">
            <v>CL</v>
          </cell>
        </row>
        <row r="669">
          <cell r="D669" t="str">
            <v>1645/11</v>
          </cell>
          <cell r="E669" t="str">
            <v>06/06/2011</v>
          </cell>
          <cell r="F669">
            <v>40879</v>
          </cell>
          <cell r="G669">
            <v>40877</v>
          </cell>
          <cell r="H669" t="str">
            <v>2011-0.133.563-3</v>
          </cell>
          <cell r="I669">
            <v>40976.639999999999</v>
          </cell>
          <cell r="J669" t="str">
            <v xml:space="preserve">              123651121                 2847                    33903600</v>
          </cell>
          <cell r="K669">
            <v>40878</v>
          </cell>
          <cell r="L669">
            <v>0</v>
          </cell>
          <cell r="M669">
            <v>0</v>
          </cell>
          <cell r="N669">
            <v>57273</v>
          </cell>
          <cell r="O669">
            <v>16697</v>
          </cell>
          <cell r="P669">
            <v>16</v>
          </cell>
          <cell r="Q669">
            <v>2</v>
          </cell>
          <cell r="T669">
            <v>2767.3050000000003</v>
          </cell>
          <cell r="U669">
            <v>0</v>
          </cell>
          <cell r="V669">
            <v>4160</v>
          </cell>
          <cell r="W669">
            <v>2</v>
          </cell>
          <cell r="X669">
            <v>500</v>
          </cell>
          <cell r="Y669">
            <v>107696</v>
          </cell>
          <cell r="Z669">
            <v>6181.26</v>
          </cell>
          <cell r="AA669">
            <v>-1521.2600000000002</v>
          </cell>
          <cell r="AB669">
            <v>227.648</v>
          </cell>
          <cell r="AD669">
            <v>6527.67</v>
          </cell>
          <cell r="AN669" t="str">
            <v xml:space="preserve">Contrato emergencial nº </v>
          </cell>
          <cell r="AO669" t="str">
            <v xml:space="preserve">SA </v>
          </cell>
        </row>
        <row r="670">
          <cell r="D670" t="str">
            <v>1646/11</v>
          </cell>
          <cell r="E670" t="str">
            <v>06/06/2011</v>
          </cell>
          <cell r="F670">
            <v>40879</v>
          </cell>
          <cell r="G670">
            <v>40877</v>
          </cell>
          <cell r="H670" t="str">
            <v>2011-0.133.568-4</v>
          </cell>
          <cell r="I670">
            <v>38417.160000000003</v>
          </cell>
          <cell r="J670" t="str">
            <v xml:space="preserve">              123651121                 2847                    33903600</v>
          </cell>
          <cell r="K670">
            <v>40878</v>
          </cell>
          <cell r="L670">
            <v>0</v>
          </cell>
          <cell r="M670">
            <v>0</v>
          </cell>
          <cell r="N670">
            <v>57273</v>
          </cell>
          <cell r="O670">
            <v>16698</v>
          </cell>
          <cell r="P670">
            <v>16</v>
          </cell>
          <cell r="Q670">
            <v>2</v>
          </cell>
          <cell r="T670">
            <v>400.78</v>
          </cell>
          <cell r="U670">
            <v>0</v>
          </cell>
          <cell r="V670">
            <v>3900</v>
          </cell>
          <cell r="W670">
            <v>2</v>
          </cell>
          <cell r="X670">
            <v>500</v>
          </cell>
          <cell r="Y670">
            <v>107857</v>
          </cell>
          <cell r="Z670">
            <v>6073.03</v>
          </cell>
          <cell r="AA670">
            <v>-1673.0299999999997</v>
          </cell>
          <cell r="AB670">
            <v>213.42866666666669</v>
          </cell>
          <cell r="AD670">
            <v>5895.8337777777779</v>
          </cell>
          <cell r="AN670" t="str">
            <v xml:space="preserve">Contrato emergencial nº </v>
          </cell>
          <cell r="AO670" t="str">
            <v>CL</v>
          </cell>
        </row>
        <row r="671">
          <cell r="D671" t="str">
            <v>1647/11</v>
          </cell>
          <cell r="E671" t="str">
            <v>06/06/2011</v>
          </cell>
          <cell r="F671">
            <v>40879</v>
          </cell>
          <cell r="G671">
            <v>40877</v>
          </cell>
          <cell r="H671" t="str">
            <v>2011-0.133.573-0</v>
          </cell>
          <cell r="I671">
            <v>49324.08</v>
          </cell>
          <cell r="J671" t="str">
            <v xml:space="preserve">             123671125                  2863                   33903600</v>
          </cell>
          <cell r="K671">
            <v>40878</v>
          </cell>
          <cell r="L671">
            <v>0</v>
          </cell>
          <cell r="M671">
            <v>0</v>
          </cell>
          <cell r="N671">
            <v>57287</v>
          </cell>
          <cell r="O671">
            <v>16699</v>
          </cell>
          <cell r="P671">
            <v>16</v>
          </cell>
          <cell r="Q671">
            <v>4</v>
          </cell>
          <cell r="S671">
            <v>8676.48</v>
          </cell>
          <cell r="T671">
            <v>10000</v>
          </cell>
          <cell r="U671">
            <v>6725.46</v>
          </cell>
          <cell r="V671">
            <v>5000</v>
          </cell>
          <cell r="W671">
            <v>2</v>
          </cell>
          <cell r="X671">
            <v>600</v>
          </cell>
          <cell r="AA671">
            <v>12325.46</v>
          </cell>
          <cell r="AB671">
            <v>274.02266666666668</v>
          </cell>
          <cell r="AD671">
            <v>13122.025</v>
          </cell>
          <cell r="AN671" t="str">
            <v xml:space="preserve">Contrato emergencial nº </v>
          </cell>
          <cell r="AO671" t="str">
            <v>SM</v>
          </cell>
        </row>
        <row r="672">
          <cell r="D672" t="str">
            <v>1648/11</v>
          </cell>
          <cell r="E672" t="str">
            <v>06/06/2011</v>
          </cell>
          <cell r="F672">
            <v>40879</v>
          </cell>
          <cell r="G672">
            <v>40877</v>
          </cell>
          <cell r="H672" t="str">
            <v>2011-0.133.596-0</v>
          </cell>
          <cell r="I672">
            <v>49324.08</v>
          </cell>
          <cell r="J672" t="str">
            <v xml:space="preserve">             123671125                  2863                   33903600</v>
          </cell>
          <cell r="K672">
            <v>40878</v>
          </cell>
          <cell r="L672">
            <v>0</v>
          </cell>
          <cell r="M672">
            <v>0</v>
          </cell>
          <cell r="N672">
            <v>57287</v>
          </cell>
          <cell r="O672">
            <v>16872</v>
          </cell>
          <cell r="P672">
            <v>16</v>
          </cell>
          <cell r="Q672">
            <v>4</v>
          </cell>
          <cell r="S672">
            <v>5789.92</v>
          </cell>
          <cell r="T672">
            <v>10000</v>
          </cell>
          <cell r="U672">
            <v>6175.68</v>
          </cell>
          <cell r="V672">
            <v>5000</v>
          </cell>
          <cell r="W672">
            <v>2</v>
          </cell>
          <cell r="X672">
            <v>600</v>
          </cell>
          <cell r="AA672">
            <v>11775.68</v>
          </cell>
          <cell r="AB672">
            <v>274.02266666666668</v>
          </cell>
          <cell r="AD672">
            <v>12963.11</v>
          </cell>
          <cell r="AN672" t="str">
            <v xml:space="preserve">Contrato emergencial nº </v>
          </cell>
          <cell r="AO672" t="str">
            <v>CL</v>
          </cell>
        </row>
        <row r="673">
          <cell r="D673" t="str">
            <v>1649/11</v>
          </cell>
          <cell r="E673" t="str">
            <v>06/06/2011</v>
          </cell>
          <cell r="F673">
            <v>40879</v>
          </cell>
          <cell r="G673">
            <v>40877</v>
          </cell>
          <cell r="H673" t="str">
            <v>2011-0.133.600-1</v>
          </cell>
          <cell r="I673">
            <v>50500.08</v>
          </cell>
          <cell r="J673" t="str">
            <v xml:space="preserve">             123671125                  2863                   33903600</v>
          </cell>
          <cell r="K673">
            <v>40878</v>
          </cell>
          <cell r="L673">
            <v>0</v>
          </cell>
          <cell r="M673">
            <v>0</v>
          </cell>
          <cell r="N673">
            <v>57287</v>
          </cell>
          <cell r="O673">
            <v>16700</v>
          </cell>
          <cell r="P673">
            <v>16</v>
          </cell>
          <cell r="Q673">
            <v>4</v>
          </cell>
          <cell r="S673">
            <v>321.7</v>
          </cell>
          <cell r="T673">
            <v>10240</v>
          </cell>
          <cell r="U673">
            <v>4078.3</v>
          </cell>
          <cell r="V673">
            <v>5120</v>
          </cell>
          <cell r="W673">
            <v>2</v>
          </cell>
          <cell r="X673">
            <v>600</v>
          </cell>
          <cell r="AA673">
            <v>9798.2999999999993</v>
          </cell>
          <cell r="AB673">
            <v>280.55599999999998</v>
          </cell>
          <cell r="AD673">
            <v>13285.149999999998</v>
          </cell>
          <cell r="AN673" t="str">
            <v xml:space="preserve">Contrato emergencial nº </v>
          </cell>
          <cell r="AO673" t="str">
            <v>G</v>
          </cell>
        </row>
        <row r="674">
          <cell r="D674" t="str">
            <v>1650/11</v>
          </cell>
          <cell r="E674" t="str">
            <v>06/06/2011</v>
          </cell>
          <cell r="F674">
            <v>40879</v>
          </cell>
          <cell r="G674">
            <v>40877</v>
          </cell>
          <cell r="H674" t="str">
            <v>2011-0.133.602-8</v>
          </cell>
          <cell r="I674">
            <v>50500.08</v>
          </cell>
          <cell r="J674" t="str">
            <v xml:space="preserve">             123671125                  2863                   33903600</v>
          </cell>
          <cell r="K674">
            <v>40878</v>
          </cell>
          <cell r="L674">
            <v>0</v>
          </cell>
          <cell r="M674">
            <v>0</v>
          </cell>
          <cell r="N674">
            <v>57287</v>
          </cell>
          <cell r="O674">
            <v>16701</v>
          </cell>
          <cell r="P674">
            <v>16</v>
          </cell>
          <cell r="Q674">
            <v>4</v>
          </cell>
          <cell r="S674">
            <v>201.45</v>
          </cell>
          <cell r="T674">
            <v>10240</v>
          </cell>
          <cell r="U674">
            <v>0</v>
          </cell>
          <cell r="V674">
            <v>5120</v>
          </cell>
          <cell r="W674">
            <v>2</v>
          </cell>
          <cell r="X674">
            <v>800</v>
          </cell>
          <cell r="Y674">
            <v>93301</v>
          </cell>
          <cell r="Z674">
            <v>5641.24</v>
          </cell>
          <cell r="AA674">
            <v>278.76000000000022</v>
          </cell>
          <cell r="AB674">
            <v>280.55599999999998</v>
          </cell>
          <cell r="AD674">
            <v>10328.82</v>
          </cell>
          <cell r="AN674" t="str">
            <v xml:space="preserve">Contrato emergencial nº </v>
          </cell>
          <cell r="AO674" t="str">
            <v>CL</v>
          </cell>
        </row>
        <row r="675">
          <cell r="D675" t="str">
            <v>1651/11</v>
          </cell>
          <cell r="E675" t="str">
            <v>06/06/2011</v>
          </cell>
          <cell r="F675">
            <v>40879</v>
          </cell>
          <cell r="G675">
            <v>40877</v>
          </cell>
          <cell r="H675" t="str">
            <v>2011-0.133.606-0</v>
          </cell>
          <cell r="I675">
            <v>49631.4</v>
          </cell>
          <cell r="J675" t="str">
            <v xml:space="preserve">             123671125                  2863                   33903600</v>
          </cell>
          <cell r="K675">
            <v>40878</v>
          </cell>
          <cell r="L675">
            <v>0</v>
          </cell>
          <cell r="M675">
            <v>0</v>
          </cell>
          <cell r="N675">
            <v>57287</v>
          </cell>
          <cell r="O675">
            <v>16873</v>
          </cell>
          <cell r="P675">
            <v>16</v>
          </cell>
          <cell r="Q675">
            <v>4</v>
          </cell>
          <cell r="T675">
            <v>3612.39</v>
          </cell>
          <cell r="U675">
            <v>0</v>
          </cell>
          <cell r="V675">
            <v>5020</v>
          </cell>
          <cell r="W675">
            <v>2</v>
          </cell>
          <cell r="X675">
            <v>600</v>
          </cell>
          <cell r="Y675">
            <v>105646</v>
          </cell>
          <cell r="Z675">
            <v>6430.2</v>
          </cell>
          <cell r="AA675">
            <v>-810.19999999999982</v>
          </cell>
          <cell r="AB675">
            <v>275.73</v>
          </cell>
          <cell r="AD675">
            <v>7743.1799999999994</v>
          </cell>
          <cell r="AN675" t="str">
            <v xml:space="preserve">Contrato emergencial nº </v>
          </cell>
          <cell r="AO675" t="str">
            <v>SM</v>
          </cell>
        </row>
        <row r="676">
          <cell r="D676" t="str">
            <v>1652/11</v>
          </cell>
          <cell r="E676" t="str">
            <v>06/06/2011</v>
          </cell>
          <cell r="F676">
            <v>40879</v>
          </cell>
          <cell r="G676">
            <v>40877</v>
          </cell>
          <cell r="H676" t="str">
            <v>2011-0.133.609-5</v>
          </cell>
          <cell r="I676">
            <v>25682.76</v>
          </cell>
          <cell r="J676" t="str">
            <v xml:space="preserve">              123651121                 2847                    33903600</v>
          </cell>
          <cell r="K676">
            <v>40878</v>
          </cell>
          <cell r="L676">
            <v>0</v>
          </cell>
          <cell r="M676">
            <v>0</v>
          </cell>
          <cell r="N676">
            <v>57273</v>
          </cell>
          <cell r="O676">
            <v>16702</v>
          </cell>
          <cell r="P676">
            <v>16</v>
          </cell>
          <cell r="Q676">
            <v>2</v>
          </cell>
          <cell r="T676">
            <v>2630.82</v>
          </cell>
          <cell r="U676">
            <v>0</v>
          </cell>
          <cell r="V676">
            <v>2600</v>
          </cell>
          <cell r="W676">
            <v>2</v>
          </cell>
          <cell r="X676">
            <v>400</v>
          </cell>
          <cell r="Y676">
            <v>105721</v>
          </cell>
          <cell r="Z676">
            <v>3106.98</v>
          </cell>
          <cell r="AA676">
            <v>-106.98000000000002</v>
          </cell>
          <cell r="AB676">
            <v>142.68199999999999</v>
          </cell>
          <cell r="AD676">
            <v>4739.67</v>
          </cell>
          <cell r="AN676" t="str">
            <v xml:space="preserve">Contrato emergencial nº </v>
          </cell>
          <cell r="AO676" t="str">
            <v>JT</v>
          </cell>
        </row>
        <row r="677">
          <cell r="D677" t="str">
            <v>1653/11</v>
          </cell>
          <cell r="E677" t="str">
            <v>06/06/2011</v>
          </cell>
          <cell r="F677">
            <v>40879</v>
          </cell>
          <cell r="G677">
            <v>40877</v>
          </cell>
          <cell r="H677" t="str">
            <v>2011-0.133.611-7</v>
          </cell>
          <cell r="I677">
            <v>30553.68</v>
          </cell>
          <cell r="J677" t="str">
            <v xml:space="preserve">              123611122                  2848                    33903600</v>
          </cell>
          <cell r="K677">
            <v>40878</v>
          </cell>
          <cell r="L677">
            <v>0</v>
          </cell>
          <cell r="M677">
            <v>0</v>
          </cell>
          <cell r="N677">
            <v>57278</v>
          </cell>
          <cell r="O677">
            <v>16704</v>
          </cell>
          <cell r="P677">
            <v>16</v>
          </cell>
          <cell r="Q677">
            <v>3</v>
          </cell>
          <cell r="T677">
            <v>6200</v>
          </cell>
          <cell r="U677">
            <v>0</v>
          </cell>
          <cell r="V677">
            <v>3100</v>
          </cell>
          <cell r="W677">
            <v>2</v>
          </cell>
          <cell r="X677">
            <v>600</v>
          </cell>
          <cell r="Y677" t="str">
            <v>65415/93362</v>
          </cell>
          <cell r="Z677">
            <v>5821.98</v>
          </cell>
          <cell r="AA677">
            <v>-2121.9799999999996</v>
          </cell>
          <cell r="AB677">
            <v>169.74266666666668</v>
          </cell>
          <cell r="AD677">
            <v>6062.9</v>
          </cell>
          <cell r="AN677" t="str">
            <v xml:space="preserve">Contrato emergencial nº </v>
          </cell>
          <cell r="AO677" t="str">
            <v>PJ</v>
          </cell>
        </row>
        <row r="678">
          <cell r="D678" t="str">
            <v>1654/11</v>
          </cell>
          <cell r="E678" t="str">
            <v>06/06/2011</v>
          </cell>
          <cell r="F678">
            <v>40879</v>
          </cell>
          <cell r="G678">
            <v>40877</v>
          </cell>
          <cell r="H678" t="str">
            <v>2011-0.133.620-6</v>
          </cell>
          <cell r="I678">
            <v>41531.040000000001</v>
          </cell>
          <cell r="J678" t="str">
            <v xml:space="preserve">             123671125                  2863                   33903600</v>
          </cell>
          <cell r="K678">
            <v>40878</v>
          </cell>
          <cell r="L678">
            <v>0</v>
          </cell>
          <cell r="M678">
            <v>0</v>
          </cell>
          <cell r="N678">
            <v>57287</v>
          </cell>
          <cell r="O678">
            <v>16875</v>
          </cell>
          <cell r="P678">
            <v>16</v>
          </cell>
          <cell r="Q678">
            <v>4</v>
          </cell>
          <cell r="T678">
            <v>3717.8299999999995</v>
          </cell>
          <cell r="U678">
            <v>0</v>
          </cell>
          <cell r="V678">
            <v>2423.5660000000003</v>
          </cell>
          <cell r="W678">
            <v>2</v>
          </cell>
          <cell r="X678">
            <v>600</v>
          </cell>
          <cell r="Y678">
            <v>106883</v>
          </cell>
          <cell r="Z678">
            <v>1604.06</v>
          </cell>
          <cell r="AA678">
            <v>1419.5060000000003</v>
          </cell>
          <cell r="AB678">
            <v>230.72800000000001</v>
          </cell>
          <cell r="AD678">
            <v>6789.65</v>
          </cell>
          <cell r="AN678" t="str">
            <v xml:space="preserve">Contrato emergencial nº </v>
          </cell>
          <cell r="AO678" t="str">
            <v>IQ</v>
          </cell>
        </row>
        <row r="679">
          <cell r="D679" t="str">
            <v>1655/11</v>
          </cell>
          <cell r="E679" t="str">
            <v>06/06/2011</v>
          </cell>
          <cell r="F679">
            <v>40879</v>
          </cell>
          <cell r="G679">
            <v>40877</v>
          </cell>
          <cell r="H679" t="str">
            <v>2011-0.133.624-9</v>
          </cell>
          <cell r="I679">
            <v>37301.160000000003</v>
          </cell>
          <cell r="J679" t="str">
            <v xml:space="preserve">              123611122                  2848                    33903600</v>
          </cell>
          <cell r="K679">
            <v>40878</v>
          </cell>
          <cell r="L679">
            <v>0</v>
          </cell>
          <cell r="M679">
            <v>0</v>
          </cell>
          <cell r="N679">
            <v>57278</v>
          </cell>
          <cell r="O679">
            <v>20872</v>
          </cell>
          <cell r="P679">
            <v>16</v>
          </cell>
          <cell r="Q679">
            <v>3</v>
          </cell>
          <cell r="T679">
            <v>7560</v>
          </cell>
          <cell r="U679">
            <v>0</v>
          </cell>
          <cell r="V679">
            <v>6300</v>
          </cell>
          <cell r="W679">
            <v>2</v>
          </cell>
          <cell r="X679">
            <v>600</v>
          </cell>
          <cell r="AA679">
            <v>6900</v>
          </cell>
          <cell r="AB679">
            <v>207.2286666666667</v>
          </cell>
          <cell r="AD679">
            <v>7397.07</v>
          </cell>
          <cell r="AN679" t="str">
            <v xml:space="preserve">Contrato emergencial nº </v>
          </cell>
          <cell r="AO679" t="str">
            <v>CS</v>
          </cell>
        </row>
        <row r="680">
          <cell r="D680" t="str">
            <v>1656/11</v>
          </cell>
          <cell r="E680" t="str">
            <v>06/06/2011</v>
          </cell>
          <cell r="F680">
            <v>40879</v>
          </cell>
          <cell r="G680">
            <v>40877</v>
          </cell>
          <cell r="H680" t="str">
            <v>2011-0.133.628-1</v>
          </cell>
          <cell r="I680">
            <v>38417.160000000003</v>
          </cell>
          <cell r="J680" t="str">
            <v xml:space="preserve">              123651121                 2847                    33903600</v>
          </cell>
          <cell r="K680">
            <v>40878</v>
          </cell>
          <cell r="L680">
            <v>0</v>
          </cell>
          <cell r="M680">
            <v>0</v>
          </cell>
          <cell r="N680">
            <v>57273</v>
          </cell>
          <cell r="O680">
            <v>16706</v>
          </cell>
          <cell r="P680">
            <v>16</v>
          </cell>
          <cell r="Q680">
            <v>2</v>
          </cell>
          <cell r="T680">
            <v>7800</v>
          </cell>
          <cell r="U680">
            <v>0</v>
          </cell>
          <cell r="V680">
            <v>6500</v>
          </cell>
          <cell r="W680">
            <v>2</v>
          </cell>
          <cell r="X680">
            <v>600</v>
          </cell>
          <cell r="Y680">
            <v>106765</v>
          </cell>
          <cell r="Z680">
            <v>5557.14</v>
          </cell>
          <cell r="AA680">
            <v>1542.8599999999997</v>
          </cell>
          <cell r="AB680">
            <v>213.42866666666669</v>
          </cell>
          <cell r="AD680">
            <v>6322.65</v>
          </cell>
          <cell r="AN680" t="str">
            <v xml:space="preserve">Contrato emergencial nº </v>
          </cell>
          <cell r="AO680" t="str">
            <v>MP</v>
          </cell>
        </row>
        <row r="681">
          <cell r="D681" t="str">
            <v>1657/11</v>
          </cell>
          <cell r="E681" t="str">
            <v>06/06/2011</v>
          </cell>
          <cell r="F681">
            <v>40879</v>
          </cell>
          <cell r="G681">
            <v>40877</v>
          </cell>
          <cell r="H681" t="str">
            <v>2011-0.133.629-0</v>
          </cell>
          <cell r="I681">
            <v>34059.24</v>
          </cell>
          <cell r="J681" t="str">
            <v xml:space="preserve">              123651121                 2847                    33903600</v>
          </cell>
          <cell r="K681">
            <v>40878</v>
          </cell>
          <cell r="L681">
            <v>0</v>
          </cell>
          <cell r="M681">
            <v>0</v>
          </cell>
          <cell r="N681">
            <v>57273</v>
          </cell>
          <cell r="O681">
            <v>16707</v>
          </cell>
          <cell r="P681">
            <v>16</v>
          </cell>
          <cell r="Q681">
            <v>2</v>
          </cell>
          <cell r="T681">
            <v>6920</v>
          </cell>
          <cell r="U681">
            <v>1265.21</v>
          </cell>
          <cell r="V681">
            <v>5900</v>
          </cell>
          <cell r="W681">
            <v>2</v>
          </cell>
          <cell r="X681">
            <v>400</v>
          </cell>
          <cell r="AA681">
            <v>7565.21</v>
          </cell>
          <cell r="AB681">
            <v>189.21799999999999</v>
          </cell>
          <cell r="AD681">
            <v>3659.8019999999997</v>
          </cell>
          <cell r="AN681" t="str">
            <v xml:space="preserve">Contrato emergencial nº </v>
          </cell>
          <cell r="AO681" t="str">
            <v>FO</v>
          </cell>
        </row>
        <row r="682">
          <cell r="D682" t="str">
            <v>1658/11</v>
          </cell>
          <cell r="E682" t="str">
            <v>06/06/2011</v>
          </cell>
          <cell r="F682">
            <v>40879</v>
          </cell>
          <cell r="G682">
            <v>40877</v>
          </cell>
          <cell r="H682" t="str">
            <v>2011-0.133.633-8</v>
          </cell>
          <cell r="I682">
            <v>37607.879999999997</v>
          </cell>
          <cell r="J682" t="str">
            <v xml:space="preserve">              123611122                  2848                    33903600</v>
          </cell>
          <cell r="K682">
            <v>40878</v>
          </cell>
          <cell r="L682">
            <v>0</v>
          </cell>
          <cell r="M682">
            <v>0</v>
          </cell>
          <cell r="N682">
            <v>57278</v>
          </cell>
          <cell r="O682">
            <v>16877</v>
          </cell>
          <cell r="P682">
            <v>16</v>
          </cell>
          <cell r="Q682">
            <v>3</v>
          </cell>
          <cell r="T682">
            <v>3280.69</v>
          </cell>
          <cell r="U682">
            <v>0</v>
          </cell>
          <cell r="V682">
            <v>3820</v>
          </cell>
          <cell r="W682">
            <v>2</v>
          </cell>
          <cell r="X682">
            <v>600</v>
          </cell>
          <cell r="Y682">
            <v>105083</v>
          </cell>
          <cell r="Z682">
            <v>5472.24</v>
          </cell>
          <cell r="AA682">
            <v>-1052.2399999999998</v>
          </cell>
          <cell r="AB682">
            <v>208.93266666666665</v>
          </cell>
          <cell r="AD682">
            <v>6149.64</v>
          </cell>
          <cell r="AN682" t="str">
            <v xml:space="preserve">Contrato emergencial nº </v>
          </cell>
          <cell r="AO682" t="str">
            <v>IP</v>
          </cell>
        </row>
        <row r="683">
          <cell r="D683" t="str">
            <v>1679/11</v>
          </cell>
          <cell r="E683" t="str">
            <v>07/06/2011</v>
          </cell>
          <cell r="F683">
            <v>40880</v>
          </cell>
          <cell r="G683">
            <v>40877</v>
          </cell>
          <cell r="H683" t="str">
            <v>2011-0.155.402-5</v>
          </cell>
          <cell r="I683">
            <v>27971.16</v>
          </cell>
          <cell r="J683" t="str">
            <v xml:space="preserve">              123651121                 2847                    33903600</v>
          </cell>
          <cell r="K683">
            <v>40878</v>
          </cell>
          <cell r="L683">
            <v>0</v>
          </cell>
          <cell r="M683">
            <v>0</v>
          </cell>
          <cell r="N683">
            <v>57273</v>
          </cell>
          <cell r="O683">
            <v>23147</v>
          </cell>
          <cell r="P683">
            <v>16</v>
          </cell>
          <cell r="Q683">
            <v>2</v>
          </cell>
          <cell r="T683">
            <v>5680</v>
          </cell>
          <cell r="U683">
            <v>0</v>
          </cell>
          <cell r="V683">
            <v>4700</v>
          </cell>
          <cell r="W683">
            <v>3</v>
          </cell>
          <cell r="X683">
            <v>500</v>
          </cell>
          <cell r="Y683">
            <v>106766</v>
          </cell>
          <cell r="Z683">
            <v>4105.68</v>
          </cell>
          <cell r="AA683">
            <v>1094.3199999999997</v>
          </cell>
          <cell r="AB683">
            <v>155.39533333333333</v>
          </cell>
          <cell r="AN683" t="str">
            <v xml:space="preserve">Contrato emergencial nº </v>
          </cell>
          <cell r="AO683" t="str">
            <v>MP</v>
          </cell>
        </row>
        <row r="684">
          <cell r="D684" t="str">
            <v>1680/11</v>
          </cell>
          <cell r="E684" t="str">
            <v>10/06/2011</v>
          </cell>
          <cell r="F684">
            <v>40883</v>
          </cell>
          <cell r="G684">
            <v>40877</v>
          </cell>
          <cell r="H684" t="str">
            <v>2011-0.166.286-3</v>
          </cell>
          <cell r="I684">
            <v>31418.52</v>
          </cell>
          <cell r="J684" t="str">
            <v xml:space="preserve">              123651121                 2847                    33903600</v>
          </cell>
          <cell r="K684">
            <v>40878</v>
          </cell>
          <cell r="L684">
            <v>0</v>
          </cell>
          <cell r="M684">
            <v>0</v>
          </cell>
          <cell r="N684">
            <v>57273</v>
          </cell>
          <cell r="O684">
            <v>20885</v>
          </cell>
          <cell r="P684">
            <v>16</v>
          </cell>
          <cell r="Q684">
            <v>2</v>
          </cell>
          <cell r="T684">
            <v>6360</v>
          </cell>
          <cell r="U684">
            <v>1697.21</v>
          </cell>
          <cell r="V684">
            <v>3180</v>
          </cell>
          <cell r="W684">
            <v>6</v>
          </cell>
          <cell r="X684">
            <v>1100</v>
          </cell>
          <cell r="AA684">
            <v>5977.21</v>
          </cell>
          <cell r="AB684">
            <v>174.54733333333334</v>
          </cell>
          <cell r="AD684">
            <v>3581.6200000000003</v>
          </cell>
          <cell r="AN684" t="str">
            <v xml:space="preserve">Contrato emergencial nº </v>
          </cell>
          <cell r="AO684" t="str">
            <v>PE</v>
          </cell>
        </row>
        <row r="685">
          <cell r="D685" t="str">
            <v>1660/11</v>
          </cell>
          <cell r="E685" t="str">
            <v>13/06/2011</v>
          </cell>
          <cell r="F685">
            <v>40886</v>
          </cell>
          <cell r="G685">
            <v>40877</v>
          </cell>
          <cell r="H685" t="str">
            <v>2011-0.133.638-9</v>
          </cell>
          <cell r="I685">
            <v>28803.24</v>
          </cell>
          <cell r="J685" t="str">
            <v xml:space="preserve">              123651121                 2847                    33903600</v>
          </cell>
          <cell r="K685">
            <v>40878</v>
          </cell>
          <cell r="L685">
            <v>0</v>
          </cell>
          <cell r="M685">
            <v>0</v>
          </cell>
          <cell r="N685">
            <v>57273</v>
          </cell>
          <cell r="O685">
            <v>20874</v>
          </cell>
          <cell r="P685">
            <v>16</v>
          </cell>
          <cell r="Q685">
            <v>2</v>
          </cell>
          <cell r="T685">
            <v>4594.93</v>
          </cell>
          <cell r="U685">
            <v>0</v>
          </cell>
          <cell r="V685">
            <v>2920</v>
          </cell>
          <cell r="W685">
            <v>9</v>
          </cell>
          <cell r="X685">
            <v>1800</v>
          </cell>
          <cell r="Y685">
            <v>106662</v>
          </cell>
          <cell r="Z685">
            <v>2337.91</v>
          </cell>
          <cell r="AA685">
            <v>2382.09</v>
          </cell>
          <cell r="AB685">
            <v>160.018</v>
          </cell>
          <cell r="AD685">
            <v>4972.1399999999994</v>
          </cell>
          <cell r="AN685" t="str">
            <v xml:space="preserve">Contrato emergencial nº </v>
          </cell>
          <cell r="AO685" t="str">
            <v>CS</v>
          </cell>
        </row>
        <row r="686">
          <cell r="D686" t="str">
            <v>1661/11</v>
          </cell>
          <cell r="E686" t="str">
            <v>13/06/2011</v>
          </cell>
          <cell r="F686">
            <v>40886</v>
          </cell>
          <cell r="G686">
            <v>40877</v>
          </cell>
          <cell r="H686" t="str">
            <v>2011-0.133.639-7</v>
          </cell>
          <cell r="I686">
            <v>42184.92</v>
          </cell>
          <cell r="J686" t="str">
            <v xml:space="preserve">             123671125                  2863                   33903600</v>
          </cell>
          <cell r="K686">
            <v>40878</v>
          </cell>
          <cell r="L686">
            <v>0</v>
          </cell>
          <cell r="M686">
            <v>0</v>
          </cell>
          <cell r="N686">
            <v>57287</v>
          </cell>
          <cell r="O686">
            <v>20875</v>
          </cell>
          <cell r="P686">
            <v>16</v>
          </cell>
          <cell r="Q686">
            <v>4</v>
          </cell>
          <cell r="T686">
            <v>1899.44</v>
          </cell>
          <cell r="U686">
            <v>0</v>
          </cell>
          <cell r="V686">
            <v>4280</v>
          </cell>
          <cell r="W686">
            <v>9</v>
          </cell>
          <cell r="X686">
            <v>2700</v>
          </cell>
          <cell r="Y686">
            <v>105103</v>
          </cell>
          <cell r="Z686">
            <v>6371.01</v>
          </cell>
          <cell r="AA686">
            <v>608.98999999999978</v>
          </cell>
          <cell r="AB686">
            <v>234.36066666666665</v>
          </cell>
          <cell r="AD686">
            <v>6296.1000000000013</v>
          </cell>
          <cell r="AN686" t="str">
            <v xml:space="preserve">Contrato emergencial nº </v>
          </cell>
          <cell r="AO686" t="str">
            <v>BT</v>
          </cell>
        </row>
        <row r="687">
          <cell r="D687" t="str">
            <v>1662/11</v>
          </cell>
          <cell r="E687" t="str">
            <v>13/06/2011</v>
          </cell>
          <cell r="F687">
            <v>40886</v>
          </cell>
          <cell r="G687">
            <v>40877</v>
          </cell>
          <cell r="H687" t="str">
            <v>2011-0.133.644-3</v>
          </cell>
          <cell r="I687">
            <v>31265.16</v>
          </cell>
          <cell r="J687" t="str">
            <v xml:space="preserve">              123651121                 2847                    33903600</v>
          </cell>
          <cell r="K687">
            <v>40878</v>
          </cell>
          <cell r="L687">
            <v>0</v>
          </cell>
          <cell r="M687">
            <v>0</v>
          </cell>
          <cell r="N687">
            <v>57273</v>
          </cell>
          <cell r="O687">
            <v>20876</v>
          </cell>
          <cell r="P687">
            <v>16</v>
          </cell>
          <cell r="Q687">
            <v>2</v>
          </cell>
          <cell r="T687">
            <v>6360</v>
          </cell>
          <cell r="U687">
            <v>0</v>
          </cell>
          <cell r="V687">
            <v>5300</v>
          </cell>
          <cell r="W687">
            <v>9</v>
          </cell>
          <cell r="X687">
            <v>1600</v>
          </cell>
          <cell r="Y687">
            <v>106541</v>
          </cell>
          <cell r="Z687">
            <v>231.85</v>
          </cell>
          <cell r="AA687">
            <v>6668.15</v>
          </cell>
          <cell r="AB687">
            <v>173.69533333333334</v>
          </cell>
          <cell r="AN687" t="str">
            <v xml:space="preserve">Contrato emergencial nº </v>
          </cell>
          <cell r="AO687" t="str">
            <v>MP</v>
          </cell>
        </row>
        <row r="688">
          <cell r="D688" t="str">
            <v>1681/11</v>
          </cell>
          <cell r="E688" t="str">
            <v>14/06/2011</v>
          </cell>
          <cell r="F688">
            <v>40887</v>
          </cell>
          <cell r="G688">
            <v>40877</v>
          </cell>
          <cell r="H688" t="str">
            <v>2011-0.166.334-7</v>
          </cell>
          <cell r="I688">
            <v>31824.66</v>
          </cell>
          <cell r="J688" t="str">
            <v xml:space="preserve">              123651121                 2847                    33903600</v>
          </cell>
          <cell r="K688">
            <v>40878</v>
          </cell>
          <cell r="L688">
            <v>0</v>
          </cell>
          <cell r="M688">
            <v>0</v>
          </cell>
          <cell r="N688">
            <v>57273</v>
          </cell>
          <cell r="O688">
            <v>22434</v>
          </cell>
          <cell r="P688">
            <v>16</v>
          </cell>
          <cell r="Q688">
            <v>2</v>
          </cell>
          <cell r="T688">
            <v>1857.1700000000005</v>
          </cell>
          <cell r="U688">
            <v>4650.75</v>
          </cell>
          <cell r="V688">
            <v>3220</v>
          </cell>
          <cell r="W688">
            <v>10</v>
          </cell>
          <cell r="X688">
            <v>2000</v>
          </cell>
          <cell r="AA688">
            <v>9870.75</v>
          </cell>
          <cell r="AB688">
            <v>176.80366666666666</v>
          </cell>
          <cell r="AD688">
            <v>4790.08</v>
          </cell>
          <cell r="AN688" t="str">
            <v xml:space="preserve">Contrato emergencial nº </v>
          </cell>
          <cell r="AO688" t="str">
            <v>SA</v>
          </cell>
        </row>
        <row r="689">
          <cell r="D689" t="str">
            <v>1683/11</v>
          </cell>
          <cell r="E689" t="str">
            <v>15/06/2011</v>
          </cell>
          <cell r="F689">
            <v>40888</v>
          </cell>
          <cell r="G689">
            <v>40877</v>
          </cell>
          <cell r="H689" t="str">
            <v>2011-0.166.359-2</v>
          </cell>
          <cell r="I689">
            <v>21443.119999999999</v>
          </cell>
          <cell r="J689" t="str">
            <v xml:space="preserve">              123651121                 2847                    33903600</v>
          </cell>
          <cell r="K689">
            <v>40878</v>
          </cell>
          <cell r="L689">
            <v>0</v>
          </cell>
          <cell r="M689">
            <v>0</v>
          </cell>
          <cell r="N689">
            <v>57273</v>
          </cell>
          <cell r="O689">
            <v>20889</v>
          </cell>
          <cell r="P689">
            <v>16</v>
          </cell>
          <cell r="Q689">
            <v>2</v>
          </cell>
          <cell r="S689">
            <v>212.97</v>
          </cell>
          <cell r="T689">
            <v>4360</v>
          </cell>
          <cell r="U689">
            <v>0</v>
          </cell>
          <cell r="V689">
            <v>2180</v>
          </cell>
          <cell r="W689">
            <v>11</v>
          </cell>
          <cell r="X689">
            <v>2200</v>
          </cell>
          <cell r="Y689">
            <v>93424</v>
          </cell>
          <cell r="Z689">
            <v>3097.65</v>
          </cell>
          <cell r="AA689">
            <v>1282.3499999999999</v>
          </cell>
          <cell r="AB689">
            <v>119.12844444444444</v>
          </cell>
          <cell r="AD689">
            <v>4077.1899999999996</v>
          </cell>
          <cell r="AN689" t="str">
            <v xml:space="preserve">Contrato emergencial nº </v>
          </cell>
          <cell r="AO689" t="str">
            <v>JT</v>
          </cell>
        </row>
        <row r="690">
          <cell r="D690" t="str">
            <v>1684/11</v>
          </cell>
          <cell r="E690" t="str">
            <v>15/06/2011</v>
          </cell>
          <cell r="F690">
            <v>40888</v>
          </cell>
          <cell r="G690">
            <v>40877</v>
          </cell>
          <cell r="H690" t="str">
            <v>2011-0.166.355-0</v>
          </cell>
          <cell r="I690">
            <v>31418.52</v>
          </cell>
          <cell r="J690" t="str">
            <v xml:space="preserve">              123651121                 2847                    33903600</v>
          </cell>
          <cell r="K690">
            <v>40878</v>
          </cell>
          <cell r="L690">
            <v>0</v>
          </cell>
          <cell r="M690">
            <v>0</v>
          </cell>
          <cell r="N690">
            <v>57273</v>
          </cell>
          <cell r="O690">
            <v>22437</v>
          </cell>
          <cell r="P690">
            <v>16</v>
          </cell>
          <cell r="Q690">
            <v>2</v>
          </cell>
          <cell r="T690">
            <v>6360</v>
          </cell>
          <cell r="U690">
            <v>0</v>
          </cell>
          <cell r="V690">
            <v>3180</v>
          </cell>
          <cell r="W690">
            <v>11</v>
          </cell>
          <cell r="X690">
            <v>2200</v>
          </cell>
          <cell r="Y690">
            <v>67943</v>
          </cell>
          <cell r="Z690">
            <v>6422.3899999999994</v>
          </cell>
          <cell r="AA690">
            <v>-1042.3899999999994</v>
          </cell>
          <cell r="AB690">
            <v>174.54733333333334</v>
          </cell>
          <cell r="AD690">
            <v>5124.2000000000007</v>
          </cell>
          <cell r="AN690" t="str">
            <v xml:space="preserve">Contrato emergencial nº </v>
          </cell>
          <cell r="AO690" t="str">
            <v>CS</v>
          </cell>
        </row>
        <row r="691">
          <cell r="D691" t="str">
            <v>1682/11</v>
          </cell>
          <cell r="E691" t="str">
            <v>15/06/2011</v>
          </cell>
          <cell r="F691">
            <v>40888</v>
          </cell>
          <cell r="G691">
            <v>40877</v>
          </cell>
          <cell r="H691" t="str">
            <v>2011-0.166.337-1</v>
          </cell>
          <cell r="I691">
            <v>31418.52</v>
          </cell>
          <cell r="J691" t="str">
            <v xml:space="preserve">              123651121                 2847                    33903600</v>
          </cell>
          <cell r="K691">
            <v>40878</v>
          </cell>
          <cell r="L691">
            <v>0</v>
          </cell>
          <cell r="M691">
            <v>0</v>
          </cell>
          <cell r="N691">
            <v>57273</v>
          </cell>
          <cell r="O691">
            <v>23009</v>
          </cell>
          <cell r="P691">
            <v>16</v>
          </cell>
          <cell r="Q691">
            <v>2</v>
          </cell>
          <cell r="T691">
            <v>6360</v>
          </cell>
          <cell r="U691">
            <v>0</v>
          </cell>
          <cell r="V691">
            <v>3180</v>
          </cell>
          <cell r="W691">
            <v>11</v>
          </cell>
          <cell r="X691">
            <v>2200</v>
          </cell>
          <cell r="Y691" t="str">
            <v>69907/114400</v>
          </cell>
          <cell r="Z691">
            <v>3179.9</v>
          </cell>
          <cell r="AA691">
            <v>2200.1</v>
          </cell>
          <cell r="AB691">
            <v>174.54733333333334</v>
          </cell>
          <cell r="AD691">
            <v>3837.5250000000005</v>
          </cell>
          <cell r="AN691" t="str">
            <v xml:space="preserve">Contrato emergencial nº </v>
          </cell>
          <cell r="AO691" t="str">
            <v>PE</v>
          </cell>
        </row>
        <row r="692">
          <cell r="D692" t="str">
            <v>1685/11</v>
          </cell>
          <cell r="E692" t="str">
            <v>15/06/2011</v>
          </cell>
          <cell r="F692">
            <v>40888</v>
          </cell>
          <cell r="G692">
            <v>40877</v>
          </cell>
          <cell r="H692" t="str">
            <v>2011-0.166.350-9</v>
          </cell>
          <cell r="I692">
            <v>27971.16</v>
          </cell>
          <cell r="J692" t="str">
            <v xml:space="preserve">              123651121                 2847                    33903600</v>
          </cell>
          <cell r="K692">
            <v>40878</v>
          </cell>
          <cell r="L692">
            <v>0</v>
          </cell>
          <cell r="M692">
            <v>0</v>
          </cell>
          <cell r="N692">
            <v>57273</v>
          </cell>
          <cell r="O692">
            <v>20888</v>
          </cell>
          <cell r="P692">
            <v>16</v>
          </cell>
          <cell r="Q692">
            <v>2</v>
          </cell>
          <cell r="T692">
            <v>1119.8100000000004</v>
          </cell>
          <cell r="U692">
            <v>0</v>
          </cell>
          <cell r="V692">
            <v>1359.9620000000002</v>
          </cell>
          <cell r="W692">
            <v>11</v>
          </cell>
          <cell r="X692">
            <v>2200</v>
          </cell>
          <cell r="Y692">
            <v>106885</v>
          </cell>
          <cell r="Z692">
            <v>1712.68</v>
          </cell>
          <cell r="AA692">
            <v>1847.2820000000004</v>
          </cell>
          <cell r="AB692">
            <v>155.39533333333333</v>
          </cell>
          <cell r="AD692">
            <v>4148.1050000000005</v>
          </cell>
          <cell r="AN692" t="str">
            <v xml:space="preserve">Contrato emergencial nº </v>
          </cell>
          <cell r="AO692" t="str">
            <v>IQ</v>
          </cell>
        </row>
        <row r="693">
          <cell r="D693" t="str">
            <v>1663/11</v>
          </cell>
          <cell r="E693" t="str">
            <v>20/06/2011</v>
          </cell>
          <cell r="F693">
            <v>40893</v>
          </cell>
          <cell r="G693">
            <v>40877</v>
          </cell>
          <cell r="H693" t="str">
            <v>2011-0.133.648-6</v>
          </cell>
          <cell r="I693">
            <v>39593.160000000003</v>
          </cell>
          <cell r="J693" t="str">
            <v xml:space="preserve">              123651121                 2847                    33903600</v>
          </cell>
          <cell r="K693">
            <v>40878</v>
          </cell>
          <cell r="L693">
            <v>0</v>
          </cell>
          <cell r="M693">
            <v>0</v>
          </cell>
          <cell r="N693">
            <v>57273</v>
          </cell>
          <cell r="O693">
            <v>21820</v>
          </cell>
          <cell r="P693">
            <v>16</v>
          </cell>
          <cell r="Q693">
            <v>2</v>
          </cell>
          <cell r="T693">
            <v>8040</v>
          </cell>
          <cell r="U693">
            <v>0</v>
          </cell>
          <cell r="V693">
            <v>4020</v>
          </cell>
          <cell r="W693">
            <v>16</v>
          </cell>
          <cell r="X693">
            <v>4800</v>
          </cell>
          <cell r="Y693">
            <v>91960</v>
          </cell>
          <cell r="Z693">
            <v>5287.54</v>
          </cell>
          <cell r="AA693">
            <v>3532.46</v>
          </cell>
          <cell r="AB693">
            <v>219.96200000000002</v>
          </cell>
          <cell r="AD693">
            <v>7781.38</v>
          </cell>
          <cell r="AN693" t="str">
            <v xml:space="preserve">Contrato emergencial nº </v>
          </cell>
          <cell r="AO693" t="str">
            <v>PJ</v>
          </cell>
        </row>
        <row r="694">
          <cell r="D694" t="str">
            <v>1664/11</v>
          </cell>
          <cell r="E694" t="str">
            <v>20/06/2011</v>
          </cell>
          <cell r="F694">
            <v>40893</v>
          </cell>
          <cell r="G694">
            <v>40877</v>
          </cell>
          <cell r="H694" t="str">
            <v>2011-0.133.659-1</v>
          </cell>
          <cell r="I694">
            <v>37301.160000000003</v>
          </cell>
          <cell r="J694" t="str">
            <v xml:space="preserve">              123651121                 2847                    33903600</v>
          </cell>
          <cell r="K694">
            <v>40878</v>
          </cell>
          <cell r="L694">
            <v>0</v>
          </cell>
          <cell r="M694">
            <v>0</v>
          </cell>
          <cell r="N694">
            <v>57273</v>
          </cell>
          <cell r="O694">
            <v>20879</v>
          </cell>
          <cell r="P694">
            <v>16</v>
          </cell>
          <cell r="Q694">
            <v>2</v>
          </cell>
          <cell r="S694">
            <v>713.02</v>
          </cell>
          <cell r="T694">
            <v>7560</v>
          </cell>
          <cell r="U694">
            <v>0</v>
          </cell>
          <cell r="V694">
            <v>3780</v>
          </cell>
          <cell r="W694">
            <v>16</v>
          </cell>
          <cell r="X694">
            <v>4800</v>
          </cell>
          <cell r="Y694">
            <v>90669</v>
          </cell>
          <cell r="Z694">
            <v>3250.7299999999996</v>
          </cell>
          <cell r="AA694">
            <v>5329.27</v>
          </cell>
          <cell r="AB694">
            <v>207.2286666666667</v>
          </cell>
          <cell r="AD694">
            <v>8045.47</v>
          </cell>
          <cell r="AN694" t="str">
            <v xml:space="preserve">Contrato emergencial nº </v>
          </cell>
          <cell r="AO694" t="str">
            <v>FO</v>
          </cell>
        </row>
        <row r="695">
          <cell r="D695" t="str">
            <v>1690/11</v>
          </cell>
          <cell r="E695" t="str">
            <v>28/06/2011</v>
          </cell>
          <cell r="F695">
            <v>40901</v>
          </cell>
          <cell r="G695">
            <v>40877</v>
          </cell>
          <cell r="H695" t="str">
            <v>2011-0.177.161-1</v>
          </cell>
          <cell r="I695">
            <v>42838.74</v>
          </cell>
          <cell r="J695" t="str">
            <v xml:space="preserve">             123671125                  2863                   33903600</v>
          </cell>
          <cell r="K695">
            <v>40878</v>
          </cell>
          <cell r="L695">
            <v>0</v>
          </cell>
          <cell r="M695">
            <v>0</v>
          </cell>
          <cell r="N695">
            <v>918</v>
          </cell>
          <cell r="O695">
            <v>23149</v>
          </cell>
          <cell r="P695">
            <v>16</v>
          </cell>
          <cell r="Q695">
            <v>1</v>
          </cell>
          <cell r="T695">
            <v>8680</v>
          </cell>
          <cell r="U695">
            <v>0</v>
          </cell>
          <cell r="V695">
            <v>4340</v>
          </cell>
          <cell r="W695">
            <v>24</v>
          </cell>
          <cell r="X695">
            <v>7200</v>
          </cell>
          <cell r="Y695">
            <v>108768</v>
          </cell>
          <cell r="Z695">
            <v>11726.71</v>
          </cell>
          <cell r="AA695">
            <v>-186.70999999999913</v>
          </cell>
          <cell r="AB695">
            <v>237.99299999999999</v>
          </cell>
          <cell r="AD695">
            <v>6508.1200000000008</v>
          </cell>
          <cell r="AN695" t="str">
            <v xml:space="preserve">Contrato emergencial nº </v>
          </cell>
          <cell r="AO695" t="str">
            <v>PE</v>
          </cell>
        </row>
        <row r="696">
          <cell r="D696" t="str">
            <v>1882/11</v>
          </cell>
          <cell r="E696">
            <v>40750</v>
          </cell>
          <cell r="F696">
            <v>40929</v>
          </cell>
          <cell r="G696">
            <v>40877</v>
          </cell>
          <cell r="H696" t="str">
            <v>2011-0.210.304-3</v>
          </cell>
          <cell r="I696">
            <v>31418.52</v>
          </cell>
          <cell r="J696" t="str">
            <v xml:space="preserve">             123671125                  2863                   33903600</v>
          </cell>
          <cell r="K696">
            <v>40787</v>
          </cell>
          <cell r="L696">
            <v>91</v>
          </cell>
          <cell r="M696">
            <v>15900</v>
          </cell>
          <cell r="N696">
            <v>57287</v>
          </cell>
          <cell r="O696">
            <v>24517</v>
          </cell>
          <cell r="P696">
            <v>16</v>
          </cell>
          <cell r="Q696">
            <v>4</v>
          </cell>
          <cell r="S696">
            <v>5135.6899999999996</v>
          </cell>
          <cell r="T696">
            <v>6360</v>
          </cell>
          <cell r="U696">
            <v>0</v>
          </cell>
          <cell r="V696">
            <v>5900</v>
          </cell>
          <cell r="W696">
            <v>143</v>
          </cell>
          <cell r="X696">
            <v>4720</v>
          </cell>
          <cell r="Y696">
            <v>92821</v>
          </cell>
          <cell r="Z696">
            <v>4685.2700000000004</v>
          </cell>
          <cell r="AA696">
            <v>5934.73</v>
          </cell>
          <cell r="AB696">
            <v>174.54733333333334</v>
          </cell>
          <cell r="AC696">
            <v>5300</v>
          </cell>
          <cell r="AD696">
            <v>5842.59</v>
          </cell>
          <cell r="AE696">
            <v>-542.59000000000015</v>
          </cell>
          <cell r="AN696" t="str">
            <v xml:space="preserve">Contrato emergencial nº </v>
          </cell>
          <cell r="AO696" t="str">
            <v>PJ</v>
          </cell>
        </row>
        <row r="697">
          <cell r="D697" t="str">
            <v>2634/11</v>
          </cell>
          <cell r="E697">
            <v>40756</v>
          </cell>
          <cell r="F697">
            <v>40935</v>
          </cell>
          <cell r="G697">
            <v>40877</v>
          </cell>
          <cell r="H697" t="str">
            <v>2011-0.218.230-0</v>
          </cell>
          <cell r="I697">
            <v>31418.52</v>
          </cell>
          <cell r="J697" t="str">
            <v xml:space="preserve">             123671125                  2863                   33903600</v>
          </cell>
          <cell r="K697">
            <v>40756</v>
          </cell>
          <cell r="L697">
            <v>122</v>
          </cell>
          <cell r="M697">
            <v>21300</v>
          </cell>
          <cell r="N697">
            <v>57287</v>
          </cell>
          <cell r="O697">
            <v>27514</v>
          </cell>
          <cell r="P697">
            <v>16</v>
          </cell>
          <cell r="Q697">
            <v>4</v>
          </cell>
          <cell r="S697">
            <v>5500</v>
          </cell>
          <cell r="T697">
            <v>5530</v>
          </cell>
          <cell r="U697">
            <v>0</v>
          </cell>
          <cell r="V697">
            <v>5600</v>
          </cell>
          <cell r="W697">
            <v>180</v>
          </cell>
          <cell r="X697">
            <v>4480</v>
          </cell>
          <cell r="Y697">
            <v>89396</v>
          </cell>
          <cell r="Z697">
            <v>4740</v>
          </cell>
          <cell r="AA697">
            <v>5340</v>
          </cell>
          <cell r="AB697">
            <v>174.54733333333334</v>
          </cell>
          <cell r="AC697">
            <v>5300</v>
          </cell>
          <cell r="AD697">
            <v>5597.9000000000005</v>
          </cell>
          <cell r="AE697">
            <v>-297.90000000000055</v>
          </cell>
          <cell r="AN697" t="str">
            <v xml:space="preserve">Contrato emergencial nº </v>
          </cell>
          <cell r="AO697" t="str">
            <v>PJ</v>
          </cell>
        </row>
        <row r="698">
          <cell r="D698" t="str">
            <v>1704/11</v>
          </cell>
          <cell r="E698">
            <v>40757</v>
          </cell>
          <cell r="F698">
            <v>40936</v>
          </cell>
          <cell r="G698">
            <v>40877</v>
          </cell>
          <cell r="H698" t="str">
            <v>2011-0.200.002-3</v>
          </cell>
          <cell r="I698">
            <v>42184.92</v>
          </cell>
          <cell r="J698" t="str">
            <v xml:space="preserve">             123671125                  2863                   33903600</v>
          </cell>
          <cell r="K698">
            <v>40757</v>
          </cell>
          <cell r="L698">
            <v>121</v>
          </cell>
          <cell r="M698">
            <v>28400</v>
          </cell>
          <cell r="N698">
            <v>57287</v>
          </cell>
          <cell r="O698">
            <v>24497</v>
          </cell>
          <cell r="P698">
            <v>16</v>
          </cell>
          <cell r="Q698">
            <v>4</v>
          </cell>
          <cell r="S698">
            <v>7100</v>
          </cell>
          <cell r="T698">
            <v>7454.9999999999991</v>
          </cell>
          <cell r="U698">
            <v>0</v>
          </cell>
          <cell r="V698">
            <v>7100</v>
          </cell>
          <cell r="W698">
            <v>180</v>
          </cell>
          <cell r="X698">
            <v>5680</v>
          </cell>
          <cell r="Y698">
            <v>92527</v>
          </cell>
          <cell r="Z698">
            <v>9247.2099999999991</v>
          </cell>
          <cell r="AA698">
            <v>3532.7900000000009</v>
          </cell>
          <cell r="AB698">
            <v>234.36066666666665</v>
          </cell>
          <cell r="AC698">
            <v>7100</v>
          </cell>
          <cell r="AD698">
            <v>6672.5</v>
          </cell>
          <cell r="AE698">
            <v>427.5</v>
          </cell>
          <cell r="AN698" t="str">
            <v xml:space="preserve">Contrato emergencial nº </v>
          </cell>
          <cell r="AO698" t="str">
            <v>JT</v>
          </cell>
        </row>
        <row r="699">
          <cell r="D699" t="str">
            <v>1698/11</v>
          </cell>
          <cell r="E699">
            <v>40757</v>
          </cell>
          <cell r="F699">
            <v>40936</v>
          </cell>
          <cell r="G699">
            <v>40877</v>
          </cell>
          <cell r="H699" t="str">
            <v>2011-0.199.177-8</v>
          </cell>
          <cell r="I699">
            <v>42838.74</v>
          </cell>
          <cell r="J699" t="str">
            <v xml:space="preserve">             123671125                  2863                   33903600</v>
          </cell>
          <cell r="K699">
            <v>40757</v>
          </cell>
          <cell r="L699">
            <v>121</v>
          </cell>
          <cell r="M699">
            <v>28800</v>
          </cell>
          <cell r="N699">
            <v>57287</v>
          </cell>
          <cell r="O699">
            <v>24491</v>
          </cell>
          <cell r="P699">
            <v>16</v>
          </cell>
          <cell r="Q699">
            <v>4</v>
          </cell>
          <cell r="S699">
            <v>7200</v>
          </cell>
          <cell r="T699">
            <v>7559.9999999999991</v>
          </cell>
          <cell r="U699">
            <v>0</v>
          </cell>
          <cell r="V699">
            <v>8100</v>
          </cell>
          <cell r="W699">
            <v>180</v>
          </cell>
          <cell r="X699">
            <v>6480</v>
          </cell>
          <cell r="Y699">
            <v>90697</v>
          </cell>
          <cell r="Z699">
            <v>5181.24</v>
          </cell>
          <cell r="AA699">
            <v>9398.76</v>
          </cell>
          <cell r="AB699">
            <v>237.99299999999999</v>
          </cell>
          <cell r="AC699">
            <v>7200</v>
          </cell>
          <cell r="AD699">
            <v>8001.5499999999993</v>
          </cell>
          <cell r="AE699">
            <v>-801.54999999999927</v>
          </cell>
          <cell r="AN699" t="str">
            <v xml:space="preserve">Contrato emergencial nº </v>
          </cell>
          <cell r="AO699" t="str">
            <v>MP</v>
          </cell>
        </row>
        <row r="700">
          <cell r="D700" t="str">
            <v>1700/11</v>
          </cell>
          <cell r="E700">
            <v>40757</v>
          </cell>
          <cell r="F700">
            <v>40936</v>
          </cell>
          <cell r="G700">
            <v>40877</v>
          </cell>
          <cell r="H700" t="str">
            <v>2011-0.199.963-9</v>
          </cell>
          <cell r="I700">
            <v>42838.74</v>
          </cell>
          <cell r="J700" t="str">
            <v xml:space="preserve">             123671125                  2863                   33903600</v>
          </cell>
          <cell r="K700">
            <v>40757</v>
          </cell>
          <cell r="L700">
            <v>121</v>
          </cell>
          <cell r="M700">
            <v>28800</v>
          </cell>
          <cell r="N700">
            <v>57287</v>
          </cell>
          <cell r="O700">
            <v>24493</v>
          </cell>
          <cell r="P700">
            <v>16</v>
          </cell>
          <cell r="Q700">
            <v>4</v>
          </cell>
          <cell r="S700">
            <v>7200</v>
          </cell>
          <cell r="T700">
            <v>7559.9999999999991</v>
          </cell>
          <cell r="U700">
            <v>0</v>
          </cell>
          <cell r="V700">
            <v>7800</v>
          </cell>
          <cell r="W700">
            <v>180</v>
          </cell>
          <cell r="X700">
            <v>6240</v>
          </cell>
          <cell r="Y700">
            <v>89334</v>
          </cell>
          <cell r="Z700">
            <v>13775.04</v>
          </cell>
          <cell r="AA700">
            <v>264.95999999999913</v>
          </cell>
          <cell r="AB700">
            <v>237.99299999999999</v>
          </cell>
          <cell r="AC700">
            <v>7200</v>
          </cell>
          <cell r="AD700">
            <v>7705</v>
          </cell>
          <cell r="AE700">
            <v>-505</v>
          </cell>
          <cell r="AN700" t="str">
            <v xml:space="preserve">Contrato emergencial nº </v>
          </cell>
          <cell r="AO700" t="str">
            <v>CL</v>
          </cell>
        </row>
        <row r="701">
          <cell r="D701" t="str">
            <v>1703/11</v>
          </cell>
          <cell r="E701">
            <v>40757</v>
          </cell>
          <cell r="F701">
            <v>40936</v>
          </cell>
          <cell r="G701">
            <v>40877</v>
          </cell>
          <cell r="H701" t="str">
            <v>2011-0.199.971-0</v>
          </cell>
          <cell r="I701">
            <v>42184.92</v>
          </cell>
          <cell r="J701" t="str">
            <v xml:space="preserve">             123671125                  2863                   33903600</v>
          </cell>
          <cell r="K701">
            <v>40757</v>
          </cell>
          <cell r="L701">
            <v>121</v>
          </cell>
          <cell r="M701">
            <v>28400</v>
          </cell>
          <cell r="N701">
            <v>57287</v>
          </cell>
          <cell r="O701">
            <v>24496</v>
          </cell>
          <cell r="P701">
            <v>16</v>
          </cell>
          <cell r="Q701">
            <v>4</v>
          </cell>
          <cell r="S701">
            <v>7100</v>
          </cell>
          <cell r="T701">
            <v>7454.9999999999991</v>
          </cell>
          <cell r="U701">
            <v>0</v>
          </cell>
          <cell r="V701">
            <v>8300</v>
          </cell>
          <cell r="W701">
            <v>180</v>
          </cell>
          <cell r="X701">
            <v>6640</v>
          </cell>
          <cell r="Y701">
            <v>89928</v>
          </cell>
          <cell r="Z701">
            <v>4137.93</v>
          </cell>
          <cell r="AA701">
            <v>10802.07</v>
          </cell>
          <cell r="AB701">
            <v>234.36066666666665</v>
          </cell>
          <cell r="AC701">
            <v>7100</v>
          </cell>
          <cell r="AD701">
            <v>8260.0499999999993</v>
          </cell>
          <cell r="AE701">
            <v>-1160.0499999999993</v>
          </cell>
          <cell r="AN701" t="str">
            <v xml:space="preserve">Contrato emergencial nº </v>
          </cell>
          <cell r="AO701" t="str">
            <v>PE</v>
          </cell>
        </row>
        <row r="702">
          <cell r="D702" t="str">
            <v>1706/11</v>
          </cell>
          <cell r="E702">
            <v>40757</v>
          </cell>
          <cell r="F702">
            <v>40936</v>
          </cell>
          <cell r="G702">
            <v>40877</v>
          </cell>
          <cell r="H702" t="str">
            <v>2011-0.200.017-1</v>
          </cell>
          <cell r="I702">
            <v>41531.040000000001</v>
          </cell>
          <cell r="J702" t="str">
            <v xml:space="preserve">             123671125                  2863                   33903600</v>
          </cell>
          <cell r="K702">
            <v>40757</v>
          </cell>
          <cell r="L702">
            <v>121</v>
          </cell>
          <cell r="M702">
            <v>28000</v>
          </cell>
          <cell r="N702">
            <v>57287</v>
          </cell>
          <cell r="O702">
            <v>24499</v>
          </cell>
          <cell r="P702">
            <v>16</v>
          </cell>
          <cell r="Q702">
            <v>4</v>
          </cell>
          <cell r="S702">
            <v>7000</v>
          </cell>
          <cell r="T702">
            <v>7349.9999999999991</v>
          </cell>
          <cell r="U702">
            <v>0</v>
          </cell>
          <cell r="V702">
            <v>7000</v>
          </cell>
          <cell r="W702">
            <v>180</v>
          </cell>
          <cell r="X702">
            <v>5600</v>
          </cell>
          <cell r="Y702">
            <v>89434</v>
          </cell>
          <cell r="Z702">
            <v>8716</v>
          </cell>
          <cell r="AA702">
            <v>3884</v>
          </cell>
          <cell r="AB702">
            <v>230.72800000000001</v>
          </cell>
          <cell r="AC702">
            <v>7000</v>
          </cell>
          <cell r="AD702">
            <v>6466.15</v>
          </cell>
          <cell r="AE702">
            <v>533.85000000000036</v>
          </cell>
          <cell r="AN702" t="str">
            <v xml:space="preserve">Contrato emergencial nº </v>
          </cell>
          <cell r="AO702" t="str">
            <v>PJ</v>
          </cell>
        </row>
        <row r="703">
          <cell r="D703" t="str">
            <v>1707/11</v>
          </cell>
          <cell r="E703">
            <v>40757</v>
          </cell>
          <cell r="F703">
            <v>40936</v>
          </cell>
          <cell r="G703">
            <v>40877</v>
          </cell>
          <cell r="H703" t="str">
            <v>2011-0.200.020-1</v>
          </cell>
          <cell r="I703">
            <v>42184.92</v>
          </cell>
          <cell r="J703" t="str">
            <v xml:space="preserve">             123671125                  2863                   33903600</v>
          </cell>
          <cell r="K703">
            <v>40757</v>
          </cell>
          <cell r="L703">
            <v>121</v>
          </cell>
          <cell r="M703">
            <v>28400</v>
          </cell>
          <cell r="N703">
            <v>57287</v>
          </cell>
          <cell r="O703">
            <v>24500</v>
          </cell>
          <cell r="P703">
            <v>16</v>
          </cell>
          <cell r="Q703">
            <v>4</v>
          </cell>
          <cell r="S703">
            <v>7100</v>
          </cell>
          <cell r="T703">
            <v>7454.9999999999991</v>
          </cell>
          <cell r="U703">
            <v>0</v>
          </cell>
          <cell r="V703">
            <v>7100</v>
          </cell>
          <cell r="W703">
            <v>180</v>
          </cell>
          <cell r="X703">
            <v>5680</v>
          </cell>
          <cell r="Y703">
            <v>89445</v>
          </cell>
          <cell r="Z703">
            <v>7945.6</v>
          </cell>
          <cell r="AA703">
            <v>4834.3999999999996</v>
          </cell>
          <cell r="AB703">
            <v>234.36066666666665</v>
          </cell>
          <cell r="AC703">
            <v>7100</v>
          </cell>
          <cell r="AD703">
            <v>6915.0999999999995</v>
          </cell>
          <cell r="AE703">
            <v>184.90000000000055</v>
          </cell>
          <cell r="AN703" t="str">
            <v xml:space="preserve">Contrato emergencial nº </v>
          </cell>
          <cell r="AO703" t="str">
            <v>PJ</v>
          </cell>
        </row>
        <row r="704">
          <cell r="D704" t="str">
            <v>1710/11</v>
          </cell>
          <cell r="E704">
            <v>40757</v>
          </cell>
          <cell r="F704">
            <v>40936</v>
          </cell>
          <cell r="G704">
            <v>40877</v>
          </cell>
          <cell r="H704" t="str">
            <v>2011-0.200.042-2</v>
          </cell>
          <cell r="I704">
            <v>39569.46</v>
          </cell>
          <cell r="J704" t="str">
            <v xml:space="preserve">              123651121                 2847                    33903600</v>
          </cell>
          <cell r="K704">
            <v>40757</v>
          </cell>
          <cell r="L704">
            <v>121</v>
          </cell>
          <cell r="M704">
            <v>26600</v>
          </cell>
          <cell r="N704">
            <v>57273</v>
          </cell>
          <cell r="O704">
            <v>24503</v>
          </cell>
          <cell r="P704">
            <v>16</v>
          </cell>
          <cell r="Q704">
            <v>2</v>
          </cell>
          <cell r="S704">
            <v>6600</v>
          </cell>
          <cell r="T704">
            <v>7000</v>
          </cell>
          <cell r="U704">
            <v>0</v>
          </cell>
          <cell r="V704">
            <v>7000</v>
          </cell>
          <cell r="W704">
            <v>180</v>
          </cell>
          <cell r="X704">
            <v>5600</v>
          </cell>
          <cell r="Y704">
            <v>89933</v>
          </cell>
          <cell r="Z704">
            <v>6145.63</v>
          </cell>
          <cell r="AA704">
            <v>6454.37</v>
          </cell>
          <cell r="AB704">
            <v>219.83033333333333</v>
          </cell>
          <cell r="AC704">
            <v>6600</v>
          </cell>
          <cell r="AD704">
            <v>6983.2</v>
          </cell>
          <cell r="AE704">
            <v>-383.19999999999982</v>
          </cell>
          <cell r="AN704" t="str">
            <v xml:space="preserve">Contrato emergencial nº </v>
          </cell>
          <cell r="AO704" t="str">
            <v>PE</v>
          </cell>
        </row>
        <row r="705">
          <cell r="D705" t="str">
            <v>1708/11</v>
          </cell>
          <cell r="E705">
            <v>40757</v>
          </cell>
          <cell r="F705">
            <v>40936</v>
          </cell>
          <cell r="G705">
            <v>40877</v>
          </cell>
          <cell r="H705" t="str">
            <v>2011-0.200.022-8</v>
          </cell>
          <cell r="I705">
            <v>41531.040000000001</v>
          </cell>
          <cell r="J705" t="str">
            <v xml:space="preserve">              123651121                 2847                    33903600</v>
          </cell>
          <cell r="K705">
            <v>40757</v>
          </cell>
          <cell r="L705">
            <v>121</v>
          </cell>
          <cell r="M705">
            <v>28000</v>
          </cell>
          <cell r="N705">
            <v>864</v>
          </cell>
          <cell r="O705">
            <v>24501</v>
          </cell>
          <cell r="P705">
            <v>16</v>
          </cell>
          <cell r="Q705">
            <v>2</v>
          </cell>
          <cell r="S705">
            <v>7000</v>
          </cell>
          <cell r="T705">
            <v>7349.9999999999991</v>
          </cell>
          <cell r="U705">
            <v>0</v>
          </cell>
          <cell r="V705">
            <v>7000</v>
          </cell>
          <cell r="W705">
            <v>180</v>
          </cell>
          <cell r="X705">
            <v>5600</v>
          </cell>
          <cell r="Y705">
            <v>88302</v>
          </cell>
          <cell r="Z705">
            <v>7580.86</v>
          </cell>
          <cell r="AA705">
            <v>5019.1400000000003</v>
          </cell>
          <cell r="AB705">
            <v>230.72800000000001</v>
          </cell>
          <cell r="AC705">
            <v>7000</v>
          </cell>
          <cell r="AD705">
            <v>6969.2499999999991</v>
          </cell>
          <cell r="AE705">
            <v>30.750000000000909</v>
          </cell>
          <cell r="AN705" t="str">
            <v xml:space="preserve">Contrato emergencial nº </v>
          </cell>
          <cell r="AO705" t="str">
            <v>CS</v>
          </cell>
        </row>
        <row r="706">
          <cell r="D706" t="str">
            <v>1702/11</v>
          </cell>
          <cell r="E706">
            <v>40757</v>
          </cell>
          <cell r="F706">
            <v>40936</v>
          </cell>
          <cell r="G706">
            <v>40877</v>
          </cell>
          <cell r="H706" t="str">
            <v>2011-0.199.970-1</v>
          </cell>
          <cell r="I706">
            <v>42184.92</v>
          </cell>
          <cell r="J706" t="str">
            <v xml:space="preserve">             123671125                  2863                   33903600</v>
          </cell>
          <cell r="K706">
            <v>40757</v>
          </cell>
          <cell r="L706">
            <v>121</v>
          </cell>
          <cell r="M706">
            <v>28400</v>
          </cell>
          <cell r="N706">
            <v>57287</v>
          </cell>
          <cell r="O706">
            <v>24495</v>
          </cell>
          <cell r="P706">
            <v>16</v>
          </cell>
          <cell r="Q706">
            <v>4</v>
          </cell>
          <cell r="S706">
            <v>7100</v>
          </cell>
          <cell r="T706">
            <v>7454.9999999999991</v>
          </cell>
          <cell r="U706">
            <v>0</v>
          </cell>
          <cell r="V706">
            <v>7100</v>
          </cell>
          <cell r="W706">
            <v>180</v>
          </cell>
          <cell r="X706">
            <v>5680</v>
          </cell>
          <cell r="Y706">
            <v>91212</v>
          </cell>
          <cell r="Z706">
            <v>9232.49</v>
          </cell>
          <cell r="AA706">
            <v>3547.51</v>
          </cell>
          <cell r="AB706">
            <v>234.36066666666665</v>
          </cell>
          <cell r="AC706">
            <v>7100</v>
          </cell>
          <cell r="AD706">
            <v>6481.65</v>
          </cell>
          <cell r="AE706">
            <v>618.35000000000036</v>
          </cell>
          <cell r="AN706" t="str">
            <v xml:space="preserve">Contrato emergencial nº </v>
          </cell>
          <cell r="AO706" t="str">
            <v>IQ</v>
          </cell>
        </row>
        <row r="707">
          <cell r="D707" t="str">
            <v>1701/11</v>
          </cell>
          <cell r="E707">
            <v>40757</v>
          </cell>
          <cell r="F707">
            <v>40936</v>
          </cell>
          <cell r="G707">
            <v>40877</v>
          </cell>
          <cell r="H707" t="str">
            <v>2011-0.199.969-8</v>
          </cell>
          <cell r="I707">
            <v>45632.28</v>
          </cell>
          <cell r="J707" t="str">
            <v xml:space="preserve">              123611122                  2848                    33903600</v>
          </cell>
          <cell r="K707">
            <v>40757</v>
          </cell>
          <cell r="L707">
            <v>121</v>
          </cell>
          <cell r="M707">
            <v>30700</v>
          </cell>
          <cell r="N707">
            <v>57278</v>
          </cell>
          <cell r="O707">
            <v>24494</v>
          </cell>
          <cell r="P707">
            <v>16</v>
          </cell>
          <cell r="Q707">
            <v>3</v>
          </cell>
          <cell r="S707">
            <v>7700</v>
          </cell>
          <cell r="T707">
            <v>8049.9999999999991</v>
          </cell>
          <cell r="U707">
            <v>0</v>
          </cell>
          <cell r="V707">
            <v>7700</v>
          </cell>
          <cell r="W707">
            <v>180</v>
          </cell>
          <cell r="X707">
            <v>6160</v>
          </cell>
          <cell r="Y707">
            <v>88205</v>
          </cell>
          <cell r="Z707">
            <v>3850.1200000000008</v>
          </cell>
          <cell r="AA707">
            <v>10009.879999999999</v>
          </cell>
          <cell r="AB707">
            <v>253.51266666666666</v>
          </cell>
          <cell r="AC707">
            <v>7700</v>
          </cell>
          <cell r="AD707">
            <v>6762.3</v>
          </cell>
          <cell r="AE707">
            <v>937.69999999999982</v>
          </cell>
          <cell r="AN707" t="str">
            <v xml:space="preserve">Contrato emergencial nº </v>
          </cell>
          <cell r="AO707" t="str">
            <v>MP</v>
          </cell>
        </row>
        <row r="708">
          <cell r="D708" t="str">
            <v>1705/11</v>
          </cell>
          <cell r="E708">
            <v>40757</v>
          </cell>
          <cell r="F708">
            <v>40936</v>
          </cell>
          <cell r="G708">
            <v>40877</v>
          </cell>
          <cell r="H708" t="str">
            <v>2011-0.200.006-6</v>
          </cell>
          <cell r="I708">
            <v>42184.92</v>
          </cell>
          <cell r="J708" t="str">
            <v xml:space="preserve">             123671125                  2863                   33903600</v>
          </cell>
          <cell r="K708">
            <v>40757</v>
          </cell>
          <cell r="L708">
            <v>121</v>
          </cell>
          <cell r="M708">
            <v>28400</v>
          </cell>
          <cell r="N708">
            <v>57287</v>
          </cell>
          <cell r="O708">
            <v>24498</v>
          </cell>
          <cell r="P708">
            <v>16</v>
          </cell>
          <cell r="Q708">
            <v>4</v>
          </cell>
          <cell r="S708">
            <v>7100</v>
          </cell>
          <cell r="T708">
            <v>7454.9999999999991</v>
          </cell>
          <cell r="U708">
            <v>0</v>
          </cell>
          <cell r="V708">
            <v>7300</v>
          </cell>
          <cell r="W708">
            <v>180</v>
          </cell>
          <cell r="X708">
            <v>5840</v>
          </cell>
          <cell r="Y708">
            <v>89346</v>
          </cell>
          <cell r="Z708">
            <v>14283.54</v>
          </cell>
          <cell r="AA708">
            <v>-1143.5400000000009</v>
          </cell>
          <cell r="AB708">
            <v>234.36066666666665</v>
          </cell>
          <cell r="AC708">
            <v>7100</v>
          </cell>
          <cell r="AD708">
            <v>7252.7</v>
          </cell>
          <cell r="AE708">
            <v>-152.69999999999982</v>
          </cell>
          <cell r="AN708" t="str">
            <v xml:space="preserve">Contrato emergencial nº </v>
          </cell>
          <cell r="AO708" t="str">
            <v>CL</v>
          </cell>
        </row>
        <row r="709">
          <cell r="D709" t="str">
            <v>1709/11</v>
          </cell>
          <cell r="E709">
            <v>40757</v>
          </cell>
          <cell r="F709">
            <v>40936</v>
          </cell>
          <cell r="G709">
            <v>40877</v>
          </cell>
          <cell r="H709" t="str">
            <v>2011-0.200.038-4</v>
          </cell>
          <cell r="I709">
            <v>31012.38</v>
          </cell>
          <cell r="J709" t="str">
            <v xml:space="preserve">              123611122                  2848                    33903600</v>
          </cell>
          <cell r="K709">
            <v>40757</v>
          </cell>
          <cell r="L709">
            <v>121</v>
          </cell>
          <cell r="M709">
            <v>20900</v>
          </cell>
          <cell r="N709">
            <v>57278</v>
          </cell>
          <cell r="O709">
            <v>24502</v>
          </cell>
          <cell r="P709">
            <v>16</v>
          </cell>
          <cell r="Q709">
            <v>3</v>
          </cell>
          <cell r="S709">
            <v>5200</v>
          </cell>
          <cell r="T709">
            <v>5495</v>
          </cell>
          <cell r="U709">
            <v>0</v>
          </cell>
          <cell r="V709">
            <v>5400</v>
          </cell>
          <cell r="W709">
            <v>180</v>
          </cell>
          <cell r="X709">
            <v>4320</v>
          </cell>
          <cell r="Y709">
            <v>89450</v>
          </cell>
          <cell r="Z709">
            <v>5014.3900000000003</v>
          </cell>
          <cell r="AA709">
            <v>4705.6099999999997</v>
          </cell>
          <cell r="AB709">
            <v>172.291</v>
          </cell>
          <cell r="AC709">
            <v>5200</v>
          </cell>
          <cell r="AD709">
            <v>5364.0499999999993</v>
          </cell>
          <cell r="AE709">
            <v>-164.04999999999927</v>
          </cell>
          <cell r="AN709" t="str">
            <v xml:space="preserve">Contrato emergencial nº </v>
          </cell>
          <cell r="AO709" t="str">
            <v>IP</v>
          </cell>
        </row>
        <row r="710">
          <cell r="D710" t="str">
            <v>1699/11</v>
          </cell>
          <cell r="E710">
            <v>40757</v>
          </cell>
          <cell r="F710">
            <v>40936</v>
          </cell>
          <cell r="G710">
            <v>40877</v>
          </cell>
          <cell r="H710" t="str">
            <v>2011-0.199.961-2</v>
          </cell>
          <cell r="I710">
            <v>42838.74</v>
          </cell>
          <cell r="J710" t="str">
            <v xml:space="preserve">             123671125                  2863                   33903600</v>
          </cell>
          <cell r="K710">
            <v>40757</v>
          </cell>
          <cell r="L710">
            <v>121</v>
          </cell>
          <cell r="M710">
            <v>28800</v>
          </cell>
          <cell r="N710">
            <v>57287</v>
          </cell>
          <cell r="O710">
            <v>24492</v>
          </cell>
          <cell r="P710">
            <v>16</v>
          </cell>
          <cell r="Q710">
            <v>4</v>
          </cell>
          <cell r="S710">
            <v>7200</v>
          </cell>
          <cell r="T710">
            <v>7559.9999999999991</v>
          </cell>
          <cell r="U710">
            <v>0</v>
          </cell>
          <cell r="V710">
            <v>7200</v>
          </cell>
          <cell r="W710">
            <v>180</v>
          </cell>
          <cell r="X710">
            <v>5760</v>
          </cell>
          <cell r="Y710">
            <v>89375</v>
          </cell>
          <cell r="Z710">
            <v>1597.1999999999998</v>
          </cell>
          <cell r="AA710">
            <v>11362.8</v>
          </cell>
          <cell r="AB710">
            <v>237.99299999999999</v>
          </cell>
          <cell r="AC710">
            <v>7200</v>
          </cell>
          <cell r="AD710">
            <v>7015.9</v>
          </cell>
          <cell r="AE710">
            <v>184.10000000000036</v>
          </cell>
          <cell r="AN710" t="str">
            <v xml:space="preserve">Contrato emergencial nº </v>
          </cell>
          <cell r="AO710" t="str">
            <v>FO</v>
          </cell>
        </row>
        <row r="711">
          <cell r="D711" t="str">
            <v>1722/11</v>
          </cell>
          <cell r="E711">
            <v>40758</v>
          </cell>
          <cell r="F711">
            <v>40937</v>
          </cell>
          <cell r="G711">
            <v>40877</v>
          </cell>
          <cell r="H711" t="str">
            <v>2011-0.200.080-5</v>
          </cell>
          <cell r="I711">
            <v>44324.52</v>
          </cell>
          <cell r="J711" t="str">
            <v xml:space="preserve">              123651121                 2847                    33903600</v>
          </cell>
          <cell r="K711">
            <v>40758</v>
          </cell>
          <cell r="L711">
            <v>120</v>
          </cell>
          <cell r="M711">
            <v>29600</v>
          </cell>
          <cell r="N711">
            <v>57273</v>
          </cell>
          <cell r="O711">
            <v>24514</v>
          </cell>
          <cell r="P711">
            <v>16</v>
          </cell>
          <cell r="Q711">
            <v>2</v>
          </cell>
          <cell r="S711">
            <v>7200</v>
          </cell>
          <cell r="T711">
            <v>7839.9999999999991</v>
          </cell>
          <cell r="U711">
            <v>0</v>
          </cell>
          <cell r="V711">
            <v>7400</v>
          </cell>
          <cell r="W711">
            <v>180</v>
          </cell>
          <cell r="X711">
            <v>5920</v>
          </cell>
          <cell r="Y711">
            <v>89458</v>
          </cell>
          <cell r="Z711">
            <v>11676.36</v>
          </cell>
          <cell r="AA711">
            <v>1643.6399999999994</v>
          </cell>
          <cell r="AB711">
            <v>246.2473333333333</v>
          </cell>
          <cell r="AC711">
            <v>7400</v>
          </cell>
          <cell r="AD711">
            <v>6148.25</v>
          </cell>
          <cell r="AE711">
            <v>1251.75</v>
          </cell>
          <cell r="AN711" t="str">
            <v xml:space="preserve">Contrato emergencial nº </v>
          </cell>
          <cell r="AO711" t="str">
            <v>PJ</v>
          </cell>
        </row>
        <row r="712">
          <cell r="D712" t="str">
            <v>1724/11</v>
          </cell>
          <cell r="E712">
            <v>40758</v>
          </cell>
          <cell r="F712">
            <v>40937</v>
          </cell>
          <cell r="G712">
            <v>40877</v>
          </cell>
          <cell r="H712" t="str">
            <v>2011-0.200.086-4</v>
          </cell>
          <cell r="I712">
            <v>29744.400000000001</v>
          </cell>
          <cell r="J712" t="str">
            <v xml:space="preserve">              123651121                 2847                    33903600</v>
          </cell>
          <cell r="K712">
            <v>40758</v>
          </cell>
          <cell r="L712">
            <v>120</v>
          </cell>
          <cell r="M712">
            <v>19900</v>
          </cell>
          <cell r="N712">
            <v>57273</v>
          </cell>
          <cell r="O712">
            <v>24516</v>
          </cell>
          <cell r="P712">
            <v>16</v>
          </cell>
          <cell r="Q712">
            <v>2</v>
          </cell>
          <cell r="S712">
            <v>4800</v>
          </cell>
          <cell r="T712">
            <v>5285</v>
          </cell>
          <cell r="U712">
            <v>0</v>
          </cell>
          <cell r="V712">
            <v>5700</v>
          </cell>
          <cell r="W712">
            <v>180</v>
          </cell>
          <cell r="X712">
            <v>4560</v>
          </cell>
          <cell r="Y712">
            <v>92528</v>
          </cell>
          <cell r="Z712">
            <v>3602.22</v>
          </cell>
          <cell r="AA712">
            <v>6657.7800000000007</v>
          </cell>
          <cell r="AB712">
            <v>165.24666666666667</v>
          </cell>
          <cell r="AC712">
            <v>5000</v>
          </cell>
          <cell r="AD712">
            <v>5688.1500000000005</v>
          </cell>
          <cell r="AE712">
            <v>-688.15000000000055</v>
          </cell>
          <cell r="AN712" t="str">
            <v xml:space="preserve">Contrato emergencial nº </v>
          </cell>
          <cell r="AO712" t="str">
            <v>JT</v>
          </cell>
        </row>
        <row r="713">
          <cell r="D713" t="str">
            <v>1711/11</v>
          </cell>
          <cell r="E713">
            <v>40758</v>
          </cell>
          <cell r="F713">
            <v>40937</v>
          </cell>
          <cell r="G713">
            <v>40877</v>
          </cell>
          <cell r="H713" t="str">
            <v>2011-0.200.043-0</v>
          </cell>
          <cell r="I713">
            <v>42838.74</v>
          </cell>
          <cell r="J713" t="str">
            <v xml:space="preserve">             123671125                  2863                   33903600</v>
          </cell>
          <cell r="K713">
            <v>40758</v>
          </cell>
          <cell r="L713">
            <v>120</v>
          </cell>
          <cell r="M713">
            <v>28600</v>
          </cell>
          <cell r="N713">
            <v>57287</v>
          </cell>
          <cell r="O713">
            <v>24504</v>
          </cell>
          <cell r="P713">
            <v>16</v>
          </cell>
          <cell r="Q713">
            <v>4</v>
          </cell>
          <cell r="S713">
            <v>7000</v>
          </cell>
          <cell r="T713">
            <v>7559.9999999999991</v>
          </cell>
          <cell r="U713">
            <v>0</v>
          </cell>
          <cell r="V713">
            <v>7300</v>
          </cell>
          <cell r="W713">
            <v>180</v>
          </cell>
          <cell r="X713">
            <v>5840</v>
          </cell>
          <cell r="Y713">
            <v>91214</v>
          </cell>
          <cell r="Z713">
            <v>7819.79</v>
          </cell>
          <cell r="AA713">
            <v>5320.21</v>
          </cell>
          <cell r="AB713">
            <v>237.99299999999999</v>
          </cell>
          <cell r="AC713">
            <v>7200</v>
          </cell>
          <cell r="AD713">
            <v>7281.6999999999989</v>
          </cell>
          <cell r="AE713">
            <v>-81.699999999998909</v>
          </cell>
          <cell r="AN713" t="str">
            <v xml:space="preserve">Contrato emergencial nº </v>
          </cell>
          <cell r="AO713" t="str">
            <v>IQ</v>
          </cell>
        </row>
        <row r="714">
          <cell r="D714" t="str">
            <v>1720/11</v>
          </cell>
          <cell r="E714">
            <v>40758</v>
          </cell>
          <cell r="F714">
            <v>40937</v>
          </cell>
          <cell r="G714">
            <v>40877</v>
          </cell>
          <cell r="H714" t="str">
            <v>2011-0.200.771-0</v>
          </cell>
          <cell r="I714">
            <v>42184.92</v>
          </cell>
          <cell r="J714" t="str">
            <v xml:space="preserve">             123671125                  2863                   33903600</v>
          </cell>
          <cell r="K714">
            <v>40758</v>
          </cell>
          <cell r="L714">
            <v>120</v>
          </cell>
          <cell r="M714">
            <v>28200</v>
          </cell>
          <cell r="N714">
            <v>57287</v>
          </cell>
          <cell r="O714">
            <v>24512</v>
          </cell>
          <cell r="P714">
            <v>16</v>
          </cell>
          <cell r="Q714">
            <v>4</v>
          </cell>
          <cell r="S714">
            <v>6800</v>
          </cell>
          <cell r="T714">
            <v>7489.9999999999991</v>
          </cell>
          <cell r="U714">
            <v>0</v>
          </cell>
          <cell r="V714">
            <v>8700</v>
          </cell>
          <cell r="W714">
            <v>180</v>
          </cell>
          <cell r="X714">
            <v>6960</v>
          </cell>
          <cell r="Y714">
            <v>89623</v>
          </cell>
          <cell r="Z714">
            <v>3331.18</v>
          </cell>
          <cell r="AA714">
            <v>12328.82</v>
          </cell>
          <cell r="AB714">
            <v>234.36066666666665</v>
          </cell>
          <cell r="AC714">
            <v>7100</v>
          </cell>
          <cell r="AD714">
            <v>8615</v>
          </cell>
          <cell r="AE714">
            <v>-1515</v>
          </cell>
          <cell r="AN714" t="str">
            <v xml:space="preserve">Contrato emergencial nº </v>
          </cell>
          <cell r="AO714" t="str">
            <v>PJ</v>
          </cell>
        </row>
        <row r="715">
          <cell r="D715" t="str">
            <v>1715/11</v>
          </cell>
          <cell r="E715">
            <v>40758</v>
          </cell>
          <cell r="F715">
            <v>40937</v>
          </cell>
          <cell r="G715">
            <v>40877</v>
          </cell>
          <cell r="H715" t="str">
            <v>2011-0.200.063-5</v>
          </cell>
          <cell r="I715">
            <v>31418.52</v>
          </cell>
          <cell r="J715" t="str">
            <v xml:space="preserve">              123651121                 2847                    33903600</v>
          </cell>
          <cell r="K715">
            <v>40758</v>
          </cell>
          <cell r="L715">
            <v>120</v>
          </cell>
          <cell r="M715">
            <v>21000</v>
          </cell>
          <cell r="N715">
            <v>57273</v>
          </cell>
          <cell r="O715">
            <v>24507</v>
          </cell>
          <cell r="P715">
            <v>16</v>
          </cell>
          <cell r="Q715">
            <v>2</v>
          </cell>
          <cell r="S715">
            <v>5100</v>
          </cell>
          <cell r="T715">
            <v>5565</v>
          </cell>
          <cell r="U715">
            <v>0</v>
          </cell>
          <cell r="V715">
            <v>6000</v>
          </cell>
          <cell r="W715">
            <v>180</v>
          </cell>
          <cell r="X715">
            <v>4800</v>
          </cell>
          <cell r="Y715">
            <v>89469</v>
          </cell>
          <cell r="Z715">
            <v>3736.3</v>
          </cell>
          <cell r="AA715">
            <v>7063.7</v>
          </cell>
          <cell r="AB715">
            <v>174.54733333333334</v>
          </cell>
          <cell r="AC715">
            <v>5300</v>
          </cell>
          <cell r="AD715">
            <v>5963.7999999999993</v>
          </cell>
          <cell r="AE715">
            <v>-663.79999999999927</v>
          </cell>
          <cell r="AN715" t="str">
            <v xml:space="preserve">Contrato emergencial nº </v>
          </cell>
          <cell r="AO715" t="str">
            <v>SM</v>
          </cell>
        </row>
        <row r="716">
          <cell r="D716" t="str">
            <v>1713/11</v>
          </cell>
          <cell r="E716">
            <v>40758</v>
          </cell>
          <cell r="F716">
            <v>40937</v>
          </cell>
          <cell r="G716">
            <v>40877</v>
          </cell>
          <cell r="H716" t="str">
            <v>2011-0.200.049-0</v>
          </cell>
          <cell r="I716">
            <v>40877.160000000003</v>
          </cell>
          <cell r="J716" t="str">
            <v xml:space="preserve">             123671125                  2863                   33903600</v>
          </cell>
          <cell r="K716">
            <v>40758</v>
          </cell>
          <cell r="L716">
            <v>120</v>
          </cell>
          <cell r="M716">
            <v>27300</v>
          </cell>
          <cell r="N716">
            <v>57287</v>
          </cell>
          <cell r="O716">
            <v>24506</v>
          </cell>
          <cell r="P716">
            <v>16</v>
          </cell>
          <cell r="Q716">
            <v>4</v>
          </cell>
          <cell r="S716">
            <v>6600</v>
          </cell>
          <cell r="T716">
            <v>7244.9999999999991</v>
          </cell>
          <cell r="U716">
            <v>0</v>
          </cell>
          <cell r="V716">
            <v>7200</v>
          </cell>
          <cell r="W716">
            <v>180</v>
          </cell>
          <cell r="X716">
            <v>5760</v>
          </cell>
          <cell r="Y716">
            <v>89398</v>
          </cell>
          <cell r="Z716">
            <v>6179.7999999999993</v>
          </cell>
          <cell r="AA716">
            <v>6780.2000000000007</v>
          </cell>
          <cell r="AB716">
            <v>227.09533333333334</v>
          </cell>
          <cell r="AC716">
            <v>6900</v>
          </cell>
          <cell r="AD716">
            <v>7183.9</v>
          </cell>
          <cell r="AE716">
            <v>-283.89999999999964</v>
          </cell>
          <cell r="AN716" t="str">
            <v xml:space="preserve">Contrato emergencial nº </v>
          </cell>
          <cell r="AO716" t="str">
            <v>CS</v>
          </cell>
        </row>
        <row r="717">
          <cell r="D717" t="str">
            <v>1723/11</v>
          </cell>
          <cell r="E717">
            <v>40758</v>
          </cell>
          <cell r="F717">
            <v>40937</v>
          </cell>
          <cell r="G717">
            <v>40877</v>
          </cell>
          <cell r="H717" t="str">
            <v>2011-0.200.084-8</v>
          </cell>
          <cell r="I717">
            <v>42838.74</v>
          </cell>
          <cell r="J717" t="str">
            <v xml:space="preserve">             123671125                  2863                   33903600</v>
          </cell>
          <cell r="K717">
            <v>40758</v>
          </cell>
          <cell r="L717">
            <v>120</v>
          </cell>
          <cell r="M717">
            <v>28600</v>
          </cell>
          <cell r="N717">
            <v>57287</v>
          </cell>
          <cell r="O717">
            <v>24515</v>
          </cell>
          <cell r="P717">
            <v>16</v>
          </cell>
          <cell r="Q717">
            <v>4</v>
          </cell>
          <cell r="S717">
            <v>7000</v>
          </cell>
          <cell r="T717">
            <v>7559.9999999999991</v>
          </cell>
          <cell r="U717">
            <v>0</v>
          </cell>
          <cell r="V717">
            <v>7600</v>
          </cell>
          <cell r="W717">
            <v>180</v>
          </cell>
          <cell r="X717">
            <v>6080</v>
          </cell>
          <cell r="Y717">
            <v>89520</v>
          </cell>
          <cell r="Z717">
            <v>6587.79</v>
          </cell>
          <cell r="AA717">
            <v>7092.21</v>
          </cell>
          <cell r="AB717">
            <v>237.99299999999999</v>
          </cell>
          <cell r="AC717">
            <v>7200</v>
          </cell>
          <cell r="AD717">
            <v>7586.65</v>
          </cell>
          <cell r="AE717">
            <v>-386.64999999999964</v>
          </cell>
          <cell r="AN717" t="str">
            <v xml:space="preserve">Contrato emergencial nº </v>
          </cell>
          <cell r="AO717" t="str">
            <v>IP</v>
          </cell>
        </row>
        <row r="718">
          <cell r="D718" t="str">
            <v>1725/11</v>
          </cell>
          <cell r="E718">
            <v>40758</v>
          </cell>
          <cell r="F718">
            <v>40937</v>
          </cell>
          <cell r="G718">
            <v>40877</v>
          </cell>
          <cell r="H718" t="str">
            <v>2011-0.200.090-2</v>
          </cell>
          <cell r="I718">
            <v>31418.52</v>
          </cell>
          <cell r="J718" t="str">
            <v xml:space="preserve">              123651121                 2847                    33903600</v>
          </cell>
          <cell r="K718">
            <v>40758</v>
          </cell>
          <cell r="L718">
            <v>120</v>
          </cell>
          <cell r="M718">
            <v>21000</v>
          </cell>
          <cell r="N718">
            <v>57273</v>
          </cell>
          <cell r="O718">
            <v>24934</v>
          </cell>
          <cell r="P718">
            <v>16</v>
          </cell>
          <cell r="Q718">
            <v>2</v>
          </cell>
          <cell r="S718">
            <v>5100</v>
          </cell>
          <cell r="T718">
            <v>5565</v>
          </cell>
          <cell r="U718">
            <v>0</v>
          </cell>
          <cell r="V718">
            <v>5600</v>
          </cell>
          <cell r="W718">
            <v>180</v>
          </cell>
          <cell r="X718">
            <v>4480</v>
          </cell>
          <cell r="Y718">
            <v>91244</v>
          </cell>
          <cell r="Z718">
            <v>4855</v>
          </cell>
          <cell r="AA718">
            <v>5225</v>
          </cell>
          <cell r="AB718">
            <v>174.54733333333334</v>
          </cell>
          <cell r="AC718">
            <v>5300</v>
          </cell>
          <cell r="AD718">
            <v>5534.5</v>
          </cell>
          <cell r="AE718">
            <v>-234.5</v>
          </cell>
          <cell r="AN718" t="str">
            <v xml:space="preserve">Contrato emergencial nº </v>
          </cell>
          <cell r="AO718" t="str">
            <v>SA</v>
          </cell>
        </row>
        <row r="719">
          <cell r="D719" t="str">
            <v>1721/11</v>
          </cell>
          <cell r="E719">
            <v>40758</v>
          </cell>
          <cell r="F719">
            <v>40937</v>
          </cell>
          <cell r="G719">
            <v>40877</v>
          </cell>
          <cell r="H719" t="str">
            <v>2011-0.200.079-1</v>
          </cell>
          <cell r="I719">
            <v>31418.52</v>
          </cell>
          <cell r="J719" t="str">
            <v xml:space="preserve">              123651121                 2847                    33903600</v>
          </cell>
          <cell r="K719">
            <v>40758</v>
          </cell>
          <cell r="L719">
            <v>120</v>
          </cell>
          <cell r="M719">
            <v>21000</v>
          </cell>
          <cell r="N719">
            <v>864</v>
          </cell>
          <cell r="O719">
            <v>24513</v>
          </cell>
          <cell r="P719">
            <v>16</v>
          </cell>
          <cell r="Q719">
            <v>2</v>
          </cell>
          <cell r="S719">
            <v>5100</v>
          </cell>
          <cell r="T719">
            <v>5565</v>
          </cell>
          <cell r="U719">
            <v>0</v>
          </cell>
          <cell r="V719">
            <v>5300</v>
          </cell>
          <cell r="W719">
            <v>180</v>
          </cell>
          <cell r="X719">
            <v>4240</v>
          </cell>
          <cell r="Y719">
            <v>88303</v>
          </cell>
          <cell r="Z719">
            <v>6535.7999999999993</v>
          </cell>
          <cell r="AA719">
            <v>3004.2000000000007</v>
          </cell>
          <cell r="AB719">
            <v>174.54733333333334</v>
          </cell>
          <cell r="AC719">
            <v>5300</v>
          </cell>
          <cell r="AD719">
            <v>4992.2</v>
          </cell>
          <cell r="AE719">
            <v>307.80000000000018</v>
          </cell>
          <cell r="AN719" t="str">
            <v xml:space="preserve">Contrato emergencial nº </v>
          </cell>
          <cell r="AO719" t="str">
            <v>CS</v>
          </cell>
        </row>
        <row r="720">
          <cell r="D720" t="str">
            <v>1716/11</v>
          </cell>
          <cell r="E720">
            <v>40758</v>
          </cell>
          <cell r="F720">
            <v>40937</v>
          </cell>
          <cell r="G720">
            <v>40877</v>
          </cell>
          <cell r="H720" t="str">
            <v>2011-0.200.066-0</v>
          </cell>
          <cell r="I720">
            <v>42184.92</v>
          </cell>
          <cell r="J720" t="str">
            <v xml:space="preserve">             123671125                  2863                   33903600</v>
          </cell>
          <cell r="K720">
            <v>40758</v>
          </cell>
          <cell r="L720">
            <v>120</v>
          </cell>
          <cell r="M720">
            <v>28200</v>
          </cell>
          <cell r="N720">
            <v>57287</v>
          </cell>
          <cell r="O720">
            <v>24924</v>
          </cell>
          <cell r="P720">
            <v>16</v>
          </cell>
          <cell r="Q720">
            <v>4</v>
          </cell>
          <cell r="S720">
            <v>6800</v>
          </cell>
          <cell r="T720">
            <v>7489.9999999999991</v>
          </cell>
          <cell r="U720">
            <v>0</v>
          </cell>
          <cell r="V720">
            <v>8400</v>
          </cell>
          <cell r="W720">
            <v>180</v>
          </cell>
          <cell r="X720">
            <v>6720</v>
          </cell>
          <cell r="Y720">
            <v>89935</v>
          </cell>
          <cell r="Z720">
            <v>3950.13</v>
          </cell>
          <cell r="AA720">
            <v>11169.869999999999</v>
          </cell>
          <cell r="AB720">
            <v>234.36066666666665</v>
          </cell>
          <cell r="AC720">
            <v>7100</v>
          </cell>
          <cell r="AD720">
            <v>8356.25</v>
          </cell>
          <cell r="AE720">
            <v>-1256.25</v>
          </cell>
          <cell r="AN720" t="str">
            <v xml:space="preserve">Contrato emergencial nº </v>
          </cell>
          <cell r="AO720" t="str">
            <v>PE</v>
          </cell>
        </row>
        <row r="721">
          <cell r="D721" t="str">
            <v>1717/11</v>
          </cell>
          <cell r="E721">
            <v>40758</v>
          </cell>
          <cell r="F721">
            <v>40937</v>
          </cell>
          <cell r="G721">
            <v>40877</v>
          </cell>
          <cell r="H721" t="str">
            <v>2011-0.200.070-8</v>
          </cell>
          <cell r="I721">
            <v>42184.92</v>
          </cell>
          <cell r="J721" t="str">
            <v xml:space="preserve">             123671125                  2863                   33903600</v>
          </cell>
          <cell r="K721">
            <v>40758</v>
          </cell>
          <cell r="L721">
            <v>120</v>
          </cell>
          <cell r="M721">
            <v>28200</v>
          </cell>
          <cell r="N721">
            <v>57287</v>
          </cell>
          <cell r="O721">
            <v>24508</v>
          </cell>
          <cell r="P721">
            <v>16</v>
          </cell>
          <cell r="Q721">
            <v>4</v>
          </cell>
          <cell r="S721">
            <v>6800</v>
          </cell>
          <cell r="T721">
            <v>7489.9999999999991</v>
          </cell>
          <cell r="U721">
            <v>0</v>
          </cell>
          <cell r="V721">
            <v>8000</v>
          </cell>
          <cell r="W721">
            <v>180</v>
          </cell>
          <cell r="X721">
            <v>6400</v>
          </cell>
          <cell r="Y721">
            <v>89529</v>
          </cell>
          <cell r="Z721">
            <v>4932.28</v>
          </cell>
          <cell r="AA721">
            <v>9467.7200000000012</v>
          </cell>
          <cell r="AB721">
            <v>234.36066666666665</v>
          </cell>
          <cell r="AC721">
            <v>7100</v>
          </cell>
          <cell r="AD721">
            <v>7987.25</v>
          </cell>
          <cell r="AE721">
            <v>-887.25</v>
          </cell>
          <cell r="AN721" t="str">
            <v xml:space="preserve">Contrato emergencial nº </v>
          </cell>
          <cell r="AO721" t="str">
            <v>IP</v>
          </cell>
        </row>
        <row r="722">
          <cell r="D722" t="str">
            <v>1714/11</v>
          </cell>
          <cell r="E722">
            <v>40758</v>
          </cell>
          <cell r="F722">
            <v>40937</v>
          </cell>
          <cell r="G722">
            <v>40877</v>
          </cell>
          <cell r="H722" t="str">
            <v>2011-0.200.053-8</v>
          </cell>
          <cell r="I722">
            <v>31012.38</v>
          </cell>
          <cell r="J722" t="str">
            <v xml:space="preserve">              123611122                  2848                    33903600</v>
          </cell>
          <cell r="K722">
            <v>40758</v>
          </cell>
          <cell r="L722">
            <v>120</v>
          </cell>
          <cell r="M722">
            <v>20700</v>
          </cell>
          <cell r="N722">
            <v>57278</v>
          </cell>
          <cell r="O722">
            <v>24920</v>
          </cell>
          <cell r="P722">
            <v>16</v>
          </cell>
          <cell r="Q722">
            <v>3</v>
          </cell>
          <cell r="S722">
            <v>5000</v>
          </cell>
          <cell r="T722">
            <v>5495</v>
          </cell>
          <cell r="U722">
            <v>0</v>
          </cell>
          <cell r="V722">
            <v>5200</v>
          </cell>
          <cell r="W722">
            <v>180</v>
          </cell>
          <cell r="X722">
            <v>4160</v>
          </cell>
          <cell r="Y722">
            <v>89939</v>
          </cell>
          <cell r="Z722">
            <v>9262.5</v>
          </cell>
          <cell r="AA722">
            <v>97.5</v>
          </cell>
          <cell r="AB722">
            <v>172.291</v>
          </cell>
          <cell r="AC722">
            <v>5200</v>
          </cell>
          <cell r="AD722">
            <v>3862.85</v>
          </cell>
          <cell r="AE722">
            <v>1337.15</v>
          </cell>
          <cell r="AN722" t="str">
            <v xml:space="preserve">Contrato emergencial nº </v>
          </cell>
          <cell r="AO722" t="str">
            <v>PE</v>
          </cell>
        </row>
        <row r="723">
          <cell r="D723" t="str">
            <v>1712/11</v>
          </cell>
          <cell r="E723">
            <v>40758</v>
          </cell>
          <cell r="F723">
            <v>40937</v>
          </cell>
          <cell r="G723">
            <v>40877</v>
          </cell>
          <cell r="H723" t="str">
            <v>2011-0.200.046-5</v>
          </cell>
          <cell r="I723">
            <v>42838.74</v>
          </cell>
          <cell r="J723" t="str">
            <v xml:space="preserve">             123671125                  2863                   33903600</v>
          </cell>
          <cell r="K723">
            <v>40758</v>
          </cell>
          <cell r="L723">
            <v>120</v>
          </cell>
          <cell r="M723">
            <v>28600</v>
          </cell>
          <cell r="N723">
            <v>57287</v>
          </cell>
          <cell r="O723">
            <v>24505</v>
          </cell>
          <cell r="P723">
            <v>16</v>
          </cell>
          <cell r="Q723">
            <v>4</v>
          </cell>
          <cell r="S723">
            <v>7000</v>
          </cell>
          <cell r="T723">
            <v>7559.9999999999991</v>
          </cell>
          <cell r="U723">
            <v>0</v>
          </cell>
          <cell r="V723">
            <v>8300</v>
          </cell>
          <cell r="W723">
            <v>180</v>
          </cell>
          <cell r="X723">
            <v>6640</v>
          </cell>
          <cell r="Y723">
            <v>91219</v>
          </cell>
          <cell r="Z723">
            <v>5166.21</v>
          </cell>
          <cell r="AA723">
            <v>9773.7900000000009</v>
          </cell>
          <cell r="AB723">
            <v>237.99299999999999</v>
          </cell>
          <cell r="AC723">
            <v>7200</v>
          </cell>
          <cell r="AD723">
            <v>8220.7999999999993</v>
          </cell>
          <cell r="AE723">
            <v>-1020.7999999999993</v>
          </cell>
          <cell r="AN723" t="str">
            <v xml:space="preserve">Contrato emergencial nº </v>
          </cell>
          <cell r="AO723" t="str">
            <v>IQ</v>
          </cell>
        </row>
        <row r="724">
          <cell r="D724" t="str">
            <v>1718/11</v>
          </cell>
          <cell r="E724">
            <v>40758</v>
          </cell>
          <cell r="F724">
            <v>40937</v>
          </cell>
          <cell r="G724">
            <v>40877</v>
          </cell>
          <cell r="H724" t="str">
            <v>2011-0.200.073-2</v>
          </cell>
          <cell r="I724">
            <v>42184.92</v>
          </cell>
          <cell r="J724" t="str">
            <v xml:space="preserve">             123671125                  2863                   33903600</v>
          </cell>
          <cell r="K724">
            <v>40758</v>
          </cell>
          <cell r="L724">
            <v>120</v>
          </cell>
          <cell r="M724">
            <v>28200</v>
          </cell>
          <cell r="N724">
            <v>57287</v>
          </cell>
          <cell r="O724">
            <v>24509</v>
          </cell>
          <cell r="P724">
            <v>16</v>
          </cell>
          <cell r="Q724">
            <v>4</v>
          </cell>
          <cell r="S724">
            <v>6800</v>
          </cell>
          <cell r="T724">
            <v>7489.9999999999991</v>
          </cell>
          <cell r="U724">
            <v>0</v>
          </cell>
          <cell r="V724">
            <v>7500</v>
          </cell>
          <cell r="W724">
            <v>180</v>
          </cell>
          <cell r="X724">
            <v>6000</v>
          </cell>
          <cell r="Y724">
            <v>89634</v>
          </cell>
          <cell r="Z724">
            <v>6506.14</v>
          </cell>
          <cell r="AA724">
            <v>6993.86</v>
          </cell>
          <cell r="AB724">
            <v>234.36066666666665</v>
          </cell>
          <cell r="AC724">
            <v>7100</v>
          </cell>
          <cell r="AD724">
            <v>7450.0999999999995</v>
          </cell>
          <cell r="AE724">
            <v>-350.09999999999945</v>
          </cell>
          <cell r="AN724" t="str">
            <v xml:space="preserve">Contrato emergencial nº </v>
          </cell>
          <cell r="AO724" t="str">
            <v>PJ</v>
          </cell>
        </row>
        <row r="725">
          <cell r="D725" t="str">
            <v>1719/11</v>
          </cell>
          <cell r="E725">
            <v>40758</v>
          </cell>
          <cell r="F725">
            <v>40937</v>
          </cell>
          <cell r="G725">
            <v>40877</v>
          </cell>
          <cell r="H725" t="str">
            <v>2011-0.200.075-9</v>
          </cell>
          <cell r="I725">
            <v>42184.92</v>
          </cell>
          <cell r="J725" t="str">
            <v xml:space="preserve">             123671125                  2863                   33903600</v>
          </cell>
          <cell r="K725">
            <v>40758</v>
          </cell>
          <cell r="L725">
            <v>120</v>
          </cell>
          <cell r="M725">
            <v>28200</v>
          </cell>
          <cell r="N725">
            <v>57287</v>
          </cell>
          <cell r="O725">
            <v>24511</v>
          </cell>
          <cell r="P725">
            <v>16</v>
          </cell>
          <cell r="Q725">
            <v>4</v>
          </cell>
          <cell r="S725">
            <v>6800</v>
          </cell>
          <cell r="T725">
            <v>7489.9999999999991</v>
          </cell>
          <cell r="U725">
            <v>0</v>
          </cell>
          <cell r="V725">
            <v>7100</v>
          </cell>
          <cell r="W725">
            <v>180</v>
          </cell>
          <cell r="X725">
            <v>5680</v>
          </cell>
          <cell r="Y725">
            <v>89402</v>
          </cell>
          <cell r="Z725">
            <v>8697.0299999999988</v>
          </cell>
          <cell r="AA725">
            <v>4082.9700000000012</v>
          </cell>
          <cell r="AB725">
            <v>234.36066666666665</v>
          </cell>
          <cell r="AC725">
            <v>7100</v>
          </cell>
          <cell r="AD725">
            <v>6633.65</v>
          </cell>
          <cell r="AE725">
            <v>466.35000000000036</v>
          </cell>
          <cell r="AN725" t="str">
            <v xml:space="preserve">Contrato emergencial nº </v>
          </cell>
          <cell r="AO725" t="str">
            <v>CS</v>
          </cell>
        </row>
        <row r="726">
          <cell r="D726" t="str">
            <v>1730/11</v>
          </cell>
          <cell r="E726">
            <v>40763</v>
          </cell>
          <cell r="F726">
            <v>40942</v>
          </cell>
          <cell r="G726">
            <v>40877</v>
          </cell>
          <cell r="H726" t="str">
            <v>2011-0.200.791-5</v>
          </cell>
          <cell r="I726">
            <v>31012.38</v>
          </cell>
          <cell r="J726" t="str">
            <v xml:space="preserve">              123651121                 2847                    33903600</v>
          </cell>
          <cell r="K726">
            <v>40763</v>
          </cell>
          <cell r="L726">
            <v>115</v>
          </cell>
          <cell r="M726">
            <v>19900</v>
          </cell>
          <cell r="N726">
            <v>57273</v>
          </cell>
          <cell r="O726">
            <v>24982</v>
          </cell>
          <cell r="P726">
            <v>16</v>
          </cell>
          <cell r="Q726">
            <v>2</v>
          </cell>
          <cell r="S726">
            <v>4200</v>
          </cell>
          <cell r="T726">
            <v>5495</v>
          </cell>
          <cell r="U726">
            <v>0</v>
          </cell>
          <cell r="V726">
            <v>5200</v>
          </cell>
          <cell r="W726">
            <v>180</v>
          </cell>
          <cell r="X726">
            <v>4160</v>
          </cell>
          <cell r="Y726">
            <v>92530</v>
          </cell>
          <cell r="Z726">
            <v>5235.78</v>
          </cell>
          <cell r="AA726">
            <v>4124.22</v>
          </cell>
          <cell r="AB726">
            <v>172.291</v>
          </cell>
          <cell r="AC726">
            <v>5200</v>
          </cell>
          <cell r="AD726">
            <v>5031.6499999999996</v>
          </cell>
          <cell r="AE726">
            <v>168.35000000000036</v>
          </cell>
          <cell r="AN726" t="str">
            <v xml:space="preserve">Contrato emergencial nº </v>
          </cell>
          <cell r="AO726" t="str">
            <v>JT</v>
          </cell>
        </row>
        <row r="727">
          <cell r="D727" t="str">
            <v>1737/11</v>
          </cell>
          <cell r="E727">
            <v>40763</v>
          </cell>
          <cell r="F727">
            <v>40942</v>
          </cell>
          <cell r="G727">
            <v>40877</v>
          </cell>
          <cell r="H727" t="str">
            <v>2011-0.141.117-8</v>
          </cell>
          <cell r="I727">
            <v>42838.74</v>
          </cell>
          <cell r="J727" t="str">
            <v xml:space="preserve">             123671125                  2863                   33903600</v>
          </cell>
          <cell r="K727">
            <v>40763</v>
          </cell>
          <cell r="L727">
            <v>115</v>
          </cell>
          <cell r="M727">
            <v>27400</v>
          </cell>
          <cell r="N727">
            <v>57287</v>
          </cell>
          <cell r="O727">
            <v>25002</v>
          </cell>
          <cell r="P727">
            <v>16</v>
          </cell>
          <cell r="Q727">
            <v>4</v>
          </cell>
          <cell r="S727">
            <v>5800</v>
          </cell>
          <cell r="T727">
            <v>7559.9999999999991</v>
          </cell>
          <cell r="U727">
            <v>0</v>
          </cell>
          <cell r="V727">
            <v>7800</v>
          </cell>
          <cell r="W727">
            <v>180</v>
          </cell>
          <cell r="X727">
            <v>6240</v>
          </cell>
          <cell r="Y727">
            <v>89407</v>
          </cell>
          <cell r="Z727">
            <v>5632.0599999999995</v>
          </cell>
          <cell r="AA727">
            <v>8407.94</v>
          </cell>
          <cell r="AB727">
            <v>237.99299999999999</v>
          </cell>
          <cell r="AC727">
            <v>7200</v>
          </cell>
          <cell r="AD727">
            <v>7754.0499999999993</v>
          </cell>
          <cell r="AE727">
            <v>-554.04999999999927</v>
          </cell>
          <cell r="AN727" t="str">
            <v xml:space="preserve">Contrato emergencial nº </v>
          </cell>
          <cell r="AO727" t="str">
            <v>CS</v>
          </cell>
        </row>
        <row r="728">
          <cell r="D728" t="str">
            <v>1726/11</v>
          </cell>
          <cell r="E728">
            <v>40763</v>
          </cell>
          <cell r="F728">
            <v>40942</v>
          </cell>
          <cell r="G728">
            <v>40877</v>
          </cell>
          <cell r="H728" t="str">
            <v>2011-0.200.102-0</v>
          </cell>
          <cell r="I728">
            <v>42838.74</v>
          </cell>
          <cell r="J728" t="str">
            <v xml:space="preserve">             123671125                  2863                   33903600</v>
          </cell>
          <cell r="K728">
            <v>40763</v>
          </cell>
          <cell r="L728">
            <v>115</v>
          </cell>
          <cell r="M728">
            <v>27400</v>
          </cell>
          <cell r="N728">
            <v>57287</v>
          </cell>
          <cell r="O728">
            <v>24976</v>
          </cell>
          <cell r="P728">
            <v>16</v>
          </cell>
          <cell r="Q728">
            <v>4</v>
          </cell>
          <cell r="S728">
            <v>5800</v>
          </cell>
          <cell r="T728">
            <v>7559.9999999999991</v>
          </cell>
          <cell r="U728">
            <v>0</v>
          </cell>
          <cell r="V728">
            <v>7300</v>
          </cell>
          <cell r="W728">
            <v>180</v>
          </cell>
          <cell r="X728">
            <v>5840</v>
          </cell>
          <cell r="Y728">
            <v>89543</v>
          </cell>
          <cell r="Z728">
            <v>6107.07</v>
          </cell>
          <cell r="AA728">
            <v>7032.93</v>
          </cell>
          <cell r="AB728">
            <v>237.99299999999999</v>
          </cell>
          <cell r="AC728">
            <v>7200</v>
          </cell>
          <cell r="AD728">
            <v>7250.4499999999989</v>
          </cell>
          <cell r="AE728">
            <v>-50.449999999998909</v>
          </cell>
          <cell r="AN728" t="str">
            <v xml:space="preserve">Contrato emergencial nº </v>
          </cell>
          <cell r="AO728" t="str">
            <v>SM</v>
          </cell>
        </row>
        <row r="729">
          <cell r="D729" t="str">
            <v>1727/11</v>
          </cell>
          <cell r="E729">
            <v>40763</v>
          </cell>
          <cell r="F729">
            <v>40942</v>
          </cell>
          <cell r="G729">
            <v>40877</v>
          </cell>
          <cell r="H729" t="str">
            <v>2011-0.200.110-0</v>
          </cell>
          <cell r="I729">
            <v>42838.74</v>
          </cell>
          <cell r="J729" t="str">
            <v xml:space="preserve">             123671125                  2863                   33903600</v>
          </cell>
          <cell r="K729">
            <v>40763</v>
          </cell>
          <cell r="L729">
            <v>115</v>
          </cell>
          <cell r="M729">
            <v>27400</v>
          </cell>
          <cell r="N729">
            <v>57287</v>
          </cell>
          <cell r="O729">
            <v>24977</v>
          </cell>
          <cell r="P729">
            <v>16</v>
          </cell>
          <cell r="Q729">
            <v>4</v>
          </cell>
          <cell r="S729">
            <v>5800</v>
          </cell>
          <cell r="T729">
            <v>7559.9999999999991</v>
          </cell>
          <cell r="U729">
            <v>0</v>
          </cell>
          <cell r="V729">
            <v>7200</v>
          </cell>
          <cell r="W729">
            <v>180</v>
          </cell>
          <cell r="X729">
            <v>5760</v>
          </cell>
          <cell r="Y729">
            <v>89577</v>
          </cell>
          <cell r="Z729">
            <v>8016.12</v>
          </cell>
          <cell r="AA729">
            <v>4943.88</v>
          </cell>
          <cell r="AB729">
            <v>237.99299999999999</v>
          </cell>
          <cell r="AC729">
            <v>7200</v>
          </cell>
          <cell r="AD729">
            <v>6539.2999999999993</v>
          </cell>
          <cell r="AE729">
            <v>660.70000000000073</v>
          </cell>
          <cell r="AN729" t="str">
            <v xml:space="preserve">Contrato emergencial nº </v>
          </cell>
          <cell r="AO729" t="str">
            <v>IP</v>
          </cell>
        </row>
        <row r="730">
          <cell r="D730" t="str">
            <v>1728/11</v>
          </cell>
          <cell r="E730">
            <v>40763</v>
          </cell>
          <cell r="F730">
            <v>40942</v>
          </cell>
          <cell r="G730">
            <v>40877</v>
          </cell>
          <cell r="H730" t="str">
            <v>2011-0.200.775-3</v>
          </cell>
          <cell r="I730">
            <v>42838.74</v>
          </cell>
          <cell r="J730" t="str">
            <v xml:space="preserve">             123671125                  2863                   33903600</v>
          </cell>
          <cell r="K730">
            <v>40763</v>
          </cell>
          <cell r="L730">
            <v>115</v>
          </cell>
          <cell r="M730">
            <v>27400</v>
          </cell>
          <cell r="N730">
            <v>57287</v>
          </cell>
          <cell r="O730">
            <v>24978</v>
          </cell>
          <cell r="P730">
            <v>16</v>
          </cell>
          <cell r="Q730">
            <v>4</v>
          </cell>
          <cell r="S730">
            <v>5800</v>
          </cell>
          <cell r="T730">
            <v>7559.9999999999991</v>
          </cell>
          <cell r="U730">
            <v>0</v>
          </cell>
          <cell r="V730">
            <v>7200</v>
          </cell>
          <cell r="W730">
            <v>180</v>
          </cell>
          <cell r="X730">
            <v>5760</v>
          </cell>
          <cell r="Y730">
            <v>91223</v>
          </cell>
          <cell r="Z730">
            <v>8310.23</v>
          </cell>
          <cell r="AA730">
            <v>4649.7700000000004</v>
          </cell>
          <cell r="AB730">
            <v>237.99299999999999</v>
          </cell>
          <cell r="AC730">
            <v>7200</v>
          </cell>
          <cell r="AD730">
            <v>6243.35</v>
          </cell>
          <cell r="AE730">
            <v>956.64999999999964</v>
          </cell>
          <cell r="AN730" t="str">
            <v xml:space="preserve">Contrato emergencial nº </v>
          </cell>
          <cell r="AO730" t="str">
            <v>IQ</v>
          </cell>
        </row>
        <row r="731">
          <cell r="D731" t="str">
            <v>1738/11</v>
          </cell>
          <cell r="E731">
            <v>40763</v>
          </cell>
          <cell r="F731">
            <v>40942</v>
          </cell>
          <cell r="G731">
            <v>40877</v>
          </cell>
          <cell r="H731" t="str">
            <v>2011-0.200.422-3</v>
          </cell>
          <cell r="I731">
            <v>46078.02</v>
          </cell>
          <cell r="J731" t="str">
            <v xml:space="preserve">              123611122                  2848                    33903600</v>
          </cell>
          <cell r="K731">
            <v>40763</v>
          </cell>
          <cell r="L731">
            <v>115</v>
          </cell>
          <cell r="M731">
            <v>29500</v>
          </cell>
          <cell r="N731">
            <v>57278</v>
          </cell>
          <cell r="O731">
            <v>25004</v>
          </cell>
          <cell r="P731">
            <v>16</v>
          </cell>
          <cell r="Q731">
            <v>3</v>
          </cell>
          <cell r="S731">
            <v>6200</v>
          </cell>
          <cell r="T731">
            <v>8154.9999999999991</v>
          </cell>
          <cell r="U731">
            <v>0</v>
          </cell>
          <cell r="V731">
            <v>7700</v>
          </cell>
          <cell r="W731">
            <v>180</v>
          </cell>
          <cell r="X731">
            <v>6160</v>
          </cell>
          <cell r="Y731">
            <v>89381</v>
          </cell>
          <cell r="Z731">
            <v>2818.8700000000008</v>
          </cell>
          <cell r="AA731">
            <v>11041.13</v>
          </cell>
          <cell r="AB731">
            <v>255.98899999999998</v>
          </cell>
          <cell r="AC731">
            <v>7700</v>
          </cell>
          <cell r="AD731">
            <v>6312.5</v>
          </cell>
          <cell r="AE731">
            <v>1387.5</v>
          </cell>
          <cell r="AN731" t="str">
            <v xml:space="preserve">Contrato emergencial nº </v>
          </cell>
          <cell r="AO731" t="str">
            <v>FO</v>
          </cell>
        </row>
        <row r="732">
          <cell r="D732" t="str">
            <v>1733/11</v>
          </cell>
          <cell r="E732">
            <v>40763</v>
          </cell>
          <cell r="F732">
            <v>40942</v>
          </cell>
          <cell r="G732">
            <v>40877</v>
          </cell>
          <cell r="H732" t="str">
            <v>2011-0.200.801-6</v>
          </cell>
          <cell r="I732">
            <v>42838.74</v>
          </cell>
          <cell r="J732" t="str">
            <v xml:space="preserve">             123671125                  2863                   33903600</v>
          </cell>
          <cell r="K732">
            <v>40763</v>
          </cell>
          <cell r="L732">
            <v>115</v>
          </cell>
          <cell r="M732">
            <v>27400</v>
          </cell>
          <cell r="N732">
            <v>57287</v>
          </cell>
          <cell r="O732">
            <v>24986</v>
          </cell>
          <cell r="P732">
            <v>16</v>
          </cell>
          <cell r="Q732">
            <v>4</v>
          </cell>
          <cell r="S732">
            <v>5800</v>
          </cell>
          <cell r="T732">
            <v>7559.9999999999991</v>
          </cell>
          <cell r="U732">
            <v>0</v>
          </cell>
          <cell r="V732">
            <v>7200</v>
          </cell>
          <cell r="W732">
            <v>180</v>
          </cell>
          <cell r="X732">
            <v>5760</v>
          </cell>
          <cell r="Y732">
            <v>89365</v>
          </cell>
          <cell r="Z732">
            <v>14391.84</v>
          </cell>
          <cell r="AA732">
            <v>-1431.8400000000001</v>
          </cell>
          <cell r="AB732">
            <v>237.99299999999999</v>
          </cell>
          <cell r="AC732">
            <v>7200</v>
          </cell>
          <cell r="AD732">
            <v>6682.05</v>
          </cell>
          <cell r="AE732">
            <v>517.94999999999982</v>
          </cell>
          <cell r="AN732" t="str">
            <v xml:space="preserve">Contrato emergencial nº </v>
          </cell>
          <cell r="AO732" t="str">
            <v>CL</v>
          </cell>
        </row>
        <row r="733">
          <cell r="D733" t="str">
            <v>1729/11</v>
          </cell>
          <cell r="E733">
            <v>40763</v>
          </cell>
          <cell r="F733">
            <v>40942</v>
          </cell>
          <cell r="G733">
            <v>40877</v>
          </cell>
          <cell r="H733" t="str">
            <v>2011-0.200.776-1</v>
          </cell>
          <cell r="I733">
            <v>25940</v>
          </cell>
          <cell r="J733" t="str">
            <v xml:space="preserve">              123611122                  2848                    33903600</v>
          </cell>
          <cell r="K733">
            <v>40763</v>
          </cell>
          <cell r="L733">
            <v>115</v>
          </cell>
          <cell r="M733">
            <v>16600</v>
          </cell>
          <cell r="N733">
            <v>57278</v>
          </cell>
          <cell r="O733">
            <v>24979</v>
          </cell>
          <cell r="P733">
            <v>16</v>
          </cell>
          <cell r="Q733">
            <v>3</v>
          </cell>
          <cell r="S733">
            <v>3500</v>
          </cell>
          <cell r="T733">
            <v>4585</v>
          </cell>
          <cell r="U733">
            <v>0</v>
          </cell>
          <cell r="V733">
            <v>4400</v>
          </cell>
          <cell r="W733">
            <v>180</v>
          </cell>
          <cell r="X733">
            <v>3520</v>
          </cell>
          <cell r="Y733">
            <v>89644</v>
          </cell>
          <cell r="Z733">
            <v>5526.97</v>
          </cell>
          <cell r="AA733">
            <v>2393.0299999999997</v>
          </cell>
          <cell r="AB733">
            <v>144.11111111111111</v>
          </cell>
          <cell r="AC733">
            <v>4400</v>
          </cell>
          <cell r="AD733">
            <v>3653.0499999999997</v>
          </cell>
          <cell r="AE733">
            <v>746.95000000000027</v>
          </cell>
          <cell r="AN733" t="str">
            <v xml:space="preserve">Contrato emergencial nº </v>
          </cell>
          <cell r="AO733" t="str">
            <v>PJ</v>
          </cell>
        </row>
        <row r="734">
          <cell r="D734" t="str">
            <v>1732/11</v>
          </cell>
          <cell r="E734">
            <v>40763</v>
          </cell>
          <cell r="F734">
            <v>40942</v>
          </cell>
          <cell r="G734">
            <v>40877</v>
          </cell>
          <cell r="H734" t="str">
            <v>2011-0.200.799-0</v>
          </cell>
          <cell r="I734">
            <v>44324.52</v>
          </cell>
          <cell r="J734" t="str">
            <v xml:space="preserve">              123611122                  2848                    33903600</v>
          </cell>
          <cell r="K734">
            <v>40763</v>
          </cell>
          <cell r="L734">
            <v>115</v>
          </cell>
          <cell r="M734">
            <v>28400</v>
          </cell>
          <cell r="N734">
            <v>885</v>
          </cell>
          <cell r="O734">
            <v>24984</v>
          </cell>
          <cell r="P734">
            <v>16</v>
          </cell>
          <cell r="Q734">
            <v>3</v>
          </cell>
          <cell r="S734">
            <v>6000</v>
          </cell>
          <cell r="T734">
            <v>7839.9999999999991</v>
          </cell>
          <cell r="U734">
            <v>0</v>
          </cell>
          <cell r="V734">
            <v>8200</v>
          </cell>
          <cell r="W734">
            <v>180</v>
          </cell>
          <cell r="X734">
            <v>6560</v>
          </cell>
          <cell r="Y734">
            <v>88291</v>
          </cell>
          <cell r="Z734">
            <v>5146.16</v>
          </cell>
          <cell r="AA734">
            <v>9613.84</v>
          </cell>
          <cell r="AB734">
            <v>246.2473333333333</v>
          </cell>
          <cell r="AC734">
            <v>7400</v>
          </cell>
          <cell r="AD734">
            <v>8172.15</v>
          </cell>
          <cell r="AE734">
            <v>-772.14999999999964</v>
          </cell>
          <cell r="AN734" t="str">
            <v xml:space="preserve">Contrato emergencial nº </v>
          </cell>
          <cell r="AO734" t="str">
            <v>CS</v>
          </cell>
        </row>
        <row r="735">
          <cell r="D735" t="str">
            <v>1731/11</v>
          </cell>
          <cell r="E735">
            <v>40763</v>
          </cell>
          <cell r="F735">
            <v>40942</v>
          </cell>
          <cell r="G735">
            <v>40877</v>
          </cell>
          <cell r="H735" t="str">
            <v>2011-0.200.794-0</v>
          </cell>
          <cell r="I735">
            <v>42184.92</v>
          </cell>
          <cell r="J735" t="str">
            <v xml:space="preserve">             123671125                  2863                   33903600</v>
          </cell>
          <cell r="K735">
            <v>40763</v>
          </cell>
          <cell r="L735">
            <v>115</v>
          </cell>
          <cell r="M735">
            <v>27000</v>
          </cell>
          <cell r="N735">
            <v>57287</v>
          </cell>
          <cell r="O735">
            <v>24983</v>
          </cell>
          <cell r="P735">
            <v>16</v>
          </cell>
          <cell r="Q735">
            <v>4</v>
          </cell>
          <cell r="S735">
            <v>5700</v>
          </cell>
          <cell r="T735">
            <v>7454.9999999999991</v>
          </cell>
          <cell r="U735">
            <v>0</v>
          </cell>
          <cell r="V735">
            <v>7100</v>
          </cell>
          <cell r="W735">
            <v>180</v>
          </cell>
          <cell r="X735">
            <v>5680</v>
          </cell>
          <cell r="Y735">
            <v>90714</v>
          </cell>
          <cell r="Z735">
            <v>20832.64</v>
          </cell>
          <cell r="AA735">
            <v>-8052.6399999999994</v>
          </cell>
          <cell r="AB735">
            <v>234.36066666666665</v>
          </cell>
          <cell r="AC735">
            <v>7100</v>
          </cell>
          <cell r="AD735">
            <v>5770.0499999999993</v>
          </cell>
          <cell r="AE735">
            <v>1329.9500000000007</v>
          </cell>
          <cell r="AN735" t="str">
            <v xml:space="preserve">Contrato emergencial nº </v>
          </cell>
          <cell r="AO735" t="str">
            <v>MP</v>
          </cell>
        </row>
        <row r="736">
          <cell r="D736" t="str">
            <v>1739/11</v>
          </cell>
          <cell r="E736">
            <v>40763</v>
          </cell>
          <cell r="F736">
            <v>40942</v>
          </cell>
          <cell r="G736">
            <v>40877</v>
          </cell>
          <cell r="H736" t="str">
            <v>2011-0.200.425-8</v>
          </cell>
          <cell r="I736">
            <v>42184.92</v>
          </cell>
          <cell r="J736" t="str">
            <v xml:space="preserve">             123671125                  2863                   33903600</v>
          </cell>
          <cell r="K736">
            <v>40763</v>
          </cell>
          <cell r="L736">
            <v>115</v>
          </cell>
          <cell r="M736">
            <v>27000</v>
          </cell>
          <cell r="N736">
            <v>57287</v>
          </cell>
          <cell r="O736">
            <v>25007</v>
          </cell>
          <cell r="P736">
            <v>16</v>
          </cell>
          <cell r="Q736">
            <v>4</v>
          </cell>
          <cell r="S736">
            <v>5700</v>
          </cell>
          <cell r="T736">
            <v>7454.9999999999991</v>
          </cell>
          <cell r="U736">
            <v>0</v>
          </cell>
          <cell r="V736">
            <v>7600</v>
          </cell>
          <cell r="W736">
            <v>180</v>
          </cell>
          <cell r="X736">
            <v>6080</v>
          </cell>
          <cell r="Y736">
            <v>89666</v>
          </cell>
          <cell r="Z736">
            <v>6068.43</v>
          </cell>
          <cell r="AA736">
            <v>7611.57</v>
          </cell>
          <cell r="AB736">
            <v>234.36066666666665</v>
          </cell>
          <cell r="AC736">
            <v>7100</v>
          </cell>
          <cell r="AD736">
            <v>7514.2499999999991</v>
          </cell>
          <cell r="AE736">
            <v>-414.24999999999909</v>
          </cell>
          <cell r="AN736" t="str">
            <v xml:space="preserve">Contrato emergencial nº </v>
          </cell>
          <cell r="AO736" t="str">
            <v>PJ</v>
          </cell>
        </row>
        <row r="737">
          <cell r="D737" t="str">
            <v>1735/11</v>
          </cell>
          <cell r="E737">
            <v>40763</v>
          </cell>
          <cell r="F737">
            <v>40942</v>
          </cell>
          <cell r="G737">
            <v>40877</v>
          </cell>
          <cell r="H737" t="str">
            <v>2011-0.200.413-4</v>
          </cell>
          <cell r="I737">
            <v>42184.92</v>
          </cell>
          <cell r="J737" t="str">
            <v xml:space="preserve">             123671125                  2863                   33903600</v>
          </cell>
          <cell r="K737">
            <v>40763</v>
          </cell>
          <cell r="L737">
            <v>115</v>
          </cell>
          <cell r="M737">
            <v>27000</v>
          </cell>
          <cell r="N737">
            <v>57287</v>
          </cell>
          <cell r="O737">
            <v>24987</v>
          </cell>
          <cell r="P737">
            <v>16</v>
          </cell>
          <cell r="Q737">
            <v>4</v>
          </cell>
          <cell r="S737">
            <v>5700</v>
          </cell>
          <cell r="T737">
            <v>7454.9999999999991</v>
          </cell>
          <cell r="U737">
            <v>0</v>
          </cell>
          <cell r="V737">
            <v>7100</v>
          </cell>
          <cell r="W737">
            <v>180</v>
          </cell>
          <cell r="X737">
            <v>5680</v>
          </cell>
          <cell r="Y737">
            <v>89412</v>
          </cell>
          <cell r="Z737">
            <v>8295.08</v>
          </cell>
          <cell r="AA737">
            <v>4484.92</v>
          </cell>
          <cell r="AB737">
            <v>234.36066666666665</v>
          </cell>
          <cell r="AC737">
            <v>7100</v>
          </cell>
          <cell r="AD737">
            <v>6601.0999999999995</v>
          </cell>
          <cell r="AE737">
            <v>498.90000000000055</v>
          </cell>
          <cell r="AN737" t="str">
            <v xml:space="preserve">Contrato emergencial nº </v>
          </cell>
          <cell r="AO737" t="str">
            <v>CS</v>
          </cell>
        </row>
        <row r="738">
          <cell r="D738" t="str">
            <v>1740/11</v>
          </cell>
          <cell r="E738">
            <v>40764</v>
          </cell>
          <cell r="F738">
            <v>40943</v>
          </cell>
          <cell r="G738">
            <v>40877</v>
          </cell>
          <cell r="H738" t="str">
            <v>2011-0.200.427-4</v>
          </cell>
          <cell r="I738">
            <v>31418.52</v>
          </cell>
          <cell r="J738" t="str">
            <v xml:space="preserve">              123651121                 2847                    33903600</v>
          </cell>
          <cell r="K738">
            <v>40764</v>
          </cell>
          <cell r="L738">
            <v>114</v>
          </cell>
          <cell r="M738">
            <v>19900</v>
          </cell>
          <cell r="N738">
            <v>57273</v>
          </cell>
          <cell r="O738">
            <v>25010</v>
          </cell>
          <cell r="P738">
            <v>16</v>
          </cell>
          <cell r="Q738">
            <v>2</v>
          </cell>
          <cell r="S738">
            <v>4100</v>
          </cell>
          <cell r="T738">
            <v>5530</v>
          </cell>
          <cell r="U738">
            <v>0</v>
          </cell>
          <cell r="V738">
            <v>5700</v>
          </cell>
          <cell r="W738">
            <v>180</v>
          </cell>
          <cell r="X738">
            <v>4560</v>
          </cell>
          <cell r="Y738">
            <v>89672</v>
          </cell>
          <cell r="Z738">
            <v>4060.37</v>
          </cell>
          <cell r="AA738">
            <v>6199.63</v>
          </cell>
          <cell r="AB738">
            <v>174.54733333333334</v>
          </cell>
          <cell r="AC738">
            <v>5300</v>
          </cell>
          <cell r="AD738">
            <v>5605.8</v>
          </cell>
          <cell r="AE738">
            <v>-305.80000000000018</v>
          </cell>
          <cell r="AN738" t="str">
            <v xml:space="preserve">Contrato emergencial nº </v>
          </cell>
          <cell r="AO738" t="str">
            <v>PJ</v>
          </cell>
        </row>
        <row r="739">
          <cell r="D739" t="str">
            <v>1736/11</v>
          </cell>
          <cell r="E739">
            <v>40764</v>
          </cell>
          <cell r="F739">
            <v>40943</v>
          </cell>
          <cell r="G739">
            <v>40877</v>
          </cell>
          <cell r="H739" t="str">
            <v>2011-0.200.416-9</v>
          </cell>
          <cell r="I739">
            <v>42838.74</v>
          </cell>
          <cell r="J739" t="str">
            <v xml:space="preserve">             123671125                  2863                   33903600</v>
          </cell>
          <cell r="K739">
            <v>40764</v>
          </cell>
          <cell r="L739">
            <v>114</v>
          </cell>
          <cell r="M739">
            <v>27200</v>
          </cell>
          <cell r="N739">
            <v>57287</v>
          </cell>
          <cell r="O739">
            <v>25001</v>
          </cell>
          <cell r="P739">
            <v>16</v>
          </cell>
          <cell r="Q739">
            <v>4</v>
          </cell>
          <cell r="S739">
            <v>5500</v>
          </cell>
          <cell r="T739">
            <v>7594.9999999999991</v>
          </cell>
          <cell r="U739">
            <v>0</v>
          </cell>
          <cell r="V739">
            <v>7200</v>
          </cell>
          <cell r="W739">
            <v>180</v>
          </cell>
          <cell r="X739">
            <v>5760</v>
          </cell>
          <cell r="Y739">
            <v>89590</v>
          </cell>
          <cell r="Z739">
            <v>8168.16</v>
          </cell>
          <cell r="AA739">
            <v>4791.84</v>
          </cell>
          <cell r="AB739">
            <v>237.99299999999999</v>
          </cell>
          <cell r="AC739">
            <v>7200</v>
          </cell>
          <cell r="AD739">
            <v>6663.8499999999995</v>
          </cell>
          <cell r="AE739">
            <v>536.15000000000055</v>
          </cell>
          <cell r="AN739" t="str">
            <v xml:space="preserve">Contrato emergencial nº </v>
          </cell>
          <cell r="AO739" t="str">
            <v>IP</v>
          </cell>
        </row>
        <row r="740">
          <cell r="D740" t="str">
            <v>1742/11</v>
          </cell>
          <cell r="E740">
            <v>40765</v>
          </cell>
          <cell r="F740">
            <v>40944</v>
          </cell>
          <cell r="G740">
            <v>40877</v>
          </cell>
          <cell r="H740" t="str">
            <v>2011-0.200.445-2</v>
          </cell>
          <cell r="I740">
            <v>42184.92</v>
          </cell>
          <cell r="J740" t="str">
            <v xml:space="preserve">             123671125                  2863                   33903600</v>
          </cell>
          <cell r="K740">
            <v>40765</v>
          </cell>
          <cell r="L740">
            <v>113</v>
          </cell>
          <cell r="M740">
            <v>26500</v>
          </cell>
          <cell r="N740">
            <v>57287</v>
          </cell>
          <cell r="O740">
            <v>25106</v>
          </cell>
          <cell r="P740">
            <v>16</v>
          </cell>
          <cell r="Q740">
            <v>4</v>
          </cell>
          <cell r="S740">
            <v>5200</v>
          </cell>
          <cell r="T740">
            <v>7454.9999999999991</v>
          </cell>
          <cell r="U740">
            <v>0</v>
          </cell>
          <cell r="V740">
            <v>7100</v>
          </cell>
          <cell r="W740">
            <v>180</v>
          </cell>
          <cell r="X740">
            <v>5680</v>
          </cell>
          <cell r="Y740">
            <v>89680</v>
          </cell>
          <cell r="Z740">
            <v>8232.8700000000008</v>
          </cell>
          <cell r="AA740">
            <v>4547.1299999999992</v>
          </cell>
          <cell r="AB740">
            <v>234.36066666666665</v>
          </cell>
          <cell r="AC740">
            <v>7100</v>
          </cell>
          <cell r="AD740">
            <v>6858.65</v>
          </cell>
          <cell r="AE740">
            <v>241.35000000000036</v>
          </cell>
          <cell r="AN740" t="str">
            <v xml:space="preserve">Contrato emergencial nº </v>
          </cell>
          <cell r="AO740" t="str">
            <v>PJ</v>
          </cell>
        </row>
        <row r="741">
          <cell r="D741" t="str">
            <v>1741/11</v>
          </cell>
          <cell r="E741">
            <v>40767</v>
          </cell>
          <cell r="F741">
            <v>40946</v>
          </cell>
          <cell r="G741">
            <v>40877</v>
          </cell>
          <cell r="H741" t="str">
            <v>2011-0.200.431-2</v>
          </cell>
          <cell r="I741">
            <v>36300.300000000003</v>
          </cell>
          <cell r="J741" t="str">
            <v xml:space="preserve">              123611122                  2848                    33903600</v>
          </cell>
          <cell r="K741">
            <v>40767</v>
          </cell>
          <cell r="L741">
            <v>111</v>
          </cell>
          <cell r="M741">
            <v>22400</v>
          </cell>
          <cell r="N741">
            <v>57278</v>
          </cell>
          <cell r="O741">
            <v>26888</v>
          </cell>
          <cell r="P741">
            <v>16</v>
          </cell>
          <cell r="Q741">
            <v>3</v>
          </cell>
          <cell r="S741">
            <v>4100</v>
          </cell>
          <cell r="T741">
            <v>6405</v>
          </cell>
          <cell r="U741">
            <v>0</v>
          </cell>
          <cell r="V741">
            <v>6100</v>
          </cell>
          <cell r="W741">
            <v>180</v>
          </cell>
          <cell r="X741">
            <v>4880</v>
          </cell>
          <cell r="Y741">
            <v>89608</v>
          </cell>
          <cell r="Z741">
            <v>10389.9</v>
          </cell>
          <cell r="AA741">
            <v>590.10000000000036</v>
          </cell>
          <cell r="AB741">
            <v>201.66833333333335</v>
          </cell>
          <cell r="AC741">
            <v>6100</v>
          </cell>
          <cell r="AD741">
            <v>4391.95</v>
          </cell>
          <cell r="AE741">
            <v>1708.0500000000002</v>
          </cell>
          <cell r="AN741" t="str">
            <v xml:space="preserve">Contrato emergencial nº </v>
          </cell>
          <cell r="AO741" t="str">
            <v>SM</v>
          </cell>
        </row>
        <row r="742">
          <cell r="D742" t="str">
            <v>1745/11</v>
          </cell>
          <cell r="E742">
            <v>40770</v>
          </cell>
          <cell r="F742">
            <v>40949</v>
          </cell>
          <cell r="G742">
            <v>40877</v>
          </cell>
          <cell r="H742" t="str">
            <v>2011-0.200.465-7</v>
          </cell>
          <cell r="I742">
            <v>37607.879999999997</v>
          </cell>
          <cell r="J742" t="str">
            <v xml:space="preserve">              123651121                 2847                    33903600</v>
          </cell>
          <cell r="K742">
            <v>40770</v>
          </cell>
          <cell r="L742">
            <v>108</v>
          </cell>
          <cell r="M742">
            <v>22600</v>
          </cell>
          <cell r="N742">
            <v>57273</v>
          </cell>
          <cell r="O742">
            <v>25117</v>
          </cell>
          <cell r="P742">
            <v>16</v>
          </cell>
          <cell r="Q742">
            <v>2</v>
          </cell>
          <cell r="S742">
            <v>3600</v>
          </cell>
          <cell r="T742">
            <v>6650</v>
          </cell>
          <cell r="U742">
            <v>0</v>
          </cell>
          <cell r="V742">
            <v>6300</v>
          </cell>
          <cell r="W742">
            <v>180</v>
          </cell>
          <cell r="X742">
            <v>5040</v>
          </cell>
          <cell r="Y742">
            <v>91224</v>
          </cell>
          <cell r="Z742">
            <v>10471.35</v>
          </cell>
          <cell r="AA742">
            <v>868.64999999999964</v>
          </cell>
          <cell r="AB742">
            <v>208.93266666666665</v>
          </cell>
          <cell r="AC742">
            <v>6300</v>
          </cell>
          <cell r="AD742">
            <v>4475.2499999999991</v>
          </cell>
          <cell r="AE742">
            <v>1824.7500000000009</v>
          </cell>
          <cell r="AN742" t="str">
            <v xml:space="preserve">Contrato emergencial nº </v>
          </cell>
          <cell r="AO742" t="str">
            <v>IQ</v>
          </cell>
        </row>
        <row r="743">
          <cell r="D743" t="str">
            <v>2685/11</v>
          </cell>
          <cell r="E743">
            <v>40770</v>
          </cell>
          <cell r="F743">
            <v>40949</v>
          </cell>
          <cell r="G743">
            <v>40877</v>
          </cell>
          <cell r="H743" t="str">
            <v>2011-0.229.906-1</v>
          </cell>
          <cell r="I743">
            <v>31824.66</v>
          </cell>
          <cell r="J743" t="str">
            <v xml:space="preserve">              123611122                  2848                    33903600</v>
          </cell>
          <cell r="K743">
            <v>40770</v>
          </cell>
          <cell r="L743">
            <v>108</v>
          </cell>
          <cell r="M743">
            <v>19100</v>
          </cell>
          <cell r="N743">
            <v>885</v>
          </cell>
          <cell r="O743">
            <v>27503</v>
          </cell>
          <cell r="P743">
            <v>16</v>
          </cell>
          <cell r="Q743">
            <v>3</v>
          </cell>
          <cell r="S743">
            <v>3100</v>
          </cell>
          <cell r="T743">
            <v>5600</v>
          </cell>
          <cell r="U743">
            <v>0</v>
          </cell>
          <cell r="V743">
            <v>5400</v>
          </cell>
          <cell r="W743">
            <v>180</v>
          </cell>
          <cell r="X743">
            <v>4320</v>
          </cell>
          <cell r="Y743">
            <v>88276</v>
          </cell>
          <cell r="Z743">
            <v>10330.52</v>
          </cell>
          <cell r="AA743">
            <v>-610.52000000000044</v>
          </cell>
          <cell r="AB743">
            <v>176.80366666666666</v>
          </cell>
          <cell r="AC743">
            <v>5400</v>
          </cell>
          <cell r="AD743">
            <v>3054.242666666667</v>
          </cell>
          <cell r="AE743">
            <v>2345.757333333333</v>
          </cell>
          <cell r="AN743" t="str">
            <v xml:space="preserve">Contrato emergencial nº </v>
          </cell>
          <cell r="AO743" t="str">
            <v>CL</v>
          </cell>
        </row>
        <row r="744">
          <cell r="D744" t="str">
            <v>1750/11</v>
          </cell>
          <cell r="E744">
            <v>40770</v>
          </cell>
          <cell r="F744">
            <v>40949</v>
          </cell>
          <cell r="G744">
            <v>40877</v>
          </cell>
          <cell r="H744" t="str">
            <v>2011-0.200.492-4</v>
          </cell>
          <cell r="I744">
            <v>41531.040000000001</v>
          </cell>
          <cell r="J744" t="str">
            <v xml:space="preserve">             123671125                  2863                   33903600</v>
          </cell>
          <cell r="K744">
            <v>40770</v>
          </cell>
          <cell r="L744">
            <v>108</v>
          </cell>
          <cell r="M744">
            <v>25000</v>
          </cell>
          <cell r="N744">
            <v>57287</v>
          </cell>
          <cell r="O744">
            <v>25123</v>
          </cell>
          <cell r="P744">
            <v>16</v>
          </cell>
          <cell r="Q744">
            <v>4</v>
          </cell>
          <cell r="S744">
            <v>4000</v>
          </cell>
          <cell r="T744">
            <v>7349.9999999999991</v>
          </cell>
          <cell r="U744">
            <v>0</v>
          </cell>
          <cell r="V744">
            <v>7000</v>
          </cell>
          <cell r="W744">
            <v>180</v>
          </cell>
          <cell r="X744">
            <v>5600</v>
          </cell>
          <cell r="Y744">
            <v>89942</v>
          </cell>
          <cell r="Z744">
            <v>8382.39</v>
          </cell>
          <cell r="AA744">
            <v>4217.6100000000006</v>
          </cell>
          <cell r="AB744">
            <v>230.72800000000001</v>
          </cell>
          <cell r="AC744">
            <v>7000</v>
          </cell>
          <cell r="AD744">
            <v>6352.65</v>
          </cell>
          <cell r="AE744">
            <v>647.35000000000036</v>
          </cell>
          <cell r="AN744" t="str">
            <v xml:space="preserve">Contrato emergencial nº </v>
          </cell>
          <cell r="AO744" t="str">
            <v>PE</v>
          </cell>
        </row>
        <row r="745">
          <cell r="D745" t="str">
            <v>1747/11</v>
          </cell>
          <cell r="E745">
            <v>40770</v>
          </cell>
          <cell r="F745">
            <v>40949</v>
          </cell>
          <cell r="G745">
            <v>40877</v>
          </cell>
          <cell r="H745" t="str">
            <v>2011-0.200.478-9</v>
          </cell>
          <cell r="I745">
            <v>37607.879999999997</v>
          </cell>
          <cell r="J745" t="str">
            <v xml:space="preserve">              123651121                 2847                    33903600</v>
          </cell>
          <cell r="K745">
            <v>40770</v>
          </cell>
          <cell r="L745">
            <v>108</v>
          </cell>
          <cell r="M745">
            <v>22600</v>
          </cell>
          <cell r="N745">
            <v>57273</v>
          </cell>
          <cell r="O745">
            <v>27142</v>
          </cell>
          <cell r="P745">
            <v>16</v>
          </cell>
          <cell r="Q745">
            <v>2</v>
          </cell>
          <cell r="S745">
            <v>3600</v>
          </cell>
          <cell r="T745">
            <v>6650</v>
          </cell>
          <cell r="U745">
            <v>0</v>
          </cell>
          <cell r="V745">
            <v>6300</v>
          </cell>
          <cell r="W745">
            <v>180</v>
          </cell>
          <cell r="X745">
            <v>5040</v>
          </cell>
          <cell r="Y745">
            <v>89944</v>
          </cell>
          <cell r="Z745">
            <v>9651.19</v>
          </cell>
          <cell r="AA745">
            <v>1688.8099999999995</v>
          </cell>
          <cell r="AB745">
            <v>208.93266666666665</v>
          </cell>
          <cell r="AC745">
            <v>6300</v>
          </cell>
          <cell r="AD745">
            <v>4945.3999999999996</v>
          </cell>
          <cell r="AE745">
            <v>1354.6000000000004</v>
          </cell>
          <cell r="AN745" t="str">
            <v xml:space="preserve">Contrato emergencial nº </v>
          </cell>
          <cell r="AO745" t="str">
            <v>G</v>
          </cell>
        </row>
        <row r="746">
          <cell r="D746" t="str">
            <v>1758/11</v>
          </cell>
          <cell r="E746">
            <v>40770</v>
          </cell>
          <cell r="F746">
            <v>40949</v>
          </cell>
          <cell r="G746">
            <v>40877</v>
          </cell>
          <cell r="H746" t="str">
            <v>2011-0.200.521-1</v>
          </cell>
          <cell r="I746">
            <v>31012.38</v>
          </cell>
          <cell r="J746" t="str">
            <v xml:space="preserve">              123651121                 2847                    33903600</v>
          </cell>
          <cell r="K746">
            <v>40770</v>
          </cell>
          <cell r="L746">
            <v>108</v>
          </cell>
          <cell r="M746">
            <v>18700</v>
          </cell>
          <cell r="N746">
            <v>57273</v>
          </cell>
          <cell r="O746">
            <v>25132</v>
          </cell>
          <cell r="P746">
            <v>16</v>
          </cell>
          <cell r="Q746">
            <v>2</v>
          </cell>
          <cell r="S746">
            <v>3000</v>
          </cell>
          <cell r="T746">
            <v>5495</v>
          </cell>
          <cell r="V746">
            <v>5800</v>
          </cell>
          <cell r="W746">
            <v>180</v>
          </cell>
          <cell r="X746">
            <v>4640</v>
          </cell>
          <cell r="Z746">
            <v>4352.82</v>
          </cell>
          <cell r="AA746">
            <v>6087.18</v>
          </cell>
          <cell r="AB746">
            <v>172.291</v>
          </cell>
          <cell r="AC746">
            <v>5200</v>
          </cell>
          <cell r="AD746">
            <v>5723.1500000000005</v>
          </cell>
          <cell r="AE746">
            <v>-523.15000000000055</v>
          </cell>
          <cell r="AN746" t="str">
            <v xml:space="preserve">Contrato emergencial nº </v>
          </cell>
          <cell r="AO746" t="str">
            <v>BT</v>
          </cell>
        </row>
        <row r="747">
          <cell r="D747" t="str">
            <v>1757/11</v>
          </cell>
          <cell r="E747">
            <v>40770</v>
          </cell>
          <cell r="F747">
            <v>40949</v>
          </cell>
          <cell r="G747">
            <v>40877</v>
          </cell>
          <cell r="H747" t="str">
            <v>2011-0.200.512-2</v>
          </cell>
          <cell r="I747">
            <v>41739</v>
          </cell>
          <cell r="J747" t="str">
            <v xml:space="preserve">              123611122                  2848                    33903600</v>
          </cell>
          <cell r="K747">
            <v>40770</v>
          </cell>
          <cell r="L747">
            <v>108</v>
          </cell>
          <cell r="M747">
            <v>25100</v>
          </cell>
          <cell r="N747">
            <v>57278</v>
          </cell>
          <cell r="O747">
            <v>27150</v>
          </cell>
          <cell r="P747">
            <v>16</v>
          </cell>
          <cell r="Q747">
            <v>3</v>
          </cell>
          <cell r="S747">
            <v>4000</v>
          </cell>
          <cell r="T747">
            <v>7384.9999999999991</v>
          </cell>
          <cell r="U747">
            <v>0</v>
          </cell>
          <cell r="V747">
            <v>7000</v>
          </cell>
          <cell r="W747">
            <v>180</v>
          </cell>
          <cell r="X747">
            <v>5600</v>
          </cell>
          <cell r="Y747">
            <v>89688</v>
          </cell>
          <cell r="Z747">
            <v>10879.99</v>
          </cell>
          <cell r="AA747">
            <v>1720.0100000000002</v>
          </cell>
          <cell r="AB747">
            <v>231.88333333333333</v>
          </cell>
          <cell r="AC747">
            <v>7000</v>
          </cell>
          <cell r="AD747">
            <v>5487.45</v>
          </cell>
          <cell r="AE747">
            <v>1512.5500000000002</v>
          </cell>
          <cell r="AN747" t="str">
            <v xml:space="preserve">Contrato emergencial nº </v>
          </cell>
          <cell r="AO747" t="str">
            <v>PJ</v>
          </cell>
        </row>
        <row r="748">
          <cell r="D748" t="str">
            <v>2684/11</v>
          </cell>
          <cell r="E748">
            <v>40770</v>
          </cell>
          <cell r="F748">
            <v>40949</v>
          </cell>
          <cell r="G748">
            <v>40877</v>
          </cell>
          <cell r="H748" t="str">
            <v>2011-0.229.897-9</v>
          </cell>
          <cell r="I748">
            <v>43492.5</v>
          </cell>
          <cell r="J748" t="str">
            <v xml:space="preserve">             123671125                  2863                   33903600</v>
          </cell>
          <cell r="K748">
            <v>40770</v>
          </cell>
          <cell r="L748">
            <v>108</v>
          </cell>
          <cell r="M748">
            <v>26100</v>
          </cell>
          <cell r="N748">
            <v>57287</v>
          </cell>
          <cell r="O748">
            <v>30042</v>
          </cell>
          <cell r="P748">
            <v>16</v>
          </cell>
          <cell r="Q748">
            <v>4</v>
          </cell>
          <cell r="S748">
            <v>4200</v>
          </cell>
          <cell r="T748">
            <v>7664.9999999999991</v>
          </cell>
          <cell r="U748">
            <v>0</v>
          </cell>
          <cell r="V748">
            <v>7300</v>
          </cell>
          <cell r="W748">
            <v>180</v>
          </cell>
          <cell r="X748">
            <v>5840</v>
          </cell>
          <cell r="Y748">
            <v>98105</v>
          </cell>
          <cell r="Z748">
            <v>5939.62</v>
          </cell>
          <cell r="AA748">
            <v>7200.38</v>
          </cell>
          <cell r="AB748">
            <v>241.625</v>
          </cell>
          <cell r="AC748">
            <v>7300</v>
          </cell>
          <cell r="AD748">
            <v>3563.2033333333338</v>
          </cell>
          <cell r="AE748">
            <v>3736.7966666666662</v>
          </cell>
          <cell r="AN748" t="str">
            <v xml:space="preserve">Contrato emergencial nº </v>
          </cell>
          <cell r="AO748" t="str">
            <v>PJ</v>
          </cell>
        </row>
        <row r="749">
          <cell r="D749" t="str">
            <v>1753/11</v>
          </cell>
          <cell r="E749">
            <v>40770</v>
          </cell>
          <cell r="F749">
            <v>40949</v>
          </cell>
          <cell r="G749">
            <v>40877</v>
          </cell>
          <cell r="H749" t="str">
            <v>2011-0.200.502-5</v>
          </cell>
          <cell r="I749">
            <v>37607.879999999997</v>
          </cell>
          <cell r="J749" t="str">
            <v xml:space="preserve">              123651121                 2847                    33903600</v>
          </cell>
          <cell r="K749">
            <v>40770</v>
          </cell>
          <cell r="L749">
            <v>108</v>
          </cell>
          <cell r="M749">
            <v>22600</v>
          </cell>
          <cell r="N749">
            <v>57273</v>
          </cell>
          <cell r="O749">
            <v>25125</v>
          </cell>
          <cell r="P749">
            <v>16</v>
          </cell>
          <cell r="Q749">
            <v>2</v>
          </cell>
          <cell r="S749">
            <v>3600</v>
          </cell>
          <cell r="T749">
            <v>6650</v>
          </cell>
          <cell r="U749">
            <v>0</v>
          </cell>
          <cell r="V749">
            <v>6300</v>
          </cell>
          <cell r="W749">
            <v>180</v>
          </cell>
          <cell r="X749">
            <v>5040</v>
          </cell>
          <cell r="Y749">
            <v>91246</v>
          </cell>
          <cell r="Z749">
            <v>6912.05</v>
          </cell>
          <cell r="AA749">
            <v>4427.95</v>
          </cell>
          <cell r="AB749">
            <v>208.93266666666665</v>
          </cell>
          <cell r="AC749">
            <v>6300</v>
          </cell>
          <cell r="AD749">
            <v>5312.1</v>
          </cell>
          <cell r="AE749">
            <v>987.89999999999964</v>
          </cell>
          <cell r="AN749" t="str">
            <v xml:space="preserve">Contrato emergencial nº </v>
          </cell>
          <cell r="AO749" t="str">
            <v>SA</v>
          </cell>
        </row>
        <row r="750">
          <cell r="D750" t="str">
            <v>1751/11</v>
          </cell>
          <cell r="E750">
            <v>40770</v>
          </cell>
          <cell r="F750">
            <v>40949</v>
          </cell>
          <cell r="G750">
            <v>40877</v>
          </cell>
          <cell r="H750" t="str">
            <v>2011-0.200.497-5</v>
          </cell>
          <cell r="I750">
            <v>37607.879999999997</v>
          </cell>
          <cell r="J750" t="str">
            <v xml:space="preserve">              123651121                 2847                    33903600</v>
          </cell>
          <cell r="K750">
            <v>40770</v>
          </cell>
          <cell r="L750">
            <v>108</v>
          </cell>
          <cell r="M750">
            <v>22600</v>
          </cell>
          <cell r="N750">
            <v>57273</v>
          </cell>
          <cell r="O750">
            <v>27144</v>
          </cell>
          <cell r="P750">
            <v>16</v>
          </cell>
          <cell r="Q750">
            <v>2</v>
          </cell>
          <cell r="S750">
            <v>3600</v>
          </cell>
          <cell r="T750">
            <v>6650</v>
          </cell>
          <cell r="U750">
            <v>0</v>
          </cell>
          <cell r="V750">
            <v>6300</v>
          </cell>
          <cell r="W750">
            <v>180</v>
          </cell>
          <cell r="X750">
            <v>5040</v>
          </cell>
          <cell r="Y750">
            <v>89416</v>
          </cell>
          <cell r="Z750">
            <v>6341.13</v>
          </cell>
          <cell r="AA750">
            <v>4998.87</v>
          </cell>
          <cell r="AB750">
            <v>208.93266666666665</v>
          </cell>
          <cell r="AC750">
            <v>6300</v>
          </cell>
          <cell r="AD750">
            <v>6165.5499999999993</v>
          </cell>
          <cell r="AE750">
            <v>134.45000000000073</v>
          </cell>
          <cell r="AN750" t="str">
            <v xml:space="preserve">Contrato emergencial nº </v>
          </cell>
          <cell r="AO750" t="str">
            <v>CS</v>
          </cell>
        </row>
        <row r="751">
          <cell r="D751" t="str">
            <v>1752/11</v>
          </cell>
          <cell r="E751">
            <v>40770</v>
          </cell>
          <cell r="F751">
            <v>40949</v>
          </cell>
          <cell r="G751">
            <v>40877</v>
          </cell>
          <cell r="H751" t="str">
            <v>2011-0.200.500-9</v>
          </cell>
          <cell r="I751">
            <v>30754.74</v>
          </cell>
          <cell r="J751" t="str">
            <v xml:space="preserve">              123651121                 2847                    33903600</v>
          </cell>
          <cell r="K751">
            <v>40770</v>
          </cell>
          <cell r="L751">
            <v>108</v>
          </cell>
          <cell r="M751">
            <v>18500</v>
          </cell>
          <cell r="N751">
            <v>57273</v>
          </cell>
          <cell r="O751">
            <v>27146</v>
          </cell>
          <cell r="P751">
            <v>16</v>
          </cell>
          <cell r="Q751">
            <v>2</v>
          </cell>
          <cell r="S751">
            <v>3000</v>
          </cell>
          <cell r="T751">
            <v>5425</v>
          </cell>
          <cell r="U751">
            <v>0</v>
          </cell>
          <cell r="V751">
            <v>5200</v>
          </cell>
          <cell r="W751">
            <v>180</v>
          </cell>
          <cell r="X751">
            <v>4160</v>
          </cell>
          <cell r="Y751">
            <v>92531</v>
          </cell>
          <cell r="Z751">
            <v>4809</v>
          </cell>
          <cell r="AA751">
            <v>4551</v>
          </cell>
          <cell r="AB751">
            <v>170.85966666666667</v>
          </cell>
          <cell r="AC751">
            <v>5200</v>
          </cell>
          <cell r="AD751">
            <v>4892.7999999999993</v>
          </cell>
          <cell r="AE751">
            <v>307.20000000000073</v>
          </cell>
          <cell r="AN751" t="str">
            <v xml:space="preserve">Contrato emergencial nº </v>
          </cell>
          <cell r="AO751" t="str">
            <v>JT</v>
          </cell>
        </row>
        <row r="752">
          <cell r="D752" t="str">
            <v>2683/11</v>
          </cell>
          <cell r="E752">
            <v>40770</v>
          </cell>
          <cell r="F752">
            <v>40949</v>
          </cell>
          <cell r="G752">
            <v>40877</v>
          </cell>
          <cell r="H752" t="str">
            <v>2011-0.229.891-0</v>
          </cell>
          <cell r="I752">
            <v>27971.16</v>
          </cell>
          <cell r="J752" t="str">
            <v xml:space="preserve">              123611122                  2848                    33903600</v>
          </cell>
          <cell r="K752">
            <v>40770</v>
          </cell>
          <cell r="L752">
            <v>108</v>
          </cell>
          <cell r="M752">
            <v>16800</v>
          </cell>
          <cell r="N752">
            <v>57278</v>
          </cell>
          <cell r="O752">
            <v>27500</v>
          </cell>
          <cell r="P752">
            <v>16</v>
          </cell>
          <cell r="Q752">
            <v>3</v>
          </cell>
          <cell r="S752">
            <v>2700</v>
          </cell>
          <cell r="T752">
            <v>4935</v>
          </cell>
          <cell r="U752">
            <v>0</v>
          </cell>
          <cell r="V752">
            <v>4700</v>
          </cell>
          <cell r="W752">
            <v>180</v>
          </cell>
          <cell r="X752">
            <v>3760</v>
          </cell>
          <cell r="Y752">
            <v>89948</v>
          </cell>
          <cell r="Z752">
            <v>5256.89</v>
          </cell>
          <cell r="AA752">
            <v>3203.1099999999997</v>
          </cell>
          <cell r="AB752">
            <v>155.39533333333333</v>
          </cell>
          <cell r="AC752">
            <v>4700</v>
          </cell>
          <cell r="AD752">
            <v>2172.88</v>
          </cell>
          <cell r="AE752">
            <v>2527.12</v>
          </cell>
          <cell r="AN752" t="str">
            <v xml:space="preserve">Contrato emergencial nº </v>
          </cell>
          <cell r="AO752" t="str">
            <v>G</v>
          </cell>
        </row>
        <row r="753">
          <cell r="D753" t="str">
            <v>1744/11</v>
          </cell>
          <cell r="E753">
            <v>40770</v>
          </cell>
          <cell r="F753">
            <v>40949</v>
          </cell>
          <cell r="G753">
            <v>40877</v>
          </cell>
          <cell r="H753" t="str">
            <v>2011-0.200.450-9</v>
          </cell>
          <cell r="I753">
            <v>37607.879999999997</v>
          </cell>
          <cell r="J753" t="str">
            <v xml:space="preserve">              123611122                  2848                    33903600</v>
          </cell>
          <cell r="K753">
            <v>40770</v>
          </cell>
          <cell r="L753">
            <v>108</v>
          </cell>
          <cell r="M753">
            <v>22600</v>
          </cell>
          <cell r="N753">
            <v>57278</v>
          </cell>
          <cell r="O753">
            <v>25113</v>
          </cell>
          <cell r="P753">
            <v>16</v>
          </cell>
          <cell r="Q753">
            <v>3</v>
          </cell>
          <cell r="S753">
            <v>3600</v>
          </cell>
          <cell r="T753">
            <v>6650</v>
          </cell>
          <cell r="U753">
            <v>0</v>
          </cell>
          <cell r="V753">
            <v>6300</v>
          </cell>
          <cell r="W753">
            <v>180</v>
          </cell>
          <cell r="X753">
            <v>5040</v>
          </cell>
          <cell r="Y753">
            <v>89952</v>
          </cell>
          <cell r="Z753">
            <v>7999.49</v>
          </cell>
          <cell r="AA753">
            <v>3340.51</v>
          </cell>
          <cell r="AB753">
            <v>208.93266666666665</v>
          </cell>
          <cell r="AC753">
            <v>6300</v>
          </cell>
          <cell r="AD753">
            <v>5541.0999999999995</v>
          </cell>
          <cell r="AE753">
            <v>758.90000000000055</v>
          </cell>
          <cell r="AN753" t="str">
            <v xml:space="preserve">Contrato emergencial nº </v>
          </cell>
          <cell r="AO753" t="str">
            <v>G</v>
          </cell>
        </row>
        <row r="754">
          <cell r="D754" t="str">
            <v>1754/11</v>
          </cell>
          <cell r="E754">
            <v>40770</v>
          </cell>
          <cell r="F754">
            <v>40949</v>
          </cell>
          <cell r="G754">
            <v>40877</v>
          </cell>
          <cell r="H754" t="str">
            <v>2011-0.200.504-1</v>
          </cell>
          <cell r="I754">
            <v>39569.46</v>
          </cell>
          <cell r="J754" t="str">
            <v xml:space="preserve">              123611122                  2848                    33903600</v>
          </cell>
          <cell r="K754">
            <v>40770</v>
          </cell>
          <cell r="L754">
            <v>108</v>
          </cell>
          <cell r="M754">
            <v>23800</v>
          </cell>
          <cell r="N754">
            <v>57278</v>
          </cell>
          <cell r="O754">
            <v>25127</v>
          </cell>
          <cell r="P754">
            <v>16</v>
          </cell>
          <cell r="Q754">
            <v>3</v>
          </cell>
          <cell r="S754">
            <v>3800</v>
          </cell>
          <cell r="T754">
            <v>7000</v>
          </cell>
          <cell r="U754">
            <v>0</v>
          </cell>
          <cell r="V754">
            <v>6700</v>
          </cell>
          <cell r="W754">
            <v>180</v>
          </cell>
          <cell r="X754">
            <v>5360</v>
          </cell>
          <cell r="Y754">
            <v>91251</v>
          </cell>
          <cell r="Z754">
            <v>6137.49</v>
          </cell>
          <cell r="AA754">
            <v>5922.51</v>
          </cell>
          <cell r="AB754">
            <v>219.83033333333333</v>
          </cell>
          <cell r="AC754">
            <v>6600</v>
          </cell>
          <cell r="AD754">
            <v>6672.7499999999991</v>
          </cell>
          <cell r="AE754">
            <v>-72.749999999999091</v>
          </cell>
          <cell r="AN754" t="str">
            <v xml:space="preserve">Contrato emergencial nº </v>
          </cell>
          <cell r="AO754" t="str">
            <v>SA</v>
          </cell>
        </row>
        <row r="755">
          <cell r="D755" t="str">
            <v>1755/11</v>
          </cell>
          <cell r="E755">
            <v>40770</v>
          </cell>
          <cell r="F755">
            <v>40949</v>
          </cell>
          <cell r="G755">
            <v>40877</v>
          </cell>
          <cell r="H755" t="str">
            <v>2011-0.200.507-6</v>
          </cell>
          <cell r="I755">
            <v>38261.760000000002</v>
          </cell>
          <cell r="J755" t="str">
            <v xml:space="preserve">              123611122                  2848                    33903600</v>
          </cell>
          <cell r="K755">
            <v>40770</v>
          </cell>
          <cell r="L755">
            <v>108</v>
          </cell>
          <cell r="M755">
            <v>23000</v>
          </cell>
          <cell r="N755">
            <v>57278</v>
          </cell>
          <cell r="O755">
            <v>25129</v>
          </cell>
          <cell r="P755">
            <v>16</v>
          </cell>
          <cell r="Q755">
            <v>3</v>
          </cell>
          <cell r="S755">
            <v>3700</v>
          </cell>
          <cell r="T755">
            <v>6755</v>
          </cell>
          <cell r="U755">
            <v>0</v>
          </cell>
          <cell r="V755">
            <v>6400</v>
          </cell>
          <cell r="W755">
            <v>180</v>
          </cell>
          <cell r="X755">
            <v>5120</v>
          </cell>
          <cell r="Y755">
            <v>91254</v>
          </cell>
          <cell r="Z755">
            <v>7309.17</v>
          </cell>
          <cell r="AA755">
            <v>4210.83</v>
          </cell>
          <cell r="AB755">
            <v>212.56533333333334</v>
          </cell>
          <cell r="AC755">
            <v>6400</v>
          </cell>
          <cell r="AD755">
            <v>5878.2</v>
          </cell>
          <cell r="AE755">
            <v>521.80000000000018</v>
          </cell>
          <cell r="AN755" t="str">
            <v xml:space="preserve">Contrato emergencial nº </v>
          </cell>
          <cell r="AO755" t="str">
            <v>SA</v>
          </cell>
        </row>
        <row r="756">
          <cell r="D756" t="str">
            <v>1749/11</v>
          </cell>
          <cell r="E756">
            <v>40770</v>
          </cell>
          <cell r="F756">
            <v>40949</v>
          </cell>
          <cell r="G756">
            <v>40877</v>
          </cell>
          <cell r="H756" t="str">
            <v>2011-0.200.489-4</v>
          </cell>
          <cell r="I756">
            <v>41739</v>
          </cell>
          <cell r="J756" t="str">
            <v xml:space="preserve">              123611122                  2848                    33903600</v>
          </cell>
          <cell r="K756">
            <v>40770</v>
          </cell>
          <cell r="L756">
            <v>108</v>
          </cell>
          <cell r="M756">
            <v>25100</v>
          </cell>
          <cell r="N756">
            <v>57278</v>
          </cell>
          <cell r="O756">
            <v>27143</v>
          </cell>
          <cell r="P756">
            <v>16</v>
          </cell>
          <cell r="Q756">
            <v>3</v>
          </cell>
          <cell r="S756">
            <v>4000</v>
          </cell>
          <cell r="T756">
            <v>7384.9999999999991</v>
          </cell>
          <cell r="U756">
            <v>0</v>
          </cell>
          <cell r="V756">
            <v>7000</v>
          </cell>
          <cell r="W756">
            <v>180</v>
          </cell>
          <cell r="X756">
            <v>5600</v>
          </cell>
          <cell r="Y756">
            <v>92678</v>
          </cell>
          <cell r="Z756">
            <v>10231.549999999999</v>
          </cell>
          <cell r="AA756">
            <v>2368.4500000000007</v>
          </cell>
          <cell r="AB756">
            <v>231.88333333333333</v>
          </cell>
          <cell r="AC756">
            <v>7000</v>
          </cell>
          <cell r="AD756">
            <v>5978.0499999999993</v>
          </cell>
          <cell r="AE756">
            <v>1021.9500000000007</v>
          </cell>
          <cell r="AN756" t="str">
            <v xml:space="preserve">Contrato emergencial nº </v>
          </cell>
          <cell r="AO756" t="str">
            <v>JT</v>
          </cell>
        </row>
        <row r="757">
          <cell r="D757" t="str">
            <v>1746/11</v>
          </cell>
          <cell r="E757">
            <v>40770</v>
          </cell>
          <cell r="F757">
            <v>40949</v>
          </cell>
          <cell r="G757">
            <v>40877</v>
          </cell>
          <cell r="H757" t="str">
            <v>2011-0.200.476-2</v>
          </cell>
          <cell r="I757">
            <v>44324.52</v>
          </cell>
          <cell r="J757" t="str">
            <v xml:space="preserve">              123611122                  2848                    33903600</v>
          </cell>
          <cell r="K757">
            <v>40770</v>
          </cell>
          <cell r="L757">
            <v>108</v>
          </cell>
          <cell r="M757">
            <v>26600</v>
          </cell>
          <cell r="N757">
            <v>57278</v>
          </cell>
          <cell r="O757">
            <v>25120</v>
          </cell>
          <cell r="P757">
            <v>16</v>
          </cell>
          <cell r="Q757">
            <v>3</v>
          </cell>
          <cell r="S757">
            <v>4200</v>
          </cell>
          <cell r="T757">
            <v>7839.9999999999991</v>
          </cell>
          <cell r="U757">
            <v>1101.6400000000003</v>
          </cell>
          <cell r="V757">
            <v>7400</v>
          </cell>
          <cell r="W757">
            <v>180</v>
          </cell>
          <cell r="X757">
            <v>5920</v>
          </cell>
          <cell r="Y757">
            <v>91227</v>
          </cell>
          <cell r="Z757">
            <v>13067.87</v>
          </cell>
          <cell r="AA757">
            <v>1353.7699999999986</v>
          </cell>
          <cell r="AB757">
            <v>246.2473333333333</v>
          </cell>
          <cell r="AC757">
            <v>7400</v>
          </cell>
          <cell r="AD757">
            <v>5083.8999999999996</v>
          </cell>
          <cell r="AE757">
            <v>2316.1000000000004</v>
          </cell>
          <cell r="AN757" t="str">
            <v xml:space="preserve">Contrato emergencial nº </v>
          </cell>
          <cell r="AO757" t="str">
            <v>IQ</v>
          </cell>
        </row>
        <row r="758">
          <cell r="D758" t="str">
            <v>1743/11</v>
          </cell>
          <cell r="E758">
            <v>40770</v>
          </cell>
          <cell r="F758">
            <v>40949</v>
          </cell>
          <cell r="G758">
            <v>40877</v>
          </cell>
          <cell r="H758" t="str">
            <v>2011-0.200.447-9</v>
          </cell>
          <cell r="I758">
            <v>44324.52</v>
          </cell>
          <cell r="J758" t="str">
            <v xml:space="preserve">              123611122                  2848                    33903600</v>
          </cell>
          <cell r="K758">
            <v>40770</v>
          </cell>
          <cell r="L758">
            <v>108</v>
          </cell>
          <cell r="M758">
            <v>26600</v>
          </cell>
          <cell r="N758">
            <v>57278</v>
          </cell>
          <cell r="O758">
            <v>26889</v>
          </cell>
          <cell r="P758">
            <v>16</v>
          </cell>
          <cell r="Q758">
            <v>3</v>
          </cell>
          <cell r="S758">
            <v>4200</v>
          </cell>
          <cell r="T758">
            <v>7839.9999999999991</v>
          </cell>
          <cell r="U758">
            <v>0</v>
          </cell>
          <cell r="V758">
            <v>7400</v>
          </cell>
          <cell r="W758">
            <v>180</v>
          </cell>
          <cell r="X758">
            <v>5920</v>
          </cell>
          <cell r="Y758">
            <v>92690</v>
          </cell>
          <cell r="Z758">
            <v>8180.95</v>
          </cell>
          <cell r="AA758">
            <v>5139.05</v>
          </cell>
          <cell r="AB758">
            <v>246.2473333333333</v>
          </cell>
          <cell r="AC758">
            <v>7400</v>
          </cell>
          <cell r="AD758">
            <v>7296.8499999999995</v>
          </cell>
          <cell r="AE758">
            <v>103.15000000000055</v>
          </cell>
          <cell r="AN758" t="str">
            <v xml:space="preserve">Contrato emergencial nº </v>
          </cell>
          <cell r="AO758" t="str">
            <v>JT</v>
          </cell>
        </row>
        <row r="759">
          <cell r="D759" t="str">
            <v>1756/11</v>
          </cell>
          <cell r="E759">
            <v>40770</v>
          </cell>
          <cell r="F759">
            <v>40949</v>
          </cell>
          <cell r="G759">
            <v>40877</v>
          </cell>
          <cell r="H759" t="str">
            <v>2011-0.200.510-6</v>
          </cell>
          <cell r="I759">
            <v>31418.52</v>
          </cell>
          <cell r="J759" t="str">
            <v xml:space="preserve">              123611122                  2848                    33903600</v>
          </cell>
          <cell r="K759">
            <v>40770</v>
          </cell>
          <cell r="L759">
            <v>108</v>
          </cell>
          <cell r="M759">
            <v>18900</v>
          </cell>
          <cell r="N759">
            <v>885</v>
          </cell>
          <cell r="O759">
            <v>27149</v>
          </cell>
          <cell r="P759">
            <v>16</v>
          </cell>
          <cell r="Q759">
            <v>3</v>
          </cell>
          <cell r="S759">
            <v>3000</v>
          </cell>
          <cell r="T759">
            <v>5565</v>
          </cell>
          <cell r="U759">
            <v>0</v>
          </cell>
          <cell r="V759">
            <v>5400</v>
          </cell>
          <cell r="W759">
            <v>180</v>
          </cell>
          <cell r="X759">
            <v>4320</v>
          </cell>
          <cell r="Y759">
            <v>88269</v>
          </cell>
          <cell r="Z759">
            <v>10199.24</v>
          </cell>
          <cell r="AA759">
            <v>-479.23999999999978</v>
          </cell>
          <cell r="AB759">
            <v>174.54733333333334</v>
          </cell>
          <cell r="AC759">
            <v>5300</v>
          </cell>
          <cell r="AD759">
            <v>5368.7</v>
          </cell>
          <cell r="AE759">
            <v>-68.699999999999818</v>
          </cell>
          <cell r="AN759" t="str">
            <v xml:space="preserve">Contrato emergencial nº </v>
          </cell>
          <cell r="AO759" t="str">
            <v>BT</v>
          </cell>
        </row>
        <row r="760">
          <cell r="D760" t="str">
            <v>2686/11</v>
          </cell>
          <cell r="E760">
            <v>40771</v>
          </cell>
          <cell r="F760">
            <v>40950</v>
          </cell>
          <cell r="G760">
            <v>40877</v>
          </cell>
          <cell r="H760" t="str">
            <v>2011-0.229.918-5</v>
          </cell>
          <cell r="I760">
            <v>31824.66</v>
          </cell>
          <cell r="J760" t="str">
            <v xml:space="preserve">              123611122                  2848                    33903600</v>
          </cell>
          <cell r="K760">
            <v>40771</v>
          </cell>
          <cell r="L760">
            <v>107</v>
          </cell>
          <cell r="M760">
            <v>19000</v>
          </cell>
          <cell r="N760">
            <v>57278</v>
          </cell>
          <cell r="O760">
            <v>30047</v>
          </cell>
          <cell r="P760">
            <v>16</v>
          </cell>
          <cell r="Q760">
            <v>3</v>
          </cell>
          <cell r="T760">
            <v>8535</v>
          </cell>
          <cell r="U760">
            <v>0</v>
          </cell>
          <cell r="V760">
            <v>5400</v>
          </cell>
          <cell r="W760">
            <v>180</v>
          </cell>
          <cell r="X760">
            <v>4320</v>
          </cell>
          <cell r="Y760">
            <v>101302</v>
          </cell>
          <cell r="Z760">
            <v>9995.23</v>
          </cell>
          <cell r="AA760">
            <v>-275.22999999999956</v>
          </cell>
          <cell r="AB760">
            <v>176.80366666666666</v>
          </cell>
          <cell r="AC760">
            <v>5400</v>
          </cell>
          <cell r="AD760">
            <v>5247.09</v>
          </cell>
          <cell r="AE760">
            <v>152.90999999999985</v>
          </cell>
          <cell r="AN760" t="str">
            <v xml:space="preserve">Contrato emergencial nº </v>
          </cell>
          <cell r="AO760" t="str">
            <v>IP</v>
          </cell>
        </row>
        <row r="761">
          <cell r="D761" t="str">
            <v>1759/11</v>
          </cell>
          <cell r="E761">
            <v>40772</v>
          </cell>
          <cell r="F761">
            <v>40951</v>
          </cell>
          <cell r="G761">
            <v>40877</v>
          </cell>
          <cell r="H761" t="str">
            <v>2011-0.200.522-0</v>
          </cell>
          <cell r="I761">
            <v>41531.040000000001</v>
          </cell>
          <cell r="J761" t="str">
            <v xml:space="preserve">              123651121                 2847                    33903600</v>
          </cell>
          <cell r="K761">
            <v>40772</v>
          </cell>
          <cell r="L761">
            <v>106</v>
          </cell>
          <cell r="M761">
            <v>24500</v>
          </cell>
          <cell r="N761">
            <v>57273</v>
          </cell>
          <cell r="O761">
            <v>27152</v>
          </cell>
          <cell r="P761">
            <v>16</v>
          </cell>
          <cell r="Q761">
            <v>2</v>
          </cell>
          <cell r="S761">
            <v>3500</v>
          </cell>
          <cell r="T761">
            <v>7349.9999999999991</v>
          </cell>
          <cell r="U761">
            <v>0</v>
          </cell>
          <cell r="V761">
            <v>7000</v>
          </cell>
          <cell r="W761">
            <v>180</v>
          </cell>
          <cell r="X761">
            <v>5600</v>
          </cell>
          <cell r="Y761">
            <v>92693</v>
          </cell>
          <cell r="Z761">
            <v>8842.4599999999991</v>
          </cell>
          <cell r="AA761">
            <v>3757.5400000000009</v>
          </cell>
          <cell r="AB761">
            <v>230.72800000000001</v>
          </cell>
          <cell r="AC761">
            <v>7000</v>
          </cell>
          <cell r="AD761">
            <v>6471</v>
          </cell>
          <cell r="AE761">
            <v>529</v>
          </cell>
          <cell r="AN761" t="str">
            <v xml:space="preserve">Contrato emergencial nº </v>
          </cell>
          <cell r="AO761" t="str">
            <v>JT</v>
          </cell>
        </row>
        <row r="762">
          <cell r="D762" t="str">
            <v>1659/11</v>
          </cell>
          <cell r="E762">
            <v>40773</v>
          </cell>
          <cell r="F762">
            <v>40952</v>
          </cell>
          <cell r="G762">
            <v>40877</v>
          </cell>
          <cell r="H762" t="str">
            <v>2011-0.133.636-2</v>
          </cell>
          <cell r="I762">
            <v>26297.040000000001</v>
          </cell>
          <cell r="J762" t="str">
            <v xml:space="preserve">              123651121                 2847                    33903600</v>
          </cell>
          <cell r="K762">
            <v>40773</v>
          </cell>
          <cell r="L762">
            <v>105</v>
          </cell>
          <cell r="M762">
            <v>15400</v>
          </cell>
          <cell r="N762">
            <v>57273</v>
          </cell>
          <cell r="O762">
            <v>27210</v>
          </cell>
          <cell r="P762">
            <v>16</v>
          </cell>
          <cell r="Q762">
            <v>2</v>
          </cell>
          <cell r="S762">
            <v>2100</v>
          </cell>
          <cell r="T762">
            <v>4655</v>
          </cell>
          <cell r="U762">
            <v>0</v>
          </cell>
          <cell r="V762">
            <v>4400</v>
          </cell>
          <cell r="W762">
            <v>180</v>
          </cell>
          <cell r="X762">
            <v>3520</v>
          </cell>
          <cell r="Y762">
            <v>91258</v>
          </cell>
          <cell r="Z762">
            <v>3462.88</v>
          </cell>
          <cell r="AA762">
            <v>4457.12</v>
          </cell>
          <cell r="AB762">
            <v>146.09466666666668</v>
          </cell>
          <cell r="AC762">
            <v>4400</v>
          </cell>
          <cell r="AD762">
            <v>1821.3333333333333</v>
          </cell>
          <cell r="AE762">
            <v>2578.666666666667</v>
          </cell>
          <cell r="AN762" t="str">
            <v xml:space="preserve">Contrato emergencial nº </v>
          </cell>
          <cell r="AO762" t="str">
            <v>SA</v>
          </cell>
        </row>
        <row r="763">
          <cell r="D763" t="str">
            <v>1734/11</v>
          </cell>
          <cell r="E763">
            <v>40773</v>
          </cell>
          <cell r="F763">
            <v>40952</v>
          </cell>
          <cell r="G763">
            <v>40877</v>
          </cell>
          <cell r="H763" t="str">
            <v>2011-0.200.805-9</v>
          </cell>
          <cell r="I763">
            <v>31012.38</v>
          </cell>
          <cell r="J763" t="str">
            <v xml:space="preserve">              123611122                  2848                    33903600</v>
          </cell>
          <cell r="K763">
            <v>40773</v>
          </cell>
          <cell r="L763">
            <v>105</v>
          </cell>
          <cell r="M763">
            <v>18100</v>
          </cell>
          <cell r="N763">
            <v>57278</v>
          </cell>
          <cell r="O763">
            <v>26883</v>
          </cell>
          <cell r="P763">
            <v>16</v>
          </cell>
          <cell r="Q763">
            <v>3</v>
          </cell>
          <cell r="S763">
            <v>2500</v>
          </cell>
          <cell r="T763">
            <v>5460</v>
          </cell>
          <cell r="U763">
            <v>0</v>
          </cell>
          <cell r="V763">
            <v>5200</v>
          </cell>
          <cell r="W763">
            <v>180</v>
          </cell>
          <cell r="X763">
            <v>4160</v>
          </cell>
          <cell r="Y763">
            <v>89633</v>
          </cell>
          <cell r="Z763">
            <v>4400.8500000000004</v>
          </cell>
          <cell r="AA763">
            <v>4959.1499999999996</v>
          </cell>
          <cell r="AB763">
            <v>172.291</v>
          </cell>
          <cell r="AC763">
            <v>5200</v>
          </cell>
          <cell r="AD763">
            <v>3502.0999999999995</v>
          </cell>
          <cell r="AE763">
            <v>1697.9000000000005</v>
          </cell>
          <cell r="AN763" t="str">
            <v xml:space="preserve">Contrato emergencial nº </v>
          </cell>
          <cell r="AO763" t="str">
            <v>IP</v>
          </cell>
        </row>
        <row r="764">
          <cell r="D764" t="str">
            <v>2688/11</v>
          </cell>
          <cell r="E764">
            <v>40774</v>
          </cell>
          <cell r="F764">
            <v>40953</v>
          </cell>
          <cell r="G764">
            <v>40877</v>
          </cell>
          <cell r="H764" t="str">
            <v>2011-0.236.057-7</v>
          </cell>
          <cell r="I764">
            <v>31418.52</v>
          </cell>
          <cell r="J764" t="str">
            <v xml:space="preserve">              123611122                  2848                    33903600</v>
          </cell>
          <cell r="K764">
            <v>40774</v>
          </cell>
          <cell r="L764">
            <v>104</v>
          </cell>
          <cell r="M764">
            <v>18200</v>
          </cell>
          <cell r="N764">
            <v>885</v>
          </cell>
          <cell r="O764">
            <v>27508</v>
          </cell>
          <cell r="P764">
            <v>16</v>
          </cell>
          <cell r="Q764">
            <v>3</v>
          </cell>
          <cell r="S764">
            <v>2300</v>
          </cell>
          <cell r="T764">
            <v>5565</v>
          </cell>
          <cell r="U764">
            <v>0</v>
          </cell>
          <cell r="V764">
            <v>5300</v>
          </cell>
          <cell r="W764">
            <v>180</v>
          </cell>
          <cell r="X764">
            <v>4240</v>
          </cell>
          <cell r="Y764">
            <v>88272</v>
          </cell>
          <cell r="Z764">
            <v>13445.87</v>
          </cell>
          <cell r="AA764">
            <v>-3905.8700000000008</v>
          </cell>
          <cell r="AB764">
            <v>174.54733333333334</v>
          </cell>
          <cell r="AC764">
            <v>5300</v>
          </cell>
          <cell r="AD764">
            <v>1349.1439999999996</v>
          </cell>
          <cell r="AE764">
            <v>3950.8560000000007</v>
          </cell>
          <cell r="AN764" t="str">
            <v xml:space="preserve">Contrato emergencial nº </v>
          </cell>
          <cell r="AO764" t="str">
            <v>BT</v>
          </cell>
        </row>
        <row r="765">
          <cell r="D765" t="str">
            <v>2687/11</v>
          </cell>
          <cell r="E765">
            <v>40774</v>
          </cell>
          <cell r="F765">
            <v>40953</v>
          </cell>
          <cell r="G765">
            <v>40877</v>
          </cell>
          <cell r="H765" t="str">
            <v>2011-0.236.054-2</v>
          </cell>
          <cell r="I765">
            <v>29387.759999999998</v>
          </cell>
          <cell r="J765" t="str">
            <v xml:space="preserve">              123611122                  2848                    33903600</v>
          </cell>
          <cell r="K765">
            <v>40774</v>
          </cell>
          <cell r="L765">
            <v>104</v>
          </cell>
          <cell r="M765">
            <v>17000</v>
          </cell>
          <cell r="N765">
            <v>57278</v>
          </cell>
          <cell r="O765">
            <v>27505</v>
          </cell>
          <cell r="P765">
            <v>16</v>
          </cell>
          <cell r="Q765">
            <v>3</v>
          </cell>
          <cell r="S765">
            <v>2200</v>
          </cell>
          <cell r="T765">
            <v>5180</v>
          </cell>
          <cell r="U765">
            <v>0</v>
          </cell>
          <cell r="V765">
            <v>4900</v>
          </cell>
          <cell r="W765">
            <v>180</v>
          </cell>
          <cell r="X765">
            <v>3920</v>
          </cell>
          <cell r="Y765">
            <v>91261</v>
          </cell>
          <cell r="Z765">
            <v>3836.64</v>
          </cell>
          <cell r="AA765">
            <v>4983.3600000000006</v>
          </cell>
          <cell r="AB765">
            <v>163.26533333333333</v>
          </cell>
          <cell r="AC765">
            <v>4900</v>
          </cell>
          <cell r="AD765">
            <v>2149.1020000000003</v>
          </cell>
          <cell r="AE765">
            <v>2750.8979999999997</v>
          </cell>
          <cell r="AN765" t="str">
            <v xml:space="preserve">Contrato emergencial nº </v>
          </cell>
          <cell r="AO765" t="str">
            <v>SA</v>
          </cell>
        </row>
        <row r="766">
          <cell r="D766" t="str">
            <v>2690/11</v>
          </cell>
          <cell r="E766">
            <v>40777</v>
          </cell>
          <cell r="F766">
            <v>40956</v>
          </cell>
          <cell r="G766">
            <v>40877</v>
          </cell>
          <cell r="H766" t="str">
            <v>2011-0.236.062-3</v>
          </cell>
          <cell r="I766">
            <v>31418.52</v>
          </cell>
          <cell r="J766" t="str">
            <v xml:space="preserve">              123611122                  2848                    33903600</v>
          </cell>
          <cell r="K766">
            <v>40777</v>
          </cell>
          <cell r="L766">
            <v>101</v>
          </cell>
          <cell r="M766">
            <v>17700</v>
          </cell>
          <cell r="N766">
            <v>57278</v>
          </cell>
          <cell r="O766">
            <v>27511</v>
          </cell>
          <cell r="P766">
            <v>16</v>
          </cell>
          <cell r="Q766">
            <v>3</v>
          </cell>
          <cell r="S766">
            <v>1800</v>
          </cell>
          <cell r="T766">
            <v>5565</v>
          </cell>
          <cell r="U766">
            <v>0</v>
          </cell>
          <cell r="V766">
            <v>5300</v>
          </cell>
          <cell r="W766">
            <v>180</v>
          </cell>
          <cell r="X766">
            <v>4240</v>
          </cell>
          <cell r="Y766">
            <v>91265</v>
          </cell>
          <cell r="Z766">
            <v>5888.39</v>
          </cell>
          <cell r="AA766">
            <v>3651.6099999999997</v>
          </cell>
          <cell r="AB766">
            <v>174.54733333333334</v>
          </cell>
          <cell r="AC766">
            <v>5300</v>
          </cell>
          <cell r="AD766">
            <v>1486.8239999999998</v>
          </cell>
          <cell r="AE766">
            <v>3813.1760000000004</v>
          </cell>
          <cell r="AN766" t="str">
            <v xml:space="preserve">Contrato emergencial nº </v>
          </cell>
          <cell r="AO766" t="str">
            <v>SA</v>
          </cell>
        </row>
        <row r="767">
          <cell r="D767" t="str">
            <v>1762/11</v>
          </cell>
          <cell r="E767">
            <v>40777</v>
          </cell>
          <cell r="F767">
            <v>40956</v>
          </cell>
          <cell r="G767">
            <v>40877</v>
          </cell>
          <cell r="H767" t="str">
            <v>2011-0.200.674-9</v>
          </cell>
          <cell r="I767">
            <v>42838.74</v>
          </cell>
          <cell r="J767" t="str">
            <v xml:space="preserve">             123671125                  2863                   33903600</v>
          </cell>
          <cell r="K767">
            <v>40777</v>
          </cell>
          <cell r="L767">
            <v>101</v>
          </cell>
          <cell r="M767">
            <v>24100</v>
          </cell>
          <cell r="N767">
            <v>57287</v>
          </cell>
          <cell r="O767">
            <v>27157</v>
          </cell>
          <cell r="P767">
            <v>16</v>
          </cell>
          <cell r="Q767">
            <v>4</v>
          </cell>
          <cell r="S767">
            <v>2400</v>
          </cell>
          <cell r="T767">
            <v>7594.9999999999991</v>
          </cell>
          <cell r="U767">
            <v>0</v>
          </cell>
          <cell r="V767">
            <v>7300</v>
          </cell>
          <cell r="W767">
            <v>180</v>
          </cell>
          <cell r="X767">
            <v>5840</v>
          </cell>
          <cell r="Y767">
            <v>91271</v>
          </cell>
          <cell r="Z767">
            <v>6559.65</v>
          </cell>
          <cell r="AA767">
            <v>6580.35</v>
          </cell>
          <cell r="AB767">
            <v>237.99299999999999</v>
          </cell>
          <cell r="AC767">
            <v>7200</v>
          </cell>
          <cell r="AD767">
            <v>7267.1</v>
          </cell>
          <cell r="AE767">
            <v>-67.100000000000364</v>
          </cell>
          <cell r="AN767" t="str">
            <v xml:space="preserve">Contrato emergencial nº </v>
          </cell>
          <cell r="AO767" t="str">
            <v>SA</v>
          </cell>
        </row>
        <row r="768">
          <cell r="D768" t="str">
            <v>1760/11</v>
          </cell>
          <cell r="E768">
            <v>40777</v>
          </cell>
          <cell r="F768">
            <v>40956</v>
          </cell>
          <cell r="G768">
            <v>40877</v>
          </cell>
          <cell r="H768" t="str">
            <v>2011-0.200.664-1</v>
          </cell>
          <cell r="I768">
            <v>38261.760000000002</v>
          </cell>
          <cell r="J768" t="str">
            <v xml:space="preserve">              123651121                 2847                    33903600</v>
          </cell>
          <cell r="K768">
            <v>40777</v>
          </cell>
          <cell r="L768">
            <v>101</v>
          </cell>
          <cell r="M768">
            <v>21500</v>
          </cell>
          <cell r="N768">
            <v>57273</v>
          </cell>
          <cell r="O768">
            <v>27154</v>
          </cell>
          <cell r="P768">
            <v>16</v>
          </cell>
          <cell r="Q768">
            <v>2</v>
          </cell>
          <cell r="S768">
            <v>2200</v>
          </cell>
          <cell r="T768">
            <v>6755</v>
          </cell>
          <cell r="U768">
            <v>0</v>
          </cell>
          <cell r="V768">
            <v>6400</v>
          </cell>
          <cell r="W768">
            <v>180</v>
          </cell>
          <cell r="X768">
            <v>5120</v>
          </cell>
          <cell r="Y768">
            <v>89372</v>
          </cell>
          <cell r="Z768">
            <v>13809.18</v>
          </cell>
          <cell r="AA768">
            <v>-2289.1800000000003</v>
          </cell>
          <cell r="AB768">
            <v>212.56533333333334</v>
          </cell>
          <cell r="AC768">
            <v>6400</v>
          </cell>
          <cell r="AD768">
            <v>6400</v>
          </cell>
          <cell r="AE768">
            <v>0</v>
          </cell>
          <cell r="AN768" t="str">
            <v xml:space="preserve">Contrato emergencial nº </v>
          </cell>
          <cell r="AO768" t="str">
            <v>CL</v>
          </cell>
        </row>
        <row r="769">
          <cell r="D769" t="str">
            <v>1761/11</v>
          </cell>
          <cell r="E769">
            <v>40777</v>
          </cell>
          <cell r="F769">
            <v>40956</v>
          </cell>
          <cell r="G769">
            <v>40877</v>
          </cell>
          <cell r="H769" t="str">
            <v>2011-0.200.672-2</v>
          </cell>
          <cell r="I769">
            <v>38915.58</v>
          </cell>
          <cell r="J769" t="str">
            <v xml:space="preserve">              123611122                  2848                    33903600</v>
          </cell>
          <cell r="K769">
            <v>40777</v>
          </cell>
          <cell r="L769">
            <v>101</v>
          </cell>
          <cell r="M769">
            <v>21900</v>
          </cell>
          <cell r="N769">
            <v>57278</v>
          </cell>
          <cell r="O769">
            <v>27155</v>
          </cell>
          <cell r="P769">
            <v>16</v>
          </cell>
          <cell r="Q769">
            <v>3</v>
          </cell>
          <cell r="S769">
            <v>2200</v>
          </cell>
          <cell r="T769">
            <v>6895</v>
          </cell>
          <cell r="U769">
            <v>0</v>
          </cell>
          <cell r="V769">
            <v>7100</v>
          </cell>
          <cell r="W769">
            <v>180</v>
          </cell>
          <cell r="X769">
            <v>5680</v>
          </cell>
          <cell r="Y769">
            <v>89695</v>
          </cell>
          <cell r="Z769">
            <v>4991.1099999999997</v>
          </cell>
          <cell r="AA769">
            <v>7788.89</v>
          </cell>
          <cell r="AB769">
            <v>216.19766666666666</v>
          </cell>
          <cell r="AC769">
            <v>6500</v>
          </cell>
          <cell r="AD769">
            <v>7059.0499999999993</v>
          </cell>
          <cell r="AE769">
            <v>-559.04999999999927</v>
          </cell>
          <cell r="AN769" t="str">
            <v xml:space="preserve">Contrato emergencial nº </v>
          </cell>
          <cell r="AO769" t="str">
            <v>PJ</v>
          </cell>
        </row>
        <row r="770">
          <cell r="D770" t="str">
            <v>2691/11</v>
          </cell>
          <cell r="E770">
            <v>40778</v>
          </cell>
          <cell r="F770">
            <v>40957</v>
          </cell>
          <cell r="G770">
            <v>40877</v>
          </cell>
          <cell r="H770" t="str">
            <v>2011-0.237.825-5</v>
          </cell>
          <cell r="I770">
            <v>31418.52</v>
          </cell>
          <cell r="J770" t="str">
            <v xml:space="preserve">              123611122                  2848                    33903600</v>
          </cell>
          <cell r="K770">
            <v>40778</v>
          </cell>
          <cell r="L770">
            <v>100</v>
          </cell>
          <cell r="M770">
            <v>17500</v>
          </cell>
          <cell r="N770">
            <v>57278</v>
          </cell>
          <cell r="O770">
            <v>30048</v>
          </cell>
          <cell r="P770">
            <v>16</v>
          </cell>
          <cell r="Q770">
            <v>3</v>
          </cell>
          <cell r="S770">
            <v>1600</v>
          </cell>
          <cell r="T770">
            <v>5565</v>
          </cell>
          <cell r="U770">
            <v>0</v>
          </cell>
          <cell r="V770">
            <v>5300</v>
          </cell>
          <cell r="W770">
            <v>180</v>
          </cell>
          <cell r="X770">
            <v>4240</v>
          </cell>
          <cell r="Y770">
            <v>98213</v>
          </cell>
          <cell r="Z770">
            <v>6036.82</v>
          </cell>
          <cell r="AA770">
            <v>3503.1800000000003</v>
          </cell>
          <cell r="AB770">
            <v>174.54733333333334</v>
          </cell>
          <cell r="AC770">
            <v>5300</v>
          </cell>
          <cell r="AD770">
            <v>1056.1679999999999</v>
          </cell>
          <cell r="AE770">
            <v>4243.8320000000003</v>
          </cell>
          <cell r="AN770" t="str">
            <v xml:space="preserve">Contrato emergencial nº </v>
          </cell>
          <cell r="AO770" t="str">
            <v>JT</v>
          </cell>
        </row>
        <row r="771">
          <cell r="D771" t="str">
            <v>2693/11</v>
          </cell>
          <cell r="E771">
            <v>40778</v>
          </cell>
          <cell r="F771">
            <v>40957</v>
          </cell>
          <cell r="G771">
            <v>40877</v>
          </cell>
          <cell r="H771" t="str">
            <v>2011-0.237.829-8</v>
          </cell>
          <cell r="I771">
            <v>31824.66</v>
          </cell>
          <cell r="J771" t="str">
            <v xml:space="preserve">              123611122                  2848                    33903600</v>
          </cell>
          <cell r="K771">
            <v>40778</v>
          </cell>
          <cell r="L771">
            <v>100</v>
          </cell>
          <cell r="M771">
            <v>17700</v>
          </cell>
          <cell r="N771">
            <v>57278</v>
          </cell>
          <cell r="O771">
            <v>30049</v>
          </cell>
          <cell r="P771">
            <v>16</v>
          </cell>
          <cell r="Q771">
            <v>3</v>
          </cell>
          <cell r="S771">
            <v>1600</v>
          </cell>
          <cell r="T771">
            <v>5635</v>
          </cell>
          <cell r="U771">
            <v>0</v>
          </cell>
          <cell r="V771">
            <v>5400</v>
          </cell>
          <cell r="W771">
            <v>180</v>
          </cell>
          <cell r="X771">
            <v>4320</v>
          </cell>
          <cell r="Y771">
            <v>98224</v>
          </cell>
          <cell r="Z771">
            <v>8180.16</v>
          </cell>
          <cell r="AA771">
            <v>1539.8400000000001</v>
          </cell>
          <cell r="AB771">
            <v>176.80366666666666</v>
          </cell>
          <cell r="AC771">
            <v>5400</v>
          </cell>
          <cell r="AD771">
            <v>1041.6590000000001</v>
          </cell>
          <cell r="AE771">
            <v>4358.3410000000003</v>
          </cell>
          <cell r="AN771" t="str">
            <v xml:space="preserve">Contrato emergencial nº </v>
          </cell>
          <cell r="AO771" t="str">
            <v>JT</v>
          </cell>
        </row>
        <row r="772">
          <cell r="D772" t="str">
            <v>2692/11</v>
          </cell>
          <cell r="E772">
            <v>40778</v>
          </cell>
          <cell r="F772">
            <v>40957</v>
          </cell>
          <cell r="G772">
            <v>40877</v>
          </cell>
          <cell r="H772" t="str">
            <v>2011-0.237.826-3</v>
          </cell>
          <cell r="I772">
            <v>27565.02</v>
          </cell>
          <cell r="J772" t="str">
            <v xml:space="preserve">              123611122                  2848                    33903600</v>
          </cell>
          <cell r="K772">
            <v>40778</v>
          </cell>
          <cell r="L772">
            <v>100</v>
          </cell>
          <cell r="M772">
            <v>15400</v>
          </cell>
          <cell r="N772">
            <v>57278</v>
          </cell>
          <cell r="O772">
            <v>27512</v>
          </cell>
          <cell r="P772">
            <v>16</v>
          </cell>
          <cell r="Q772">
            <v>3</v>
          </cell>
          <cell r="S772">
            <v>1400</v>
          </cell>
          <cell r="T772">
            <v>4900</v>
          </cell>
          <cell r="U772">
            <v>0</v>
          </cell>
          <cell r="V772">
            <v>4600</v>
          </cell>
          <cell r="W772">
            <v>180</v>
          </cell>
          <cell r="X772">
            <v>3680</v>
          </cell>
          <cell r="Y772">
            <v>89665</v>
          </cell>
          <cell r="Z772">
            <v>4539.93</v>
          </cell>
          <cell r="AA772">
            <v>3740.0699999999997</v>
          </cell>
          <cell r="AB772">
            <v>153.13900000000001</v>
          </cell>
          <cell r="AC772">
            <v>4600</v>
          </cell>
          <cell r="AD772">
            <v>4600</v>
          </cell>
          <cell r="AE772">
            <v>0</v>
          </cell>
          <cell r="AN772" t="str">
            <v xml:space="preserve">Contrato emergencial nº </v>
          </cell>
          <cell r="AO772" t="str">
            <v>IP</v>
          </cell>
        </row>
        <row r="773">
          <cell r="D773" t="str">
            <v>1764/11</v>
          </cell>
          <cell r="E773">
            <v>40778</v>
          </cell>
          <cell r="F773">
            <v>40957</v>
          </cell>
          <cell r="G773">
            <v>40877</v>
          </cell>
          <cell r="H773" t="str">
            <v>2011-0.200.679-0</v>
          </cell>
          <cell r="I773">
            <v>30606.240000000002</v>
          </cell>
          <cell r="J773" t="str">
            <v xml:space="preserve">              123611122                  2848                    33903600</v>
          </cell>
          <cell r="K773">
            <v>40778</v>
          </cell>
          <cell r="L773">
            <v>100</v>
          </cell>
          <cell r="M773">
            <v>17100</v>
          </cell>
          <cell r="N773">
            <v>57278</v>
          </cell>
          <cell r="O773">
            <v>27159</v>
          </cell>
          <cell r="P773">
            <v>16</v>
          </cell>
          <cell r="Q773">
            <v>3</v>
          </cell>
          <cell r="S773">
            <v>1600</v>
          </cell>
          <cell r="T773">
            <v>5425</v>
          </cell>
          <cell r="U773">
            <v>0</v>
          </cell>
          <cell r="V773">
            <v>5400</v>
          </cell>
          <cell r="W773">
            <v>180</v>
          </cell>
          <cell r="X773">
            <v>4320</v>
          </cell>
          <cell r="Y773">
            <v>89897</v>
          </cell>
          <cell r="Z773">
            <v>4760.1499999999996</v>
          </cell>
          <cell r="AA773">
            <v>4959.8500000000004</v>
          </cell>
          <cell r="AB773">
            <v>170.03466666666668</v>
          </cell>
          <cell r="AC773">
            <v>5200</v>
          </cell>
          <cell r="AD773">
            <v>5363.7</v>
          </cell>
          <cell r="AE773">
            <v>-163.69999999999982</v>
          </cell>
          <cell r="AN773" t="str">
            <v xml:space="preserve">Contrato emergencial nº </v>
          </cell>
          <cell r="AO773" t="str">
            <v>PJ</v>
          </cell>
        </row>
        <row r="774">
          <cell r="D774" t="str">
            <v>1765/11</v>
          </cell>
          <cell r="E774">
            <v>40778</v>
          </cell>
          <cell r="F774">
            <v>40957</v>
          </cell>
          <cell r="G774">
            <v>40877</v>
          </cell>
          <cell r="H774" t="str">
            <v>2011-0.200.681-1</v>
          </cell>
          <cell r="I774">
            <v>31418.52</v>
          </cell>
          <cell r="J774" t="str">
            <v xml:space="preserve">              123611122                  2848                    33903600</v>
          </cell>
          <cell r="K774">
            <v>40778</v>
          </cell>
          <cell r="L774">
            <v>100</v>
          </cell>
          <cell r="M774">
            <v>17500</v>
          </cell>
          <cell r="N774">
            <v>57278</v>
          </cell>
          <cell r="O774">
            <v>27160</v>
          </cell>
          <cell r="P774">
            <v>16</v>
          </cell>
          <cell r="Q774">
            <v>3</v>
          </cell>
          <cell r="S774">
            <v>1600</v>
          </cell>
          <cell r="T774">
            <v>5565</v>
          </cell>
          <cell r="U774">
            <v>0</v>
          </cell>
          <cell r="V774">
            <v>5300</v>
          </cell>
          <cell r="W774">
            <v>180</v>
          </cell>
          <cell r="X774">
            <v>4240</v>
          </cell>
          <cell r="Y774">
            <v>89899</v>
          </cell>
          <cell r="Z774">
            <v>5656.63</v>
          </cell>
          <cell r="AA774">
            <v>3883.37</v>
          </cell>
          <cell r="AB774">
            <v>174.54733333333334</v>
          </cell>
          <cell r="AC774">
            <v>5300</v>
          </cell>
          <cell r="AD774">
            <v>5245.2999999999993</v>
          </cell>
          <cell r="AE774">
            <v>54.700000000000728</v>
          </cell>
          <cell r="AN774" t="str">
            <v xml:space="preserve">Contrato emergencial nº </v>
          </cell>
          <cell r="AO774" t="str">
            <v>PJ</v>
          </cell>
        </row>
        <row r="775">
          <cell r="D775" t="str">
            <v>1766/11</v>
          </cell>
          <cell r="E775">
            <v>40779</v>
          </cell>
          <cell r="F775">
            <v>40958</v>
          </cell>
          <cell r="G775">
            <v>40877</v>
          </cell>
          <cell r="H775" t="str">
            <v>2011-0.200.688-9</v>
          </cell>
          <cell r="I775">
            <v>42838.74</v>
          </cell>
          <cell r="J775" t="str">
            <v xml:space="preserve">              123611122                  2848                    33903600</v>
          </cell>
          <cell r="K775">
            <v>40779</v>
          </cell>
          <cell r="L775">
            <v>99</v>
          </cell>
          <cell r="M775">
            <v>23600</v>
          </cell>
          <cell r="N775">
            <v>57278</v>
          </cell>
          <cell r="O775">
            <v>27161</v>
          </cell>
          <cell r="P775">
            <v>16</v>
          </cell>
          <cell r="Q775">
            <v>3</v>
          </cell>
          <cell r="S775">
            <v>2000</v>
          </cell>
          <cell r="T775">
            <v>7559.9999999999991</v>
          </cell>
          <cell r="U775">
            <v>0</v>
          </cell>
          <cell r="V775">
            <v>8100</v>
          </cell>
          <cell r="W775">
            <v>180</v>
          </cell>
          <cell r="X775">
            <v>6480</v>
          </cell>
          <cell r="Y775">
            <v>89954</v>
          </cell>
          <cell r="Z775">
            <v>5718.48</v>
          </cell>
          <cell r="AA775">
            <v>8861.52</v>
          </cell>
          <cell r="AB775">
            <v>237.99299999999999</v>
          </cell>
          <cell r="AC775">
            <v>7200</v>
          </cell>
          <cell r="AD775">
            <v>8058.5</v>
          </cell>
          <cell r="AE775">
            <v>-858.5</v>
          </cell>
          <cell r="AN775" t="str">
            <v xml:space="preserve">Contrato emergencial nº </v>
          </cell>
          <cell r="AO775" t="str">
            <v>G</v>
          </cell>
        </row>
        <row r="776">
          <cell r="D776" t="str">
            <v>1768/11</v>
          </cell>
          <cell r="E776">
            <v>40779</v>
          </cell>
          <cell r="F776">
            <v>40958</v>
          </cell>
          <cell r="G776">
            <v>40877</v>
          </cell>
          <cell r="H776" t="str">
            <v>2011-0.200.693-5</v>
          </cell>
          <cell r="I776">
            <v>45186.36</v>
          </cell>
          <cell r="J776" t="str">
            <v xml:space="preserve">              123651121                 2847                    33903600</v>
          </cell>
          <cell r="K776">
            <v>40779</v>
          </cell>
          <cell r="L776">
            <v>99</v>
          </cell>
          <cell r="M776">
            <v>24900</v>
          </cell>
          <cell r="N776">
            <v>57273</v>
          </cell>
          <cell r="O776">
            <v>27163</v>
          </cell>
          <cell r="P776">
            <v>16</v>
          </cell>
          <cell r="Q776">
            <v>2</v>
          </cell>
          <cell r="S776">
            <v>2100</v>
          </cell>
          <cell r="T776">
            <v>7979.9999999999991</v>
          </cell>
          <cell r="U776">
            <v>0</v>
          </cell>
          <cell r="V776">
            <v>7600</v>
          </cell>
          <cell r="W776">
            <v>180</v>
          </cell>
          <cell r="X776">
            <v>6080</v>
          </cell>
          <cell r="Y776">
            <v>89962</v>
          </cell>
          <cell r="Z776">
            <v>11509.8</v>
          </cell>
          <cell r="AA776">
            <v>2170.2000000000007</v>
          </cell>
          <cell r="AB776">
            <v>251.03533333333334</v>
          </cell>
          <cell r="AC776">
            <v>7600</v>
          </cell>
          <cell r="AD776">
            <v>5900.95</v>
          </cell>
          <cell r="AE776">
            <v>1699.0500000000002</v>
          </cell>
          <cell r="AN776" t="str">
            <v xml:space="preserve">Contrato emergencial nº </v>
          </cell>
          <cell r="AO776" t="str">
            <v>PE</v>
          </cell>
        </row>
        <row r="777">
          <cell r="D777" t="str">
            <v>1767/11</v>
          </cell>
          <cell r="E777">
            <v>40779</v>
          </cell>
          <cell r="F777">
            <v>40958</v>
          </cell>
          <cell r="G777">
            <v>40877</v>
          </cell>
          <cell r="H777" t="str">
            <v>2011-0.200.691-9</v>
          </cell>
          <cell r="I777">
            <v>42838.74</v>
          </cell>
          <cell r="J777" t="str">
            <v xml:space="preserve">             123671125                  2863                   33903600</v>
          </cell>
          <cell r="K777">
            <v>40779</v>
          </cell>
          <cell r="L777">
            <v>99</v>
          </cell>
          <cell r="M777">
            <v>23600</v>
          </cell>
          <cell r="N777">
            <v>57287</v>
          </cell>
          <cell r="O777">
            <v>27162</v>
          </cell>
          <cell r="P777">
            <v>16</v>
          </cell>
          <cell r="Q777">
            <v>4</v>
          </cell>
          <cell r="S777">
            <v>2000</v>
          </cell>
          <cell r="T777">
            <v>7559.9999999999991</v>
          </cell>
          <cell r="U777">
            <v>0</v>
          </cell>
          <cell r="V777">
            <v>7200</v>
          </cell>
          <cell r="W777">
            <v>180</v>
          </cell>
          <cell r="X777">
            <v>5760</v>
          </cell>
          <cell r="Y777">
            <v>89435</v>
          </cell>
          <cell r="Z777">
            <v>15120.24</v>
          </cell>
          <cell r="AA777">
            <v>-2160.2399999999998</v>
          </cell>
          <cell r="AB777">
            <v>237.99299999999999</v>
          </cell>
          <cell r="AC777">
            <v>7200</v>
          </cell>
          <cell r="AD777">
            <v>6883.8499999999995</v>
          </cell>
          <cell r="AE777">
            <v>316.15000000000055</v>
          </cell>
          <cell r="AN777" t="str">
            <v xml:space="preserve">Contrato emergencial nº </v>
          </cell>
          <cell r="AO777" t="str">
            <v>BT</v>
          </cell>
        </row>
        <row r="778">
          <cell r="D778" t="str">
            <v>1763/11</v>
          </cell>
          <cell r="E778">
            <v>40781</v>
          </cell>
          <cell r="F778">
            <v>40960</v>
          </cell>
          <cell r="G778">
            <v>40877</v>
          </cell>
          <cell r="H778" t="str">
            <v>2011-0.200.677-3</v>
          </cell>
          <cell r="I778">
            <v>42838.74</v>
          </cell>
          <cell r="J778" t="str">
            <v xml:space="preserve">             123671125                  2863                   33903600</v>
          </cell>
          <cell r="K778">
            <v>40781</v>
          </cell>
          <cell r="L778">
            <v>97</v>
          </cell>
          <cell r="M778">
            <v>23100</v>
          </cell>
          <cell r="N778">
            <v>57287</v>
          </cell>
          <cell r="O778">
            <v>27361</v>
          </cell>
          <cell r="P778">
            <v>16</v>
          </cell>
          <cell r="Q778">
            <v>4</v>
          </cell>
          <cell r="S778">
            <v>1500</v>
          </cell>
          <cell r="T778">
            <v>7559.9999999999991</v>
          </cell>
          <cell r="U778">
            <v>0</v>
          </cell>
          <cell r="V778">
            <v>7200</v>
          </cell>
          <cell r="W778">
            <v>180</v>
          </cell>
          <cell r="X778">
            <v>5760</v>
          </cell>
          <cell r="Y778">
            <v>89441</v>
          </cell>
          <cell r="Z778">
            <v>15399.44</v>
          </cell>
          <cell r="AA778">
            <v>-2439.4400000000005</v>
          </cell>
          <cell r="AB778">
            <v>237.99299999999999</v>
          </cell>
          <cell r="AC778">
            <v>7200</v>
          </cell>
          <cell r="AD778">
            <v>4655.1499999999996</v>
          </cell>
          <cell r="AE778">
            <v>2544.8500000000004</v>
          </cell>
          <cell r="AN778" t="str">
            <v xml:space="preserve">Contrato emergencial nº </v>
          </cell>
          <cell r="AO778" t="str">
            <v>BT</v>
          </cell>
        </row>
        <row r="779">
          <cell r="D779" t="str">
            <v>1785/11</v>
          </cell>
          <cell r="E779">
            <v>40784</v>
          </cell>
          <cell r="F779">
            <v>40963</v>
          </cell>
          <cell r="G779">
            <v>40877</v>
          </cell>
          <cell r="H779" t="str">
            <v>2011-0.201.343-5</v>
          </cell>
          <cell r="I779">
            <v>38261.760000000002</v>
          </cell>
          <cell r="J779" t="str">
            <v xml:space="preserve">              123651121                 2847                    33903600</v>
          </cell>
          <cell r="K779">
            <v>40784</v>
          </cell>
          <cell r="L779">
            <v>94</v>
          </cell>
          <cell r="M779">
            <v>20000</v>
          </cell>
          <cell r="N779">
            <v>57273</v>
          </cell>
          <cell r="O779">
            <v>27377</v>
          </cell>
          <cell r="P779">
            <v>16</v>
          </cell>
          <cell r="Q779">
            <v>2</v>
          </cell>
          <cell r="S779">
            <v>700</v>
          </cell>
          <cell r="T779">
            <v>6755</v>
          </cell>
          <cell r="U779">
            <v>0</v>
          </cell>
          <cell r="V779">
            <v>6400</v>
          </cell>
          <cell r="W779">
            <v>180</v>
          </cell>
          <cell r="X779">
            <v>5120</v>
          </cell>
          <cell r="Y779">
            <v>92704</v>
          </cell>
          <cell r="Z779">
            <v>9748.7099999999991</v>
          </cell>
          <cell r="AA779">
            <v>1771.2900000000009</v>
          </cell>
          <cell r="AB779">
            <v>212.56533333333334</v>
          </cell>
          <cell r="AC779">
            <v>6400</v>
          </cell>
          <cell r="AD779">
            <v>4653.3999999999996</v>
          </cell>
          <cell r="AE779">
            <v>1746.6000000000004</v>
          </cell>
          <cell r="AN779" t="str">
            <v xml:space="preserve">Contrato emergencial nº </v>
          </cell>
          <cell r="AO779" t="str">
            <v>JT</v>
          </cell>
        </row>
        <row r="780">
          <cell r="D780" t="str">
            <v>1811/11</v>
          </cell>
          <cell r="E780">
            <v>40784</v>
          </cell>
          <cell r="F780">
            <v>40963</v>
          </cell>
          <cell r="G780">
            <v>40877</v>
          </cell>
          <cell r="H780" t="str">
            <v>2011-0.201.735-0</v>
          </cell>
          <cell r="I780">
            <v>42838.74</v>
          </cell>
          <cell r="J780" t="str">
            <v xml:space="preserve">             123671125                  2863                   33903600</v>
          </cell>
          <cell r="K780">
            <v>40784</v>
          </cell>
          <cell r="L780">
            <v>94</v>
          </cell>
          <cell r="M780">
            <v>22400</v>
          </cell>
          <cell r="N780">
            <v>57287</v>
          </cell>
          <cell r="O780">
            <v>27432</v>
          </cell>
          <cell r="P780">
            <v>16</v>
          </cell>
          <cell r="Q780">
            <v>4</v>
          </cell>
          <cell r="S780">
            <v>800</v>
          </cell>
          <cell r="T780">
            <v>7559.9999999999991</v>
          </cell>
          <cell r="U780">
            <v>0</v>
          </cell>
          <cell r="V780">
            <v>7200</v>
          </cell>
          <cell r="W780">
            <v>180</v>
          </cell>
          <cell r="X780">
            <v>5760</v>
          </cell>
          <cell r="Y780">
            <v>89904</v>
          </cell>
          <cell r="Z780">
            <v>6855.78</v>
          </cell>
          <cell r="AA780">
            <v>6104.22</v>
          </cell>
          <cell r="AB780">
            <v>237.99299999999999</v>
          </cell>
          <cell r="AC780">
            <v>7200</v>
          </cell>
          <cell r="AD780">
            <v>6895.5499999999993</v>
          </cell>
          <cell r="AE780">
            <v>304.45000000000073</v>
          </cell>
          <cell r="AN780" t="str">
            <v xml:space="preserve">Contrato emergencial nº </v>
          </cell>
          <cell r="AO780" t="str">
            <v>PJ</v>
          </cell>
        </row>
        <row r="781">
          <cell r="D781" t="str">
            <v>1833/11</v>
          </cell>
          <cell r="E781">
            <v>40784</v>
          </cell>
          <cell r="F781">
            <v>40963</v>
          </cell>
          <cell r="G781">
            <v>40877</v>
          </cell>
          <cell r="H781" t="str">
            <v>2011-0.202.113-6</v>
          </cell>
          <cell r="I781">
            <v>31012.38</v>
          </cell>
          <cell r="J781" t="str">
            <v xml:space="preserve">              123611122                  2848                    33903600</v>
          </cell>
          <cell r="K781">
            <v>40784</v>
          </cell>
          <cell r="L781">
            <v>94</v>
          </cell>
          <cell r="M781">
            <v>16200</v>
          </cell>
          <cell r="N781">
            <v>57278</v>
          </cell>
          <cell r="O781">
            <v>27451</v>
          </cell>
          <cell r="P781">
            <v>16</v>
          </cell>
          <cell r="Q781">
            <v>3</v>
          </cell>
          <cell r="S781">
            <v>600</v>
          </cell>
          <cell r="T781">
            <v>5460</v>
          </cell>
          <cell r="U781">
            <v>0</v>
          </cell>
          <cell r="V781">
            <v>5300</v>
          </cell>
          <cell r="W781">
            <v>180</v>
          </cell>
          <cell r="X781">
            <v>4240</v>
          </cell>
          <cell r="Y781">
            <v>89675</v>
          </cell>
          <cell r="Z781">
            <v>5774.73</v>
          </cell>
          <cell r="AA781">
            <v>3765.2700000000004</v>
          </cell>
          <cell r="AB781">
            <v>172.291</v>
          </cell>
          <cell r="AC781">
            <v>5200</v>
          </cell>
          <cell r="AD781">
            <v>5223.8999999999996</v>
          </cell>
          <cell r="AE781">
            <v>-23.899999999999636</v>
          </cell>
          <cell r="AN781" t="str">
            <v xml:space="preserve">Contrato emergencial nº </v>
          </cell>
          <cell r="AO781" t="str">
            <v>IP</v>
          </cell>
        </row>
        <row r="782">
          <cell r="D782" t="str">
            <v>1771/11</v>
          </cell>
          <cell r="E782">
            <v>40784</v>
          </cell>
          <cell r="F782">
            <v>40963</v>
          </cell>
          <cell r="G782">
            <v>40877</v>
          </cell>
          <cell r="H782" t="str">
            <v>2011-0.200.702-8</v>
          </cell>
          <cell r="I782">
            <v>44324.52</v>
          </cell>
          <cell r="J782" t="str">
            <v xml:space="preserve">              123651121                 2847                    33903600</v>
          </cell>
          <cell r="K782">
            <v>40784</v>
          </cell>
          <cell r="L782">
            <v>94</v>
          </cell>
          <cell r="M782">
            <v>23200</v>
          </cell>
          <cell r="N782">
            <v>57273</v>
          </cell>
          <cell r="O782">
            <v>27167</v>
          </cell>
          <cell r="P782">
            <v>16</v>
          </cell>
          <cell r="Q782">
            <v>2</v>
          </cell>
          <cell r="S782">
            <v>800</v>
          </cell>
          <cell r="T782">
            <v>7839.9999999999991</v>
          </cell>
          <cell r="U782">
            <v>0</v>
          </cell>
          <cell r="V782">
            <v>7400</v>
          </cell>
          <cell r="W782">
            <v>180</v>
          </cell>
          <cell r="X782">
            <v>5920</v>
          </cell>
          <cell r="Y782">
            <v>89420</v>
          </cell>
          <cell r="Z782">
            <v>8482.57</v>
          </cell>
          <cell r="AA782">
            <v>4837.43</v>
          </cell>
          <cell r="AB782">
            <v>246.2473333333333</v>
          </cell>
          <cell r="AC782">
            <v>7400</v>
          </cell>
          <cell r="AD782">
            <v>6739.8499999999995</v>
          </cell>
          <cell r="AE782">
            <v>660.15000000000055</v>
          </cell>
          <cell r="AN782" t="str">
            <v xml:space="preserve">Contrato emergencial nº </v>
          </cell>
          <cell r="AO782" t="str">
            <v>CS</v>
          </cell>
        </row>
        <row r="783">
          <cell r="D783" t="str">
            <v>1808/11</v>
          </cell>
          <cell r="E783">
            <v>40784</v>
          </cell>
          <cell r="F783">
            <v>40963</v>
          </cell>
          <cell r="G783">
            <v>40877</v>
          </cell>
          <cell r="H783" t="str">
            <v>2011-0.201.450-4</v>
          </cell>
          <cell r="I783">
            <v>44324.52</v>
          </cell>
          <cell r="J783" t="str">
            <v xml:space="preserve">              123651121                 2847                    33903600</v>
          </cell>
          <cell r="K783">
            <v>40784</v>
          </cell>
          <cell r="L783">
            <v>94</v>
          </cell>
          <cell r="M783">
            <v>23200</v>
          </cell>
          <cell r="N783">
            <v>57273</v>
          </cell>
          <cell r="O783">
            <v>27195</v>
          </cell>
          <cell r="P783">
            <v>16</v>
          </cell>
          <cell r="Q783">
            <v>2</v>
          </cell>
          <cell r="S783">
            <v>800</v>
          </cell>
          <cell r="T783">
            <v>7839.9999999999991</v>
          </cell>
          <cell r="U783">
            <v>0</v>
          </cell>
          <cell r="V783">
            <v>7400</v>
          </cell>
          <cell r="W783">
            <v>180</v>
          </cell>
          <cell r="X783">
            <v>5920</v>
          </cell>
          <cell r="Y783">
            <v>89379</v>
          </cell>
          <cell r="Z783">
            <v>16241.05</v>
          </cell>
          <cell r="AA783">
            <v>-2921.0499999999993</v>
          </cell>
          <cell r="AB783">
            <v>246.2473333333333</v>
          </cell>
          <cell r="AC783">
            <v>7400</v>
          </cell>
          <cell r="AD783">
            <v>6161</v>
          </cell>
          <cell r="AE783">
            <v>1239</v>
          </cell>
          <cell r="AN783" t="str">
            <v xml:space="preserve">Contrato emergencial nº </v>
          </cell>
          <cell r="AO783" t="str">
            <v>CL</v>
          </cell>
        </row>
        <row r="784">
          <cell r="D784" t="str">
            <v>1786/11</v>
          </cell>
          <cell r="E784">
            <v>40784</v>
          </cell>
          <cell r="F784">
            <v>40963</v>
          </cell>
          <cell r="G784">
            <v>40877</v>
          </cell>
          <cell r="H784" t="str">
            <v>2011-0.201.347-8</v>
          </cell>
          <cell r="I784">
            <v>42838.74</v>
          </cell>
          <cell r="J784" t="str">
            <v xml:space="preserve">             123671125                  2863                   33903600</v>
          </cell>
          <cell r="K784">
            <v>40784</v>
          </cell>
          <cell r="L784">
            <v>94</v>
          </cell>
          <cell r="M784">
            <v>22400</v>
          </cell>
          <cell r="N784">
            <v>57287</v>
          </cell>
          <cell r="O784">
            <v>27378</v>
          </cell>
          <cell r="P784">
            <v>16</v>
          </cell>
          <cell r="Q784">
            <v>4</v>
          </cell>
          <cell r="S784">
            <v>800</v>
          </cell>
          <cell r="T784">
            <v>7559.9999999999991</v>
          </cell>
          <cell r="U784">
            <v>0</v>
          </cell>
          <cell r="V784">
            <v>7200</v>
          </cell>
          <cell r="W784">
            <v>180</v>
          </cell>
          <cell r="X784">
            <v>5760</v>
          </cell>
          <cell r="Y784">
            <v>89906</v>
          </cell>
          <cell r="Z784">
            <v>9293.33</v>
          </cell>
          <cell r="AA784">
            <v>3666.67</v>
          </cell>
          <cell r="AB784">
            <v>237.99299999999999</v>
          </cell>
          <cell r="AC784">
            <v>7200</v>
          </cell>
          <cell r="AD784">
            <v>5940.2</v>
          </cell>
          <cell r="AE784">
            <v>1259.8000000000002</v>
          </cell>
          <cell r="AN784" t="str">
            <v xml:space="preserve">Contrato emergencial nº </v>
          </cell>
          <cell r="AO784" t="str">
            <v>PJ</v>
          </cell>
        </row>
        <row r="785">
          <cell r="D785" t="str">
            <v>1814/11</v>
          </cell>
          <cell r="E785">
            <v>40784</v>
          </cell>
          <cell r="F785">
            <v>40963</v>
          </cell>
          <cell r="G785">
            <v>40877</v>
          </cell>
          <cell r="H785" t="str">
            <v>2011-0.201.752-0</v>
          </cell>
          <cell r="I785">
            <v>31012.38</v>
          </cell>
          <cell r="J785" t="str">
            <v xml:space="preserve">              123611122                  2848                    33903600</v>
          </cell>
          <cell r="K785">
            <v>40784</v>
          </cell>
          <cell r="L785">
            <v>94</v>
          </cell>
          <cell r="M785">
            <v>16200</v>
          </cell>
          <cell r="N785">
            <v>885</v>
          </cell>
          <cell r="O785">
            <v>27434</v>
          </cell>
          <cell r="P785">
            <v>16</v>
          </cell>
          <cell r="Q785">
            <v>3</v>
          </cell>
          <cell r="S785">
            <v>600</v>
          </cell>
          <cell r="T785">
            <v>5460</v>
          </cell>
          <cell r="U785">
            <v>0</v>
          </cell>
          <cell r="V785">
            <v>5200</v>
          </cell>
          <cell r="W785">
            <v>180</v>
          </cell>
          <cell r="X785">
            <v>4160</v>
          </cell>
          <cell r="Y785">
            <v>88293</v>
          </cell>
          <cell r="Z785">
            <v>5051.3100000000004</v>
          </cell>
          <cell r="AA785">
            <v>4308.6899999999996</v>
          </cell>
          <cell r="AB785">
            <v>172.291</v>
          </cell>
          <cell r="AC785">
            <v>5200</v>
          </cell>
          <cell r="AD785">
            <v>4997.7499999999991</v>
          </cell>
          <cell r="AE785">
            <v>202.25000000000091</v>
          </cell>
          <cell r="AN785" t="str">
            <v xml:space="preserve">Contrato emergencial nº </v>
          </cell>
          <cell r="AO785" t="str">
            <v>CS</v>
          </cell>
        </row>
        <row r="786">
          <cell r="D786" t="str">
            <v>1787/11</v>
          </cell>
          <cell r="E786">
            <v>40784</v>
          </cell>
          <cell r="F786">
            <v>40963</v>
          </cell>
          <cell r="G786">
            <v>40877</v>
          </cell>
          <cell r="H786" t="str">
            <v>2011-0.201.349-4</v>
          </cell>
          <cell r="I786">
            <v>19699.439999999999</v>
          </cell>
          <cell r="J786" t="str">
            <v xml:space="preserve">              123651121                 2847                    33903600</v>
          </cell>
          <cell r="K786">
            <v>40784</v>
          </cell>
          <cell r="L786">
            <v>94</v>
          </cell>
          <cell r="M786">
            <v>10300</v>
          </cell>
          <cell r="N786">
            <v>57273</v>
          </cell>
          <cell r="O786">
            <v>27380</v>
          </cell>
          <cell r="P786">
            <v>16</v>
          </cell>
          <cell r="Q786">
            <v>2</v>
          </cell>
          <cell r="S786">
            <v>400</v>
          </cell>
          <cell r="T786">
            <v>3465</v>
          </cell>
          <cell r="U786">
            <v>0</v>
          </cell>
          <cell r="V786">
            <v>4000</v>
          </cell>
          <cell r="W786">
            <v>180</v>
          </cell>
          <cell r="X786">
            <v>3200</v>
          </cell>
          <cell r="Y786">
            <v>89908</v>
          </cell>
          <cell r="Z786">
            <v>2116.08</v>
          </cell>
          <cell r="AA786">
            <v>5083.92</v>
          </cell>
          <cell r="AB786">
            <v>109.44133333333333</v>
          </cell>
          <cell r="AC786">
            <v>3300</v>
          </cell>
          <cell r="AD786">
            <v>3932.6499999999996</v>
          </cell>
          <cell r="AE786">
            <v>-632.64999999999964</v>
          </cell>
          <cell r="AN786" t="str">
            <v xml:space="preserve">Contrato emergencial nº </v>
          </cell>
          <cell r="AO786" t="str">
            <v>PJ</v>
          </cell>
        </row>
        <row r="787">
          <cell r="D787" t="str">
            <v>1805/11</v>
          </cell>
          <cell r="E787">
            <v>40784</v>
          </cell>
          <cell r="F787">
            <v>40963</v>
          </cell>
          <cell r="G787">
            <v>40877</v>
          </cell>
          <cell r="H787" t="str">
            <v>2011-0.201.418-0</v>
          </cell>
          <cell r="I787">
            <v>38261.760000000002</v>
          </cell>
          <cell r="J787" t="str">
            <v xml:space="preserve">              123651121                 2847                    33903600</v>
          </cell>
          <cell r="K787">
            <v>40784</v>
          </cell>
          <cell r="L787">
            <v>94</v>
          </cell>
          <cell r="M787">
            <v>20000</v>
          </cell>
          <cell r="N787">
            <v>57273</v>
          </cell>
          <cell r="O787">
            <v>27429</v>
          </cell>
          <cell r="P787">
            <v>16</v>
          </cell>
          <cell r="Q787">
            <v>2</v>
          </cell>
          <cell r="S787">
            <v>700</v>
          </cell>
          <cell r="T787">
            <v>6755</v>
          </cell>
          <cell r="U787">
            <v>0</v>
          </cell>
          <cell r="V787">
            <v>6400</v>
          </cell>
          <cell r="W787">
            <v>180</v>
          </cell>
          <cell r="X787">
            <v>5120</v>
          </cell>
          <cell r="Y787">
            <v>93963</v>
          </cell>
          <cell r="Z787">
            <v>1749.04</v>
          </cell>
          <cell r="AA787">
            <v>9770.9599999999991</v>
          </cell>
          <cell r="AB787">
            <v>212.56533333333334</v>
          </cell>
          <cell r="AC787">
            <v>6400</v>
          </cell>
          <cell r="AD787">
            <v>5815.95</v>
          </cell>
          <cell r="AE787">
            <v>584.05000000000018</v>
          </cell>
          <cell r="AN787" t="str">
            <v xml:space="preserve">Contrato emergencial nº </v>
          </cell>
          <cell r="AO787" t="str">
            <v>MP</v>
          </cell>
        </row>
        <row r="788">
          <cell r="D788" t="str">
            <v>1675/11</v>
          </cell>
          <cell r="E788">
            <v>40689</v>
          </cell>
          <cell r="F788">
            <v>40868</v>
          </cell>
          <cell r="G788">
            <v>40868</v>
          </cell>
          <cell r="H788" t="str">
            <v>2011-0.148.502-3</v>
          </cell>
          <cell r="I788">
            <v>36954.120000000003</v>
          </cell>
          <cell r="J788" t="str">
            <v xml:space="preserve">              123651121                 2847                    33903600</v>
          </cell>
          <cell r="K788">
            <v>40848</v>
          </cell>
          <cell r="L788">
            <v>21</v>
          </cell>
          <cell r="M788">
            <v>4400</v>
          </cell>
          <cell r="N788">
            <v>57273</v>
          </cell>
          <cell r="O788">
            <v>16696</v>
          </cell>
          <cell r="P788">
            <v>16</v>
          </cell>
          <cell r="Q788">
            <v>2</v>
          </cell>
          <cell r="S788">
            <v>1162.8900000000001</v>
          </cell>
          <cell r="T788">
            <v>5507.9884999999995</v>
          </cell>
          <cell r="U788">
            <v>0</v>
          </cell>
          <cell r="V788">
            <v>6200</v>
          </cell>
          <cell r="W788">
            <v>21</v>
          </cell>
          <cell r="X788">
            <v>4960</v>
          </cell>
          <cell r="Y788">
            <v>93970</v>
          </cell>
          <cell r="Z788">
            <v>491.23000000000047</v>
          </cell>
          <cell r="AA788">
            <v>10668.77</v>
          </cell>
          <cell r="AB788">
            <v>205.30066666666667</v>
          </cell>
          <cell r="AC788">
            <v>6200</v>
          </cell>
          <cell r="AD788">
            <v>5180.4950000000008</v>
          </cell>
          <cell r="AE788">
            <v>1019.5049999999992</v>
          </cell>
          <cell r="AN788" t="str">
            <v xml:space="preserve">Contrato emergencial nº </v>
          </cell>
          <cell r="AO788" t="str">
            <v>MP</v>
          </cell>
        </row>
        <row r="789">
          <cell r="D789" t="str">
            <v>1824/11</v>
          </cell>
          <cell r="E789">
            <v>40784</v>
          </cell>
          <cell r="F789">
            <v>40963</v>
          </cell>
          <cell r="G789">
            <v>40877</v>
          </cell>
          <cell r="H789" t="str">
            <v>2011-0.201.815-1</v>
          </cell>
          <cell r="I789">
            <v>31012.38</v>
          </cell>
          <cell r="J789" t="str">
            <v xml:space="preserve">              123651121                 2847                    33903600</v>
          </cell>
          <cell r="K789">
            <v>40784</v>
          </cell>
          <cell r="L789">
            <v>94</v>
          </cell>
          <cell r="M789">
            <v>16200</v>
          </cell>
          <cell r="N789">
            <v>57273</v>
          </cell>
          <cell r="O789">
            <v>27444</v>
          </cell>
          <cell r="P789">
            <v>16</v>
          </cell>
          <cell r="Q789">
            <v>2</v>
          </cell>
          <cell r="S789">
            <v>600</v>
          </cell>
          <cell r="T789">
            <v>5460</v>
          </cell>
          <cell r="U789">
            <v>0</v>
          </cell>
          <cell r="V789">
            <v>5300</v>
          </cell>
          <cell r="W789">
            <v>180</v>
          </cell>
          <cell r="X789">
            <v>4240</v>
          </cell>
          <cell r="Y789">
            <v>89392</v>
          </cell>
          <cell r="Z789">
            <v>10196.24</v>
          </cell>
          <cell r="AA789">
            <v>-656.23999999999978</v>
          </cell>
          <cell r="AB789">
            <v>172.291</v>
          </cell>
          <cell r="AC789">
            <v>5200</v>
          </cell>
          <cell r="AD789">
            <v>5287.2</v>
          </cell>
          <cell r="AE789">
            <v>-87.199999999999818</v>
          </cell>
          <cell r="AN789" t="str">
            <v xml:space="preserve">Contrato emergencial nº </v>
          </cell>
          <cell r="AO789" t="str">
            <v>CL</v>
          </cell>
        </row>
        <row r="790">
          <cell r="D790" t="str">
            <v>1788/11</v>
          </cell>
          <cell r="E790">
            <v>40784</v>
          </cell>
          <cell r="F790">
            <v>40963</v>
          </cell>
          <cell r="G790">
            <v>40877</v>
          </cell>
          <cell r="H790" t="str">
            <v>2011-0.201.352-4</v>
          </cell>
          <cell r="I790">
            <v>30606.240000000002</v>
          </cell>
          <cell r="J790" t="str">
            <v xml:space="preserve">              123651121                 2847                    33903600</v>
          </cell>
          <cell r="K790">
            <v>40784</v>
          </cell>
          <cell r="L790">
            <v>94</v>
          </cell>
          <cell r="M790">
            <v>16000</v>
          </cell>
          <cell r="N790">
            <v>57273</v>
          </cell>
          <cell r="O790">
            <v>27179</v>
          </cell>
          <cell r="P790">
            <v>16</v>
          </cell>
          <cell r="Q790">
            <v>2</v>
          </cell>
          <cell r="S790">
            <v>600</v>
          </cell>
          <cell r="T790">
            <v>5390</v>
          </cell>
          <cell r="U790">
            <v>0</v>
          </cell>
          <cell r="V790">
            <v>5700</v>
          </cell>
          <cell r="W790">
            <v>180</v>
          </cell>
          <cell r="X790">
            <v>4560</v>
          </cell>
          <cell r="Y790">
            <v>89684</v>
          </cell>
          <cell r="Z790">
            <v>4463.05</v>
          </cell>
          <cell r="AA790">
            <v>5796.95</v>
          </cell>
          <cell r="AB790">
            <v>170.03466666666668</v>
          </cell>
          <cell r="AC790">
            <v>5200</v>
          </cell>
          <cell r="AD790">
            <v>5676.4</v>
          </cell>
          <cell r="AE790">
            <v>-476.39999999999964</v>
          </cell>
          <cell r="AN790" t="str">
            <v xml:space="preserve">Contrato emergencial nº </v>
          </cell>
          <cell r="AO790" t="str">
            <v>SM</v>
          </cell>
        </row>
        <row r="791">
          <cell r="D791" t="str">
            <v>1769/11</v>
          </cell>
          <cell r="E791">
            <v>40784</v>
          </cell>
          <cell r="F791">
            <v>40963</v>
          </cell>
          <cell r="G791">
            <v>40877</v>
          </cell>
          <cell r="H791" t="str">
            <v>2011-0.200.698-6</v>
          </cell>
          <cell r="I791">
            <v>43492.5</v>
          </cell>
          <cell r="J791" t="str">
            <v xml:space="preserve">             123671125                  2863                   33903600</v>
          </cell>
          <cell r="K791">
            <v>40784</v>
          </cell>
          <cell r="L791">
            <v>94</v>
          </cell>
          <cell r="M791">
            <v>22800</v>
          </cell>
          <cell r="N791">
            <v>57287</v>
          </cell>
          <cell r="O791">
            <v>27363</v>
          </cell>
          <cell r="P791">
            <v>16</v>
          </cell>
          <cell r="Q791">
            <v>4</v>
          </cell>
          <cell r="S791">
            <v>800</v>
          </cell>
          <cell r="T791">
            <v>7699.9999999999991</v>
          </cell>
          <cell r="U791">
            <v>0</v>
          </cell>
          <cell r="V791">
            <v>7300</v>
          </cell>
          <cell r="W791">
            <v>180</v>
          </cell>
          <cell r="X791">
            <v>5840</v>
          </cell>
          <cell r="Y791">
            <v>89386</v>
          </cell>
          <cell r="Z791">
            <v>522.94499999999971</v>
          </cell>
          <cell r="AA791">
            <v>12617.055</v>
          </cell>
          <cell r="AB791">
            <v>241.625</v>
          </cell>
          <cell r="AC791">
            <v>7300</v>
          </cell>
          <cell r="AD791">
            <v>6712.5499999999993</v>
          </cell>
          <cell r="AE791">
            <v>587.45000000000073</v>
          </cell>
          <cell r="AN791" t="str">
            <v xml:space="preserve">Contrato emergencial nº </v>
          </cell>
          <cell r="AO791" t="str">
            <v>FO</v>
          </cell>
        </row>
        <row r="792">
          <cell r="D792" t="str">
            <v>1789/11</v>
          </cell>
          <cell r="E792">
            <v>40784</v>
          </cell>
          <cell r="F792">
            <v>40963</v>
          </cell>
          <cell r="G792">
            <v>40877</v>
          </cell>
          <cell r="H792" t="str">
            <v>2011-0.201.356-7</v>
          </cell>
          <cell r="I792">
            <v>37607.879999999997</v>
          </cell>
          <cell r="J792" t="str">
            <v xml:space="preserve">              123651121                 2847                    33903600</v>
          </cell>
          <cell r="K792">
            <v>40784</v>
          </cell>
          <cell r="L792">
            <v>94</v>
          </cell>
          <cell r="M792">
            <v>19700</v>
          </cell>
          <cell r="N792">
            <v>57273</v>
          </cell>
          <cell r="O792">
            <v>27382</v>
          </cell>
          <cell r="P792">
            <v>16</v>
          </cell>
          <cell r="Q792">
            <v>2</v>
          </cell>
          <cell r="S792">
            <v>700</v>
          </cell>
          <cell r="T792">
            <v>6650</v>
          </cell>
          <cell r="U792">
            <v>0</v>
          </cell>
          <cell r="V792">
            <v>6300</v>
          </cell>
          <cell r="W792">
            <v>180</v>
          </cell>
          <cell r="X792">
            <v>5040</v>
          </cell>
          <cell r="Y792">
            <v>89910</v>
          </cell>
          <cell r="Z792">
            <v>7292.07</v>
          </cell>
          <cell r="AA792">
            <v>4047.9300000000003</v>
          </cell>
          <cell r="AB792">
            <v>208.93266666666665</v>
          </cell>
          <cell r="AC792">
            <v>6300</v>
          </cell>
          <cell r="AD792">
            <v>5659.75</v>
          </cell>
          <cell r="AE792">
            <v>640.25</v>
          </cell>
          <cell r="AN792" t="str">
            <v xml:space="preserve">Contrato emergencial nº </v>
          </cell>
          <cell r="AO792" t="str">
            <v>PJ</v>
          </cell>
        </row>
        <row r="793">
          <cell r="D793" t="str">
            <v>1815/11</v>
          </cell>
          <cell r="E793">
            <v>40784</v>
          </cell>
          <cell r="F793">
            <v>40963</v>
          </cell>
          <cell r="G793">
            <v>40877</v>
          </cell>
          <cell r="H793" t="str">
            <v>2011-0.201.754-6</v>
          </cell>
          <cell r="I793">
            <v>31012.38</v>
          </cell>
          <cell r="J793" t="str">
            <v xml:space="preserve">              123611122                  2848                    33903600</v>
          </cell>
          <cell r="K793">
            <v>40784</v>
          </cell>
          <cell r="L793">
            <v>94</v>
          </cell>
          <cell r="M793">
            <v>16200</v>
          </cell>
          <cell r="N793">
            <v>57278</v>
          </cell>
          <cell r="O793">
            <v>27201</v>
          </cell>
          <cell r="P793">
            <v>16</v>
          </cell>
          <cell r="Q793">
            <v>3</v>
          </cell>
          <cell r="S793">
            <v>600</v>
          </cell>
          <cell r="T793">
            <v>5460</v>
          </cell>
          <cell r="U793">
            <v>0</v>
          </cell>
          <cell r="V793">
            <v>5200</v>
          </cell>
          <cell r="W793">
            <v>180</v>
          </cell>
          <cell r="X793">
            <v>4160</v>
          </cell>
          <cell r="Y793">
            <v>89426</v>
          </cell>
          <cell r="Z793">
            <v>5737.380000000001</v>
          </cell>
          <cell r="AA793">
            <v>3622.619999999999</v>
          </cell>
          <cell r="AB793">
            <v>172.291</v>
          </cell>
          <cell r="AC793">
            <v>5200</v>
          </cell>
          <cell r="AD793">
            <v>4814.0499999999993</v>
          </cell>
          <cell r="AE793">
            <v>385.95000000000073</v>
          </cell>
          <cell r="AN793" t="str">
            <v xml:space="preserve">Contrato emergencial nº </v>
          </cell>
          <cell r="AO793" t="str">
            <v>CS</v>
          </cell>
        </row>
        <row r="794">
          <cell r="D794" t="str">
            <v>1826/11</v>
          </cell>
          <cell r="E794">
            <v>40784</v>
          </cell>
          <cell r="F794">
            <v>40963</v>
          </cell>
          <cell r="G794">
            <v>40877</v>
          </cell>
          <cell r="H794" t="str">
            <v>2011-0.202.096-2</v>
          </cell>
          <cell r="I794">
            <v>31418.52</v>
          </cell>
          <cell r="J794" t="str">
            <v xml:space="preserve">              123651121                 2847                    33903600</v>
          </cell>
          <cell r="K794">
            <v>40784</v>
          </cell>
          <cell r="L794">
            <v>94</v>
          </cell>
          <cell r="M794">
            <v>16500</v>
          </cell>
          <cell r="N794">
            <v>864</v>
          </cell>
          <cell r="O794">
            <v>27446</v>
          </cell>
          <cell r="P794">
            <v>16</v>
          </cell>
          <cell r="Q794">
            <v>2</v>
          </cell>
          <cell r="S794">
            <v>600</v>
          </cell>
          <cell r="T794">
            <v>5565</v>
          </cell>
          <cell r="U794">
            <v>0</v>
          </cell>
          <cell r="V794">
            <v>5300</v>
          </cell>
          <cell r="W794">
            <v>180</v>
          </cell>
          <cell r="X794">
            <v>4240</v>
          </cell>
          <cell r="Y794">
            <v>88304</v>
          </cell>
          <cell r="Z794">
            <v>5866.2199999999993</v>
          </cell>
          <cell r="AA794">
            <v>3673.7800000000007</v>
          </cell>
          <cell r="AB794">
            <v>174.54733333333334</v>
          </cell>
          <cell r="AC794">
            <v>5300</v>
          </cell>
          <cell r="AD794">
            <v>4967.5999999999995</v>
          </cell>
          <cell r="AE794">
            <v>332.40000000000055</v>
          </cell>
          <cell r="AN794" t="str">
            <v xml:space="preserve">Contrato emergencial nº </v>
          </cell>
          <cell r="AO794" t="str">
            <v>CS</v>
          </cell>
        </row>
        <row r="795">
          <cell r="D795" t="str">
            <v>1772/11</v>
          </cell>
          <cell r="E795">
            <v>40784</v>
          </cell>
          <cell r="F795">
            <v>40963</v>
          </cell>
          <cell r="G795">
            <v>40877</v>
          </cell>
          <cell r="H795" t="str">
            <v>2011-0.200.704-4</v>
          </cell>
          <cell r="I795">
            <v>37607.879999999997</v>
          </cell>
          <cell r="J795" t="str">
            <v xml:space="preserve">              123651121                 2847                    33903600</v>
          </cell>
          <cell r="K795">
            <v>40784</v>
          </cell>
          <cell r="L795">
            <v>94</v>
          </cell>
          <cell r="M795">
            <v>19700</v>
          </cell>
          <cell r="N795">
            <v>57273</v>
          </cell>
          <cell r="O795">
            <v>27168</v>
          </cell>
          <cell r="P795">
            <v>16</v>
          </cell>
          <cell r="Q795">
            <v>2</v>
          </cell>
          <cell r="S795">
            <v>700</v>
          </cell>
          <cell r="T795">
            <v>6650</v>
          </cell>
          <cell r="U795">
            <v>0</v>
          </cell>
          <cell r="V795">
            <v>7200</v>
          </cell>
          <cell r="W795">
            <v>180</v>
          </cell>
          <cell r="X795">
            <v>5760</v>
          </cell>
          <cell r="Y795">
            <v>89913</v>
          </cell>
          <cell r="Z795">
            <v>3677.92</v>
          </cell>
          <cell r="AA795">
            <v>9282.08</v>
          </cell>
          <cell r="AB795">
            <v>208.93266666666665</v>
          </cell>
          <cell r="AC795">
            <v>6300</v>
          </cell>
          <cell r="AD795">
            <v>7152.65</v>
          </cell>
          <cell r="AE795">
            <v>-852.64999999999964</v>
          </cell>
          <cell r="AN795" t="str">
            <v xml:space="preserve">Contrato emergencial nº </v>
          </cell>
          <cell r="AO795" t="str">
            <v>PJ</v>
          </cell>
        </row>
        <row r="796">
          <cell r="D796" t="str">
            <v>1821/11</v>
          </cell>
          <cell r="E796">
            <v>40784</v>
          </cell>
          <cell r="F796">
            <v>40963</v>
          </cell>
          <cell r="G796">
            <v>40877</v>
          </cell>
          <cell r="H796" t="str">
            <v>2011-0.201.798-8</v>
          </cell>
          <cell r="I796">
            <v>31418.52</v>
          </cell>
          <cell r="J796" t="str">
            <v xml:space="preserve">              123611122                  2848                    33903600</v>
          </cell>
          <cell r="K796">
            <v>40784</v>
          </cell>
          <cell r="L796">
            <v>94</v>
          </cell>
          <cell r="M796">
            <v>16500</v>
          </cell>
          <cell r="N796">
            <v>57278</v>
          </cell>
          <cell r="O796">
            <v>27440</v>
          </cell>
          <cell r="P796">
            <v>16</v>
          </cell>
          <cell r="Q796">
            <v>3</v>
          </cell>
          <cell r="S796">
            <v>600</v>
          </cell>
          <cell r="T796">
            <v>5565</v>
          </cell>
          <cell r="U796">
            <v>0</v>
          </cell>
          <cell r="V796">
            <v>5300</v>
          </cell>
          <cell r="W796">
            <v>180</v>
          </cell>
          <cell r="X796">
            <v>4240</v>
          </cell>
          <cell r="Y796">
            <v>89430</v>
          </cell>
          <cell r="Z796">
            <v>6284.9800000000005</v>
          </cell>
          <cell r="AA796">
            <v>3255.0199999999995</v>
          </cell>
          <cell r="AB796">
            <v>174.54733333333334</v>
          </cell>
          <cell r="AC796">
            <v>5300</v>
          </cell>
          <cell r="AD796">
            <v>4837.25</v>
          </cell>
          <cell r="AE796">
            <v>462.75</v>
          </cell>
          <cell r="AN796" t="str">
            <v xml:space="preserve">Contrato emergencial nº </v>
          </cell>
          <cell r="AO796" t="str">
            <v>CS</v>
          </cell>
        </row>
        <row r="797">
          <cell r="D797" t="str">
            <v>1831/11</v>
          </cell>
          <cell r="E797">
            <v>40784</v>
          </cell>
          <cell r="F797">
            <v>40963</v>
          </cell>
          <cell r="G797">
            <v>40877</v>
          </cell>
          <cell r="H797" t="str">
            <v>2011-0.202.107-1</v>
          </cell>
          <cell r="I797">
            <v>31418.52</v>
          </cell>
          <cell r="J797" t="str">
            <v xml:space="preserve">              123611122                  2848                    33903600</v>
          </cell>
          <cell r="K797">
            <v>40784</v>
          </cell>
          <cell r="L797">
            <v>94</v>
          </cell>
          <cell r="M797">
            <v>16500</v>
          </cell>
          <cell r="N797">
            <v>57278</v>
          </cell>
          <cell r="O797">
            <v>28015</v>
          </cell>
          <cell r="P797">
            <v>16</v>
          </cell>
          <cell r="Q797">
            <v>3</v>
          </cell>
          <cell r="S797">
            <v>600</v>
          </cell>
          <cell r="T797">
            <v>5565</v>
          </cell>
          <cell r="U797">
            <v>0</v>
          </cell>
          <cell r="V797">
            <v>5300</v>
          </cell>
          <cell r="W797">
            <v>180</v>
          </cell>
          <cell r="X797">
            <v>4240</v>
          </cell>
          <cell r="Y797">
            <v>93156</v>
          </cell>
          <cell r="Z797">
            <v>6439.04</v>
          </cell>
          <cell r="AA797">
            <v>3100.96</v>
          </cell>
          <cell r="AB797">
            <v>174.54733333333334</v>
          </cell>
          <cell r="AC797">
            <v>5300</v>
          </cell>
          <cell r="AD797">
            <v>4945.55</v>
          </cell>
          <cell r="AE797">
            <v>354.44999999999982</v>
          </cell>
          <cell r="AN797" t="str">
            <v xml:space="preserve">Contrato emergencial nº </v>
          </cell>
          <cell r="AO797" t="str">
            <v>IP</v>
          </cell>
        </row>
        <row r="798">
          <cell r="D798" t="str">
            <v>1829/11</v>
          </cell>
          <cell r="E798">
            <v>40784</v>
          </cell>
          <cell r="F798">
            <v>40963</v>
          </cell>
          <cell r="G798">
            <v>40877</v>
          </cell>
          <cell r="H798" t="str">
            <v>2011-0.202.103-9</v>
          </cell>
          <cell r="I798">
            <v>29744.400000000001</v>
          </cell>
          <cell r="J798" t="str">
            <v xml:space="preserve">              123611122                  2848                    33903600</v>
          </cell>
          <cell r="K798">
            <v>40784</v>
          </cell>
          <cell r="L798">
            <v>94</v>
          </cell>
          <cell r="M798">
            <v>15600</v>
          </cell>
          <cell r="N798">
            <v>57278</v>
          </cell>
          <cell r="O798">
            <v>28013</v>
          </cell>
          <cell r="P798">
            <v>16</v>
          </cell>
          <cell r="Q798">
            <v>3</v>
          </cell>
          <cell r="S798">
            <v>405.86</v>
          </cell>
          <cell r="T798">
            <v>5317.9489999999996</v>
          </cell>
          <cell r="U798">
            <v>0</v>
          </cell>
          <cell r="V798">
            <v>5400</v>
          </cell>
          <cell r="W798">
            <v>180</v>
          </cell>
          <cell r="X798">
            <v>4320</v>
          </cell>
          <cell r="Y798">
            <v>92680</v>
          </cell>
          <cell r="Z798">
            <v>3843.54</v>
          </cell>
          <cell r="AA798">
            <v>5876.46</v>
          </cell>
          <cell r="AB798">
            <v>165.24666666666667</v>
          </cell>
          <cell r="AC798">
            <v>5000</v>
          </cell>
          <cell r="AD798">
            <v>5372.05</v>
          </cell>
          <cell r="AE798">
            <v>-372.05000000000018</v>
          </cell>
          <cell r="AN798" t="str">
            <v xml:space="preserve">Contrato emergencial nº </v>
          </cell>
          <cell r="AO798" t="str">
            <v>SM</v>
          </cell>
        </row>
        <row r="799">
          <cell r="D799" t="str">
            <v>1790/11</v>
          </cell>
          <cell r="E799">
            <v>40784</v>
          </cell>
          <cell r="F799">
            <v>40963</v>
          </cell>
          <cell r="G799">
            <v>40877</v>
          </cell>
          <cell r="H799" t="str">
            <v>2011-0.201.357-5</v>
          </cell>
          <cell r="I799">
            <v>27356.94</v>
          </cell>
          <cell r="J799" t="str">
            <v xml:space="preserve">              123651121                 2847                    33903600</v>
          </cell>
          <cell r="K799">
            <v>40784</v>
          </cell>
          <cell r="L799">
            <v>94</v>
          </cell>
          <cell r="M799">
            <v>14300</v>
          </cell>
          <cell r="N799">
            <v>57273</v>
          </cell>
          <cell r="O799">
            <v>27180</v>
          </cell>
          <cell r="P799">
            <v>16</v>
          </cell>
          <cell r="Q799">
            <v>2</v>
          </cell>
          <cell r="S799">
            <v>500</v>
          </cell>
          <cell r="T799">
            <v>4830</v>
          </cell>
          <cell r="U799">
            <v>0</v>
          </cell>
          <cell r="V799">
            <v>5600</v>
          </cell>
          <cell r="W799">
            <v>180</v>
          </cell>
          <cell r="X799">
            <v>4480</v>
          </cell>
          <cell r="Y799">
            <v>89916</v>
          </cell>
          <cell r="Z799">
            <v>2194.85</v>
          </cell>
          <cell r="AA799">
            <v>7885.15</v>
          </cell>
          <cell r="AB799">
            <v>151.983</v>
          </cell>
          <cell r="AC799">
            <v>4600</v>
          </cell>
          <cell r="AD799">
            <v>5594.9</v>
          </cell>
          <cell r="AE799">
            <v>-994.89999999999964</v>
          </cell>
          <cell r="AN799" t="str">
            <v xml:space="preserve">Contrato emergencial nº </v>
          </cell>
          <cell r="AO799" t="str">
            <v>PJ</v>
          </cell>
        </row>
        <row r="800">
          <cell r="D800" t="str">
            <v>1812/11</v>
          </cell>
          <cell r="E800">
            <v>40784</v>
          </cell>
          <cell r="F800">
            <v>40963</v>
          </cell>
          <cell r="G800">
            <v>40877</v>
          </cell>
          <cell r="H800" t="str">
            <v>2011-0.201.744-9</v>
          </cell>
          <cell r="I800">
            <v>31418.52</v>
          </cell>
          <cell r="J800" t="str">
            <v xml:space="preserve">              123611122                  2848                    33903600</v>
          </cell>
          <cell r="K800">
            <v>40784</v>
          </cell>
          <cell r="L800">
            <v>94</v>
          </cell>
          <cell r="M800">
            <v>16500</v>
          </cell>
          <cell r="N800">
            <v>57278</v>
          </cell>
          <cell r="O800">
            <v>27199</v>
          </cell>
          <cell r="P800">
            <v>16</v>
          </cell>
          <cell r="Q800">
            <v>3</v>
          </cell>
          <cell r="S800">
            <v>600</v>
          </cell>
          <cell r="T800">
            <v>5565</v>
          </cell>
          <cell r="U800">
            <v>0</v>
          </cell>
          <cell r="V800">
            <v>5300</v>
          </cell>
          <cell r="W800">
            <v>180</v>
          </cell>
          <cell r="X800">
            <v>4240</v>
          </cell>
          <cell r="Y800">
            <v>89690</v>
          </cell>
          <cell r="Z800">
            <v>8348.1200000000008</v>
          </cell>
          <cell r="AA800">
            <v>1191.8799999999992</v>
          </cell>
          <cell r="AB800">
            <v>174.54733333333334</v>
          </cell>
          <cell r="AC800">
            <v>5300</v>
          </cell>
          <cell r="AD800">
            <v>3702.2000000000003</v>
          </cell>
          <cell r="AE800">
            <v>1597.7999999999997</v>
          </cell>
          <cell r="AN800" t="str">
            <v xml:space="preserve">Contrato emergencial nº </v>
          </cell>
          <cell r="AO800" t="str">
            <v>SM</v>
          </cell>
        </row>
        <row r="801">
          <cell r="D801" t="str">
            <v>1827/11</v>
          </cell>
          <cell r="E801">
            <v>40784</v>
          </cell>
          <cell r="F801">
            <v>40963</v>
          </cell>
          <cell r="G801">
            <v>40877</v>
          </cell>
          <cell r="H801" t="str">
            <v>2011-0.202.098-9</v>
          </cell>
          <cell r="I801">
            <v>31418.52</v>
          </cell>
          <cell r="J801" t="str">
            <v xml:space="preserve">              123611122                  2848                    33903600</v>
          </cell>
          <cell r="K801">
            <v>40784</v>
          </cell>
          <cell r="L801">
            <v>94</v>
          </cell>
          <cell r="M801">
            <v>16500</v>
          </cell>
          <cell r="N801">
            <v>57278</v>
          </cell>
          <cell r="O801">
            <v>27447</v>
          </cell>
          <cell r="P801">
            <v>16</v>
          </cell>
          <cell r="Q801">
            <v>3</v>
          </cell>
          <cell r="S801">
            <v>600</v>
          </cell>
          <cell r="T801">
            <v>5565</v>
          </cell>
          <cell r="U801">
            <v>0</v>
          </cell>
          <cell r="V801">
            <v>5300</v>
          </cell>
          <cell r="W801">
            <v>180</v>
          </cell>
          <cell r="X801">
            <v>4240</v>
          </cell>
          <cell r="Y801">
            <v>92713</v>
          </cell>
          <cell r="Z801">
            <v>6090.47</v>
          </cell>
          <cell r="AA801">
            <v>3449.5299999999997</v>
          </cell>
          <cell r="AB801">
            <v>174.54733333333334</v>
          </cell>
          <cell r="AC801">
            <v>5300</v>
          </cell>
          <cell r="AD801">
            <v>5067.7499999999991</v>
          </cell>
          <cell r="AE801">
            <v>232.25000000000091</v>
          </cell>
          <cell r="AN801" t="str">
            <v xml:space="preserve">Contrato emergencial nº </v>
          </cell>
          <cell r="AO801" t="str">
            <v>JT</v>
          </cell>
        </row>
        <row r="802">
          <cell r="D802" t="str">
            <v>1773/11</v>
          </cell>
          <cell r="E802">
            <v>40784</v>
          </cell>
          <cell r="F802">
            <v>40963</v>
          </cell>
          <cell r="G802">
            <v>40877</v>
          </cell>
          <cell r="H802" t="str">
            <v>2011-0.200.709-5</v>
          </cell>
          <cell r="I802">
            <v>31418.52</v>
          </cell>
          <cell r="J802" t="str">
            <v xml:space="preserve">              123651121                 2847                    33903600</v>
          </cell>
          <cell r="K802">
            <v>40784</v>
          </cell>
          <cell r="L802">
            <v>94</v>
          </cell>
          <cell r="M802">
            <v>16500</v>
          </cell>
          <cell r="N802">
            <v>57273</v>
          </cell>
          <cell r="O802">
            <v>27169</v>
          </cell>
          <cell r="P802">
            <v>16</v>
          </cell>
          <cell r="Q802">
            <v>2</v>
          </cell>
          <cell r="S802">
            <v>600</v>
          </cell>
          <cell r="T802">
            <v>5565</v>
          </cell>
          <cell r="U802">
            <v>0</v>
          </cell>
          <cell r="V802">
            <v>5300</v>
          </cell>
          <cell r="W802">
            <v>180</v>
          </cell>
          <cell r="X802">
            <v>4240</v>
          </cell>
          <cell r="Y802">
            <v>91229</v>
          </cell>
          <cell r="Z802">
            <v>7586.88</v>
          </cell>
          <cell r="AA802">
            <v>1953.12</v>
          </cell>
          <cell r="AB802">
            <v>174.54733333333334</v>
          </cell>
          <cell r="AC802">
            <v>5300</v>
          </cell>
          <cell r="AD802">
            <v>3888.1499999999996</v>
          </cell>
          <cell r="AE802">
            <v>1411.8500000000004</v>
          </cell>
          <cell r="AN802" t="str">
            <v xml:space="preserve">Contrato emergencial nº </v>
          </cell>
          <cell r="AO802" t="str">
            <v>IQ</v>
          </cell>
        </row>
        <row r="803">
          <cell r="D803" t="str">
            <v>1820/11</v>
          </cell>
          <cell r="E803">
            <v>40784</v>
          </cell>
          <cell r="F803">
            <v>40963</v>
          </cell>
          <cell r="G803">
            <v>40877</v>
          </cell>
          <cell r="H803" t="str">
            <v>2011-0.201.786-4</v>
          </cell>
          <cell r="I803">
            <v>31418.52</v>
          </cell>
          <cell r="J803" t="str">
            <v xml:space="preserve">              123651121                 2847                    33903600</v>
          </cell>
          <cell r="K803">
            <v>40784</v>
          </cell>
          <cell r="L803">
            <v>94</v>
          </cell>
          <cell r="M803">
            <v>16500</v>
          </cell>
          <cell r="N803">
            <v>57273</v>
          </cell>
          <cell r="O803">
            <v>27439</v>
          </cell>
          <cell r="P803">
            <v>16</v>
          </cell>
          <cell r="Q803">
            <v>2</v>
          </cell>
          <cell r="S803">
            <v>600</v>
          </cell>
          <cell r="T803">
            <v>5565</v>
          </cell>
          <cell r="U803">
            <v>0</v>
          </cell>
          <cell r="V803">
            <v>6400</v>
          </cell>
          <cell r="W803">
            <v>180</v>
          </cell>
          <cell r="X803">
            <v>5120</v>
          </cell>
          <cell r="Y803">
            <v>89988</v>
          </cell>
          <cell r="Z803">
            <v>3370.45</v>
          </cell>
          <cell r="AA803">
            <v>8149.55</v>
          </cell>
          <cell r="AB803">
            <v>174.54733333333334</v>
          </cell>
          <cell r="AC803">
            <v>5300</v>
          </cell>
          <cell r="AD803">
            <v>6318.0499999999993</v>
          </cell>
          <cell r="AE803">
            <v>-1018.0499999999993</v>
          </cell>
          <cell r="AN803" t="str">
            <v xml:space="preserve">Contrato emergencial nº </v>
          </cell>
          <cell r="AO803" t="str">
            <v>IP</v>
          </cell>
        </row>
        <row r="804">
          <cell r="D804" t="str">
            <v>1774/11</v>
          </cell>
          <cell r="E804">
            <v>40784</v>
          </cell>
          <cell r="F804">
            <v>40963</v>
          </cell>
          <cell r="G804">
            <v>40877</v>
          </cell>
          <cell r="H804" t="str">
            <v>2011-0.200.712-5</v>
          </cell>
          <cell r="I804">
            <v>27158.880000000001</v>
          </cell>
          <cell r="J804" t="str">
            <v xml:space="preserve">              123651121                 2847                    33903600</v>
          </cell>
          <cell r="K804">
            <v>40784</v>
          </cell>
          <cell r="L804">
            <v>94</v>
          </cell>
          <cell r="M804">
            <v>14200</v>
          </cell>
          <cell r="N804">
            <v>57273</v>
          </cell>
          <cell r="O804">
            <v>27365</v>
          </cell>
          <cell r="P804">
            <v>16</v>
          </cell>
          <cell r="Q804">
            <v>2</v>
          </cell>
          <cell r="S804">
            <v>500</v>
          </cell>
          <cell r="T804">
            <v>4795</v>
          </cell>
          <cell r="U804">
            <v>0</v>
          </cell>
          <cell r="V804">
            <v>4600</v>
          </cell>
          <cell r="W804">
            <v>180</v>
          </cell>
          <cell r="X804">
            <v>3680</v>
          </cell>
          <cell r="Y804">
            <v>92719</v>
          </cell>
          <cell r="Z804">
            <v>4341.71</v>
          </cell>
          <cell r="AA804">
            <v>3938.29</v>
          </cell>
          <cell r="AB804">
            <v>150.88266666666667</v>
          </cell>
          <cell r="AC804">
            <v>4600</v>
          </cell>
          <cell r="AD804">
            <v>4446.75</v>
          </cell>
          <cell r="AE804">
            <v>153.25</v>
          </cell>
          <cell r="AN804" t="str">
            <v xml:space="preserve">Contrato emergencial nº </v>
          </cell>
          <cell r="AO804" t="str">
            <v>JT</v>
          </cell>
        </row>
        <row r="805">
          <cell r="D805" t="str">
            <v>1791/11</v>
          </cell>
          <cell r="E805">
            <v>40784</v>
          </cell>
          <cell r="F805">
            <v>40963</v>
          </cell>
          <cell r="G805">
            <v>40877</v>
          </cell>
          <cell r="H805" t="str">
            <v>2011-0.201.361-3</v>
          </cell>
          <cell r="I805">
            <v>44324.52</v>
          </cell>
          <cell r="J805" t="str">
            <v xml:space="preserve">              123651121                 2847                    33903600</v>
          </cell>
          <cell r="K805">
            <v>40784</v>
          </cell>
          <cell r="L805">
            <v>94</v>
          </cell>
          <cell r="M805">
            <v>23200</v>
          </cell>
          <cell r="N805">
            <v>57273</v>
          </cell>
          <cell r="O805">
            <v>27385</v>
          </cell>
          <cell r="P805">
            <v>16</v>
          </cell>
          <cell r="Q805">
            <v>2</v>
          </cell>
          <cell r="S805">
            <v>800</v>
          </cell>
          <cell r="T805">
            <v>7839.9999999999991</v>
          </cell>
          <cell r="U805">
            <v>0</v>
          </cell>
          <cell r="V805">
            <v>7800</v>
          </cell>
          <cell r="W805">
            <v>180</v>
          </cell>
          <cell r="X805">
            <v>6240</v>
          </cell>
          <cell r="Y805">
            <v>89918</v>
          </cell>
          <cell r="Z805">
            <v>6304.61</v>
          </cell>
          <cell r="AA805">
            <v>7735.39</v>
          </cell>
          <cell r="AB805">
            <v>246.2473333333333</v>
          </cell>
          <cell r="AC805">
            <v>7400</v>
          </cell>
          <cell r="AD805">
            <v>7731.6999999999989</v>
          </cell>
          <cell r="AE805">
            <v>-331.69999999999891</v>
          </cell>
          <cell r="AN805" t="str">
            <v xml:space="preserve">Contrato emergencial nº </v>
          </cell>
          <cell r="AO805" t="str">
            <v>PJ</v>
          </cell>
        </row>
        <row r="806">
          <cell r="D806" t="str">
            <v>1792/11</v>
          </cell>
          <cell r="E806">
            <v>40784</v>
          </cell>
          <cell r="F806">
            <v>40963</v>
          </cell>
          <cell r="G806">
            <v>40877</v>
          </cell>
          <cell r="H806" t="str">
            <v>2011-0.201.378-8</v>
          </cell>
          <cell r="I806">
            <v>44324.52</v>
          </cell>
          <cell r="J806" t="str">
            <v xml:space="preserve">              123651121                 2847                    33903600</v>
          </cell>
          <cell r="K806">
            <v>40784</v>
          </cell>
          <cell r="L806">
            <v>94</v>
          </cell>
          <cell r="M806">
            <v>23200</v>
          </cell>
          <cell r="N806">
            <v>57273</v>
          </cell>
          <cell r="O806">
            <v>27387</v>
          </cell>
          <cell r="P806">
            <v>16</v>
          </cell>
          <cell r="Q806">
            <v>2</v>
          </cell>
          <cell r="S806">
            <v>800</v>
          </cell>
          <cell r="T806">
            <v>7839.9999999999991</v>
          </cell>
          <cell r="U806">
            <v>0</v>
          </cell>
          <cell r="V806">
            <v>7800</v>
          </cell>
          <cell r="W806">
            <v>180</v>
          </cell>
          <cell r="X806">
            <v>6240</v>
          </cell>
          <cell r="Y806">
            <v>89919</v>
          </cell>
          <cell r="Z806">
            <v>6396.67</v>
          </cell>
          <cell r="AA806">
            <v>7643.33</v>
          </cell>
          <cell r="AB806">
            <v>246.2473333333333</v>
          </cell>
          <cell r="AC806">
            <v>7400</v>
          </cell>
          <cell r="AD806">
            <v>7728.1500000000005</v>
          </cell>
          <cell r="AE806">
            <v>-328.15000000000055</v>
          </cell>
          <cell r="AN806" t="str">
            <v xml:space="preserve">Contrato emergencial nº </v>
          </cell>
          <cell r="AO806" t="str">
            <v>PJ</v>
          </cell>
        </row>
        <row r="807">
          <cell r="D807" t="str">
            <v>1830/11</v>
          </cell>
          <cell r="E807">
            <v>40784</v>
          </cell>
          <cell r="F807">
            <v>40963</v>
          </cell>
          <cell r="G807">
            <v>40877</v>
          </cell>
          <cell r="H807" t="str">
            <v>2011-0.202.105-5</v>
          </cell>
          <cell r="I807">
            <v>42184.92</v>
          </cell>
          <cell r="J807" t="str">
            <v xml:space="preserve">              123611122                  2848                    33903600</v>
          </cell>
          <cell r="K807">
            <v>40784</v>
          </cell>
          <cell r="L807">
            <v>94</v>
          </cell>
          <cell r="M807">
            <v>22100</v>
          </cell>
          <cell r="N807">
            <v>57278</v>
          </cell>
          <cell r="O807">
            <v>28014</v>
          </cell>
          <cell r="P807">
            <v>16</v>
          </cell>
          <cell r="Q807">
            <v>3</v>
          </cell>
          <cell r="S807">
            <v>486.41</v>
          </cell>
          <cell r="T807">
            <v>7734.9999999999991</v>
          </cell>
          <cell r="U807">
            <v>0</v>
          </cell>
          <cell r="V807">
            <v>7100</v>
          </cell>
          <cell r="W807">
            <v>180</v>
          </cell>
          <cell r="X807">
            <v>5680</v>
          </cell>
          <cell r="Y807">
            <v>97587</v>
          </cell>
          <cell r="Z807">
            <v>15491.18</v>
          </cell>
          <cell r="AA807">
            <v>-2711.1800000000003</v>
          </cell>
          <cell r="AB807">
            <v>234.36066666666665</v>
          </cell>
          <cell r="AC807">
            <v>7100</v>
          </cell>
          <cell r="AD807">
            <v>6768.25</v>
          </cell>
          <cell r="AE807">
            <v>331.75</v>
          </cell>
          <cell r="AN807" t="str">
            <v xml:space="preserve">Contrato emergencial nº </v>
          </cell>
          <cell r="AO807" t="str">
            <v>CL</v>
          </cell>
        </row>
        <row r="808">
          <cell r="D808" t="str">
            <v>1793/11</v>
          </cell>
          <cell r="E808">
            <v>40784</v>
          </cell>
          <cell r="F808">
            <v>40963</v>
          </cell>
          <cell r="G808">
            <v>40877</v>
          </cell>
          <cell r="H808" t="str">
            <v>2011-0.201.382-6</v>
          </cell>
          <cell r="I808">
            <v>21779.759999999998</v>
          </cell>
          <cell r="J808" t="str">
            <v xml:space="preserve">              123651121                 2847                    33903600</v>
          </cell>
          <cell r="K808">
            <v>40784</v>
          </cell>
          <cell r="L808">
            <v>94</v>
          </cell>
          <cell r="M808">
            <v>11400</v>
          </cell>
          <cell r="N808">
            <v>57273</v>
          </cell>
          <cell r="O808">
            <v>27388</v>
          </cell>
          <cell r="P808">
            <v>16</v>
          </cell>
          <cell r="Q808">
            <v>2</v>
          </cell>
          <cell r="S808">
            <v>400</v>
          </cell>
          <cell r="T808">
            <v>3849.9999999999995</v>
          </cell>
          <cell r="U808">
            <v>0</v>
          </cell>
          <cell r="V808">
            <v>3700</v>
          </cell>
          <cell r="W808">
            <v>180</v>
          </cell>
          <cell r="X808">
            <v>2960</v>
          </cell>
          <cell r="Y808">
            <v>89401</v>
          </cell>
          <cell r="Z808">
            <v>7978.35</v>
          </cell>
          <cell r="AA808">
            <v>-1318.3500000000004</v>
          </cell>
          <cell r="AB808">
            <v>120.99866666666665</v>
          </cell>
          <cell r="AC808">
            <v>3700</v>
          </cell>
          <cell r="AD808">
            <v>3017.25</v>
          </cell>
          <cell r="AE808">
            <v>682.75</v>
          </cell>
          <cell r="AN808" t="str">
            <v xml:space="preserve">Contrato emergencial nº </v>
          </cell>
          <cell r="AO808" t="str">
            <v>CL</v>
          </cell>
        </row>
        <row r="809">
          <cell r="D809" t="str">
            <v>1819/11</v>
          </cell>
          <cell r="E809">
            <v>40784</v>
          </cell>
          <cell r="F809">
            <v>40963</v>
          </cell>
          <cell r="G809">
            <v>40877</v>
          </cell>
          <cell r="H809" t="str">
            <v>2011-0.201.773-2</v>
          </cell>
          <cell r="I809">
            <v>31418.52</v>
          </cell>
          <cell r="J809" t="str">
            <v xml:space="preserve">              123611122                  2848                    33903600</v>
          </cell>
          <cell r="K809">
            <v>40784</v>
          </cell>
          <cell r="L809">
            <v>94</v>
          </cell>
          <cell r="M809">
            <v>16500</v>
          </cell>
          <cell r="N809">
            <v>57278</v>
          </cell>
          <cell r="O809">
            <v>27435</v>
          </cell>
          <cell r="P809">
            <v>16</v>
          </cell>
          <cell r="Q809">
            <v>3</v>
          </cell>
          <cell r="S809">
            <v>600</v>
          </cell>
          <cell r="T809">
            <v>5565</v>
          </cell>
          <cell r="U809">
            <v>0</v>
          </cell>
          <cell r="V809">
            <v>5400</v>
          </cell>
          <cell r="W809">
            <v>180</v>
          </cell>
          <cell r="X809">
            <v>4320</v>
          </cell>
          <cell r="Y809">
            <v>89438</v>
          </cell>
          <cell r="Z809">
            <v>5015.7000000000007</v>
          </cell>
          <cell r="AA809">
            <v>4704.2999999999993</v>
          </cell>
          <cell r="AB809">
            <v>174.54733333333334</v>
          </cell>
          <cell r="AC809">
            <v>5300</v>
          </cell>
          <cell r="AD809">
            <v>5396.5499999999993</v>
          </cell>
          <cell r="AE809">
            <v>-96.549999999999272</v>
          </cell>
          <cell r="AN809" t="str">
            <v xml:space="preserve">Contrato emergencial nº </v>
          </cell>
          <cell r="AO809" t="str">
            <v>CS</v>
          </cell>
        </row>
        <row r="810">
          <cell r="D810" t="str">
            <v>1775/11</v>
          </cell>
          <cell r="E810">
            <v>40784</v>
          </cell>
          <cell r="F810">
            <v>40963</v>
          </cell>
          <cell r="G810">
            <v>40877</v>
          </cell>
          <cell r="H810" t="str">
            <v>2011-0.200.716-8</v>
          </cell>
          <cell r="I810">
            <v>26039.46</v>
          </cell>
          <cell r="J810" t="str">
            <v xml:space="preserve">              123651121                 2847                    33903600</v>
          </cell>
          <cell r="K810">
            <v>40784</v>
          </cell>
          <cell r="L810">
            <v>94</v>
          </cell>
          <cell r="M810">
            <v>13600</v>
          </cell>
          <cell r="N810">
            <v>57273</v>
          </cell>
          <cell r="O810">
            <v>27171</v>
          </cell>
          <cell r="P810">
            <v>16</v>
          </cell>
          <cell r="Q810">
            <v>2</v>
          </cell>
          <cell r="S810">
            <v>500</v>
          </cell>
          <cell r="T810">
            <v>4585</v>
          </cell>
          <cell r="U810">
            <v>0</v>
          </cell>
          <cell r="V810">
            <v>4400</v>
          </cell>
          <cell r="W810">
            <v>180</v>
          </cell>
          <cell r="X810">
            <v>3520</v>
          </cell>
          <cell r="Y810">
            <v>89414</v>
          </cell>
          <cell r="Z810">
            <v>9021.86</v>
          </cell>
          <cell r="AA810">
            <v>-1101.8600000000006</v>
          </cell>
          <cell r="AB810">
            <v>144.66366666666667</v>
          </cell>
          <cell r="AC810">
            <v>4400</v>
          </cell>
          <cell r="AD810">
            <v>4042.35</v>
          </cell>
          <cell r="AE810">
            <v>357.65000000000009</v>
          </cell>
          <cell r="AN810" t="str">
            <v xml:space="preserve">Contrato emergencial nº </v>
          </cell>
          <cell r="AO810" t="str">
            <v>CL</v>
          </cell>
        </row>
        <row r="811">
          <cell r="D811" t="str">
            <v>1816/11</v>
          </cell>
          <cell r="E811">
            <v>40784</v>
          </cell>
          <cell r="F811">
            <v>40963</v>
          </cell>
          <cell r="G811">
            <v>40877</v>
          </cell>
          <cell r="H811" t="str">
            <v>2011-0.201.757-0</v>
          </cell>
          <cell r="I811">
            <v>31418.52</v>
          </cell>
          <cell r="J811" t="str">
            <v xml:space="preserve">              123611122                  2848                    33903600</v>
          </cell>
          <cell r="K811">
            <v>40784</v>
          </cell>
          <cell r="L811">
            <v>94</v>
          </cell>
          <cell r="M811">
            <v>16500</v>
          </cell>
          <cell r="N811">
            <v>57278</v>
          </cell>
          <cell r="O811">
            <v>27204</v>
          </cell>
          <cell r="P811">
            <v>16</v>
          </cell>
          <cell r="Q811">
            <v>3</v>
          </cell>
          <cell r="S811">
            <v>600</v>
          </cell>
          <cell r="T811">
            <v>5565</v>
          </cell>
          <cell r="U811">
            <v>0</v>
          </cell>
          <cell r="V811">
            <v>5300</v>
          </cell>
          <cell r="W811">
            <v>180</v>
          </cell>
          <cell r="X811">
            <v>4240</v>
          </cell>
          <cell r="Y811">
            <v>89468</v>
          </cell>
          <cell r="Z811">
            <v>5519.98</v>
          </cell>
          <cell r="AA811">
            <v>4020.0200000000004</v>
          </cell>
          <cell r="AB811">
            <v>174.54733333333334</v>
          </cell>
          <cell r="AC811">
            <v>5300</v>
          </cell>
          <cell r="AD811">
            <v>5108.75</v>
          </cell>
          <cell r="AE811">
            <v>191.25</v>
          </cell>
          <cell r="AN811" t="str">
            <v xml:space="preserve">Contrato emergencial nº </v>
          </cell>
          <cell r="AO811" t="str">
            <v>CS</v>
          </cell>
        </row>
        <row r="812">
          <cell r="D812" t="str">
            <v>1794/11</v>
          </cell>
          <cell r="E812">
            <v>40784</v>
          </cell>
          <cell r="F812">
            <v>40963</v>
          </cell>
          <cell r="G812">
            <v>40877</v>
          </cell>
          <cell r="H812" t="str">
            <v>2011-0.201.383-4</v>
          </cell>
          <cell r="I812">
            <v>44324.52</v>
          </cell>
          <cell r="J812" t="str">
            <v xml:space="preserve">              123651121                 2847                    33903600</v>
          </cell>
          <cell r="K812">
            <v>40784</v>
          </cell>
          <cell r="L812">
            <v>94</v>
          </cell>
          <cell r="M812">
            <v>23200</v>
          </cell>
          <cell r="N812">
            <v>57273</v>
          </cell>
          <cell r="O812">
            <v>27390</v>
          </cell>
          <cell r="P812">
            <v>16</v>
          </cell>
          <cell r="Q812">
            <v>0</v>
          </cell>
          <cell r="S812">
            <v>800</v>
          </cell>
          <cell r="T812">
            <v>7839.9999999999991</v>
          </cell>
          <cell r="U812">
            <v>0</v>
          </cell>
          <cell r="V812">
            <v>7400</v>
          </cell>
          <cell r="W812">
            <v>180</v>
          </cell>
          <cell r="X812">
            <v>5920</v>
          </cell>
          <cell r="Y812">
            <v>91230</v>
          </cell>
          <cell r="Z812">
            <v>9449.41</v>
          </cell>
          <cell r="AA812">
            <v>3870.59</v>
          </cell>
          <cell r="AB812">
            <v>246.2473333333333</v>
          </cell>
          <cell r="AC812">
            <v>7400</v>
          </cell>
          <cell r="AD812">
            <v>6617.1</v>
          </cell>
          <cell r="AE812">
            <v>782.89999999999964</v>
          </cell>
          <cell r="AN812" t="str">
            <v xml:space="preserve">Contrato emergencial nº </v>
          </cell>
          <cell r="AO812" t="str">
            <v>IQ</v>
          </cell>
        </row>
        <row r="813">
          <cell r="D813" t="str">
            <v>1817/11</v>
          </cell>
          <cell r="E813">
            <v>40784</v>
          </cell>
          <cell r="F813">
            <v>40963</v>
          </cell>
          <cell r="G813">
            <v>40877</v>
          </cell>
          <cell r="H813" t="str">
            <v>2011-0.201.764-3</v>
          </cell>
          <cell r="I813">
            <v>31418.52</v>
          </cell>
          <cell r="J813" t="str">
            <v xml:space="preserve">              123651121                 2847                    33903600</v>
          </cell>
          <cell r="K813">
            <v>40784</v>
          </cell>
          <cell r="L813">
            <v>94</v>
          </cell>
          <cell r="M813">
            <v>16500</v>
          </cell>
          <cell r="N813">
            <v>57273</v>
          </cell>
          <cell r="O813">
            <v>28010</v>
          </cell>
          <cell r="P813">
            <v>16</v>
          </cell>
          <cell r="Q813">
            <v>2</v>
          </cell>
          <cell r="S813">
            <v>600</v>
          </cell>
          <cell r="T813">
            <v>5565</v>
          </cell>
          <cell r="U813">
            <v>0</v>
          </cell>
          <cell r="V813">
            <v>5300</v>
          </cell>
          <cell r="W813">
            <v>180</v>
          </cell>
          <cell r="X813">
            <v>4240</v>
          </cell>
          <cell r="Y813">
            <v>91824</v>
          </cell>
          <cell r="Z813">
            <v>7574.1</v>
          </cell>
          <cell r="AA813">
            <v>1965.8999999999996</v>
          </cell>
          <cell r="AB813">
            <v>174.54733333333334</v>
          </cell>
          <cell r="AC813">
            <v>5300</v>
          </cell>
          <cell r="AD813">
            <v>4214.45</v>
          </cell>
          <cell r="AE813">
            <v>1085.5500000000002</v>
          </cell>
          <cell r="AN813" t="str">
            <v xml:space="preserve">Contrato emergencial nº </v>
          </cell>
          <cell r="AO813" t="str">
            <v>CS</v>
          </cell>
        </row>
        <row r="814">
          <cell r="D814" t="str">
            <v>1806/11</v>
          </cell>
          <cell r="E814">
            <v>40784</v>
          </cell>
          <cell r="F814">
            <v>40963</v>
          </cell>
          <cell r="G814">
            <v>40877</v>
          </cell>
          <cell r="H814" t="str">
            <v>2011-0.201.423-7</v>
          </cell>
          <cell r="I814">
            <v>37607.879999999997</v>
          </cell>
          <cell r="J814" t="str">
            <v xml:space="preserve">              123651121                 2847                    33903600</v>
          </cell>
          <cell r="K814">
            <v>40784</v>
          </cell>
          <cell r="L814">
            <v>94</v>
          </cell>
          <cell r="M814">
            <v>19700</v>
          </cell>
          <cell r="N814">
            <v>57273</v>
          </cell>
          <cell r="O814">
            <v>27430</v>
          </cell>
          <cell r="P814">
            <v>16</v>
          </cell>
          <cell r="Q814">
            <v>0</v>
          </cell>
          <cell r="S814">
            <v>700</v>
          </cell>
          <cell r="T814">
            <v>6650</v>
          </cell>
          <cell r="U814">
            <v>0</v>
          </cell>
          <cell r="V814">
            <v>6300</v>
          </cell>
          <cell r="W814">
            <v>180</v>
          </cell>
          <cell r="X814">
            <v>5040</v>
          </cell>
          <cell r="Y814">
            <v>89967</v>
          </cell>
          <cell r="Z814">
            <v>6428.11</v>
          </cell>
          <cell r="AA814">
            <v>4911.8900000000003</v>
          </cell>
          <cell r="AB814">
            <v>208.93266666666665</v>
          </cell>
          <cell r="AC814">
            <v>6300</v>
          </cell>
          <cell r="AD814">
            <v>5655.75</v>
          </cell>
          <cell r="AE814">
            <v>644.25</v>
          </cell>
          <cell r="AN814" t="str">
            <v xml:space="preserve">Contrato emergencial nº </v>
          </cell>
          <cell r="AO814" t="str">
            <v>G</v>
          </cell>
        </row>
        <row r="815">
          <cell r="D815" t="str">
            <v>1825/11</v>
          </cell>
          <cell r="E815">
            <v>40784</v>
          </cell>
          <cell r="F815">
            <v>40963</v>
          </cell>
          <cell r="G815">
            <v>40877</v>
          </cell>
          <cell r="H815" t="str">
            <v>2011-0.202.092-0</v>
          </cell>
          <cell r="I815">
            <v>27158.880000000001</v>
          </cell>
          <cell r="J815" t="str">
            <v xml:space="preserve">              123651121                 2847                    33903600</v>
          </cell>
          <cell r="K815">
            <v>40784</v>
          </cell>
          <cell r="L815">
            <v>94</v>
          </cell>
          <cell r="M815">
            <v>14200</v>
          </cell>
          <cell r="N815">
            <v>57273</v>
          </cell>
          <cell r="O815">
            <v>27445</v>
          </cell>
          <cell r="P815">
            <v>16</v>
          </cell>
          <cell r="Q815">
            <v>0</v>
          </cell>
          <cell r="S815">
            <v>500</v>
          </cell>
          <cell r="T815">
            <v>4795</v>
          </cell>
          <cell r="U815">
            <v>0</v>
          </cell>
          <cell r="V815">
            <v>4600</v>
          </cell>
          <cell r="W815">
            <v>180</v>
          </cell>
          <cell r="X815">
            <v>3680</v>
          </cell>
          <cell r="Y815">
            <v>91273</v>
          </cell>
          <cell r="Z815">
            <v>6202.11</v>
          </cell>
          <cell r="AA815">
            <v>2077.8900000000003</v>
          </cell>
          <cell r="AB815">
            <v>150.88266666666667</v>
          </cell>
          <cell r="AC815">
            <v>4600</v>
          </cell>
          <cell r="AD815">
            <v>3666.5499999999997</v>
          </cell>
          <cell r="AE815">
            <v>933.45000000000027</v>
          </cell>
          <cell r="AN815" t="str">
            <v xml:space="preserve">Contrato emergencial nº </v>
          </cell>
          <cell r="AO815" t="str">
            <v>SA</v>
          </cell>
        </row>
        <row r="816">
          <cell r="D816" t="str">
            <v>1776/11</v>
          </cell>
          <cell r="E816">
            <v>40784</v>
          </cell>
          <cell r="F816">
            <v>40963</v>
          </cell>
          <cell r="G816">
            <v>40877</v>
          </cell>
          <cell r="H816" t="str">
            <v>2011-0.200.719-2</v>
          </cell>
          <cell r="I816">
            <v>44978.400000000001</v>
          </cell>
          <cell r="J816" t="str">
            <v xml:space="preserve">              123651121                 2847                    33903600</v>
          </cell>
          <cell r="K816">
            <v>40784</v>
          </cell>
          <cell r="L816">
            <v>94</v>
          </cell>
          <cell r="M816">
            <v>23500</v>
          </cell>
          <cell r="N816">
            <v>57273</v>
          </cell>
          <cell r="O816">
            <v>27172</v>
          </cell>
          <cell r="P816">
            <v>16</v>
          </cell>
          <cell r="Q816">
            <v>0</v>
          </cell>
          <cell r="S816">
            <v>800</v>
          </cell>
          <cell r="T816">
            <v>7944.9999999999991</v>
          </cell>
          <cell r="U816">
            <v>0</v>
          </cell>
          <cell r="V816">
            <v>7500</v>
          </cell>
          <cell r="W816">
            <v>180</v>
          </cell>
          <cell r="X816">
            <v>6000</v>
          </cell>
          <cell r="Y816">
            <v>91290</v>
          </cell>
          <cell r="Z816">
            <v>11874</v>
          </cell>
          <cell r="AA816">
            <v>1626</v>
          </cell>
          <cell r="AB816">
            <v>249.88</v>
          </cell>
          <cell r="AC816">
            <v>7500</v>
          </cell>
          <cell r="AD816">
            <v>5282.3</v>
          </cell>
          <cell r="AE816">
            <v>2217.6999999999998</v>
          </cell>
          <cell r="AN816" t="str">
            <v xml:space="preserve">Contrato emergencial nº </v>
          </cell>
          <cell r="AO816" t="str">
            <v>IQ</v>
          </cell>
        </row>
        <row r="817">
          <cell r="D817" t="str">
            <v>1777/11</v>
          </cell>
          <cell r="E817">
            <v>40784</v>
          </cell>
          <cell r="F817">
            <v>40963</v>
          </cell>
          <cell r="G817">
            <v>40877</v>
          </cell>
          <cell r="H817" t="str">
            <v>2011-0.200.726-5</v>
          </cell>
          <cell r="I817">
            <v>26901.3</v>
          </cell>
          <cell r="J817" t="str">
            <v xml:space="preserve">              123611122                  2848                    33903600</v>
          </cell>
          <cell r="K817">
            <v>40784</v>
          </cell>
          <cell r="L817">
            <v>94</v>
          </cell>
          <cell r="M817">
            <v>14100</v>
          </cell>
          <cell r="N817">
            <v>57278</v>
          </cell>
          <cell r="O817">
            <v>27368</v>
          </cell>
          <cell r="P817">
            <v>16</v>
          </cell>
          <cell r="Q817">
            <v>0</v>
          </cell>
          <cell r="S817">
            <v>500</v>
          </cell>
          <cell r="T817">
            <v>4760</v>
          </cell>
          <cell r="U817">
            <v>0</v>
          </cell>
          <cell r="V817">
            <v>5000</v>
          </cell>
          <cell r="W817">
            <v>180</v>
          </cell>
          <cell r="X817">
            <v>4000</v>
          </cell>
          <cell r="Y817">
            <v>89996</v>
          </cell>
          <cell r="Z817">
            <v>3229.57</v>
          </cell>
          <cell r="AA817">
            <v>5770.43</v>
          </cell>
          <cell r="AB817">
            <v>149.45166666666665</v>
          </cell>
          <cell r="AC817">
            <v>4500</v>
          </cell>
          <cell r="AD817">
            <v>4948.2</v>
          </cell>
          <cell r="AE817">
            <v>-448.19999999999982</v>
          </cell>
          <cell r="AN817" t="str">
            <v xml:space="preserve">Contrato emergencial nº </v>
          </cell>
          <cell r="AO817" t="str">
            <v>IP</v>
          </cell>
        </row>
        <row r="818">
          <cell r="D818" t="str">
            <v>1810/11</v>
          </cell>
          <cell r="E818">
            <v>40784</v>
          </cell>
          <cell r="F818">
            <v>40963</v>
          </cell>
          <cell r="G818">
            <v>40877</v>
          </cell>
          <cell r="H818" t="str">
            <v>2011-0.201.426-1</v>
          </cell>
          <cell r="I818">
            <v>31012.38</v>
          </cell>
          <cell r="J818" t="str">
            <v xml:space="preserve">              123611122                  2848                    33903600</v>
          </cell>
          <cell r="K818">
            <v>40784</v>
          </cell>
          <cell r="L818">
            <v>94</v>
          </cell>
          <cell r="M818">
            <v>16200</v>
          </cell>
          <cell r="N818">
            <v>57278</v>
          </cell>
          <cell r="O818">
            <v>27198</v>
          </cell>
          <cell r="P818">
            <v>16</v>
          </cell>
          <cell r="Q818">
            <v>3</v>
          </cell>
          <cell r="S818">
            <v>600</v>
          </cell>
          <cell r="T818">
            <v>5460</v>
          </cell>
          <cell r="U818">
            <v>0</v>
          </cell>
          <cell r="V818">
            <v>5700</v>
          </cell>
          <cell r="W818">
            <v>180</v>
          </cell>
          <cell r="X818">
            <v>4560</v>
          </cell>
          <cell r="Y818">
            <v>89473</v>
          </cell>
          <cell r="Z818">
            <v>3367.66</v>
          </cell>
          <cell r="AA818">
            <v>6892.34</v>
          </cell>
          <cell r="AB818">
            <v>172.291</v>
          </cell>
          <cell r="AC818">
            <v>5200</v>
          </cell>
          <cell r="AD818">
            <v>5682.65</v>
          </cell>
          <cell r="AE818">
            <v>-482.64999999999964</v>
          </cell>
          <cell r="AN818" t="str">
            <v xml:space="preserve">Contrato emergencial nº </v>
          </cell>
          <cell r="AO818" t="str">
            <v>CS</v>
          </cell>
        </row>
        <row r="819">
          <cell r="D819" t="str">
            <v>1807/11</v>
          </cell>
          <cell r="E819">
            <v>40784</v>
          </cell>
          <cell r="F819">
            <v>40963</v>
          </cell>
          <cell r="G819">
            <v>40877</v>
          </cell>
          <cell r="H819" t="str">
            <v>2011-0.201.430-0</v>
          </cell>
          <cell r="I819">
            <v>31824.66</v>
          </cell>
          <cell r="J819" t="str">
            <v xml:space="preserve">              123611122                  2848                    33903600</v>
          </cell>
          <cell r="K819">
            <v>40784</v>
          </cell>
          <cell r="L819">
            <v>94</v>
          </cell>
          <cell r="M819">
            <v>16700</v>
          </cell>
          <cell r="N819">
            <v>57278</v>
          </cell>
          <cell r="O819">
            <v>27431</v>
          </cell>
          <cell r="P819">
            <v>16</v>
          </cell>
          <cell r="Q819">
            <v>0</v>
          </cell>
          <cell r="S819">
            <v>600</v>
          </cell>
          <cell r="T819">
            <v>5635</v>
          </cell>
          <cell r="U819">
            <v>0</v>
          </cell>
          <cell r="V819">
            <v>5400</v>
          </cell>
          <cell r="W819">
            <v>180</v>
          </cell>
          <cell r="X819">
            <v>4320</v>
          </cell>
          <cell r="Y819">
            <v>90001</v>
          </cell>
          <cell r="Z819">
            <v>6075.77</v>
          </cell>
          <cell r="AA819">
            <v>3644.2299999999996</v>
          </cell>
          <cell r="AB819">
            <v>176.80366666666666</v>
          </cell>
          <cell r="AC819">
            <v>5400</v>
          </cell>
          <cell r="AD819">
            <v>3881.5499999999997</v>
          </cell>
          <cell r="AE819">
            <v>1518.4500000000003</v>
          </cell>
          <cell r="AN819" t="str">
            <v xml:space="preserve">Contrato emergencial nº </v>
          </cell>
          <cell r="AO819" t="str">
            <v>SM</v>
          </cell>
        </row>
        <row r="820">
          <cell r="D820" t="str">
            <v>1778/11</v>
          </cell>
          <cell r="E820">
            <v>40784</v>
          </cell>
          <cell r="F820">
            <v>40963</v>
          </cell>
          <cell r="G820">
            <v>40877</v>
          </cell>
          <cell r="H820" t="str">
            <v>2011-0.200.729-0</v>
          </cell>
          <cell r="I820">
            <v>37607.879999999997</v>
          </cell>
          <cell r="J820" t="str">
            <v xml:space="preserve">              123611122                  2848                    33903600</v>
          </cell>
          <cell r="K820">
            <v>40784</v>
          </cell>
          <cell r="L820">
            <v>94</v>
          </cell>
          <cell r="M820">
            <v>19700</v>
          </cell>
          <cell r="N820">
            <v>57278</v>
          </cell>
          <cell r="O820">
            <v>27370</v>
          </cell>
          <cell r="P820">
            <v>16</v>
          </cell>
          <cell r="Q820">
            <v>3</v>
          </cell>
          <cell r="S820">
            <v>700</v>
          </cell>
          <cell r="T820">
            <v>6650</v>
          </cell>
          <cell r="U820">
            <v>0</v>
          </cell>
          <cell r="V820">
            <v>6300</v>
          </cell>
          <cell r="W820">
            <v>180</v>
          </cell>
          <cell r="X820">
            <v>5040</v>
          </cell>
          <cell r="Y820">
            <v>89920</v>
          </cell>
          <cell r="Z820">
            <v>7812.38</v>
          </cell>
          <cell r="AA820">
            <v>3527.62</v>
          </cell>
          <cell r="AB820">
            <v>208.93266666666665</v>
          </cell>
          <cell r="AC820">
            <v>6300</v>
          </cell>
          <cell r="AD820">
            <v>5286.2999999999993</v>
          </cell>
          <cell r="AE820">
            <v>1013.7000000000007</v>
          </cell>
          <cell r="AN820" t="str">
            <v xml:space="preserve">Contrato emergencial nº </v>
          </cell>
          <cell r="AO820" t="str">
            <v>PJ</v>
          </cell>
        </row>
        <row r="821">
          <cell r="D821" t="str">
            <v>1795/11</v>
          </cell>
          <cell r="E821">
            <v>40784</v>
          </cell>
          <cell r="F821">
            <v>40963</v>
          </cell>
          <cell r="G821">
            <v>40877</v>
          </cell>
          <cell r="H821" t="str">
            <v>2011-0.201.391-5</v>
          </cell>
          <cell r="I821">
            <v>31012.38</v>
          </cell>
          <cell r="J821" t="str">
            <v xml:space="preserve">              123611122                  2848                    33903600</v>
          </cell>
          <cell r="K821">
            <v>40784</v>
          </cell>
          <cell r="L821">
            <v>94</v>
          </cell>
          <cell r="M821">
            <v>16200</v>
          </cell>
          <cell r="N821">
            <v>57278</v>
          </cell>
          <cell r="O821">
            <v>27396</v>
          </cell>
          <cell r="P821">
            <v>16</v>
          </cell>
          <cell r="Q821">
            <v>0</v>
          </cell>
          <cell r="S821">
            <v>600</v>
          </cell>
          <cell r="T821">
            <v>5460</v>
          </cell>
          <cell r="U821">
            <v>0</v>
          </cell>
          <cell r="V821">
            <v>5500</v>
          </cell>
          <cell r="W821">
            <v>180</v>
          </cell>
          <cell r="X821">
            <v>4400</v>
          </cell>
          <cell r="Y821">
            <v>90004</v>
          </cell>
          <cell r="Z821">
            <v>4365.59</v>
          </cell>
          <cell r="AA821">
            <v>5534.41</v>
          </cell>
          <cell r="AB821">
            <v>172.291</v>
          </cell>
          <cell r="AC821">
            <v>5200</v>
          </cell>
          <cell r="AD821">
            <v>5426.5499999999993</v>
          </cell>
          <cell r="AE821">
            <v>-226.54999999999927</v>
          </cell>
          <cell r="AN821" t="str">
            <v xml:space="preserve">Contrato emergencial nº </v>
          </cell>
          <cell r="AO821" t="str">
            <v>IP</v>
          </cell>
        </row>
        <row r="822">
          <cell r="D822" t="str">
            <v>1779/11</v>
          </cell>
          <cell r="E822">
            <v>40784</v>
          </cell>
          <cell r="F822">
            <v>40963</v>
          </cell>
          <cell r="G822">
            <v>40877</v>
          </cell>
          <cell r="H822" t="str">
            <v>2011-0.200.732-0</v>
          </cell>
          <cell r="I822">
            <v>31418.52</v>
          </cell>
          <cell r="J822" t="str">
            <v xml:space="preserve">              123611122                  2848                    33903600</v>
          </cell>
          <cell r="K822">
            <v>40784</v>
          </cell>
          <cell r="L822">
            <v>94</v>
          </cell>
          <cell r="M822">
            <v>16500</v>
          </cell>
          <cell r="N822">
            <v>57278</v>
          </cell>
          <cell r="O822">
            <v>27173</v>
          </cell>
          <cell r="P822">
            <v>16</v>
          </cell>
          <cell r="Q822">
            <v>0</v>
          </cell>
          <cell r="S822">
            <v>600</v>
          </cell>
          <cell r="T822">
            <v>5565</v>
          </cell>
          <cell r="U822">
            <v>0</v>
          </cell>
          <cell r="V822">
            <v>5300</v>
          </cell>
          <cell r="W822">
            <v>180</v>
          </cell>
          <cell r="X822">
            <v>4240</v>
          </cell>
          <cell r="Y822">
            <v>90006</v>
          </cell>
          <cell r="Z822">
            <v>5608.8</v>
          </cell>
          <cell r="AA822">
            <v>3931.2</v>
          </cell>
          <cell r="AB822">
            <v>174.54733333333334</v>
          </cell>
          <cell r="AC822">
            <v>5300</v>
          </cell>
          <cell r="AD822">
            <v>4966.8999999999996</v>
          </cell>
          <cell r="AE822">
            <v>333.10000000000036</v>
          </cell>
          <cell r="AN822" t="str">
            <v xml:space="preserve">Contrato emergencial nº </v>
          </cell>
          <cell r="AO822" t="str">
            <v>IP</v>
          </cell>
        </row>
        <row r="823">
          <cell r="D823" t="str">
            <v>1796/11</v>
          </cell>
          <cell r="E823">
            <v>40784</v>
          </cell>
          <cell r="F823">
            <v>40963</v>
          </cell>
          <cell r="G823">
            <v>40877</v>
          </cell>
          <cell r="H823" t="str">
            <v>2011-0.201.395-8</v>
          </cell>
          <cell r="I823">
            <v>44324.52</v>
          </cell>
          <cell r="J823" t="str">
            <v xml:space="preserve">              123611122                  2848                    33903600</v>
          </cell>
          <cell r="K823">
            <v>40784</v>
          </cell>
          <cell r="L823">
            <v>94</v>
          </cell>
          <cell r="M823">
            <v>23200</v>
          </cell>
          <cell r="N823">
            <v>57278</v>
          </cell>
          <cell r="O823">
            <v>27182</v>
          </cell>
          <cell r="P823">
            <v>16</v>
          </cell>
          <cell r="Q823">
            <v>3</v>
          </cell>
          <cell r="S823">
            <v>800</v>
          </cell>
          <cell r="T823">
            <v>7839.9999999999991</v>
          </cell>
          <cell r="U823">
            <v>0</v>
          </cell>
          <cell r="V823">
            <v>7400</v>
          </cell>
          <cell r="W823">
            <v>180</v>
          </cell>
          <cell r="X823">
            <v>5920</v>
          </cell>
          <cell r="Y823">
            <v>89923</v>
          </cell>
          <cell r="Z823">
            <v>11185.97</v>
          </cell>
          <cell r="AA823">
            <v>2134.0300000000007</v>
          </cell>
          <cell r="AB823">
            <v>246.2473333333333</v>
          </cell>
          <cell r="AC823">
            <v>7400</v>
          </cell>
          <cell r="AD823">
            <v>5436.2999999999993</v>
          </cell>
          <cell r="AE823">
            <v>1963.7000000000007</v>
          </cell>
          <cell r="AN823" t="str">
            <v xml:space="preserve">Contrato emergencial nº </v>
          </cell>
          <cell r="AO823" t="str">
            <v>PJ</v>
          </cell>
        </row>
        <row r="824">
          <cell r="D824" t="str">
            <v>1834/11</v>
          </cell>
          <cell r="E824">
            <v>40784</v>
          </cell>
          <cell r="F824">
            <v>40963</v>
          </cell>
          <cell r="G824">
            <v>40877</v>
          </cell>
          <cell r="H824" t="str">
            <v>2011-0.202.116-0</v>
          </cell>
          <cell r="I824">
            <v>27971.16</v>
          </cell>
          <cell r="J824" t="str">
            <v xml:space="preserve">              123651121                 2847                    33903600</v>
          </cell>
          <cell r="K824">
            <v>40784</v>
          </cell>
          <cell r="L824">
            <v>94</v>
          </cell>
          <cell r="M824">
            <v>14700</v>
          </cell>
          <cell r="N824">
            <v>57273</v>
          </cell>
          <cell r="O824">
            <v>27452</v>
          </cell>
          <cell r="P824">
            <v>16</v>
          </cell>
          <cell r="Q824">
            <v>2</v>
          </cell>
          <cell r="S824">
            <v>500</v>
          </cell>
          <cell r="T824">
            <v>4970</v>
          </cell>
          <cell r="U824">
            <v>0</v>
          </cell>
          <cell r="V824">
            <v>4700</v>
          </cell>
          <cell r="W824">
            <v>180</v>
          </cell>
          <cell r="X824">
            <v>3760</v>
          </cell>
          <cell r="Y824">
            <v>89475</v>
          </cell>
          <cell r="Z824">
            <v>5387.3899999999994</v>
          </cell>
          <cell r="AA824">
            <v>3072.6100000000006</v>
          </cell>
          <cell r="AB824">
            <v>155.39533333333333</v>
          </cell>
          <cell r="AC824">
            <v>4700</v>
          </cell>
          <cell r="AD824">
            <v>4360.3500000000004</v>
          </cell>
          <cell r="AE824">
            <v>339.64999999999964</v>
          </cell>
          <cell r="AN824" t="str">
            <v xml:space="preserve">Contrato emergencial nº </v>
          </cell>
          <cell r="AO824" t="str">
            <v>CS</v>
          </cell>
        </row>
        <row r="825">
          <cell r="D825" t="str">
            <v>1797/11</v>
          </cell>
          <cell r="E825">
            <v>40784</v>
          </cell>
          <cell r="F825">
            <v>40963</v>
          </cell>
          <cell r="G825">
            <v>40877</v>
          </cell>
          <cell r="H825" t="str">
            <v>2011-0.201.397-4</v>
          </cell>
          <cell r="I825">
            <v>26039.46</v>
          </cell>
          <cell r="J825" t="str">
            <v xml:space="preserve">              123611122                  2848                    33903600</v>
          </cell>
          <cell r="K825">
            <v>40784</v>
          </cell>
          <cell r="L825">
            <v>94</v>
          </cell>
          <cell r="M825">
            <v>13600</v>
          </cell>
          <cell r="N825">
            <v>57278</v>
          </cell>
          <cell r="O825">
            <v>27188</v>
          </cell>
          <cell r="P825">
            <v>16</v>
          </cell>
          <cell r="Q825">
            <v>0</v>
          </cell>
          <cell r="S825">
            <v>500</v>
          </cell>
          <cell r="T825">
            <v>4585</v>
          </cell>
          <cell r="U825">
            <v>0</v>
          </cell>
          <cell r="V825">
            <v>4400</v>
          </cell>
          <cell r="W825">
            <v>180</v>
          </cell>
          <cell r="X825">
            <v>3520</v>
          </cell>
          <cell r="Y825">
            <v>90009</v>
          </cell>
          <cell r="Z825">
            <v>3555.15</v>
          </cell>
          <cell r="AA825">
            <v>4364.8500000000004</v>
          </cell>
          <cell r="AB825">
            <v>144.66366666666667</v>
          </cell>
          <cell r="AC825">
            <v>4400</v>
          </cell>
          <cell r="AD825">
            <v>4393.1499999999996</v>
          </cell>
          <cell r="AE825">
            <v>6.8500000000003638</v>
          </cell>
          <cell r="AN825" t="str">
            <v xml:space="preserve">Contrato emergencial nº </v>
          </cell>
          <cell r="AO825" t="str">
            <v>SM</v>
          </cell>
        </row>
        <row r="826">
          <cell r="D826" t="str">
            <v>1798/11</v>
          </cell>
          <cell r="E826">
            <v>40784</v>
          </cell>
          <cell r="F826">
            <v>40963</v>
          </cell>
          <cell r="G826">
            <v>40877</v>
          </cell>
          <cell r="H826" t="str">
            <v>2011-0.201.400-8</v>
          </cell>
          <cell r="I826">
            <v>37607.879999999997</v>
          </cell>
          <cell r="J826" t="str">
            <v xml:space="preserve">              123611122                  2848                    33903600</v>
          </cell>
          <cell r="K826">
            <v>40784</v>
          </cell>
          <cell r="L826">
            <v>94</v>
          </cell>
          <cell r="M826">
            <v>19700</v>
          </cell>
          <cell r="N826">
            <v>57278</v>
          </cell>
          <cell r="O826">
            <v>27397</v>
          </cell>
          <cell r="P826">
            <v>16</v>
          </cell>
          <cell r="Q826">
            <v>0</v>
          </cell>
          <cell r="S826">
            <v>700</v>
          </cell>
          <cell r="T826">
            <v>6650</v>
          </cell>
          <cell r="U826">
            <v>0</v>
          </cell>
          <cell r="V826">
            <v>6300</v>
          </cell>
          <cell r="W826">
            <v>180</v>
          </cell>
          <cell r="X826">
            <v>5040</v>
          </cell>
          <cell r="Y826">
            <v>90015</v>
          </cell>
          <cell r="Z826">
            <v>9500.9599999999991</v>
          </cell>
          <cell r="AA826">
            <v>1839.0400000000009</v>
          </cell>
          <cell r="AB826">
            <v>208.93266666666665</v>
          </cell>
          <cell r="AC826">
            <v>6300</v>
          </cell>
          <cell r="AD826">
            <v>4653.75</v>
          </cell>
          <cell r="AE826">
            <v>1646.25</v>
          </cell>
          <cell r="AN826" t="str">
            <v xml:space="preserve">Contrato emergencial nº </v>
          </cell>
          <cell r="AO826" t="str">
            <v>IP</v>
          </cell>
        </row>
        <row r="827">
          <cell r="D827" t="str">
            <v>1780/11</v>
          </cell>
          <cell r="E827">
            <v>40784</v>
          </cell>
          <cell r="F827">
            <v>40963</v>
          </cell>
          <cell r="G827">
            <v>40877</v>
          </cell>
          <cell r="H827" t="str">
            <v>2011-0.200.733-8</v>
          </cell>
          <cell r="I827">
            <v>44324.52</v>
          </cell>
          <cell r="J827" t="str">
            <v xml:space="preserve">              123611122                  2848                    33903600</v>
          </cell>
          <cell r="K827">
            <v>40784</v>
          </cell>
          <cell r="L827">
            <v>94</v>
          </cell>
          <cell r="M827">
            <v>23200</v>
          </cell>
          <cell r="N827">
            <v>57278</v>
          </cell>
          <cell r="O827">
            <v>27372</v>
          </cell>
          <cell r="P827">
            <v>16</v>
          </cell>
          <cell r="Q827">
            <v>0</v>
          </cell>
          <cell r="S827">
            <v>800</v>
          </cell>
          <cell r="T827">
            <v>7839.9999999999991</v>
          </cell>
          <cell r="U827">
            <v>0</v>
          </cell>
          <cell r="V827">
            <v>7400</v>
          </cell>
          <cell r="W827">
            <v>180</v>
          </cell>
          <cell r="X827">
            <v>5920</v>
          </cell>
          <cell r="Y827">
            <v>92728</v>
          </cell>
          <cell r="Z827">
            <v>10118.83</v>
          </cell>
          <cell r="AA827">
            <v>3201.17</v>
          </cell>
          <cell r="AB827">
            <v>246.2473333333333</v>
          </cell>
          <cell r="AC827">
            <v>7400</v>
          </cell>
          <cell r="AD827">
            <v>5940.5999999999995</v>
          </cell>
          <cell r="AE827">
            <v>1459.4000000000005</v>
          </cell>
          <cell r="AN827" t="str">
            <v xml:space="preserve">Contrato emergencial nº </v>
          </cell>
          <cell r="AO827" t="str">
            <v>JT</v>
          </cell>
        </row>
        <row r="828">
          <cell r="D828" t="str">
            <v>1799/11</v>
          </cell>
          <cell r="E828">
            <v>40784</v>
          </cell>
          <cell r="F828">
            <v>40963</v>
          </cell>
          <cell r="G828">
            <v>40877</v>
          </cell>
          <cell r="H828" t="str">
            <v>2011-0.201.407-5</v>
          </cell>
          <cell r="I828">
            <v>42778.92</v>
          </cell>
          <cell r="J828" t="str">
            <v xml:space="preserve">              123611122                  2848                    33903600</v>
          </cell>
          <cell r="K828">
            <v>40784</v>
          </cell>
          <cell r="L828">
            <v>94</v>
          </cell>
          <cell r="M828">
            <v>22400</v>
          </cell>
          <cell r="N828">
            <v>57278</v>
          </cell>
          <cell r="O828">
            <v>27401</v>
          </cell>
          <cell r="P828">
            <v>16</v>
          </cell>
          <cell r="Q828">
            <v>3</v>
          </cell>
          <cell r="S828">
            <v>800</v>
          </cell>
          <cell r="T828">
            <v>7559.9999999999991</v>
          </cell>
          <cell r="U828">
            <v>0</v>
          </cell>
          <cell r="V828">
            <v>7200</v>
          </cell>
          <cell r="W828">
            <v>180</v>
          </cell>
          <cell r="X828">
            <v>5760</v>
          </cell>
          <cell r="Y828">
            <v>89483</v>
          </cell>
          <cell r="Z828">
            <v>10761.77</v>
          </cell>
          <cell r="AA828">
            <v>2198.2299999999996</v>
          </cell>
          <cell r="AB828">
            <v>237.66066666666666</v>
          </cell>
          <cell r="AC828">
            <v>7200</v>
          </cell>
          <cell r="AD828">
            <v>7200</v>
          </cell>
          <cell r="AE828">
            <v>0</v>
          </cell>
          <cell r="AN828" t="str">
            <v xml:space="preserve">Contrato emergencial nº </v>
          </cell>
          <cell r="AO828" t="str">
            <v>CS</v>
          </cell>
        </row>
        <row r="829">
          <cell r="D829" t="str">
            <v>1770/11</v>
          </cell>
          <cell r="E829">
            <v>40784</v>
          </cell>
          <cell r="F829">
            <v>40963</v>
          </cell>
          <cell r="G829">
            <v>40877</v>
          </cell>
          <cell r="H829" t="str">
            <v>2011-0.200.699-4</v>
          </cell>
          <cell r="I829">
            <v>38261.760000000002</v>
          </cell>
          <cell r="J829" t="str">
            <v xml:space="preserve">              123611122                  2848                    33903600</v>
          </cell>
          <cell r="K829">
            <v>40784</v>
          </cell>
          <cell r="L829">
            <v>94</v>
          </cell>
          <cell r="M829">
            <v>20000</v>
          </cell>
          <cell r="N829">
            <v>57278</v>
          </cell>
          <cell r="O829">
            <v>27165</v>
          </cell>
          <cell r="P829">
            <v>16</v>
          </cell>
          <cell r="Q829">
            <v>0</v>
          </cell>
          <cell r="S829">
            <v>700</v>
          </cell>
          <cell r="T829">
            <v>6755</v>
          </cell>
          <cell r="U829">
            <v>0</v>
          </cell>
          <cell r="V829">
            <v>6400</v>
          </cell>
          <cell r="W829">
            <v>180</v>
          </cell>
          <cell r="X829">
            <v>5120</v>
          </cell>
          <cell r="Y829">
            <v>91276</v>
          </cell>
          <cell r="Z829">
            <v>9227.23</v>
          </cell>
          <cell r="AA829">
            <v>2292.7700000000004</v>
          </cell>
          <cell r="AB829">
            <v>212.56533333333334</v>
          </cell>
          <cell r="AC829">
            <v>6400</v>
          </cell>
          <cell r="AD829">
            <v>4946.45</v>
          </cell>
          <cell r="AE829">
            <v>1453.5500000000002</v>
          </cell>
          <cell r="AN829" t="str">
            <v xml:space="preserve">Contrato emergencial nº </v>
          </cell>
          <cell r="AO829" t="str">
            <v>SA</v>
          </cell>
        </row>
        <row r="830">
          <cell r="D830" t="str">
            <v>1809/11</v>
          </cell>
          <cell r="E830">
            <v>40784</v>
          </cell>
          <cell r="F830">
            <v>40963</v>
          </cell>
          <cell r="G830">
            <v>40877</v>
          </cell>
          <cell r="H830" t="str">
            <v>2011-0.200.480-0</v>
          </cell>
          <cell r="I830">
            <v>31012.38</v>
          </cell>
          <cell r="J830" t="str">
            <v xml:space="preserve">              123611122                  2848                    33903600</v>
          </cell>
          <cell r="K830">
            <v>40784</v>
          </cell>
          <cell r="L830">
            <v>94</v>
          </cell>
          <cell r="M830">
            <v>16200</v>
          </cell>
          <cell r="N830">
            <v>57278</v>
          </cell>
          <cell r="O830">
            <v>27196</v>
          </cell>
          <cell r="P830">
            <v>16</v>
          </cell>
          <cell r="Q830">
            <v>0</v>
          </cell>
          <cell r="S830">
            <v>600</v>
          </cell>
          <cell r="T830">
            <v>5460</v>
          </cell>
          <cell r="U830">
            <v>0</v>
          </cell>
          <cell r="V830">
            <v>5200</v>
          </cell>
          <cell r="W830">
            <v>180</v>
          </cell>
          <cell r="X830">
            <v>4160</v>
          </cell>
          <cell r="Y830">
            <v>89971</v>
          </cell>
          <cell r="Z830">
            <v>5804.19</v>
          </cell>
          <cell r="AA830">
            <v>3555.8100000000004</v>
          </cell>
          <cell r="AB830">
            <v>172.291</v>
          </cell>
          <cell r="AC830">
            <v>5200</v>
          </cell>
          <cell r="AD830">
            <v>5057.7499999999991</v>
          </cell>
          <cell r="AE830">
            <v>142.25000000000091</v>
          </cell>
          <cell r="AN830" t="str">
            <v xml:space="preserve">Contrato emergencial nº </v>
          </cell>
          <cell r="AO830" t="str">
            <v>G</v>
          </cell>
        </row>
        <row r="831">
          <cell r="D831" t="str">
            <v>1781/11</v>
          </cell>
          <cell r="E831">
            <v>40784</v>
          </cell>
          <cell r="F831">
            <v>40963</v>
          </cell>
          <cell r="G831">
            <v>40877</v>
          </cell>
          <cell r="H831" t="str">
            <v>2011-0.200.740-0</v>
          </cell>
          <cell r="I831">
            <v>20967.419999999998</v>
          </cell>
          <cell r="J831" t="str">
            <v xml:space="preserve">              123611122                  2848                    33903600</v>
          </cell>
          <cell r="K831">
            <v>40784</v>
          </cell>
          <cell r="L831">
            <v>94</v>
          </cell>
          <cell r="M831">
            <v>11000</v>
          </cell>
          <cell r="N831">
            <v>885</v>
          </cell>
          <cell r="O831">
            <v>27374</v>
          </cell>
          <cell r="P831">
            <v>16</v>
          </cell>
          <cell r="Q831">
            <v>3</v>
          </cell>
          <cell r="S831">
            <v>400</v>
          </cell>
          <cell r="T831">
            <v>3709.9999999999995</v>
          </cell>
          <cell r="U831">
            <v>0</v>
          </cell>
          <cell r="V831">
            <v>3500</v>
          </cell>
          <cell r="W831">
            <v>180</v>
          </cell>
          <cell r="X831">
            <v>2800</v>
          </cell>
          <cell r="Y831">
            <v>88277</v>
          </cell>
          <cell r="Z831">
            <v>7956.89</v>
          </cell>
          <cell r="AA831">
            <v>-1656.8900000000003</v>
          </cell>
          <cell r="AB831">
            <v>116.48566666666666</v>
          </cell>
          <cell r="AC831">
            <v>3500</v>
          </cell>
          <cell r="AD831">
            <v>2678</v>
          </cell>
          <cell r="AE831">
            <v>822</v>
          </cell>
          <cell r="AN831" t="str">
            <v xml:space="preserve">Contrato emergencial nº </v>
          </cell>
          <cell r="AO831" t="str">
            <v>CL</v>
          </cell>
        </row>
        <row r="832">
          <cell r="D832" t="str">
            <v>1828/11</v>
          </cell>
          <cell r="E832">
            <v>40784</v>
          </cell>
          <cell r="F832">
            <v>40963</v>
          </cell>
          <cell r="G832">
            <v>40877</v>
          </cell>
          <cell r="H832" t="str">
            <v>2011-0.202.099-7</v>
          </cell>
          <cell r="I832">
            <v>27565.02</v>
          </cell>
          <cell r="J832" t="str">
            <v xml:space="preserve">              123611122                  2848                    33903600</v>
          </cell>
          <cell r="K832">
            <v>40784</v>
          </cell>
          <cell r="L832">
            <v>94</v>
          </cell>
          <cell r="M832">
            <v>14400</v>
          </cell>
          <cell r="N832">
            <v>885</v>
          </cell>
          <cell r="O832">
            <v>27449</v>
          </cell>
          <cell r="P832">
            <v>16</v>
          </cell>
          <cell r="Q832">
            <v>3</v>
          </cell>
          <cell r="S832">
            <v>500</v>
          </cell>
          <cell r="T832">
            <v>4865</v>
          </cell>
          <cell r="U832">
            <v>0</v>
          </cell>
          <cell r="V832">
            <v>4600</v>
          </cell>
          <cell r="W832">
            <v>180</v>
          </cell>
          <cell r="X832">
            <v>3680</v>
          </cell>
          <cell r="Y832">
            <v>88296</v>
          </cell>
          <cell r="Z832">
            <v>5309.51</v>
          </cell>
          <cell r="AA832">
            <v>2970.49</v>
          </cell>
          <cell r="AB832">
            <v>153.13900000000001</v>
          </cell>
          <cell r="AC832">
            <v>4600</v>
          </cell>
          <cell r="AD832">
            <v>4384.2</v>
          </cell>
          <cell r="AE832">
            <v>215.80000000000018</v>
          </cell>
          <cell r="AN832" t="str">
            <v xml:space="preserve">Contrato emergencial nº </v>
          </cell>
          <cell r="AO832" t="str">
            <v>CS</v>
          </cell>
        </row>
        <row r="833">
          <cell r="D833" t="str">
            <v>1800/11</v>
          </cell>
          <cell r="E833">
            <v>40784</v>
          </cell>
          <cell r="F833">
            <v>40963</v>
          </cell>
          <cell r="G833">
            <v>40877</v>
          </cell>
          <cell r="H833" t="str">
            <v>2011-0.201.410-5</v>
          </cell>
          <cell r="I833">
            <v>41531.040000000001</v>
          </cell>
          <cell r="J833" t="str">
            <v xml:space="preserve">             123671125                  2863                   33903600</v>
          </cell>
          <cell r="K833">
            <v>40784</v>
          </cell>
          <cell r="L833">
            <v>94</v>
          </cell>
          <cell r="M833">
            <v>21700</v>
          </cell>
          <cell r="N833">
            <v>57287</v>
          </cell>
          <cell r="O833">
            <v>27402</v>
          </cell>
          <cell r="P833">
            <v>16</v>
          </cell>
          <cell r="Q833">
            <v>0</v>
          </cell>
          <cell r="S833">
            <v>700</v>
          </cell>
          <cell r="T833">
            <v>7349.9999999999991</v>
          </cell>
          <cell r="U833">
            <v>0</v>
          </cell>
          <cell r="V833">
            <v>7000</v>
          </cell>
          <cell r="W833">
            <v>180</v>
          </cell>
          <cell r="X833">
            <v>5600</v>
          </cell>
          <cell r="Y833">
            <v>90023</v>
          </cell>
          <cell r="Z833">
            <v>7493.7</v>
          </cell>
          <cell r="AA833">
            <v>5106.3</v>
          </cell>
          <cell r="AB833">
            <v>230.72800000000001</v>
          </cell>
          <cell r="AC833">
            <v>7000</v>
          </cell>
          <cell r="AD833">
            <v>6317.8499999999995</v>
          </cell>
          <cell r="AE833">
            <v>682.15000000000055</v>
          </cell>
          <cell r="AN833" t="str">
            <v xml:space="preserve">Contrato emergencial nº </v>
          </cell>
          <cell r="AO833" t="str">
            <v>SM</v>
          </cell>
        </row>
        <row r="834">
          <cell r="D834" t="str">
            <v>1801/11</v>
          </cell>
          <cell r="E834">
            <v>40784</v>
          </cell>
          <cell r="F834">
            <v>40963</v>
          </cell>
          <cell r="G834">
            <v>40877</v>
          </cell>
          <cell r="H834" t="str">
            <v>2011-0.201.411-3</v>
          </cell>
          <cell r="I834">
            <v>44978.400000000001</v>
          </cell>
          <cell r="J834" t="str">
            <v xml:space="preserve">              123611122                  2848                    33903600</v>
          </cell>
          <cell r="K834">
            <v>40784</v>
          </cell>
          <cell r="L834">
            <v>94</v>
          </cell>
          <cell r="M834">
            <v>23500</v>
          </cell>
          <cell r="N834">
            <v>57278</v>
          </cell>
          <cell r="O834">
            <v>27190</v>
          </cell>
          <cell r="P834">
            <v>16</v>
          </cell>
          <cell r="Q834">
            <v>0</v>
          </cell>
          <cell r="S834">
            <v>800</v>
          </cell>
          <cell r="T834">
            <v>7944.9999999999991</v>
          </cell>
          <cell r="U834">
            <v>0</v>
          </cell>
          <cell r="V834">
            <v>7500</v>
          </cell>
          <cell r="W834">
            <v>180</v>
          </cell>
          <cell r="X834">
            <v>6000</v>
          </cell>
          <cell r="Y834">
            <v>90027</v>
          </cell>
          <cell r="Z834">
            <v>9149.01</v>
          </cell>
          <cell r="AA834">
            <v>4350.99</v>
          </cell>
          <cell r="AB834">
            <v>249.88</v>
          </cell>
          <cell r="AC834">
            <v>7500</v>
          </cell>
          <cell r="AD834">
            <v>6523.0999999999995</v>
          </cell>
          <cell r="AE834">
            <v>976.90000000000055</v>
          </cell>
          <cell r="AN834" t="str">
            <v xml:space="preserve">Contrato emergencial nº </v>
          </cell>
          <cell r="AO834" t="str">
            <v>SM</v>
          </cell>
        </row>
        <row r="835">
          <cell r="D835" t="str">
            <v>1823/11</v>
          </cell>
          <cell r="E835">
            <v>40784</v>
          </cell>
          <cell r="F835">
            <v>40963</v>
          </cell>
          <cell r="G835">
            <v>40877</v>
          </cell>
          <cell r="H835" t="str">
            <v>2011-0.201.808-9</v>
          </cell>
          <cell r="I835">
            <v>31418.52</v>
          </cell>
          <cell r="J835" t="str">
            <v xml:space="preserve">              123651121                 2847                    33903600</v>
          </cell>
          <cell r="K835">
            <v>40784</v>
          </cell>
          <cell r="L835">
            <v>94</v>
          </cell>
          <cell r="M835">
            <v>16500</v>
          </cell>
          <cell r="N835">
            <v>57273</v>
          </cell>
          <cell r="O835">
            <v>27443</v>
          </cell>
          <cell r="P835">
            <v>16</v>
          </cell>
          <cell r="Q835">
            <v>2</v>
          </cell>
          <cell r="S835">
            <v>600</v>
          </cell>
          <cell r="T835">
            <v>5565</v>
          </cell>
          <cell r="U835">
            <v>0</v>
          </cell>
          <cell r="V835">
            <v>5300</v>
          </cell>
          <cell r="W835">
            <v>180</v>
          </cell>
          <cell r="X835">
            <v>4240</v>
          </cell>
          <cell r="Y835">
            <v>89488</v>
          </cell>
          <cell r="Z835">
            <v>5933.89</v>
          </cell>
          <cell r="AA835">
            <v>3606.1099999999997</v>
          </cell>
          <cell r="AB835">
            <v>174.54733333333334</v>
          </cell>
          <cell r="AC835">
            <v>5300</v>
          </cell>
          <cell r="AD835">
            <v>4981.3999999999996</v>
          </cell>
          <cell r="AE835">
            <v>318.60000000000036</v>
          </cell>
          <cell r="AN835" t="str">
            <v xml:space="preserve">Contrato emergencial nº </v>
          </cell>
          <cell r="AO835" t="str">
            <v>CS</v>
          </cell>
        </row>
        <row r="836">
          <cell r="D836" t="str">
            <v>1832/11</v>
          </cell>
          <cell r="E836">
            <v>40784</v>
          </cell>
          <cell r="F836">
            <v>40963</v>
          </cell>
          <cell r="G836">
            <v>40877</v>
          </cell>
          <cell r="H836" t="str">
            <v>2011-0.202.112-8</v>
          </cell>
          <cell r="I836">
            <v>31418.52</v>
          </cell>
          <cell r="J836" t="str">
            <v xml:space="preserve">              123611122                  2848                    33903600</v>
          </cell>
          <cell r="K836">
            <v>40784</v>
          </cell>
          <cell r="L836">
            <v>94</v>
          </cell>
          <cell r="M836">
            <v>16500</v>
          </cell>
          <cell r="N836">
            <v>57278</v>
          </cell>
          <cell r="O836">
            <v>27450</v>
          </cell>
          <cell r="P836">
            <v>16</v>
          </cell>
          <cell r="Q836">
            <v>0</v>
          </cell>
          <cell r="S836">
            <v>600</v>
          </cell>
          <cell r="T836">
            <v>5565</v>
          </cell>
          <cell r="U836">
            <v>0</v>
          </cell>
          <cell r="V836">
            <v>5300</v>
          </cell>
          <cell r="W836">
            <v>180</v>
          </cell>
          <cell r="X836">
            <v>4240</v>
          </cell>
          <cell r="Y836">
            <v>90030</v>
          </cell>
          <cell r="Z836">
            <v>7784.13</v>
          </cell>
          <cell r="AA836">
            <v>1755.87</v>
          </cell>
          <cell r="AB836">
            <v>174.54733333333334</v>
          </cell>
          <cell r="AC836">
            <v>5300</v>
          </cell>
          <cell r="AD836">
            <v>4187.8999999999996</v>
          </cell>
          <cell r="AE836">
            <v>1112.1000000000004</v>
          </cell>
          <cell r="AN836" t="str">
            <v xml:space="preserve">Contrato emergencial nº </v>
          </cell>
          <cell r="AO836" t="str">
            <v>IP</v>
          </cell>
        </row>
        <row r="837">
          <cell r="D837" t="str">
            <v>1782/11</v>
          </cell>
          <cell r="E837">
            <v>40784</v>
          </cell>
          <cell r="F837">
            <v>40963</v>
          </cell>
          <cell r="G837">
            <v>40877</v>
          </cell>
          <cell r="H837" t="str">
            <v>2011-0.201.330-3</v>
          </cell>
          <cell r="I837">
            <v>44324.52</v>
          </cell>
          <cell r="J837" t="str">
            <v xml:space="preserve">              123611122                  2848                    33903600</v>
          </cell>
          <cell r="K837">
            <v>40784</v>
          </cell>
          <cell r="L837">
            <v>94</v>
          </cell>
          <cell r="M837">
            <v>23200</v>
          </cell>
          <cell r="N837">
            <v>57278</v>
          </cell>
          <cell r="O837">
            <v>27175</v>
          </cell>
          <cell r="P837">
            <v>16</v>
          </cell>
          <cell r="Q837">
            <v>3</v>
          </cell>
          <cell r="S837">
            <v>800</v>
          </cell>
          <cell r="T837">
            <v>7839.9999999999991</v>
          </cell>
          <cell r="U837">
            <v>0</v>
          </cell>
          <cell r="V837">
            <v>7400</v>
          </cell>
          <cell r="W837">
            <v>180</v>
          </cell>
          <cell r="X837">
            <v>5920</v>
          </cell>
          <cell r="Y837">
            <v>89927</v>
          </cell>
          <cell r="Z837">
            <v>8904.7999999999993</v>
          </cell>
          <cell r="AA837">
            <v>4415.2000000000007</v>
          </cell>
          <cell r="AB837">
            <v>246.2473333333333</v>
          </cell>
          <cell r="AC837">
            <v>7400</v>
          </cell>
          <cell r="AD837">
            <v>6548.45</v>
          </cell>
          <cell r="AE837">
            <v>851.55000000000018</v>
          </cell>
          <cell r="AN837" t="str">
            <v xml:space="preserve">Contrato emergencial nº </v>
          </cell>
          <cell r="AO837" t="str">
            <v>PJ</v>
          </cell>
        </row>
        <row r="838">
          <cell r="D838" t="str">
            <v>1835/11</v>
          </cell>
          <cell r="E838">
            <v>40784</v>
          </cell>
          <cell r="F838">
            <v>40963</v>
          </cell>
          <cell r="G838">
            <v>40877</v>
          </cell>
          <cell r="H838" t="str">
            <v>2011-0.202.120-9</v>
          </cell>
          <cell r="I838">
            <v>31012.38</v>
          </cell>
          <cell r="J838" t="str">
            <v xml:space="preserve">              123611122                  2848                    33903600</v>
          </cell>
          <cell r="K838">
            <v>40784</v>
          </cell>
          <cell r="L838">
            <v>94</v>
          </cell>
          <cell r="M838">
            <v>16200</v>
          </cell>
          <cell r="N838">
            <v>57278</v>
          </cell>
          <cell r="O838">
            <v>27488</v>
          </cell>
          <cell r="P838">
            <v>16</v>
          </cell>
          <cell r="Q838">
            <v>3</v>
          </cell>
          <cell r="S838">
            <v>600</v>
          </cell>
          <cell r="T838">
            <v>5460</v>
          </cell>
          <cell r="U838">
            <v>0</v>
          </cell>
          <cell r="V838">
            <v>6100</v>
          </cell>
          <cell r="W838">
            <v>180</v>
          </cell>
          <cell r="X838">
            <v>4880</v>
          </cell>
          <cell r="Y838">
            <v>89491</v>
          </cell>
          <cell r="Z838">
            <v>3908.619999999999</v>
          </cell>
          <cell r="AA838">
            <v>7071.380000000001</v>
          </cell>
          <cell r="AB838">
            <v>172.291</v>
          </cell>
          <cell r="AC838">
            <v>5200</v>
          </cell>
          <cell r="AD838">
            <v>6005.0499999999993</v>
          </cell>
          <cell r="AE838">
            <v>-805.04999999999927</v>
          </cell>
          <cell r="AN838" t="str">
            <v xml:space="preserve">Contrato emergencial nº </v>
          </cell>
          <cell r="AO838" t="str">
            <v>CS</v>
          </cell>
        </row>
        <row r="839">
          <cell r="D839" t="str">
            <v>1783/11</v>
          </cell>
          <cell r="E839">
            <v>40784</v>
          </cell>
          <cell r="F839">
            <v>40963</v>
          </cell>
          <cell r="G839">
            <v>40877</v>
          </cell>
          <cell r="H839" t="str">
            <v>2011-0.201.337-0</v>
          </cell>
          <cell r="I839">
            <v>44978.400000000001</v>
          </cell>
          <cell r="J839" t="str">
            <v xml:space="preserve">              123611122                  2848                    33903600</v>
          </cell>
          <cell r="K839">
            <v>40784</v>
          </cell>
          <cell r="L839">
            <v>94</v>
          </cell>
          <cell r="M839">
            <v>23500</v>
          </cell>
          <cell r="N839">
            <v>57278</v>
          </cell>
          <cell r="O839">
            <v>27176</v>
          </cell>
          <cell r="P839">
            <v>16</v>
          </cell>
          <cell r="Q839">
            <v>0</v>
          </cell>
          <cell r="S839">
            <v>800</v>
          </cell>
          <cell r="T839">
            <v>7944.9999999999991</v>
          </cell>
          <cell r="U839">
            <v>0</v>
          </cell>
          <cell r="V839">
            <v>7500</v>
          </cell>
          <cell r="W839">
            <v>180</v>
          </cell>
          <cell r="X839">
            <v>6000</v>
          </cell>
          <cell r="Y839">
            <v>91236</v>
          </cell>
          <cell r="Z839">
            <v>11836.35</v>
          </cell>
          <cell r="AA839">
            <v>1663.6499999999996</v>
          </cell>
          <cell r="AB839">
            <v>249.88</v>
          </cell>
          <cell r="AC839">
            <v>7500</v>
          </cell>
          <cell r="AD839">
            <v>7500</v>
          </cell>
          <cell r="AE839">
            <v>0</v>
          </cell>
          <cell r="AN839" t="str">
            <v xml:space="preserve">Contrato emergencial nº </v>
          </cell>
          <cell r="AO839" t="str">
            <v>IQ</v>
          </cell>
        </row>
        <row r="840">
          <cell r="D840" t="str">
            <v>1802/11</v>
          </cell>
          <cell r="E840">
            <v>40784</v>
          </cell>
          <cell r="F840">
            <v>40963</v>
          </cell>
          <cell r="G840">
            <v>40877</v>
          </cell>
          <cell r="H840" t="str">
            <v>2011-0.201.413-0</v>
          </cell>
          <cell r="I840">
            <v>44324.52</v>
          </cell>
          <cell r="J840" t="str">
            <v xml:space="preserve">              123611122                  2848                    33903600</v>
          </cell>
          <cell r="K840">
            <v>40784</v>
          </cell>
          <cell r="L840">
            <v>94</v>
          </cell>
          <cell r="M840">
            <v>23200</v>
          </cell>
          <cell r="N840">
            <v>57278</v>
          </cell>
          <cell r="O840">
            <v>27192</v>
          </cell>
          <cell r="P840">
            <v>16</v>
          </cell>
          <cell r="Q840">
            <v>0</v>
          </cell>
          <cell r="S840">
            <v>800</v>
          </cell>
          <cell r="T840">
            <v>7839.9999999999991</v>
          </cell>
          <cell r="U840">
            <v>0</v>
          </cell>
          <cell r="V840">
            <v>7400</v>
          </cell>
          <cell r="W840">
            <v>180</v>
          </cell>
          <cell r="X840">
            <v>5920</v>
          </cell>
          <cell r="Y840">
            <v>90034</v>
          </cell>
          <cell r="Z840">
            <v>9745.9699999999993</v>
          </cell>
          <cell r="AA840">
            <v>3574.0300000000007</v>
          </cell>
          <cell r="AB840">
            <v>246.2473333333333</v>
          </cell>
          <cell r="AC840">
            <v>7400</v>
          </cell>
          <cell r="AD840">
            <v>6090.2999999999993</v>
          </cell>
          <cell r="AE840">
            <v>1309.7000000000007</v>
          </cell>
          <cell r="AN840" t="str">
            <v xml:space="preserve">Contrato emergencial nº </v>
          </cell>
          <cell r="AO840" t="str">
            <v>SM</v>
          </cell>
        </row>
        <row r="841">
          <cell r="D841" t="str">
            <v>1803/11</v>
          </cell>
          <cell r="E841">
            <v>40784</v>
          </cell>
          <cell r="F841">
            <v>40963</v>
          </cell>
          <cell r="G841">
            <v>40877</v>
          </cell>
          <cell r="H841" t="str">
            <v>2011-0.201.415-6</v>
          </cell>
          <cell r="I841">
            <v>32379.48</v>
          </cell>
          <cell r="J841" t="str">
            <v xml:space="preserve">              123611122                  2848                    33903600</v>
          </cell>
          <cell r="K841">
            <v>40784</v>
          </cell>
          <cell r="L841">
            <v>94</v>
          </cell>
          <cell r="M841">
            <v>17000</v>
          </cell>
          <cell r="N841">
            <v>885</v>
          </cell>
          <cell r="O841">
            <v>27428</v>
          </cell>
          <cell r="P841">
            <v>16</v>
          </cell>
          <cell r="Q841">
            <v>3</v>
          </cell>
          <cell r="S841">
            <v>600</v>
          </cell>
          <cell r="T841">
            <v>5740</v>
          </cell>
          <cell r="U841">
            <v>0</v>
          </cell>
          <cell r="V841">
            <v>5400</v>
          </cell>
          <cell r="W841">
            <v>180</v>
          </cell>
          <cell r="X841">
            <v>4320</v>
          </cell>
          <cell r="Y841">
            <v>88278</v>
          </cell>
          <cell r="Z841">
            <v>12124.71</v>
          </cell>
          <cell r="AA841">
            <v>-2404.7099999999991</v>
          </cell>
          <cell r="AB841">
            <v>179.886</v>
          </cell>
          <cell r="AC841">
            <v>5400</v>
          </cell>
          <cell r="AD841">
            <v>4321.6499999999996</v>
          </cell>
          <cell r="AE841">
            <v>1078.3500000000004</v>
          </cell>
          <cell r="AN841" t="str">
            <v xml:space="preserve">Contrato emergencial nº </v>
          </cell>
          <cell r="AO841" t="str">
            <v>CL</v>
          </cell>
        </row>
        <row r="842">
          <cell r="D842" t="str">
            <v>1784/11</v>
          </cell>
          <cell r="E842">
            <v>40784</v>
          </cell>
          <cell r="F842">
            <v>40963</v>
          </cell>
          <cell r="G842">
            <v>40877</v>
          </cell>
          <cell r="H842" t="str">
            <v>2011-0.201.340-0</v>
          </cell>
          <cell r="I842">
            <v>44324.52</v>
          </cell>
          <cell r="J842" t="str">
            <v xml:space="preserve">              123611122                  2848                    33903600</v>
          </cell>
          <cell r="K842">
            <v>40784</v>
          </cell>
          <cell r="L842">
            <v>94</v>
          </cell>
          <cell r="M842">
            <v>23200</v>
          </cell>
          <cell r="N842">
            <v>885</v>
          </cell>
          <cell r="O842">
            <v>27177</v>
          </cell>
          <cell r="P842">
            <v>16</v>
          </cell>
          <cell r="Q842">
            <v>3</v>
          </cell>
          <cell r="S842">
            <v>800</v>
          </cell>
          <cell r="T842">
            <v>7839.9999999999991</v>
          </cell>
          <cell r="U842">
            <v>0</v>
          </cell>
          <cell r="V842">
            <v>7400</v>
          </cell>
          <cell r="W842">
            <v>180</v>
          </cell>
          <cell r="X842">
            <v>5920</v>
          </cell>
          <cell r="Y842">
            <v>88280</v>
          </cell>
          <cell r="Z842">
            <v>15203.25</v>
          </cell>
          <cell r="AA842">
            <v>-1883.25</v>
          </cell>
          <cell r="AB842">
            <v>246.2473333333333</v>
          </cell>
          <cell r="AC842">
            <v>7400</v>
          </cell>
          <cell r="AD842">
            <v>6689.75</v>
          </cell>
          <cell r="AE842">
            <v>710.25</v>
          </cell>
          <cell r="AN842" t="str">
            <v xml:space="preserve">Contrato emergencial nº </v>
          </cell>
          <cell r="AO842" t="str">
            <v>CL</v>
          </cell>
        </row>
        <row r="843">
          <cell r="D843" t="str">
            <v>1804/11</v>
          </cell>
          <cell r="E843">
            <v>40784</v>
          </cell>
          <cell r="F843">
            <v>40963</v>
          </cell>
          <cell r="G843">
            <v>40877</v>
          </cell>
          <cell r="H843" t="str">
            <v>2011-0.201.417-2</v>
          </cell>
          <cell r="I843">
            <v>31418.52</v>
          </cell>
          <cell r="J843" t="str">
            <v xml:space="preserve">              123611122                  2848                    33903600</v>
          </cell>
          <cell r="K843">
            <v>40784</v>
          </cell>
          <cell r="L843">
            <v>94</v>
          </cell>
          <cell r="M843">
            <v>16500</v>
          </cell>
          <cell r="N843">
            <v>885</v>
          </cell>
          <cell r="O843">
            <v>27194</v>
          </cell>
          <cell r="P843">
            <v>16</v>
          </cell>
          <cell r="Q843">
            <v>3</v>
          </cell>
          <cell r="S843">
            <v>600</v>
          </cell>
          <cell r="T843">
            <v>5565</v>
          </cell>
          <cell r="U843">
            <v>0</v>
          </cell>
          <cell r="V843">
            <v>5300</v>
          </cell>
          <cell r="W843">
            <v>180</v>
          </cell>
          <cell r="X843">
            <v>4240</v>
          </cell>
          <cell r="Y843">
            <v>88282</v>
          </cell>
          <cell r="Z843">
            <v>10612.01</v>
          </cell>
          <cell r="AA843">
            <v>-1072.0100000000002</v>
          </cell>
          <cell r="AB843">
            <v>174.54733333333334</v>
          </cell>
          <cell r="AC843">
            <v>5300</v>
          </cell>
          <cell r="AD843">
            <v>5252.45</v>
          </cell>
          <cell r="AE843">
            <v>47.550000000000182</v>
          </cell>
          <cell r="AN843" t="str">
            <v xml:space="preserve">Contrato emergencial nº </v>
          </cell>
          <cell r="AO843" t="str">
            <v>CL</v>
          </cell>
        </row>
        <row r="844">
          <cell r="D844" t="str">
            <v>1813/11</v>
          </cell>
          <cell r="E844">
            <v>40784</v>
          </cell>
          <cell r="F844">
            <v>40963</v>
          </cell>
          <cell r="G844">
            <v>40877</v>
          </cell>
          <cell r="H844" t="str">
            <v>2011-0.201.748-1</v>
          </cell>
          <cell r="I844">
            <v>42838.74</v>
          </cell>
          <cell r="J844" t="str">
            <v xml:space="preserve">             123671125                  2863                   33903600</v>
          </cell>
          <cell r="K844">
            <v>40784</v>
          </cell>
          <cell r="L844">
            <v>94</v>
          </cell>
          <cell r="M844">
            <v>22400</v>
          </cell>
          <cell r="N844">
            <v>57287</v>
          </cell>
          <cell r="O844">
            <v>27433</v>
          </cell>
          <cell r="P844">
            <v>16</v>
          </cell>
          <cell r="Q844">
            <v>4</v>
          </cell>
          <cell r="S844">
            <v>800</v>
          </cell>
          <cell r="T844">
            <v>7559.9999999999991</v>
          </cell>
          <cell r="U844">
            <v>0</v>
          </cell>
          <cell r="V844">
            <v>7200</v>
          </cell>
          <cell r="W844">
            <v>180</v>
          </cell>
          <cell r="X844">
            <v>5760</v>
          </cell>
          <cell r="Y844">
            <v>89497</v>
          </cell>
          <cell r="Z844">
            <v>7565.6099999999988</v>
          </cell>
          <cell r="AA844">
            <v>5394.3900000000012</v>
          </cell>
          <cell r="AB844">
            <v>237.99299999999999</v>
          </cell>
          <cell r="AC844">
            <v>7200</v>
          </cell>
          <cell r="AD844">
            <v>6563.4</v>
          </cell>
          <cell r="AE844">
            <v>636.60000000000036</v>
          </cell>
          <cell r="AN844" t="str">
            <v xml:space="preserve">Contrato emergencial nº </v>
          </cell>
          <cell r="AO844" t="str">
            <v>CS</v>
          </cell>
        </row>
        <row r="845">
          <cell r="D845" t="str">
            <v>1822/11</v>
          </cell>
          <cell r="E845">
            <v>40784</v>
          </cell>
          <cell r="F845">
            <v>40963</v>
          </cell>
          <cell r="G845">
            <v>40877</v>
          </cell>
          <cell r="H845" t="str">
            <v>2011-0.201.803-8</v>
          </cell>
          <cell r="I845">
            <v>30606.240000000002</v>
          </cell>
          <cell r="J845" t="str">
            <v xml:space="preserve">              123611122                  2848                    33903600</v>
          </cell>
          <cell r="K845">
            <v>40784</v>
          </cell>
          <cell r="L845">
            <v>94</v>
          </cell>
          <cell r="M845">
            <v>16000</v>
          </cell>
          <cell r="N845">
            <v>885</v>
          </cell>
          <cell r="O845">
            <v>27441</v>
          </cell>
          <cell r="P845">
            <v>16</v>
          </cell>
          <cell r="Q845">
            <v>3</v>
          </cell>
          <cell r="S845">
            <v>600</v>
          </cell>
          <cell r="T845">
            <v>5390</v>
          </cell>
          <cell r="U845">
            <v>0</v>
          </cell>
          <cell r="V845">
            <v>5200</v>
          </cell>
          <cell r="W845">
            <v>180</v>
          </cell>
          <cell r="X845">
            <v>4160</v>
          </cell>
          <cell r="Y845">
            <v>88273</v>
          </cell>
          <cell r="Z845">
            <v>11487.14</v>
          </cell>
          <cell r="AA845">
            <v>-2127.1399999999994</v>
          </cell>
          <cell r="AB845">
            <v>170.03466666666668</v>
          </cell>
          <cell r="AC845">
            <v>5200</v>
          </cell>
          <cell r="AD845">
            <v>4149.8</v>
          </cell>
          <cell r="AE845">
            <v>1050.1999999999998</v>
          </cell>
          <cell r="AN845" t="str">
            <v xml:space="preserve">Contrato emergencial nº </v>
          </cell>
          <cell r="AO845" t="str">
            <v>BT</v>
          </cell>
        </row>
        <row r="846">
          <cell r="D846" t="str">
            <v>1841/11</v>
          </cell>
          <cell r="E846">
            <v>40785</v>
          </cell>
          <cell r="F846">
            <v>40964</v>
          </cell>
          <cell r="G846">
            <v>40877</v>
          </cell>
          <cell r="H846" t="str">
            <v>2011-0.202.211-6</v>
          </cell>
          <cell r="I846">
            <v>31418.52</v>
          </cell>
          <cell r="J846" t="str">
            <v xml:space="preserve">              123651121                 2847                    33903600</v>
          </cell>
          <cell r="K846">
            <v>40785</v>
          </cell>
          <cell r="L846">
            <v>93</v>
          </cell>
          <cell r="M846">
            <v>16300</v>
          </cell>
          <cell r="N846">
            <v>57273</v>
          </cell>
          <cell r="O846">
            <v>28026</v>
          </cell>
          <cell r="P846">
            <v>16</v>
          </cell>
          <cell r="Q846">
            <v>2</v>
          </cell>
          <cell r="S846">
            <v>400</v>
          </cell>
          <cell r="T846">
            <v>5565</v>
          </cell>
          <cell r="U846">
            <v>0</v>
          </cell>
          <cell r="V846">
            <v>6000</v>
          </cell>
          <cell r="W846">
            <v>180</v>
          </cell>
          <cell r="X846">
            <v>4800</v>
          </cell>
          <cell r="Y846">
            <v>91829</v>
          </cell>
          <cell r="Z846">
            <v>4379.51</v>
          </cell>
          <cell r="AA846">
            <v>6420.49</v>
          </cell>
          <cell r="AB846">
            <v>174.54733333333334</v>
          </cell>
          <cell r="AC846">
            <v>5300</v>
          </cell>
          <cell r="AD846">
            <v>5920.3499999999995</v>
          </cell>
          <cell r="AE846">
            <v>-620.34999999999945</v>
          </cell>
          <cell r="AN846" t="str">
            <v xml:space="preserve">Contrato emergencial nº </v>
          </cell>
          <cell r="AO846" t="str">
            <v>CS</v>
          </cell>
        </row>
        <row r="847">
          <cell r="D847" t="str">
            <v>1818/11</v>
          </cell>
          <cell r="E847">
            <v>40785</v>
          </cell>
          <cell r="F847">
            <v>40964</v>
          </cell>
          <cell r="G847">
            <v>40877</v>
          </cell>
          <cell r="H847" t="str">
            <v>2011-0.201.769-4</v>
          </cell>
          <cell r="I847">
            <v>38261.760000000002</v>
          </cell>
          <cell r="J847" t="str">
            <v xml:space="preserve">              123611122                  2848                    33903600</v>
          </cell>
          <cell r="K847">
            <v>40785</v>
          </cell>
          <cell r="L847">
            <v>93</v>
          </cell>
          <cell r="M847">
            <v>19800</v>
          </cell>
          <cell r="N847">
            <v>57278</v>
          </cell>
          <cell r="O847">
            <v>28011</v>
          </cell>
          <cell r="P847">
            <v>16</v>
          </cell>
          <cell r="Q847">
            <v>0</v>
          </cell>
          <cell r="S847">
            <v>500</v>
          </cell>
          <cell r="T847">
            <v>6755</v>
          </cell>
          <cell r="U847">
            <v>0</v>
          </cell>
          <cell r="V847">
            <v>6400</v>
          </cell>
          <cell r="W847">
            <v>180</v>
          </cell>
          <cell r="X847">
            <v>5120</v>
          </cell>
          <cell r="Y847">
            <v>98100</v>
          </cell>
          <cell r="Z847">
            <v>7135.6</v>
          </cell>
          <cell r="AA847">
            <v>4384.3999999999996</v>
          </cell>
          <cell r="AB847">
            <v>212.56533333333334</v>
          </cell>
          <cell r="AC847">
            <v>6400</v>
          </cell>
          <cell r="AD847">
            <v>4349.8999999999996</v>
          </cell>
          <cell r="AE847">
            <v>2050.1000000000004</v>
          </cell>
          <cell r="AN847" t="str">
            <v xml:space="preserve">Contrato emergencial nº </v>
          </cell>
          <cell r="AO847" t="str">
            <v>PJ</v>
          </cell>
        </row>
        <row r="848">
          <cell r="D848" t="str">
            <v>1838/11</v>
          </cell>
          <cell r="E848">
            <v>40785</v>
          </cell>
          <cell r="F848">
            <v>40964</v>
          </cell>
          <cell r="G848">
            <v>40877</v>
          </cell>
          <cell r="H848" t="str">
            <v>2011-0.202.190-0</v>
          </cell>
          <cell r="I848">
            <v>31418.52</v>
          </cell>
          <cell r="J848" t="str">
            <v xml:space="preserve">              123651121                 2847                    33903600</v>
          </cell>
          <cell r="K848">
            <v>40785</v>
          </cell>
          <cell r="L848">
            <v>93</v>
          </cell>
          <cell r="M848">
            <v>16300</v>
          </cell>
          <cell r="N848">
            <v>57273</v>
          </cell>
          <cell r="O848">
            <v>27491</v>
          </cell>
          <cell r="P848">
            <v>16</v>
          </cell>
          <cell r="Q848">
            <v>0</v>
          </cell>
          <cell r="S848">
            <v>400</v>
          </cell>
          <cell r="T848">
            <v>5565</v>
          </cell>
          <cell r="U848">
            <v>0</v>
          </cell>
          <cell r="V848">
            <v>6400</v>
          </cell>
          <cell r="W848">
            <v>180</v>
          </cell>
          <cell r="X848">
            <v>5120</v>
          </cell>
          <cell r="Y848">
            <v>90044</v>
          </cell>
          <cell r="Z848">
            <v>3592.01</v>
          </cell>
          <cell r="AA848">
            <v>7927.99</v>
          </cell>
          <cell r="AB848">
            <v>174.54733333333334</v>
          </cell>
          <cell r="AC848">
            <v>5300</v>
          </cell>
          <cell r="AD848">
            <v>6332.8499999999995</v>
          </cell>
          <cell r="AE848">
            <v>-1032.8499999999995</v>
          </cell>
          <cell r="AN848" t="str">
            <v xml:space="preserve">Contrato emergencial nº </v>
          </cell>
          <cell r="AO848" t="str">
            <v>IP</v>
          </cell>
        </row>
        <row r="849">
          <cell r="D849" t="str">
            <v>1837/11</v>
          </cell>
          <cell r="E849">
            <v>40785</v>
          </cell>
          <cell r="F849">
            <v>40964</v>
          </cell>
          <cell r="G849">
            <v>40877</v>
          </cell>
          <cell r="H849" t="str">
            <v>2011-0.202.184-5</v>
          </cell>
          <cell r="I849">
            <v>31418.52</v>
          </cell>
          <cell r="J849" t="str">
            <v xml:space="preserve">              123611122                  2848                    33903600</v>
          </cell>
          <cell r="K849">
            <v>40785</v>
          </cell>
          <cell r="L849">
            <v>93</v>
          </cell>
          <cell r="M849">
            <v>16300</v>
          </cell>
          <cell r="N849">
            <v>57278</v>
          </cell>
          <cell r="O849">
            <v>27490</v>
          </cell>
          <cell r="P849">
            <v>16</v>
          </cell>
          <cell r="Q849">
            <v>3</v>
          </cell>
          <cell r="S849">
            <v>400</v>
          </cell>
          <cell r="T849">
            <v>13040</v>
          </cell>
          <cell r="U849">
            <v>0</v>
          </cell>
          <cell r="V849">
            <v>5600</v>
          </cell>
          <cell r="W849">
            <v>180</v>
          </cell>
          <cell r="X849">
            <v>4480</v>
          </cell>
          <cell r="Y849">
            <v>89504</v>
          </cell>
          <cell r="Z849">
            <v>5107.1200000000008</v>
          </cell>
          <cell r="AA849">
            <v>4972.8799999999992</v>
          </cell>
          <cell r="AB849">
            <v>174.54733333333334</v>
          </cell>
          <cell r="AC849">
            <v>5300</v>
          </cell>
          <cell r="AD849">
            <v>5593.1500000000005</v>
          </cell>
          <cell r="AE849">
            <v>-293.15000000000055</v>
          </cell>
          <cell r="AN849" t="str">
            <v xml:space="preserve">Contrato emergencial nº </v>
          </cell>
          <cell r="AO849" t="str">
            <v>CS</v>
          </cell>
        </row>
        <row r="850">
          <cell r="D850" t="str">
            <v>1603/11</v>
          </cell>
          <cell r="E850">
            <v>40787</v>
          </cell>
          <cell r="F850">
            <v>40873</v>
          </cell>
          <cell r="G850">
            <v>40873</v>
          </cell>
          <cell r="H850">
            <v>201101060650</v>
          </cell>
          <cell r="I850">
            <v>52251.96</v>
          </cell>
          <cell r="J850" t="str">
            <v xml:space="preserve">              123651121                 2847                    33903600</v>
          </cell>
          <cell r="K850">
            <v>40848</v>
          </cell>
          <cell r="L850">
            <v>26</v>
          </cell>
          <cell r="M850">
            <v>7600</v>
          </cell>
          <cell r="N850">
            <v>57273</v>
          </cell>
          <cell r="O850">
            <v>16695</v>
          </cell>
          <cell r="P850">
            <v>16</v>
          </cell>
          <cell r="Q850">
            <v>2</v>
          </cell>
          <cell r="S850">
            <v>4610.25</v>
          </cell>
          <cell r="T850">
            <v>10120</v>
          </cell>
          <cell r="U850">
            <v>0</v>
          </cell>
          <cell r="V850">
            <v>8800</v>
          </cell>
          <cell r="W850">
            <v>26</v>
          </cell>
          <cell r="X850">
            <v>7040</v>
          </cell>
          <cell r="Y850">
            <v>93793</v>
          </cell>
          <cell r="Z850">
            <v>8993.7599999999984</v>
          </cell>
          <cell r="AA850">
            <v>6846.2400000000016</v>
          </cell>
          <cell r="AB850">
            <v>290.28866666666664</v>
          </cell>
          <cell r="AC850">
            <v>8800</v>
          </cell>
          <cell r="AD850">
            <v>8469.18</v>
          </cell>
          <cell r="AE850">
            <v>330.81999999999971</v>
          </cell>
          <cell r="AN850" t="str">
            <v xml:space="preserve">Contrato emergencial nº </v>
          </cell>
          <cell r="AO850" t="str">
            <v>CS</v>
          </cell>
        </row>
        <row r="851">
          <cell r="D851" t="str">
            <v>1840/11</v>
          </cell>
          <cell r="E851">
            <v>40785</v>
          </cell>
          <cell r="F851">
            <v>40964</v>
          </cell>
          <cell r="G851">
            <v>40877</v>
          </cell>
          <cell r="H851" t="str">
            <v>2011-0.202.203-5</v>
          </cell>
          <cell r="I851">
            <v>44324.52</v>
          </cell>
          <cell r="J851" t="str">
            <v xml:space="preserve">              123611122                  2848                    33903600</v>
          </cell>
          <cell r="K851">
            <v>40785</v>
          </cell>
          <cell r="L851">
            <v>93</v>
          </cell>
          <cell r="M851">
            <v>23000</v>
          </cell>
          <cell r="N851">
            <v>57278</v>
          </cell>
          <cell r="O851">
            <v>28024</v>
          </cell>
          <cell r="P851">
            <v>16</v>
          </cell>
          <cell r="Q851">
            <v>3</v>
          </cell>
          <cell r="S851">
            <v>183.72</v>
          </cell>
          <cell r="T851">
            <v>8049.9999999999991</v>
          </cell>
          <cell r="U851">
            <v>0</v>
          </cell>
          <cell r="V851">
            <v>7400</v>
          </cell>
          <cell r="W851">
            <v>180</v>
          </cell>
          <cell r="X851">
            <v>5920</v>
          </cell>
          <cell r="Y851">
            <v>49813</v>
          </cell>
          <cell r="Z851">
            <v>6963.8</v>
          </cell>
          <cell r="AA851">
            <v>6356.2</v>
          </cell>
          <cell r="AB851">
            <v>246.2473333333333</v>
          </cell>
          <cell r="AC851">
            <v>7400</v>
          </cell>
          <cell r="AD851">
            <v>4796.8999999999996</v>
          </cell>
          <cell r="AE851">
            <v>2603.1000000000004</v>
          </cell>
          <cell r="AN851" t="str">
            <v xml:space="preserve">Contrato emergencial nº </v>
          </cell>
          <cell r="AO851" t="str">
            <v>CL</v>
          </cell>
        </row>
        <row r="852">
          <cell r="D852" t="str">
            <v>1839/11</v>
          </cell>
          <cell r="E852">
            <v>40785</v>
          </cell>
          <cell r="F852">
            <v>40964</v>
          </cell>
          <cell r="G852">
            <v>40877</v>
          </cell>
          <cell r="H852" t="str">
            <v>2011-0.202.201-9</v>
          </cell>
          <cell r="I852">
            <v>40877.160000000003</v>
          </cell>
          <cell r="J852" t="str">
            <v xml:space="preserve">              123651121                 2847                    33903600</v>
          </cell>
          <cell r="K852">
            <v>40785</v>
          </cell>
          <cell r="L852">
            <v>93</v>
          </cell>
          <cell r="M852">
            <v>21200</v>
          </cell>
          <cell r="N852">
            <v>57273</v>
          </cell>
          <cell r="O852">
            <v>27492</v>
          </cell>
          <cell r="P852">
            <v>16</v>
          </cell>
          <cell r="Q852">
            <v>0</v>
          </cell>
          <cell r="S852">
            <v>500</v>
          </cell>
          <cell r="T852">
            <v>7244.9999999999991</v>
          </cell>
          <cell r="U852">
            <v>0</v>
          </cell>
          <cell r="V852">
            <v>6900</v>
          </cell>
          <cell r="W852">
            <v>180</v>
          </cell>
          <cell r="X852">
            <v>5520</v>
          </cell>
          <cell r="Y852">
            <v>90058</v>
          </cell>
          <cell r="Z852">
            <v>7996.81</v>
          </cell>
          <cell r="AA852">
            <v>4423.1899999999996</v>
          </cell>
          <cell r="AB852">
            <v>227.09533333333334</v>
          </cell>
          <cell r="AC852">
            <v>6900</v>
          </cell>
          <cell r="AD852">
            <v>6471.2</v>
          </cell>
          <cell r="AE852">
            <v>428.80000000000018</v>
          </cell>
          <cell r="AN852" t="str">
            <v xml:space="preserve">Contrato emergencial nº </v>
          </cell>
          <cell r="AO852" t="str">
            <v>IP</v>
          </cell>
        </row>
        <row r="853">
          <cell r="D853" t="str">
            <v>1836/11</v>
          </cell>
          <cell r="E853">
            <v>40785</v>
          </cell>
          <cell r="F853">
            <v>40964</v>
          </cell>
          <cell r="G853">
            <v>40877</v>
          </cell>
          <cell r="H853" t="str">
            <v>2011-0.202.122-5</v>
          </cell>
          <cell r="I853">
            <v>31418.52</v>
          </cell>
          <cell r="J853" t="str">
            <v xml:space="preserve">              123611122                  2848                    33903600</v>
          </cell>
          <cell r="K853">
            <v>40785</v>
          </cell>
          <cell r="L853">
            <v>93</v>
          </cell>
          <cell r="M853">
            <v>16300</v>
          </cell>
          <cell r="N853">
            <v>885</v>
          </cell>
          <cell r="O853">
            <v>27489</v>
          </cell>
          <cell r="P853">
            <v>16</v>
          </cell>
          <cell r="Q853">
            <v>3</v>
          </cell>
          <cell r="S853">
            <v>400</v>
          </cell>
          <cell r="T853">
            <v>5565</v>
          </cell>
          <cell r="U853">
            <v>0</v>
          </cell>
          <cell r="V853">
            <v>5300</v>
          </cell>
          <cell r="W853">
            <v>180</v>
          </cell>
          <cell r="X853">
            <v>4240</v>
          </cell>
          <cell r="Y853">
            <v>88285</v>
          </cell>
          <cell r="Z853">
            <v>10871.05</v>
          </cell>
          <cell r="AA853">
            <v>-1331.0499999999993</v>
          </cell>
          <cell r="AB853">
            <v>174.54733333333334</v>
          </cell>
          <cell r="AC853">
            <v>5300</v>
          </cell>
          <cell r="AD853">
            <v>5128.8499999999995</v>
          </cell>
          <cell r="AE853">
            <v>171.15000000000055</v>
          </cell>
          <cell r="AN853" t="str">
            <v xml:space="preserve">Contrato emergencial nº </v>
          </cell>
          <cell r="AO853" t="str">
            <v>CL</v>
          </cell>
        </row>
        <row r="854">
          <cell r="D854" t="str">
            <v>1842/11</v>
          </cell>
          <cell r="E854">
            <v>40786</v>
          </cell>
          <cell r="F854">
            <v>40965</v>
          </cell>
          <cell r="G854">
            <v>40877</v>
          </cell>
          <cell r="H854" t="str">
            <v>2011-0.202.212-4</v>
          </cell>
          <cell r="I854">
            <v>31418.52</v>
          </cell>
          <cell r="J854" t="str">
            <v xml:space="preserve">              123651121                 2847                    33903600</v>
          </cell>
          <cell r="K854">
            <v>40786</v>
          </cell>
          <cell r="L854">
            <v>92</v>
          </cell>
          <cell r="M854">
            <v>16100</v>
          </cell>
          <cell r="N854">
            <v>57273</v>
          </cell>
          <cell r="O854">
            <v>27495</v>
          </cell>
          <cell r="P854">
            <v>16</v>
          </cell>
          <cell r="Q854">
            <v>0</v>
          </cell>
          <cell r="S854">
            <v>200</v>
          </cell>
          <cell r="T854">
            <v>5565</v>
          </cell>
          <cell r="U854">
            <v>0</v>
          </cell>
          <cell r="V854">
            <v>5500</v>
          </cell>
          <cell r="W854">
            <v>180</v>
          </cell>
          <cell r="X854">
            <v>4400</v>
          </cell>
          <cell r="Y854">
            <v>90064</v>
          </cell>
          <cell r="Z854">
            <v>5134.93</v>
          </cell>
          <cell r="AA854">
            <v>4765.07</v>
          </cell>
          <cell r="AB854">
            <v>174.54733333333334</v>
          </cell>
          <cell r="AC854">
            <v>5300</v>
          </cell>
          <cell r="AD854">
            <v>5435</v>
          </cell>
          <cell r="AE854">
            <v>-135</v>
          </cell>
          <cell r="AN854" t="str">
            <v xml:space="preserve">Contrato emergencial nº </v>
          </cell>
          <cell r="AO854" t="str">
            <v>IP</v>
          </cell>
        </row>
        <row r="855">
          <cell r="D855" t="str">
            <v>1843/11</v>
          </cell>
          <cell r="E855">
            <v>40786</v>
          </cell>
          <cell r="F855">
            <v>40965</v>
          </cell>
          <cell r="G855">
            <v>40877</v>
          </cell>
          <cell r="H855" t="str">
            <v>2011-0.202.214-0</v>
          </cell>
          <cell r="I855">
            <v>31418.52</v>
          </cell>
          <cell r="J855" t="str">
            <v xml:space="preserve">              123611122                  2848                    33903600</v>
          </cell>
          <cell r="K855">
            <v>40786</v>
          </cell>
          <cell r="L855">
            <v>92</v>
          </cell>
          <cell r="M855">
            <v>16100</v>
          </cell>
          <cell r="N855">
            <v>57278</v>
          </cell>
          <cell r="O855">
            <v>27498</v>
          </cell>
          <cell r="P855">
            <v>16</v>
          </cell>
          <cell r="Q855">
            <v>3</v>
          </cell>
          <cell r="S855">
            <v>200</v>
          </cell>
          <cell r="T855">
            <v>6360</v>
          </cell>
          <cell r="U855">
            <v>0</v>
          </cell>
          <cell r="V855">
            <v>5300</v>
          </cell>
          <cell r="W855">
            <v>180</v>
          </cell>
          <cell r="X855">
            <v>4240</v>
          </cell>
          <cell r="Y855">
            <v>90066</v>
          </cell>
          <cell r="Z855">
            <v>5887.24</v>
          </cell>
          <cell r="AA855">
            <v>3652.76</v>
          </cell>
          <cell r="AB855">
            <v>174.54733333333334</v>
          </cell>
          <cell r="AC855">
            <v>5300</v>
          </cell>
          <cell r="AD855">
            <v>5059.47</v>
          </cell>
          <cell r="AE855">
            <v>240.52999999999975</v>
          </cell>
          <cell r="AN855" t="str">
            <v xml:space="preserve">Contrato emergencial nº </v>
          </cell>
          <cell r="AO855" t="str">
            <v>IP</v>
          </cell>
        </row>
        <row r="856">
          <cell r="D856" t="str">
            <v>2689/11</v>
          </cell>
          <cell r="E856">
            <v>40777</v>
          </cell>
          <cell r="F856">
            <v>40956</v>
          </cell>
          <cell r="G856">
            <v>40877</v>
          </cell>
          <cell r="H856" t="str">
            <v>2011-0.236.059-3</v>
          </cell>
          <cell r="I856">
            <v>43492.5</v>
          </cell>
          <cell r="J856" t="str">
            <v xml:space="preserve">             123671125                  2863                   33903600</v>
          </cell>
          <cell r="K856">
            <v>40787</v>
          </cell>
          <cell r="L856">
            <v>91</v>
          </cell>
          <cell r="M856">
            <v>22000</v>
          </cell>
          <cell r="N856">
            <v>57287</v>
          </cell>
          <cell r="O856">
            <v>27510</v>
          </cell>
          <cell r="P856">
            <v>16</v>
          </cell>
          <cell r="Q856">
            <v>4</v>
          </cell>
          <cell r="S856">
            <v>2193.1</v>
          </cell>
          <cell r="T856" t="str">
            <v xml:space="preserve"> </v>
          </cell>
          <cell r="U856">
            <v>0</v>
          </cell>
          <cell r="V856">
            <v>7300</v>
          </cell>
          <cell r="W856">
            <v>170</v>
          </cell>
          <cell r="X856">
            <v>5840</v>
          </cell>
          <cell r="Y856">
            <v>97597</v>
          </cell>
          <cell r="Z856">
            <v>14701.87</v>
          </cell>
          <cell r="AA856">
            <v>-1561.8700000000008</v>
          </cell>
          <cell r="AB856">
            <v>241.625</v>
          </cell>
          <cell r="AC856">
            <v>7300</v>
          </cell>
          <cell r="AD856">
            <v>2193.096</v>
          </cell>
          <cell r="AE856">
            <v>5106.9040000000005</v>
          </cell>
          <cell r="AN856" t="str">
            <v xml:space="preserve">Contrato emergencial nº </v>
          </cell>
          <cell r="AO856" t="str">
            <v>CL</v>
          </cell>
        </row>
        <row r="857">
          <cell r="D857" t="str">
            <v>1883/11</v>
          </cell>
          <cell r="E857" t="str">
            <v>05/09/2011</v>
          </cell>
          <cell r="F857">
            <v>40970</v>
          </cell>
          <cell r="G857">
            <v>40877</v>
          </cell>
          <cell r="H857" t="str">
            <v>2011-0.221.057-5</v>
          </cell>
          <cell r="I857">
            <v>42184.92</v>
          </cell>
          <cell r="J857" t="str">
            <v xml:space="preserve">             123671125                  2863                   33903600</v>
          </cell>
          <cell r="K857" t="str">
            <v>05/09/2011</v>
          </cell>
          <cell r="L857">
            <v>87</v>
          </cell>
          <cell r="M857">
            <v>20400</v>
          </cell>
          <cell r="N857">
            <v>57287</v>
          </cell>
          <cell r="O857">
            <v>28419</v>
          </cell>
          <cell r="P857">
            <v>16</v>
          </cell>
          <cell r="Q857">
            <v>4</v>
          </cell>
          <cell r="T857">
            <v>8160</v>
          </cell>
          <cell r="U857">
            <v>0</v>
          </cell>
          <cell r="V857">
            <v>7100</v>
          </cell>
          <cell r="W857">
            <v>180</v>
          </cell>
          <cell r="X857">
            <v>5680</v>
          </cell>
          <cell r="Y857">
            <v>105362</v>
          </cell>
          <cell r="Z857">
            <v>2244.9050000000007</v>
          </cell>
          <cell r="AA857">
            <v>10535.094999999999</v>
          </cell>
          <cell r="AB857">
            <v>234.36066666666665</v>
          </cell>
          <cell r="AC857">
            <v>7100</v>
          </cell>
          <cell r="AD857">
            <v>6577.3649999999998</v>
          </cell>
          <cell r="AE857">
            <v>522.63500000000022</v>
          </cell>
          <cell r="AN857" t="str">
            <v xml:space="preserve">Contrato emergencial nº </v>
          </cell>
          <cell r="AO857" t="str">
            <v>MP</v>
          </cell>
        </row>
        <row r="858">
          <cell r="D858" t="str">
            <v>1884/11</v>
          </cell>
          <cell r="E858" t="str">
            <v>05/09/2011</v>
          </cell>
          <cell r="F858">
            <v>40970</v>
          </cell>
          <cell r="G858">
            <v>40877</v>
          </cell>
          <cell r="H858" t="str">
            <v>2011-0.221.064-8</v>
          </cell>
          <cell r="I858">
            <v>38261.760000000002</v>
          </cell>
          <cell r="J858" t="str">
            <v xml:space="preserve">              123611122                  2848                    33903600</v>
          </cell>
          <cell r="K858" t="str">
            <v>05/09/2011</v>
          </cell>
          <cell r="L858">
            <v>87</v>
          </cell>
          <cell r="M858">
            <v>18500</v>
          </cell>
          <cell r="N858">
            <v>57278</v>
          </cell>
          <cell r="O858">
            <v>28421</v>
          </cell>
          <cell r="P858">
            <v>16</v>
          </cell>
          <cell r="Q858">
            <v>3</v>
          </cell>
          <cell r="T858">
            <v>7400</v>
          </cell>
          <cell r="U858">
            <v>0</v>
          </cell>
          <cell r="V858">
            <v>6400</v>
          </cell>
          <cell r="W858">
            <v>180</v>
          </cell>
          <cell r="X858">
            <v>5120</v>
          </cell>
          <cell r="Y858">
            <v>102602</v>
          </cell>
          <cell r="Z858">
            <v>9221.76</v>
          </cell>
          <cell r="AA858">
            <v>2298.2399999999998</v>
          </cell>
          <cell r="AB858">
            <v>212.56533333333334</v>
          </cell>
          <cell r="AC858">
            <v>6400</v>
          </cell>
          <cell r="AD858">
            <v>5037.5399999999991</v>
          </cell>
          <cell r="AE858">
            <v>1362.4600000000009</v>
          </cell>
          <cell r="AN858" t="str">
            <v xml:space="preserve">Contrato emergencial nº </v>
          </cell>
          <cell r="AO858" t="str">
            <v>IQ</v>
          </cell>
        </row>
        <row r="859">
          <cell r="D859" t="str">
            <v>1886/11</v>
          </cell>
          <cell r="E859" t="str">
            <v>05/09/2011</v>
          </cell>
          <cell r="F859">
            <v>40970</v>
          </cell>
          <cell r="G859">
            <v>40877</v>
          </cell>
          <cell r="H859" t="str">
            <v>2011-0.221.074-5</v>
          </cell>
          <cell r="I859">
            <v>44324.52</v>
          </cell>
          <cell r="J859" t="str">
            <v xml:space="preserve">              123651121                 2847                    33903600</v>
          </cell>
          <cell r="K859" t="str">
            <v>05/09/2011</v>
          </cell>
          <cell r="L859">
            <v>87</v>
          </cell>
          <cell r="M859">
            <v>21500</v>
          </cell>
          <cell r="N859">
            <v>57273</v>
          </cell>
          <cell r="O859">
            <v>28424</v>
          </cell>
          <cell r="P859">
            <v>16</v>
          </cell>
          <cell r="Q859">
            <v>2</v>
          </cell>
          <cell r="T859">
            <v>8600</v>
          </cell>
          <cell r="U859">
            <v>0</v>
          </cell>
          <cell r="V859">
            <v>7400</v>
          </cell>
          <cell r="W859">
            <v>180</v>
          </cell>
          <cell r="X859">
            <v>5920</v>
          </cell>
          <cell r="Y859">
            <v>102418</v>
          </cell>
          <cell r="Z859">
            <v>10273.23</v>
          </cell>
          <cell r="AA859">
            <v>3046.7700000000004</v>
          </cell>
          <cell r="AB859">
            <v>246.2473333333333</v>
          </cell>
          <cell r="AC859">
            <v>7400</v>
          </cell>
          <cell r="AD859">
            <v>5920.8573333333334</v>
          </cell>
          <cell r="AE859">
            <v>1479.1426666666666</v>
          </cell>
          <cell r="AN859" t="str">
            <v xml:space="preserve">Contrato emergencial nº </v>
          </cell>
          <cell r="AO859" t="str">
            <v>IQ</v>
          </cell>
        </row>
        <row r="860">
          <cell r="D860" t="str">
            <v>1887/11</v>
          </cell>
          <cell r="E860" t="str">
            <v>05/09/2011</v>
          </cell>
          <cell r="F860">
            <v>40970</v>
          </cell>
          <cell r="G860">
            <v>40877</v>
          </cell>
          <cell r="H860" t="str">
            <v>2011-0.221.080-0</v>
          </cell>
          <cell r="I860">
            <v>37607.879999999997</v>
          </cell>
          <cell r="J860" t="str">
            <v xml:space="preserve">              123651121                 2847                    33903600</v>
          </cell>
          <cell r="K860" t="str">
            <v>05/09/2011</v>
          </cell>
          <cell r="L860">
            <v>87</v>
          </cell>
          <cell r="M860">
            <v>18200</v>
          </cell>
          <cell r="N860">
            <v>57273</v>
          </cell>
          <cell r="O860">
            <v>28425</v>
          </cell>
          <cell r="P860">
            <v>16</v>
          </cell>
          <cell r="Q860">
            <v>2</v>
          </cell>
          <cell r="T860">
            <v>7280</v>
          </cell>
          <cell r="U860">
            <v>0</v>
          </cell>
          <cell r="V860">
            <v>6300</v>
          </cell>
          <cell r="W860">
            <v>180</v>
          </cell>
          <cell r="X860">
            <v>5040</v>
          </cell>
          <cell r="Y860">
            <v>102422</v>
          </cell>
          <cell r="Z860">
            <v>8005.2</v>
          </cell>
          <cell r="AA860">
            <v>3334.8</v>
          </cell>
          <cell r="AB860">
            <v>208.93266666666665</v>
          </cell>
          <cell r="AC860">
            <v>6300</v>
          </cell>
          <cell r="AD860">
            <v>5494.12</v>
          </cell>
          <cell r="AE860">
            <v>805.88000000000011</v>
          </cell>
          <cell r="AN860" t="str">
            <v xml:space="preserve">Contrato emergencial nº </v>
          </cell>
          <cell r="AO860" t="str">
            <v>IQ</v>
          </cell>
        </row>
        <row r="861">
          <cell r="D861" t="str">
            <v>1888/11</v>
          </cell>
          <cell r="E861" t="str">
            <v>05/09/2011</v>
          </cell>
          <cell r="F861">
            <v>40970</v>
          </cell>
          <cell r="G861">
            <v>40877</v>
          </cell>
          <cell r="H861" t="str">
            <v>2011-0.221.137-7</v>
          </cell>
          <cell r="I861">
            <v>44324.52</v>
          </cell>
          <cell r="J861" t="str">
            <v xml:space="preserve">              123651121                 2847                    33903600</v>
          </cell>
          <cell r="K861" t="str">
            <v>05/09/2011</v>
          </cell>
          <cell r="L861">
            <v>87</v>
          </cell>
          <cell r="M861">
            <v>21500</v>
          </cell>
          <cell r="N861">
            <v>57273</v>
          </cell>
          <cell r="O861">
            <v>28428</v>
          </cell>
          <cell r="P861">
            <v>16</v>
          </cell>
          <cell r="Q861">
            <v>2</v>
          </cell>
          <cell r="T861">
            <v>8600</v>
          </cell>
          <cell r="U861">
            <v>0</v>
          </cell>
          <cell r="V861">
            <v>7400</v>
          </cell>
          <cell r="W861">
            <v>180</v>
          </cell>
          <cell r="X861">
            <v>5920</v>
          </cell>
          <cell r="Y861">
            <v>102061</v>
          </cell>
          <cell r="Z861">
            <v>10679.94</v>
          </cell>
          <cell r="AA861">
            <v>2640.0599999999995</v>
          </cell>
          <cell r="AB861">
            <v>246.2473333333333</v>
          </cell>
          <cell r="AC861">
            <v>7400</v>
          </cell>
          <cell r="AD861">
            <v>5843.2800000000007</v>
          </cell>
          <cell r="AE861">
            <v>1556.7199999999993</v>
          </cell>
          <cell r="AN861" t="str">
            <v xml:space="preserve">Contrato emergencial nº </v>
          </cell>
          <cell r="AO861" t="str">
            <v>PJ</v>
          </cell>
        </row>
        <row r="862">
          <cell r="D862" t="str">
            <v>1889/11</v>
          </cell>
          <cell r="E862" t="str">
            <v>05/09/2011</v>
          </cell>
          <cell r="F862">
            <v>40970</v>
          </cell>
          <cell r="G862">
            <v>40877</v>
          </cell>
          <cell r="H862" t="str">
            <v>2011-0.221.145-8</v>
          </cell>
          <cell r="I862">
            <v>24414.78</v>
          </cell>
          <cell r="J862" t="str">
            <v xml:space="preserve">              123651121                 2847                    33903600</v>
          </cell>
          <cell r="K862" t="str">
            <v>05/09/2011</v>
          </cell>
          <cell r="L862">
            <v>87</v>
          </cell>
          <cell r="M862">
            <v>11900</v>
          </cell>
          <cell r="N862">
            <v>57273</v>
          </cell>
          <cell r="O862">
            <v>28429</v>
          </cell>
          <cell r="P862">
            <v>16</v>
          </cell>
          <cell r="Q862">
            <v>2</v>
          </cell>
          <cell r="T862">
            <v>4760</v>
          </cell>
          <cell r="U862">
            <v>0</v>
          </cell>
          <cell r="V862">
            <v>4200</v>
          </cell>
          <cell r="W862">
            <v>180</v>
          </cell>
          <cell r="X862">
            <v>3360</v>
          </cell>
          <cell r="Y862">
            <v>102236</v>
          </cell>
          <cell r="Z862">
            <v>8424.2199999999993</v>
          </cell>
          <cell r="AA862">
            <v>-864.21999999999935</v>
          </cell>
          <cell r="AB862">
            <v>135.63766666666666</v>
          </cell>
          <cell r="AC862">
            <v>4100</v>
          </cell>
          <cell r="AD862">
            <v>4112.1050000000005</v>
          </cell>
          <cell r="AE862">
            <v>-12.105000000000473</v>
          </cell>
          <cell r="AN862" t="str">
            <v xml:space="preserve">Contrato emergencial nº </v>
          </cell>
          <cell r="AO862" t="str">
            <v>CL</v>
          </cell>
        </row>
        <row r="863">
          <cell r="D863" t="str">
            <v>1891/11</v>
          </cell>
          <cell r="E863" t="str">
            <v>05/09/2011</v>
          </cell>
          <cell r="F863">
            <v>40970</v>
          </cell>
          <cell r="G863">
            <v>40877</v>
          </cell>
          <cell r="H863" t="str">
            <v>2011-0.221.154-7</v>
          </cell>
          <cell r="I863">
            <v>31418.52</v>
          </cell>
          <cell r="J863" t="str">
            <v xml:space="preserve">              123651121                 2847                    33903600</v>
          </cell>
          <cell r="K863" t="str">
            <v>05/09/2011</v>
          </cell>
          <cell r="L863">
            <v>87</v>
          </cell>
          <cell r="M863">
            <v>15200</v>
          </cell>
          <cell r="N863">
            <v>57273</v>
          </cell>
          <cell r="O863">
            <v>28431</v>
          </cell>
          <cell r="P863">
            <v>16</v>
          </cell>
          <cell r="Q863">
            <v>2</v>
          </cell>
          <cell r="T863">
            <v>6080</v>
          </cell>
          <cell r="U863">
            <v>0</v>
          </cell>
          <cell r="V863">
            <v>5300</v>
          </cell>
          <cell r="W863">
            <v>180</v>
          </cell>
          <cell r="X863">
            <v>4240</v>
          </cell>
          <cell r="Y863">
            <v>102279</v>
          </cell>
          <cell r="Z863">
            <v>11355.9</v>
          </cell>
          <cell r="AA863">
            <v>-1815.8999999999996</v>
          </cell>
          <cell r="AB863">
            <v>174.54733333333334</v>
          </cell>
          <cell r="AC863">
            <v>5300</v>
          </cell>
          <cell r="AD863">
            <v>4440.58</v>
          </cell>
          <cell r="AE863">
            <v>859.42000000000007</v>
          </cell>
          <cell r="AN863" t="str">
            <v xml:space="preserve">Contrato emergencial nº </v>
          </cell>
          <cell r="AO863" t="str">
            <v>CL</v>
          </cell>
        </row>
        <row r="864">
          <cell r="D864" t="str">
            <v>1892/11</v>
          </cell>
          <cell r="E864" t="str">
            <v>05/09/2011</v>
          </cell>
          <cell r="F864">
            <v>40970</v>
          </cell>
          <cell r="G864">
            <v>40877</v>
          </cell>
          <cell r="H864" t="str">
            <v>2011-0.221.156-3</v>
          </cell>
          <cell r="I864">
            <v>44324.52</v>
          </cell>
          <cell r="J864" t="str">
            <v xml:space="preserve">              123651121                 2847                    33903600</v>
          </cell>
          <cell r="K864" t="str">
            <v>05/09/2011</v>
          </cell>
          <cell r="L864">
            <v>87</v>
          </cell>
          <cell r="M864">
            <v>21500</v>
          </cell>
          <cell r="N864">
            <v>57273</v>
          </cell>
          <cell r="O864">
            <v>28433</v>
          </cell>
          <cell r="P864">
            <v>16</v>
          </cell>
          <cell r="Q864">
            <v>2</v>
          </cell>
          <cell r="T864">
            <v>8600</v>
          </cell>
          <cell r="U864">
            <v>0</v>
          </cell>
          <cell r="V864">
            <v>7400</v>
          </cell>
          <cell r="W864">
            <v>180</v>
          </cell>
          <cell r="X864">
            <v>5920</v>
          </cell>
          <cell r="Y864">
            <v>102287</v>
          </cell>
          <cell r="Z864">
            <v>15736.48</v>
          </cell>
          <cell r="AA864">
            <v>-2416.4799999999996</v>
          </cell>
          <cell r="AB864">
            <v>246.2473333333333</v>
          </cell>
          <cell r="AC864">
            <v>7400</v>
          </cell>
          <cell r="AD864">
            <v>6689.33</v>
          </cell>
          <cell r="AE864">
            <v>710.67000000000007</v>
          </cell>
          <cell r="AN864" t="str">
            <v xml:space="preserve">Contrato emergencial nº </v>
          </cell>
          <cell r="AO864" t="str">
            <v>CL</v>
          </cell>
        </row>
        <row r="865">
          <cell r="D865" t="str">
            <v>1893/11</v>
          </cell>
          <cell r="E865" t="str">
            <v>05/09/2011</v>
          </cell>
          <cell r="F865">
            <v>40970</v>
          </cell>
          <cell r="G865">
            <v>40877</v>
          </cell>
          <cell r="H865" t="str">
            <v>2011-0.221.158-0</v>
          </cell>
          <cell r="I865">
            <v>37607.879999999997</v>
          </cell>
          <cell r="J865" t="str">
            <v xml:space="preserve">              123651121                 2847                    33903600</v>
          </cell>
          <cell r="K865" t="str">
            <v>05/09/2011</v>
          </cell>
          <cell r="L865">
            <v>87</v>
          </cell>
          <cell r="M865">
            <v>18200</v>
          </cell>
          <cell r="N865">
            <v>57273</v>
          </cell>
          <cell r="O865">
            <v>28435</v>
          </cell>
          <cell r="P865">
            <v>16</v>
          </cell>
          <cell r="Q865">
            <v>2</v>
          </cell>
          <cell r="T865">
            <v>7280</v>
          </cell>
          <cell r="U865">
            <v>0</v>
          </cell>
          <cell r="V865">
            <v>6300</v>
          </cell>
          <cell r="W865">
            <v>180</v>
          </cell>
          <cell r="X865">
            <v>5040</v>
          </cell>
          <cell r="Y865">
            <v>102542</v>
          </cell>
          <cell r="Z865">
            <v>7068.32</v>
          </cell>
          <cell r="AA865">
            <v>4271.68</v>
          </cell>
          <cell r="AB865">
            <v>208.93266666666665</v>
          </cell>
          <cell r="AC865">
            <v>6300</v>
          </cell>
          <cell r="AD865">
            <v>5987.4800000000005</v>
          </cell>
          <cell r="AE865">
            <v>312.51999999999953</v>
          </cell>
          <cell r="AN865" t="str">
            <v xml:space="preserve">Contrato emergencial nº </v>
          </cell>
          <cell r="AO865" t="str">
            <v>SM</v>
          </cell>
        </row>
        <row r="866">
          <cell r="D866" t="str">
            <v>1894/11</v>
          </cell>
          <cell r="E866" t="str">
            <v>05/09/2011</v>
          </cell>
          <cell r="F866">
            <v>40970</v>
          </cell>
          <cell r="G866">
            <v>40877</v>
          </cell>
          <cell r="H866" t="str">
            <v>2011-0.221.164-4</v>
          </cell>
          <cell r="I866">
            <v>44324.52</v>
          </cell>
          <cell r="J866" t="str">
            <v xml:space="preserve">              123651121                 2847                    33903600</v>
          </cell>
          <cell r="K866" t="str">
            <v>05/09/2011</v>
          </cell>
          <cell r="L866">
            <v>87</v>
          </cell>
          <cell r="M866">
            <v>21500</v>
          </cell>
          <cell r="N866">
            <v>57273</v>
          </cell>
          <cell r="O866">
            <v>28437</v>
          </cell>
          <cell r="P866">
            <v>16</v>
          </cell>
          <cell r="Q866">
            <v>2</v>
          </cell>
          <cell r="T866">
            <v>8600</v>
          </cell>
          <cell r="U866">
            <v>0</v>
          </cell>
          <cell r="V866">
            <v>7400</v>
          </cell>
          <cell r="W866">
            <v>180</v>
          </cell>
          <cell r="X866">
            <v>5920</v>
          </cell>
          <cell r="Y866">
            <v>102249</v>
          </cell>
          <cell r="Z866">
            <v>9455.73</v>
          </cell>
          <cell r="AA866">
            <v>3864.2700000000004</v>
          </cell>
          <cell r="AB866">
            <v>246.2473333333333</v>
          </cell>
          <cell r="AC866">
            <v>7400</v>
          </cell>
          <cell r="AD866">
            <v>6517.18</v>
          </cell>
          <cell r="AE866">
            <v>882.81999999999971</v>
          </cell>
          <cell r="AN866" t="str">
            <v xml:space="preserve">Contrato emergencial nº </v>
          </cell>
          <cell r="AO866" t="str">
            <v>CS</v>
          </cell>
        </row>
        <row r="867">
          <cell r="D867" t="str">
            <v>1895/11</v>
          </cell>
          <cell r="E867" t="str">
            <v>05/09/2011</v>
          </cell>
          <cell r="F867">
            <v>40970</v>
          </cell>
          <cell r="G867">
            <v>40877</v>
          </cell>
          <cell r="H867" t="str">
            <v>2011-0.221.168-7</v>
          </cell>
          <cell r="I867">
            <v>31012.38</v>
          </cell>
          <cell r="J867" t="str">
            <v xml:space="preserve">              123651121                 2847                    33903600</v>
          </cell>
          <cell r="K867" t="str">
            <v>05/09/2011</v>
          </cell>
          <cell r="L867">
            <v>87</v>
          </cell>
          <cell r="M867">
            <v>15000</v>
          </cell>
          <cell r="N867">
            <v>57273</v>
          </cell>
          <cell r="O867">
            <v>28439</v>
          </cell>
          <cell r="P867">
            <v>16</v>
          </cell>
          <cell r="Q867">
            <v>2</v>
          </cell>
          <cell r="T867">
            <v>6000</v>
          </cell>
          <cell r="U867">
            <v>0</v>
          </cell>
          <cell r="V867">
            <v>5200</v>
          </cell>
          <cell r="W867">
            <v>180</v>
          </cell>
          <cell r="X867">
            <v>4160</v>
          </cell>
          <cell r="Y867">
            <v>102548</v>
          </cell>
          <cell r="Z867">
            <v>5436.15</v>
          </cell>
          <cell r="AA867">
            <v>3923.8500000000004</v>
          </cell>
          <cell r="AB867">
            <v>172.291</v>
          </cell>
          <cell r="AC867">
            <v>5200</v>
          </cell>
          <cell r="AD867">
            <v>5135.09</v>
          </cell>
          <cell r="AE867">
            <v>64.909999999999854</v>
          </cell>
          <cell r="AN867" t="str">
            <v xml:space="preserve">Contrato emergencial nº </v>
          </cell>
          <cell r="AO867" t="str">
            <v>SM</v>
          </cell>
        </row>
        <row r="868">
          <cell r="D868" t="str">
            <v>1896/11</v>
          </cell>
          <cell r="E868" t="str">
            <v>05/09/2011</v>
          </cell>
          <cell r="F868">
            <v>40970</v>
          </cell>
          <cell r="G868">
            <v>40877</v>
          </cell>
          <cell r="H868" t="str">
            <v>2011-0.221.171-7</v>
          </cell>
          <cell r="I868">
            <v>20561.28</v>
          </cell>
          <cell r="J868" t="str">
            <v xml:space="preserve">              123611122                  2848                    33903600</v>
          </cell>
          <cell r="K868" t="str">
            <v>05/09/2011</v>
          </cell>
          <cell r="L868">
            <v>87</v>
          </cell>
          <cell r="M868">
            <v>10000</v>
          </cell>
          <cell r="N868">
            <v>57278</v>
          </cell>
          <cell r="O868">
            <v>28440</v>
          </cell>
          <cell r="P868">
            <v>16</v>
          </cell>
          <cell r="Q868">
            <v>3</v>
          </cell>
          <cell r="T868">
            <v>4000</v>
          </cell>
          <cell r="U868">
            <v>0</v>
          </cell>
          <cell r="V868">
            <v>3500</v>
          </cell>
          <cell r="W868">
            <v>180</v>
          </cell>
          <cell r="X868">
            <v>2800</v>
          </cell>
          <cell r="Y868">
            <v>102477</v>
          </cell>
          <cell r="Z868">
            <v>4544.47</v>
          </cell>
          <cell r="AA868">
            <v>1755.5299999999997</v>
          </cell>
          <cell r="AB868">
            <v>114.22933333333333</v>
          </cell>
          <cell r="AC868">
            <v>3500</v>
          </cell>
          <cell r="AD868">
            <v>2919.44</v>
          </cell>
          <cell r="AE868">
            <v>580.55999999999995</v>
          </cell>
          <cell r="AN868" t="str">
            <v xml:space="preserve">Contrato emergencial nº </v>
          </cell>
          <cell r="AO868" t="str">
            <v>IP</v>
          </cell>
        </row>
        <row r="869">
          <cell r="D869" t="str">
            <v>1897/11</v>
          </cell>
          <cell r="E869" t="str">
            <v>05/09/2011</v>
          </cell>
          <cell r="F869">
            <v>40970</v>
          </cell>
          <cell r="G869">
            <v>40877</v>
          </cell>
          <cell r="H869" t="str">
            <v>2011-0.221.173-3</v>
          </cell>
          <cell r="I869">
            <v>42184.92</v>
          </cell>
          <cell r="J869" t="str">
            <v xml:space="preserve">             123671125                  2863                   33903600</v>
          </cell>
          <cell r="K869" t="str">
            <v>05/09/2011</v>
          </cell>
          <cell r="L869">
            <v>87</v>
          </cell>
          <cell r="M869">
            <v>20400</v>
          </cell>
          <cell r="N869">
            <v>57287</v>
          </cell>
          <cell r="O869">
            <v>28443</v>
          </cell>
          <cell r="P869">
            <v>16</v>
          </cell>
          <cell r="Q869">
            <v>4</v>
          </cell>
          <cell r="T869">
            <v>8160</v>
          </cell>
          <cell r="U869">
            <v>0</v>
          </cell>
          <cell r="V869">
            <v>8100</v>
          </cell>
          <cell r="W869">
            <v>180</v>
          </cell>
          <cell r="X869">
            <v>6480</v>
          </cell>
          <cell r="Y869">
            <v>102359</v>
          </cell>
          <cell r="Z869">
            <v>13600.17</v>
          </cell>
          <cell r="AA869">
            <v>979.82999999999993</v>
          </cell>
          <cell r="AB869">
            <v>234.36066666666665</v>
          </cell>
          <cell r="AC869">
            <v>7100</v>
          </cell>
          <cell r="AD869">
            <v>8042.68</v>
          </cell>
          <cell r="AE869">
            <v>-942.68000000000029</v>
          </cell>
          <cell r="AN869" t="str">
            <v xml:space="preserve">Contrato emergencial nº </v>
          </cell>
          <cell r="AO869" t="str">
            <v>CL</v>
          </cell>
        </row>
        <row r="870">
          <cell r="D870" t="str">
            <v>1898/11</v>
          </cell>
          <cell r="E870" t="str">
            <v>05/09/2011</v>
          </cell>
          <cell r="F870">
            <v>40970</v>
          </cell>
          <cell r="G870">
            <v>40877</v>
          </cell>
          <cell r="H870" t="str">
            <v>2011-0.221.178-4</v>
          </cell>
          <cell r="I870">
            <v>26495.1</v>
          </cell>
          <cell r="J870" t="str">
            <v xml:space="preserve">              123611122                  2848                    33903600</v>
          </cell>
          <cell r="K870" t="str">
            <v>05/09/2011</v>
          </cell>
          <cell r="L870">
            <v>87</v>
          </cell>
          <cell r="M870">
            <v>12900</v>
          </cell>
          <cell r="N870">
            <v>57278</v>
          </cell>
          <cell r="O870">
            <v>28445</v>
          </cell>
          <cell r="P870">
            <v>16</v>
          </cell>
          <cell r="Q870">
            <v>3</v>
          </cell>
          <cell r="T870">
            <v>5160</v>
          </cell>
          <cell r="U870">
            <v>0</v>
          </cell>
          <cell r="V870">
            <v>4700</v>
          </cell>
          <cell r="W870">
            <v>180</v>
          </cell>
          <cell r="X870">
            <v>3760</v>
          </cell>
          <cell r="Y870">
            <v>102580</v>
          </cell>
          <cell r="Z870">
            <v>4000.62</v>
          </cell>
          <cell r="AA870">
            <v>4459.38</v>
          </cell>
          <cell r="AB870">
            <v>147.19499999999999</v>
          </cell>
          <cell r="AC870">
            <v>4500</v>
          </cell>
          <cell r="AD870">
            <v>4665.91</v>
          </cell>
          <cell r="AE870">
            <v>-165.90999999999985</v>
          </cell>
          <cell r="AN870" t="str">
            <v xml:space="preserve">Contrato emergencial nº </v>
          </cell>
          <cell r="AO870" t="str">
            <v>SM</v>
          </cell>
        </row>
        <row r="871">
          <cell r="D871" t="str">
            <v>1899/11</v>
          </cell>
          <cell r="E871" t="str">
            <v>05/09/2011</v>
          </cell>
          <cell r="F871">
            <v>40970</v>
          </cell>
          <cell r="G871">
            <v>40877</v>
          </cell>
          <cell r="H871" t="str">
            <v>2011-0.221.179-2</v>
          </cell>
          <cell r="I871">
            <v>31418.52</v>
          </cell>
          <cell r="J871" t="str">
            <v xml:space="preserve">              123611122                  2848                    33903600</v>
          </cell>
          <cell r="K871" t="str">
            <v>05/09/2011</v>
          </cell>
          <cell r="L871">
            <v>87</v>
          </cell>
          <cell r="M871">
            <v>15200</v>
          </cell>
          <cell r="N871">
            <v>57278</v>
          </cell>
          <cell r="O871">
            <v>28450</v>
          </cell>
          <cell r="P871">
            <v>16</v>
          </cell>
          <cell r="Q871">
            <v>3</v>
          </cell>
          <cell r="T871">
            <v>6080</v>
          </cell>
          <cell r="U871">
            <v>0</v>
          </cell>
          <cell r="V871">
            <v>5300</v>
          </cell>
          <cell r="W871">
            <v>180</v>
          </cell>
          <cell r="X871">
            <v>4240</v>
          </cell>
          <cell r="Y871">
            <v>102582</v>
          </cell>
          <cell r="Z871">
            <v>5297.32</v>
          </cell>
          <cell r="AA871">
            <v>4242.68</v>
          </cell>
          <cell r="AB871">
            <v>174.54733333333334</v>
          </cell>
          <cell r="AC871">
            <v>5300</v>
          </cell>
          <cell r="AD871">
            <v>4342.8500000000004</v>
          </cell>
          <cell r="AE871">
            <v>957.14999999999964</v>
          </cell>
          <cell r="AN871" t="str">
            <v xml:space="preserve">Contrato emergencial nº </v>
          </cell>
          <cell r="AO871" t="str">
            <v>SM</v>
          </cell>
        </row>
        <row r="872">
          <cell r="D872" t="str">
            <v>1900/11</v>
          </cell>
          <cell r="E872" t="str">
            <v>05/09/2011</v>
          </cell>
          <cell r="F872">
            <v>40970</v>
          </cell>
          <cell r="G872">
            <v>40877</v>
          </cell>
          <cell r="H872" t="str">
            <v>2011-0.221.181-4</v>
          </cell>
          <cell r="I872">
            <v>42184.92</v>
          </cell>
          <cell r="J872" t="str">
            <v xml:space="preserve">             123671125                  2863                   33903600</v>
          </cell>
          <cell r="K872" t="str">
            <v>05/09/2011</v>
          </cell>
          <cell r="L872">
            <v>87</v>
          </cell>
          <cell r="M872">
            <v>20400</v>
          </cell>
          <cell r="N872">
            <v>57287</v>
          </cell>
          <cell r="O872">
            <v>28505</v>
          </cell>
          <cell r="P872">
            <v>16</v>
          </cell>
          <cell r="Q872">
            <v>4</v>
          </cell>
          <cell r="T872">
            <v>8160</v>
          </cell>
          <cell r="U872">
            <v>0</v>
          </cell>
          <cell r="V872">
            <v>7600</v>
          </cell>
          <cell r="W872">
            <v>180</v>
          </cell>
          <cell r="X872">
            <v>6080</v>
          </cell>
          <cell r="Y872">
            <v>102471</v>
          </cell>
          <cell r="Z872">
            <v>14120.54</v>
          </cell>
          <cell r="AA872">
            <v>-440.54000000000087</v>
          </cell>
          <cell r="AB872">
            <v>234.36066666666665</v>
          </cell>
          <cell r="AC872">
            <v>7100</v>
          </cell>
          <cell r="AD872">
            <v>7523.165</v>
          </cell>
          <cell r="AE872">
            <v>-423.16499999999996</v>
          </cell>
          <cell r="AN872" t="str">
            <v xml:space="preserve">Contrato emergencial nº </v>
          </cell>
          <cell r="AO872" t="str">
            <v>CL</v>
          </cell>
        </row>
        <row r="873">
          <cell r="D873" t="str">
            <v>1901/11</v>
          </cell>
          <cell r="E873" t="str">
            <v>05/09/2011</v>
          </cell>
          <cell r="F873">
            <v>40970</v>
          </cell>
          <cell r="G873">
            <v>40877</v>
          </cell>
          <cell r="H873" t="str">
            <v>2011-0.221.185-7</v>
          </cell>
          <cell r="I873">
            <v>44978.400000000001</v>
          </cell>
          <cell r="J873" t="str">
            <v xml:space="preserve">              123611122                  2848                    33903600</v>
          </cell>
          <cell r="K873" t="str">
            <v>05/09/2011</v>
          </cell>
          <cell r="L873">
            <v>87</v>
          </cell>
          <cell r="M873">
            <v>21800</v>
          </cell>
          <cell r="N873">
            <v>57278</v>
          </cell>
          <cell r="O873">
            <v>28507</v>
          </cell>
          <cell r="P873">
            <v>16</v>
          </cell>
          <cell r="Q873">
            <v>3</v>
          </cell>
          <cell r="T873">
            <v>8720</v>
          </cell>
          <cell r="U873">
            <v>0</v>
          </cell>
          <cell r="V873">
            <v>7500</v>
          </cell>
          <cell r="W873">
            <v>180</v>
          </cell>
          <cell r="X873">
            <v>6000</v>
          </cell>
          <cell r="Y873">
            <v>102590</v>
          </cell>
          <cell r="Z873">
            <v>10348.27</v>
          </cell>
          <cell r="AA873">
            <v>3151.7299999999996</v>
          </cell>
          <cell r="AB873">
            <v>249.88</v>
          </cell>
          <cell r="AC873">
            <v>7500</v>
          </cell>
          <cell r="AD873">
            <v>6140.3600000000006</v>
          </cell>
          <cell r="AE873">
            <v>1359.6399999999994</v>
          </cell>
          <cell r="AN873" t="str">
            <v xml:space="preserve">Contrato emergencial nº </v>
          </cell>
          <cell r="AO873" t="str">
            <v>SM</v>
          </cell>
        </row>
        <row r="874">
          <cell r="D874" t="str">
            <v>1902/11</v>
          </cell>
          <cell r="E874" t="str">
            <v>05/09/2011</v>
          </cell>
          <cell r="F874">
            <v>40970</v>
          </cell>
          <cell r="G874">
            <v>40877</v>
          </cell>
          <cell r="H874" t="str">
            <v>2011-0.221.188-1</v>
          </cell>
          <cell r="I874">
            <v>31012.38</v>
          </cell>
          <cell r="J874" t="str">
            <v xml:space="preserve">              123611122                  2848                    33903600</v>
          </cell>
          <cell r="K874" t="str">
            <v>05/09/2011</v>
          </cell>
          <cell r="L874">
            <v>87</v>
          </cell>
          <cell r="M874">
            <v>15000</v>
          </cell>
          <cell r="N874">
            <v>57278</v>
          </cell>
          <cell r="O874">
            <v>28510</v>
          </cell>
          <cell r="P874">
            <v>16</v>
          </cell>
          <cell r="Q874">
            <v>3</v>
          </cell>
          <cell r="T874">
            <v>6000</v>
          </cell>
          <cell r="U874">
            <v>0</v>
          </cell>
          <cell r="V874">
            <v>5600</v>
          </cell>
          <cell r="W874">
            <v>180</v>
          </cell>
          <cell r="X874">
            <v>4480</v>
          </cell>
          <cell r="Y874">
            <v>102520</v>
          </cell>
          <cell r="Z874">
            <v>10143.370000000001</v>
          </cell>
          <cell r="AA874">
            <v>-63.3700000000008</v>
          </cell>
          <cell r="AB874">
            <v>172.291</v>
          </cell>
          <cell r="AC874">
            <v>5200</v>
          </cell>
          <cell r="AD874">
            <v>5578.25</v>
          </cell>
          <cell r="AE874">
            <v>-378.25</v>
          </cell>
          <cell r="AN874" t="str">
            <v xml:space="preserve">Contrato emergencial nº </v>
          </cell>
          <cell r="AO874" t="str">
            <v>CL</v>
          </cell>
        </row>
        <row r="875">
          <cell r="D875" t="str">
            <v>1903/11</v>
          </cell>
          <cell r="E875" t="str">
            <v>05/09/2011</v>
          </cell>
          <cell r="F875">
            <v>40970</v>
          </cell>
          <cell r="G875">
            <v>40877</v>
          </cell>
          <cell r="H875" t="str">
            <v>2011-0.221.193-8</v>
          </cell>
          <cell r="I875">
            <v>31616.58</v>
          </cell>
          <cell r="J875" t="str">
            <v xml:space="preserve">              123611122                  2848                    33903600</v>
          </cell>
          <cell r="K875" t="str">
            <v>05/09/2011</v>
          </cell>
          <cell r="L875">
            <v>87</v>
          </cell>
          <cell r="M875">
            <v>15300</v>
          </cell>
          <cell r="N875">
            <v>57278</v>
          </cell>
          <cell r="O875">
            <v>28511</v>
          </cell>
          <cell r="P875">
            <v>16</v>
          </cell>
          <cell r="Q875">
            <v>3</v>
          </cell>
          <cell r="T875">
            <v>6120</v>
          </cell>
          <cell r="U875">
            <v>0</v>
          </cell>
          <cell r="V875">
            <v>5300</v>
          </cell>
          <cell r="W875">
            <v>180</v>
          </cell>
          <cell r="X875">
            <v>4240</v>
          </cell>
          <cell r="Y875">
            <v>102543</v>
          </cell>
          <cell r="Z875">
            <v>11039.35</v>
          </cell>
          <cell r="AA875">
            <v>-1499.3500000000004</v>
          </cell>
          <cell r="AB875">
            <v>175.64766666666668</v>
          </cell>
          <cell r="AC875">
            <v>5300</v>
          </cell>
          <cell r="AD875">
            <v>5050.9675000000007</v>
          </cell>
          <cell r="AE875">
            <v>249.03249999999935</v>
          </cell>
          <cell r="AN875" t="str">
            <v xml:space="preserve">Contrato emergencial nº </v>
          </cell>
          <cell r="AO875" t="str">
            <v>CL</v>
          </cell>
        </row>
        <row r="876">
          <cell r="D876" t="str">
            <v>1904/11</v>
          </cell>
          <cell r="E876" t="str">
            <v>05/09/2011</v>
          </cell>
          <cell r="F876">
            <v>40970</v>
          </cell>
          <cell r="G876">
            <v>40877</v>
          </cell>
          <cell r="H876" t="str">
            <v>2011-0.221.197-0</v>
          </cell>
          <cell r="I876">
            <v>37607.879999999997</v>
          </cell>
          <cell r="J876" t="str">
            <v xml:space="preserve">              123611122                  2848                    33903600</v>
          </cell>
          <cell r="K876" t="str">
            <v>05/09/2011</v>
          </cell>
          <cell r="L876">
            <v>87</v>
          </cell>
          <cell r="M876">
            <v>18200</v>
          </cell>
          <cell r="N876">
            <v>57278</v>
          </cell>
          <cell r="O876">
            <v>28513</v>
          </cell>
          <cell r="P876">
            <v>16</v>
          </cell>
          <cell r="Q876">
            <v>3</v>
          </cell>
          <cell r="T876">
            <v>7280</v>
          </cell>
          <cell r="U876">
            <v>0</v>
          </cell>
          <cell r="V876">
            <v>6300</v>
          </cell>
          <cell r="W876">
            <v>180</v>
          </cell>
          <cell r="X876">
            <v>5040</v>
          </cell>
          <cell r="Y876">
            <v>103152</v>
          </cell>
          <cell r="Z876">
            <v>7287.68</v>
          </cell>
          <cell r="AA876">
            <v>4052.3199999999997</v>
          </cell>
          <cell r="AB876">
            <v>208.93266666666665</v>
          </cell>
          <cell r="AC876">
            <v>6300</v>
          </cell>
          <cell r="AD876">
            <v>5901.6799999999994</v>
          </cell>
          <cell r="AE876">
            <v>398.32000000000062</v>
          </cell>
          <cell r="AN876" t="str">
            <v xml:space="preserve">Contrato emergencial nº </v>
          </cell>
          <cell r="AO876" t="str">
            <v>G</v>
          </cell>
        </row>
        <row r="877">
          <cell r="D877" t="str">
            <v>1905/11</v>
          </cell>
          <cell r="E877" t="str">
            <v>05/09/2011</v>
          </cell>
          <cell r="F877">
            <v>40970</v>
          </cell>
          <cell r="G877">
            <v>40877</v>
          </cell>
          <cell r="H877" t="str">
            <v>2011-0.221.200-4</v>
          </cell>
          <cell r="I877">
            <v>41531.040000000001</v>
          </cell>
          <cell r="J877" t="str">
            <v xml:space="preserve">             123671125                  2863                   33903600</v>
          </cell>
          <cell r="K877" t="str">
            <v>05/09/2011</v>
          </cell>
          <cell r="L877">
            <v>87</v>
          </cell>
          <cell r="M877">
            <v>20100</v>
          </cell>
          <cell r="N877">
            <v>57287</v>
          </cell>
          <cell r="O877">
            <v>28515</v>
          </cell>
          <cell r="P877">
            <v>16</v>
          </cell>
          <cell r="Q877">
            <v>4</v>
          </cell>
          <cell r="T877">
            <v>8040</v>
          </cell>
          <cell r="U877">
            <v>0</v>
          </cell>
          <cell r="V877">
            <v>8100</v>
          </cell>
          <cell r="W877">
            <v>180</v>
          </cell>
          <cell r="X877">
            <v>6480</v>
          </cell>
          <cell r="Y877">
            <v>102235</v>
          </cell>
          <cell r="Z877">
            <v>5127.25</v>
          </cell>
          <cell r="AA877">
            <v>9452.75</v>
          </cell>
          <cell r="AB877">
            <v>230.72800000000001</v>
          </cell>
          <cell r="AC877">
            <v>7000</v>
          </cell>
          <cell r="AD877">
            <v>8086.25</v>
          </cell>
          <cell r="AE877">
            <v>-1086.25</v>
          </cell>
          <cell r="AN877" t="str">
            <v xml:space="preserve">Contrato emergencial nº </v>
          </cell>
          <cell r="AO877" t="str">
            <v>SA</v>
          </cell>
        </row>
        <row r="878">
          <cell r="D878" t="str">
            <v>1906/11</v>
          </cell>
          <cell r="E878" t="str">
            <v>05/09/2011</v>
          </cell>
          <cell r="F878">
            <v>40970</v>
          </cell>
          <cell r="G878">
            <v>40877</v>
          </cell>
          <cell r="H878" t="str">
            <v>2011-0.221.346-9</v>
          </cell>
          <cell r="I878">
            <v>30606.240000000002</v>
          </cell>
          <cell r="J878" t="str">
            <v xml:space="preserve">              123651121                 2847                    33903600</v>
          </cell>
          <cell r="K878" t="str">
            <v>05/09/2011</v>
          </cell>
          <cell r="L878">
            <v>87</v>
          </cell>
          <cell r="M878">
            <v>14800</v>
          </cell>
          <cell r="N878">
            <v>57273</v>
          </cell>
          <cell r="O878">
            <v>28516</v>
          </cell>
          <cell r="P878">
            <v>16</v>
          </cell>
          <cell r="Q878">
            <v>2</v>
          </cell>
          <cell r="T878">
            <v>5920</v>
          </cell>
          <cell r="U878">
            <v>0</v>
          </cell>
          <cell r="V878">
            <v>5200</v>
          </cell>
          <cell r="W878">
            <v>180</v>
          </cell>
          <cell r="X878">
            <v>4160</v>
          </cell>
          <cell r="Y878">
            <v>102427</v>
          </cell>
          <cell r="Z878">
            <v>5852.07</v>
          </cell>
          <cell r="AA878">
            <v>3507.9300000000003</v>
          </cell>
          <cell r="AB878">
            <v>170.03466666666668</v>
          </cell>
          <cell r="AC878">
            <v>5200</v>
          </cell>
          <cell r="AD878">
            <v>4835.0999999999995</v>
          </cell>
          <cell r="AE878">
            <v>364.90000000000055</v>
          </cell>
          <cell r="AN878" t="str">
            <v xml:space="preserve">Contrato emergencial nº </v>
          </cell>
          <cell r="AO878" t="str">
            <v>IQ</v>
          </cell>
        </row>
        <row r="879">
          <cell r="D879" t="str">
            <v>1907/11</v>
          </cell>
          <cell r="E879" t="str">
            <v>05/09/2011</v>
          </cell>
          <cell r="F879">
            <v>40970</v>
          </cell>
          <cell r="G879">
            <v>40877</v>
          </cell>
          <cell r="H879" t="str">
            <v>2011-0.221.348-5</v>
          </cell>
          <cell r="I879">
            <v>44324.52</v>
          </cell>
          <cell r="J879" t="str">
            <v xml:space="preserve">              123651121                 2847                    33903600</v>
          </cell>
          <cell r="K879" t="str">
            <v>05/09/2011</v>
          </cell>
          <cell r="L879">
            <v>87</v>
          </cell>
          <cell r="M879">
            <v>21500</v>
          </cell>
          <cell r="N879">
            <v>57273</v>
          </cell>
          <cell r="O879">
            <v>28517</v>
          </cell>
          <cell r="P879">
            <v>16</v>
          </cell>
          <cell r="Q879">
            <v>2</v>
          </cell>
          <cell r="T879">
            <v>8600</v>
          </cell>
          <cell r="U879">
            <v>0</v>
          </cell>
          <cell r="V879">
            <v>7400</v>
          </cell>
          <cell r="W879">
            <v>180</v>
          </cell>
          <cell r="X879">
            <v>5920</v>
          </cell>
          <cell r="Y879">
            <v>102478</v>
          </cell>
          <cell r="Z879">
            <v>10588.3</v>
          </cell>
          <cell r="AA879">
            <v>2731.7000000000007</v>
          </cell>
          <cell r="AB879">
            <v>246.2473333333333</v>
          </cell>
          <cell r="AC879">
            <v>7400</v>
          </cell>
          <cell r="AD879">
            <v>5866.0599999999995</v>
          </cell>
          <cell r="AE879">
            <v>1533.9400000000005</v>
          </cell>
          <cell r="AN879" t="str">
            <v xml:space="preserve">Contrato emergencial nº </v>
          </cell>
          <cell r="AO879" t="str">
            <v>IQ</v>
          </cell>
        </row>
        <row r="880">
          <cell r="D880" t="str">
            <v>1909/11</v>
          </cell>
          <cell r="E880" t="str">
            <v>05/09/2011</v>
          </cell>
          <cell r="F880">
            <v>40970</v>
          </cell>
          <cell r="G880">
            <v>40877</v>
          </cell>
          <cell r="H880" t="str">
            <v>2011-0.221.354-0</v>
          </cell>
          <cell r="I880">
            <v>31012.38</v>
          </cell>
          <cell r="J880" t="str">
            <v xml:space="preserve">              123651121                 2847                    33903600</v>
          </cell>
          <cell r="K880" t="str">
            <v>05/09/2011</v>
          </cell>
          <cell r="L880">
            <v>87</v>
          </cell>
          <cell r="M880">
            <v>15000</v>
          </cell>
          <cell r="N880">
            <v>57273</v>
          </cell>
          <cell r="O880">
            <v>28518</v>
          </cell>
          <cell r="P880">
            <v>16</v>
          </cell>
          <cell r="Q880">
            <v>2</v>
          </cell>
          <cell r="T880">
            <v>6000</v>
          </cell>
          <cell r="U880">
            <v>0</v>
          </cell>
          <cell r="V880">
            <v>5200</v>
          </cell>
          <cell r="W880">
            <v>180</v>
          </cell>
          <cell r="X880">
            <v>4160</v>
          </cell>
          <cell r="Y880">
            <v>102260</v>
          </cell>
          <cell r="Z880">
            <v>4849.34</v>
          </cell>
          <cell r="AA880">
            <v>4510.66</v>
          </cell>
          <cell r="AB880">
            <v>172.291</v>
          </cell>
          <cell r="AC880">
            <v>5200</v>
          </cell>
          <cell r="AD880">
            <v>5185.7250000000004</v>
          </cell>
          <cell r="AE880">
            <v>14.274999999999636</v>
          </cell>
          <cell r="AN880" t="str">
            <v xml:space="preserve">Contrato emergencial nº </v>
          </cell>
          <cell r="AO880" t="str">
            <v>SA</v>
          </cell>
        </row>
        <row r="881">
          <cell r="D881" t="str">
            <v>1910/11</v>
          </cell>
          <cell r="E881" t="str">
            <v>05/09/2011</v>
          </cell>
          <cell r="F881">
            <v>40970</v>
          </cell>
          <cell r="G881">
            <v>40877</v>
          </cell>
          <cell r="H881" t="str">
            <v>2011-0.221.356-6</v>
          </cell>
          <cell r="I881">
            <v>31012.38</v>
          </cell>
          <cell r="J881" t="str">
            <v xml:space="preserve">              123611122                  2848                    33903600</v>
          </cell>
          <cell r="K881" t="str">
            <v>05/09/2011</v>
          </cell>
          <cell r="L881">
            <v>87</v>
          </cell>
          <cell r="M881">
            <v>15000</v>
          </cell>
          <cell r="N881">
            <v>57278</v>
          </cell>
          <cell r="O881">
            <v>28519</v>
          </cell>
          <cell r="P881">
            <v>16</v>
          </cell>
          <cell r="Q881">
            <v>3</v>
          </cell>
          <cell r="T881">
            <v>6000</v>
          </cell>
          <cell r="U881">
            <v>0</v>
          </cell>
          <cell r="V881">
            <v>5800</v>
          </cell>
          <cell r="W881">
            <v>180</v>
          </cell>
          <cell r="X881">
            <v>4640</v>
          </cell>
          <cell r="Y881">
            <v>102194</v>
          </cell>
          <cell r="Z881">
            <v>4410.4399999999996</v>
          </cell>
          <cell r="AA881">
            <v>6029.56</v>
          </cell>
          <cell r="AB881">
            <v>172.291</v>
          </cell>
          <cell r="AC881">
            <v>5200</v>
          </cell>
          <cell r="AD881">
            <v>5721.96</v>
          </cell>
          <cell r="AE881">
            <v>-521.96</v>
          </cell>
          <cell r="AN881" t="str">
            <v xml:space="preserve">Contrato emergencial nº </v>
          </cell>
          <cell r="AO881" t="str">
            <v>PJ</v>
          </cell>
        </row>
        <row r="882">
          <cell r="D882" t="str">
            <v>1911/11</v>
          </cell>
          <cell r="E882" t="str">
            <v>05/09/2011</v>
          </cell>
          <cell r="F882">
            <v>40970</v>
          </cell>
          <cell r="G882">
            <v>40877</v>
          </cell>
          <cell r="H882" t="str">
            <v>2011-0.221.358-2</v>
          </cell>
          <cell r="I882">
            <v>45632.28</v>
          </cell>
          <cell r="J882" t="str">
            <v xml:space="preserve">              123611122                  2848                    33903600</v>
          </cell>
          <cell r="K882" t="str">
            <v>05/09/2011</v>
          </cell>
          <cell r="L882">
            <v>87</v>
          </cell>
          <cell r="M882">
            <v>22100</v>
          </cell>
          <cell r="N882">
            <v>57278</v>
          </cell>
          <cell r="O882">
            <v>28521</v>
          </cell>
          <cell r="P882">
            <v>16</v>
          </cell>
          <cell r="Q882">
            <v>3</v>
          </cell>
          <cell r="T882">
            <v>8840</v>
          </cell>
          <cell r="U882">
            <v>0</v>
          </cell>
          <cell r="V882">
            <v>7700</v>
          </cell>
          <cell r="W882">
            <v>180</v>
          </cell>
          <cell r="X882">
            <v>6160</v>
          </cell>
          <cell r="Y882">
            <v>102196</v>
          </cell>
          <cell r="Z882">
            <v>8783.5499999999993</v>
          </cell>
          <cell r="AA882">
            <v>5076.4500000000007</v>
          </cell>
          <cell r="AB882">
            <v>253.51266666666666</v>
          </cell>
          <cell r="AC882">
            <v>7700</v>
          </cell>
          <cell r="AD882">
            <v>7175.86</v>
          </cell>
          <cell r="AE882">
            <v>524.14000000000033</v>
          </cell>
          <cell r="AN882" t="str">
            <v xml:space="preserve">Contrato emergencial nº </v>
          </cell>
          <cell r="AO882" t="str">
            <v>PJ</v>
          </cell>
        </row>
        <row r="883">
          <cell r="D883" t="str">
            <v>1912/11</v>
          </cell>
          <cell r="E883" t="str">
            <v>05/09/2011</v>
          </cell>
          <cell r="F883">
            <v>40970</v>
          </cell>
          <cell r="G883">
            <v>40877</v>
          </cell>
          <cell r="H883" t="str">
            <v>2011-0.221.361-2</v>
          </cell>
          <cell r="I883">
            <v>31418.52</v>
          </cell>
          <cell r="J883" t="str">
            <v xml:space="preserve">              123611122                  2848                    33903600</v>
          </cell>
          <cell r="K883" t="str">
            <v>05/09/2011</v>
          </cell>
          <cell r="L883">
            <v>87</v>
          </cell>
          <cell r="M883">
            <v>15200</v>
          </cell>
          <cell r="N883">
            <v>57278</v>
          </cell>
          <cell r="O883">
            <v>28522</v>
          </cell>
          <cell r="P883">
            <v>16</v>
          </cell>
          <cell r="Q883">
            <v>3</v>
          </cell>
          <cell r="T883">
            <v>6080</v>
          </cell>
          <cell r="U883">
            <v>0</v>
          </cell>
          <cell r="V883">
            <v>5500</v>
          </cell>
          <cell r="W883">
            <v>180</v>
          </cell>
          <cell r="X883">
            <v>4400</v>
          </cell>
          <cell r="Y883">
            <v>102553</v>
          </cell>
          <cell r="Z883">
            <v>5142.37</v>
          </cell>
          <cell r="AA883">
            <v>4757.63</v>
          </cell>
          <cell r="AB883">
            <v>174.54733333333334</v>
          </cell>
          <cell r="AC883">
            <v>5300</v>
          </cell>
          <cell r="AD883">
            <v>5409.94</v>
          </cell>
          <cell r="AE883">
            <v>-109.9399999999996</v>
          </cell>
          <cell r="AN883" t="str">
            <v xml:space="preserve">Contrato emergencial nº </v>
          </cell>
          <cell r="AO883" t="str">
            <v>SM</v>
          </cell>
        </row>
        <row r="884">
          <cell r="D884" t="str">
            <v>1913/11</v>
          </cell>
          <cell r="E884" t="str">
            <v>05/09/2011</v>
          </cell>
          <cell r="F884">
            <v>40970</v>
          </cell>
          <cell r="G884">
            <v>40877</v>
          </cell>
          <cell r="H884" t="str">
            <v>2011-0.221.363-9</v>
          </cell>
          <cell r="I884">
            <v>26544.6</v>
          </cell>
          <cell r="J884" t="str">
            <v xml:space="preserve">              123611122                  2848                    33903600</v>
          </cell>
          <cell r="K884" t="str">
            <v>05/09/2011</v>
          </cell>
          <cell r="L884">
            <v>87</v>
          </cell>
          <cell r="M884">
            <v>12900</v>
          </cell>
          <cell r="N884">
            <v>57278</v>
          </cell>
          <cell r="O884">
            <v>28523</v>
          </cell>
          <cell r="P884">
            <v>16</v>
          </cell>
          <cell r="Q884">
            <v>3</v>
          </cell>
          <cell r="T884">
            <v>5160</v>
          </cell>
          <cell r="U884">
            <v>0</v>
          </cell>
          <cell r="V884">
            <v>4500</v>
          </cell>
          <cell r="W884">
            <v>180</v>
          </cell>
          <cell r="X884">
            <v>3600</v>
          </cell>
          <cell r="Y884">
            <v>102522</v>
          </cell>
          <cell r="Z884">
            <v>4961.29</v>
          </cell>
          <cell r="AA884">
            <v>3138.71</v>
          </cell>
          <cell r="AB884">
            <v>147.47</v>
          </cell>
          <cell r="AC884">
            <v>4500</v>
          </cell>
          <cell r="AD884">
            <v>4045.38</v>
          </cell>
          <cell r="AE884">
            <v>454.61999999999989</v>
          </cell>
          <cell r="AN884" t="str">
            <v xml:space="preserve">Contrato emergencial nº </v>
          </cell>
          <cell r="AO884" t="str">
            <v>IQ</v>
          </cell>
        </row>
        <row r="885">
          <cell r="D885" t="str">
            <v>1914/11</v>
          </cell>
          <cell r="E885" t="str">
            <v>05/09/2011</v>
          </cell>
          <cell r="F885">
            <v>40970</v>
          </cell>
          <cell r="G885">
            <v>40877</v>
          </cell>
          <cell r="H885" t="str">
            <v>2011-0.221.365-5</v>
          </cell>
          <cell r="I885">
            <v>44324.52</v>
          </cell>
          <cell r="J885" t="str">
            <v xml:space="preserve">              123611122                  2848                    33903600</v>
          </cell>
          <cell r="K885" t="str">
            <v>05/09/2011</v>
          </cell>
          <cell r="L885">
            <v>87</v>
          </cell>
          <cell r="M885">
            <v>21500</v>
          </cell>
          <cell r="N885">
            <v>57278</v>
          </cell>
          <cell r="O885">
            <v>28524</v>
          </cell>
          <cell r="P885">
            <v>16</v>
          </cell>
          <cell r="Q885">
            <v>3</v>
          </cell>
          <cell r="T885">
            <v>8600</v>
          </cell>
          <cell r="U885">
            <v>0</v>
          </cell>
          <cell r="V885">
            <v>7400</v>
          </cell>
          <cell r="W885">
            <v>180</v>
          </cell>
          <cell r="X885">
            <v>5920</v>
          </cell>
          <cell r="Y885">
            <v>102570</v>
          </cell>
          <cell r="Z885">
            <v>8265.0400000000009</v>
          </cell>
          <cell r="AA885">
            <v>5054.9599999999991</v>
          </cell>
          <cell r="AB885">
            <v>246.2473333333333</v>
          </cell>
          <cell r="AC885">
            <v>7400</v>
          </cell>
          <cell r="AD885">
            <v>7147.09</v>
          </cell>
          <cell r="AE885">
            <v>252.90999999999985</v>
          </cell>
          <cell r="AN885" t="str">
            <v xml:space="preserve">Contrato emergencial nº </v>
          </cell>
          <cell r="AO885" t="str">
            <v>IQ</v>
          </cell>
        </row>
        <row r="886">
          <cell r="D886" t="str">
            <v>1915/11</v>
          </cell>
          <cell r="E886" t="str">
            <v>05/09/2011</v>
          </cell>
          <cell r="F886">
            <v>40970</v>
          </cell>
          <cell r="G886">
            <v>40877</v>
          </cell>
          <cell r="H886" t="str">
            <v>2011-0.221.379-5</v>
          </cell>
          <cell r="I886">
            <v>31418.52</v>
          </cell>
          <cell r="J886" t="str">
            <v xml:space="preserve">              123611122                  2848                    33903600</v>
          </cell>
          <cell r="K886" t="str">
            <v>05/09/2011</v>
          </cell>
          <cell r="L886">
            <v>87</v>
          </cell>
          <cell r="M886">
            <v>15200</v>
          </cell>
          <cell r="N886">
            <v>57278</v>
          </cell>
          <cell r="O886">
            <v>28525</v>
          </cell>
          <cell r="P886">
            <v>16</v>
          </cell>
          <cell r="Q886">
            <v>3</v>
          </cell>
          <cell r="T886">
            <v>6080</v>
          </cell>
          <cell r="U886">
            <v>0</v>
          </cell>
          <cell r="V886">
            <v>5700</v>
          </cell>
          <cell r="W886">
            <v>180</v>
          </cell>
          <cell r="X886">
            <v>4560</v>
          </cell>
          <cell r="Y886">
            <v>102241</v>
          </cell>
          <cell r="Z886">
            <v>4969.3599999999997</v>
          </cell>
          <cell r="AA886">
            <v>5290.64</v>
          </cell>
          <cell r="AB886">
            <v>174.54733333333334</v>
          </cell>
          <cell r="AC886">
            <v>5300</v>
          </cell>
          <cell r="AD886">
            <v>5613.9900000000007</v>
          </cell>
          <cell r="AE886">
            <v>-313.99000000000069</v>
          </cell>
          <cell r="AN886" t="str">
            <v xml:space="preserve">Contrato emergencial nº </v>
          </cell>
          <cell r="AO886" t="str">
            <v>PJ</v>
          </cell>
        </row>
        <row r="887">
          <cell r="D887" t="str">
            <v>1916/11</v>
          </cell>
          <cell r="E887" t="str">
            <v>05/09/2011</v>
          </cell>
          <cell r="F887">
            <v>40970</v>
          </cell>
          <cell r="G887">
            <v>40877</v>
          </cell>
          <cell r="H887" t="str">
            <v>2011-0.221.382-5</v>
          </cell>
          <cell r="I887">
            <v>37607.879999999997</v>
          </cell>
          <cell r="J887" t="str">
            <v xml:space="preserve">              123611122                  2848                    33903600</v>
          </cell>
          <cell r="K887" t="str">
            <v>05/09/2011</v>
          </cell>
          <cell r="L887">
            <v>87</v>
          </cell>
          <cell r="M887">
            <v>18200</v>
          </cell>
          <cell r="N887">
            <v>57278</v>
          </cell>
          <cell r="O887">
            <v>28529</v>
          </cell>
          <cell r="P887">
            <v>16</v>
          </cell>
          <cell r="Q887">
            <v>3</v>
          </cell>
          <cell r="T887">
            <v>7280</v>
          </cell>
          <cell r="U887">
            <v>0</v>
          </cell>
          <cell r="V887">
            <v>6300</v>
          </cell>
          <cell r="W887">
            <v>180</v>
          </cell>
          <cell r="X887">
            <v>5040</v>
          </cell>
          <cell r="Y887">
            <v>102594</v>
          </cell>
          <cell r="Z887">
            <v>9339.51</v>
          </cell>
          <cell r="AA887">
            <v>2000.4899999999998</v>
          </cell>
          <cell r="AB887">
            <v>208.93266666666665</v>
          </cell>
          <cell r="AC887">
            <v>6300</v>
          </cell>
          <cell r="AD887">
            <v>4780.46</v>
          </cell>
          <cell r="AE887">
            <v>1519.54</v>
          </cell>
          <cell r="AN887" t="str">
            <v xml:space="preserve">Contrato emergencial nº </v>
          </cell>
          <cell r="AO887" t="str">
            <v>IQ</v>
          </cell>
        </row>
        <row r="888">
          <cell r="D888" t="str">
            <v>1917/11</v>
          </cell>
          <cell r="E888" t="str">
            <v>05/09/2011</v>
          </cell>
          <cell r="F888">
            <v>40970</v>
          </cell>
          <cell r="G888">
            <v>40877</v>
          </cell>
          <cell r="H888" t="str">
            <v>2011-0.221.554-2</v>
          </cell>
          <cell r="I888">
            <v>44978.400000000001</v>
          </cell>
          <cell r="J888" t="str">
            <v xml:space="preserve">              123651121                 2847                    33903600</v>
          </cell>
          <cell r="K888" t="str">
            <v>05/09/2011</v>
          </cell>
          <cell r="L888">
            <v>87</v>
          </cell>
          <cell r="M888">
            <v>21800</v>
          </cell>
          <cell r="N888">
            <v>57273</v>
          </cell>
          <cell r="O888">
            <v>28530</v>
          </cell>
          <cell r="P888">
            <v>16</v>
          </cell>
          <cell r="Q888">
            <v>2</v>
          </cell>
          <cell r="T888">
            <v>8720</v>
          </cell>
          <cell r="U888">
            <v>0</v>
          </cell>
          <cell r="V888">
            <v>7500</v>
          </cell>
          <cell r="W888">
            <v>180</v>
          </cell>
          <cell r="X888">
            <v>6000</v>
          </cell>
          <cell r="Y888">
            <v>102204</v>
          </cell>
          <cell r="Z888">
            <v>15696.02</v>
          </cell>
          <cell r="AA888">
            <v>-2196.0200000000004</v>
          </cell>
          <cell r="AB888">
            <v>249.88</v>
          </cell>
          <cell r="AC888">
            <v>7500</v>
          </cell>
          <cell r="AD888">
            <v>7277.8400000000011</v>
          </cell>
          <cell r="AE888">
            <v>222.15999999999894</v>
          </cell>
          <cell r="AN888" t="str">
            <v xml:space="preserve">Contrato emergencial nº </v>
          </cell>
          <cell r="AO888" t="str">
            <v>CL</v>
          </cell>
        </row>
        <row r="889">
          <cell r="D889" t="str">
            <v>1918/11</v>
          </cell>
          <cell r="E889" t="str">
            <v>05/09/2011</v>
          </cell>
          <cell r="F889">
            <v>40970</v>
          </cell>
          <cell r="G889">
            <v>40877</v>
          </cell>
          <cell r="H889" t="str">
            <v>2011-0.221.558-5</v>
          </cell>
          <cell r="I889">
            <v>46048.2</v>
          </cell>
          <cell r="J889" t="str">
            <v xml:space="preserve">              123651121                 2847                    33903600</v>
          </cell>
          <cell r="K889" t="str">
            <v>05/09/2011</v>
          </cell>
          <cell r="L889">
            <v>87</v>
          </cell>
          <cell r="M889">
            <v>22300</v>
          </cell>
          <cell r="N889">
            <v>57273</v>
          </cell>
          <cell r="O889">
            <v>28536</v>
          </cell>
          <cell r="P889">
            <v>16</v>
          </cell>
          <cell r="Q889">
            <v>2</v>
          </cell>
          <cell r="T889">
            <v>8920</v>
          </cell>
          <cell r="V889">
            <v>7700</v>
          </cell>
          <cell r="W889">
            <v>180</v>
          </cell>
          <cell r="X889">
            <v>6160</v>
          </cell>
          <cell r="Z889">
            <v>17606.39</v>
          </cell>
          <cell r="AA889">
            <v>-3746.3899999999994</v>
          </cell>
          <cell r="AB889">
            <v>255.82333333333332</v>
          </cell>
          <cell r="AC889">
            <v>7700</v>
          </cell>
          <cell r="AD889">
            <v>6667.7199999999993</v>
          </cell>
          <cell r="AE889">
            <v>1032.2800000000007</v>
          </cell>
          <cell r="AN889" t="str">
            <v xml:space="preserve">Contrato emergencial nº </v>
          </cell>
          <cell r="AO889" t="str">
            <v>CL</v>
          </cell>
        </row>
        <row r="890">
          <cell r="D890" t="str">
            <v>1919/11</v>
          </cell>
          <cell r="E890" t="str">
            <v>05/09/2011</v>
          </cell>
          <cell r="F890">
            <v>40970</v>
          </cell>
          <cell r="G890">
            <v>40877</v>
          </cell>
          <cell r="H890" t="str">
            <v>2011-0.221.560-7</v>
          </cell>
          <cell r="I890">
            <v>25633.26</v>
          </cell>
          <cell r="J890" t="str">
            <v xml:space="preserve">              123611122                  2848                    33903600</v>
          </cell>
          <cell r="K890" t="str">
            <v>05/09/2011</v>
          </cell>
          <cell r="L890">
            <v>87</v>
          </cell>
          <cell r="M890">
            <v>12400</v>
          </cell>
          <cell r="N890">
            <v>57278</v>
          </cell>
          <cell r="O890">
            <v>28538</v>
          </cell>
          <cell r="P890">
            <v>16</v>
          </cell>
          <cell r="Q890">
            <v>3</v>
          </cell>
          <cell r="T890">
            <v>4960</v>
          </cell>
          <cell r="U890">
            <v>0</v>
          </cell>
          <cell r="V890">
            <v>4300</v>
          </cell>
          <cell r="W890">
            <v>180</v>
          </cell>
          <cell r="X890">
            <v>3440</v>
          </cell>
          <cell r="Y890">
            <v>102252</v>
          </cell>
          <cell r="Z890">
            <v>4963.22</v>
          </cell>
          <cell r="AA890">
            <v>2776.7799999999997</v>
          </cell>
          <cell r="AB890">
            <v>142.40699999999998</v>
          </cell>
          <cell r="AC890">
            <v>4300</v>
          </cell>
          <cell r="AD890">
            <v>3753.8536666666669</v>
          </cell>
          <cell r="AE890">
            <v>546.14633333333313</v>
          </cell>
          <cell r="AN890" t="str">
            <v xml:space="preserve">Contrato emergencial nº </v>
          </cell>
          <cell r="AO890" t="str">
            <v>PJ</v>
          </cell>
        </row>
        <row r="891">
          <cell r="D891" t="str">
            <v>1920/11</v>
          </cell>
          <cell r="E891" t="str">
            <v>05/09/2011</v>
          </cell>
          <cell r="F891">
            <v>40970</v>
          </cell>
          <cell r="G891">
            <v>40877</v>
          </cell>
          <cell r="H891" t="str">
            <v>2011-0.221.566-6</v>
          </cell>
          <cell r="I891">
            <v>40223.339999999997</v>
          </cell>
          <cell r="J891" t="str">
            <v xml:space="preserve">              123611122                  2848                    33903600</v>
          </cell>
          <cell r="K891" t="str">
            <v>05/09/2011</v>
          </cell>
          <cell r="L891">
            <v>87</v>
          </cell>
          <cell r="M891">
            <v>19500</v>
          </cell>
          <cell r="N891">
            <v>57278</v>
          </cell>
          <cell r="O891">
            <v>28541</v>
          </cell>
          <cell r="P891">
            <v>16</v>
          </cell>
          <cell r="Q891">
            <v>3</v>
          </cell>
          <cell r="T891">
            <v>7800</v>
          </cell>
          <cell r="U891">
            <v>0</v>
          </cell>
          <cell r="V891">
            <v>6800</v>
          </cell>
          <cell r="W891">
            <v>180</v>
          </cell>
          <cell r="X891">
            <v>5440</v>
          </cell>
          <cell r="Y891">
            <v>102361</v>
          </cell>
          <cell r="Z891">
            <v>9183.66</v>
          </cell>
          <cell r="AA891">
            <v>3056.34</v>
          </cell>
          <cell r="AB891">
            <v>223.46299999999999</v>
          </cell>
          <cell r="AC891">
            <v>6800</v>
          </cell>
          <cell r="AD891">
            <v>5581.1350000000002</v>
          </cell>
          <cell r="AE891">
            <v>1218.8649999999998</v>
          </cell>
          <cell r="AN891" t="str">
            <v xml:space="preserve">Contrato emergencial nº </v>
          </cell>
          <cell r="AO891" t="str">
            <v>SA</v>
          </cell>
        </row>
        <row r="892">
          <cell r="D892" t="str">
            <v>1921/11</v>
          </cell>
          <cell r="E892" t="str">
            <v>05/09/2011</v>
          </cell>
          <cell r="F892">
            <v>40970</v>
          </cell>
          <cell r="G892">
            <v>40877</v>
          </cell>
          <cell r="H892" t="str">
            <v>2011-0.221.572-0</v>
          </cell>
          <cell r="I892">
            <v>26544.6</v>
          </cell>
          <cell r="J892" t="str">
            <v xml:space="preserve">              123611122                  2848                    33903600</v>
          </cell>
          <cell r="K892" t="str">
            <v>05/09/2011</v>
          </cell>
          <cell r="L892">
            <v>87</v>
          </cell>
          <cell r="M892">
            <v>12900</v>
          </cell>
          <cell r="N892">
            <v>57278</v>
          </cell>
          <cell r="O892">
            <v>28542</v>
          </cell>
          <cell r="P892">
            <v>16</v>
          </cell>
          <cell r="Q892">
            <v>3</v>
          </cell>
          <cell r="T892">
            <v>5160</v>
          </cell>
          <cell r="U892">
            <v>0</v>
          </cell>
          <cell r="V892">
            <v>4800</v>
          </cell>
          <cell r="W892">
            <v>180</v>
          </cell>
          <cell r="X892">
            <v>3840</v>
          </cell>
          <cell r="Y892">
            <v>102555</v>
          </cell>
          <cell r="Z892">
            <v>4235.5</v>
          </cell>
          <cell r="AA892">
            <v>4404.5</v>
          </cell>
          <cell r="AB892">
            <v>147.47</v>
          </cell>
          <cell r="AC892">
            <v>4500</v>
          </cell>
          <cell r="AD892">
            <v>4736.2199999999993</v>
          </cell>
          <cell r="AE892">
            <v>-236.21999999999935</v>
          </cell>
          <cell r="AN892" t="str">
            <v xml:space="preserve">Contrato emergencial nº </v>
          </cell>
          <cell r="AO892" t="str">
            <v>CL</v>
          </cell>
        </row>
        <row r="893">
          <cell r="D893" t="str">
            <v>1922/11</v>
          </cell>
          <cell r="E893" t="str">
            <v>05/09/2011</v>
          </cell>
          <cell r="F893">
            <v>40970</v>
          </cell>
          <cell r="G893">
            <v>40877</v>
          </cell>
          <cell r="H893" t="str">
            <v>2011-0.221.576-3</v>
          </cell>
          <cell r="I893">
            <v>44324.52</v>
          </cell>
          <cell r="J893" t="str">
            <v xml:space="preserve">              123611122                  2848                    33903600</v>
          </cell>
          <cell r="K893" t="str">
            <v>05/09/2011</v>
          </cell>
          <cell r="L893">
            <v>87</v>
          </cell>
          <cell r="M893">
            <v>21500</v>
          </cell>
          <cell r="N893">
            <v>57278</v>
          </cell>
          <cell r="O893">
            <v>28546</v>
          </cell>
          <cell r="P893">
            <v>16</v>
          </cell>
          <cell r="Q893">
            <v>3</v>
          </cell>
          <cell r="T893">
            <v>8600</v>
          </cell>
          <cell r="U893">
            <v>0</v>
          </cell>
          <cell r="V893">
            <v>7400</v>
          </cell>
          <cell r="W893">
            <v>180</v>
          </cell>
          <cell r="X893">
            <v>5920</v>
          </cell>
          <cell r="Y893">
            <v>102475</v>
          </cell>
          <cell r="Z893">
            <v>9374.98</v>
          </cell>
          <cell r="AA893">
            <v>3945.0200000000004</v>
          </cell>
          <cell r="AB893">
            <v>246.2473333333333</v>
          </cell>
          <cell r="AC893">
            <v>7400</v>
          </cell>
          <cell r="AD893">
            <v>6545.920000000001</v>
          </cell>
          <cell r="AE893">
            <v>854.07999999999902</v>
          </cell>
          <cell r="AN893" t="str">
            <v xml:space="preserve">Contrato emergencial nº </v>
          </cell>
          <cell r="AO893" t="str">
            <v>IP</v>
          </cell>
        </row>
        <row r="894">
          <cell r="D894" t="str">
            <v>1923/11</v>
          </cell>
          <cell r="E894" t="str">
            <v>05/09/2011</v>
          </cell>
          <cell r="F894">
            <v>40970</v>
          </cell>
          <cell r="G894">
            <v>40877</v>
          </cell>
          <cell r="H894" t="str">
            <v>2011-0.221.578-0</v>
          </cell>
          <cell r="I894">
            <v>44324.52</v>
          </cell>
          <cell r="J894" t="str">
            <v xml:space="preserve">              123651121                 2847                    33903600</v>
          </cell>
          <cell r="K894" t="str">
            <v>05/09/2011</v>
          </cell>
          <cell r="L894">
            <v>87</v>
          </cell>
          <cell r="M894">
            <v>21500</v>
          </cell>
          <cell r="N894">
            <v>57273</v>
          </cell>
          <cell r="O894">
            <v>28553</v>
          </cell>
          <cell r="P894">
            <v>16</v>
          </cell>
          <cell r="Q894">
            <v>2</v>
          </cell>
          <cell r="T894">
            <v>8600</v>
          </cell>
          <cell r="U894">
            <v>0</v>
          </cell>
          <cell r="V894">
            <v>7400</v>
          </cell>
          <cell r="W894">
            <v>180</v>
          </cell>
          <cell r="X894">
            <v>5920</v>
          </cell>
          <cell r="Y894">
            <v>102024</v>
          </cell>
          <cell r="Z894">
            <v>15685.55</v>
          </cell>
          <cell r="AA894">
            <v>-2365.5499999999993</v>
          </cell>
          <cell r="AB894">
            <v>246.2473333333333</v>
          </cell>
          <cell r="AC894">
            <v>7400</v>
          </cell>
          <cell r="AD894">
            <v>6893.8549999999996</v>
          </cell>
          <cell r="AE894">
            <v>506.14500000000044</v>
          </cell>
          <cell r="AN894" t="str">
            <v xml:space="preserve">Contrato emergencial nº </v>
          </cell>
          <cell r="AO894" t="str">
            <v>CL</v>
          </cell>
        </row>
        <row r="895">
          <cell r="D895" t="str">
            <v>1924/11</v>
          </cell>
          <cell r="E895" t="str">
            <v>05/09/2011</v>
          </cell>
          <cell r="F895">
            <v>40970</v>
          </cell>
          <cell r="G895">
            <v>40877</v>
          </cell>
          <cell r="H895" t="str">
            <v>2011-0.221.582-8</v>
          </cell>
          <cell r="I895">
            <v>30606.240000000002</v>
          </cell>
          <cell r="J895" t="str">
            <v xml:space="preserve">              123651121                 2847                    33903600</v>
          </cell>
          <cell r="K895" t="str">
            <v>05/09/2011</v>
          </cell>
          <cell r="L895">
            <v>87</v>
          </cell>
          <cell r="M895">
            <v>14800</v>
          </cell>
          <cell r="N895">
            <v>57273</v>
          </cell>
          <cell r="O895">
            <v>28556</v>
          </cell>
          <cell r="P895">
            <v>16</v>
          </cell>
          <cell r="Q895">
            <v>2</v>
          </cell>
          <cell r="T895">
            <v>5920</v>
          </cell>
          <cell r="U895">
            <v>0</v>
          </cell>
          <cell r="V895">
            <v>5200</v>
          </cell>
          <cell r="W895">
            <v>180</v>
          </cell>
          <cell r="X895">
            <v>4160</v>
          </cell>
          <cell r="Y895">
            <v>101953</v>
          </cell>
          <cell r="Z895">
            <v>5531.99</v>
          </cell>
          <cell r="AA895">
            <v>3828.01</v>
          </cell>
          <cell r="AB895">
            <v>170.03466666666668</v>
          </cell>
          <cell r="AC895">
            <v>5200</v>
          </cell>
          <cell r="AD895">
            <v>5051.82</v>
          </cell>
          <cell r="AE895">
            <v>148.18000000000029</v>
          </cell>
          <cell r="AN895" t="str">
            <v xml:space="preserve">Contrato emergencial nº </v>
          </cell>
          <cell r="AO895" t="str">
            <v>PJ</v>
          </cell>
        </row>
        <row r="896">
          <cell r="D896" t="str">
            <v>1925/11</v>
          </cell>
          <cell r="E896" t="str">
            <v>05/09/2011</v>
          </cell>
          <cell r="F896">
            <v>40970</v>
          </cell>
          <cell r="G896">
            <v>40877</v>
          </cell>
          <cell r="H896" t="str">
            <v>2011-0.221.585-2</v>
          </cell>
          <cell r="I896">
            <v>44324.52</v>
          </cell>
          <cell r="J896" t="str">
            <v xml:space="preserve">              123651121                 2847                    33903600</v>
          </cell>
          <cell r="K896" t="str">
            <v>05/09/2011</v>
          </cell>
          <cell r="L896">
            <v>87</v>
          </cell>
          <cell r="M896">
            <v>21500</v>
          </cell>
          <cell r="N896">
            <v>57273</v>
          </cell>
          <cell r="O896">
            <v>28559</v>
          </cell>
          <cell r="P896">
            <v>16</v>
          </cell>
          <cell r="Q896">
            <v>2</v>
          </cell>
          <cell r="T896">
            <v>8600</v>
          </cell>
          <cell r="U896">
            <v>0</v>
          </cell>
          <cell r="V896">
            <v>7400</v>
          </cell>
          <cell r="W896">
            <v>180</v>
          </cell>
          <cell r="X896">
            <v>5920</v>
          </cell>
          <cell r="Y896">
            <v>102034</v>
          </cell>
          <cell r="Z896">
            <v>16632.52</v>
          </cell>
          <cell r="AA896">
            <v>-3312.5200000000004</v>
          </cell>
          <cell r="AB896">
            <v>246.2473333333333</v>
          </cell>
          <cell r="AC896">
            <v>7400</v>
          </cell>
          <cell r="AD896">
            <v>5520.6713333333328</v>
          </cell>
          <cell r="AE896">
            <v>1879.3286666666672</v>
          </cell>
          <cell r="AN896" t="str">
            <v xml:space="preserve">Contrato emergencial nº </v>
          </cell>
          <cell r="AO896" t="str">
            <v>CL</v>
          </cell>
        </row>
        <row r="897">
          <cell r="D897" t="str">
            <v>1926/11</v>
          </cell>
          <cell r="E897" t="str">
            <v>05/09/2011</v>
          </cell>
          <cell r="F897">
            <v>40970</v>
          </cell>
          <cell r="G897">
            <v>40877</v>
          </cell>
          <cell r="H897" t="str">
            <v>2011-0.221.587-9</v>
          </cell>
          <cell r="I897">
            <v>34992.660000000003</v>
          </cell>
          <cell r="J897" t="str">
            <v xml:space="preserve">              123651121                 2847                    33903600</v>
          </cell>
          <cell r="K897" t="str">
            <v>05/09/2011</v>
          </cell>
          <cell r="L897">
            <v>87</v>
          </cell>
          <cell r="M897">
            <v>17000</v>
          </cell>
          <cell r="N897">
            <v>57273</v>
          </cell>
          <cell r="O897">
            <v>28561</v>
          </cell>
          <cell r="P897">
            <v>16</v>
          </cell>
          <cell r="Q897">
            <v>2</v>
          </cell>
          <cell r="T897">
            <v>6800</v>
          </cell>
          <cell r="U897">
            <v>0</v>
          </cell>
          <cell r="V897">
            <v>7000</v>
          </cell>
          <cell r="W897">
            <v>180</v>
          </cell>
          <cell r="X897">
            <v>5600</v>
          </cell>
          <cell r="Y897">
            <v>101989</v>
          </cell>
          <cell r="Z897">
            <v>4104.7</v>
          </cell>
          <cell r="AA897">
            <v>8495.2999999999993</v>
          </cell>
          <cell r="AB897">
            <v>194.40366666666668</v>
          </cell>
          <cell r="AC897">
            <v>5900</v>
          </cell>
          <cell r="AD897">
            <v>6913.3249999999998</v>
          </cell>
          <cell r="AE897">
            <v>-1013.3249999999998</v>
          </cell>
          <cell r="AN897" t="str">
            <v xml:space="preserve">Contrato emergencial nº </v>
          </cell>
          <cell r="AO897" t="str">
            <v>PJ</v>
          </cell>
        </row>
        <row r="898">
          <cell r="D898" t="str">
            <v>1927/11</v>
          </cell>
          <cell r="E898" t="str">
            <v>05/09/2011</v>
          </cell>
          <cell r="F898">
            <v>40970</v>
          </cell>
          <cell r="G898">
            <v>40877</v>
          </cell>
          <cell r="H898" t="str">
            <v>2011-0.221.590-9</v>
          </cell>
          <cell r="I898">
            <v>37607.879999999997</v>
          </cell>
          <cell r="J898" t="str">
            <v xml:space="preserve">              123651121                 2847                    33903600</v>
          </cell>
          <cell r="K898" t="str">
            <v>05/09/2011</v>
          </cell>
          <cell r="L898">
            <v>87</v>
          </cell>
          <cell r="M898">
            <v>18200</v>
          </cell>
          <cell r="N898">
            <v>57273</v>
          </cell>
          <cell r="O898">
            <v>28562</v>
          </cell>
          <cell r="P898">
            <v>16</v>
          </cell>
          <cell r="Q898">
            <v>2</v>
          </cell>
          <cell r="T898">
            <v>7280</v>
          </cell>
          <cell r="U898">
            <v>0</v>
          </cell>
          <cell r="V898">
            <v>6300</v>
          </cell>
          <cell r="W898">
            <v>180</v>
          </cell>
          <cell r="X898">
            <v>5040</v>
          </cell>
          <cell r="Y898">
            <v>102195</v>
          </cell>
          <cell r="Z898">
            <v>13945.64</v>
          </cell>
          <cell r="AA898">
            <v>-2605.6399999999994</v>
          </cell>
          <cell r="AB898">
            <v>208.93266666666665</v>
          </cell>
          <cell r="AC898">
            <v>6300</v>
          </cell>
          <cell r="AD898">
            <v>4888.2000000000007</v>
          </cell>
          <cell r="AE898">
            <v>1411.7999999999993</v>
          </cell>
          <cell r="AN898" t="str">
            <v xml:space="preserve">Contrato emergencial nº </v>
          </cell>
          <cell r="AO898" t="str">
            <v>CL</v>
          </cell>
        </row>
        <row r="899">
          <cell r="D899" t="str">
            <v>1928/11</v>
          </cell>
          <cell r="E899" t="str">
            <v>05/09/2011</v>
          </cell>
          <cell r="F899">
            <v>40970</v>
          </cell>
          <cell r="G899">
            <v>40877</v>
          </cell>
          <cell r="H899" t="str">
            <v>2011-0.221.378-7</v>
          </cell>
          <cell r="I899">
            <v>29744.400000000001</v>
          </cell>
          <cell r="J899" t="str">
            <v xml:space="preserve">              123651121                 2847                    33903600</v>
          </cell>
          <cell r="K899" t="str">
            <v>05/09/2011</v>
          </cell>
          <cell r="L899">
            <v>87</v>
          </cell>
          <cell r="M899">
            <v>14400</v>
          </cell>
          <cell r="N899">
            <v>57273</v>
          </cell>
          <cell r="O899">
            <v>28564</v>
          </cell>
          <cell r="P899">
            <v>16</v>
          </cell>
          <cell r="Q899">
            <v>2</v>
          </cell>
          <cell r="T899">
            <v>5760</v>
          </cell>
          <cell r="U899">
            <v>0</v>
          </cell>
          <cell r="V899">
            <v>5000</v>
          </cell>
          <cell r="W899">
            <v>180</v>
          </cell>
          <cell r="X899">
            <v>4000</v>
          </cell>
          <cell r="Y899">
            <v>102237</v>
          </cell>
          <cell r="Z899">
            <v>4970.12</v>
          </cell>
          <cell r="AA899">
            <v>4029.88</v>
          </cell>
          <cell r="AB899">
            <v>165.24666666666667</v>
          </cell>
          <cell r="AC899">
            <v>5000</v>
          </cell>
          <cell r="AD899">
            <v>4971.71</v>
          </cell>
          <cell r="AE899">
            <v>28.289999999999964</v>
          </cell>
          <cell r="AN899" t="str">
            <v xml:space="preserve">Contrato emergencial nº </v>
          </cell>
          <cell r="AO899" t="str">
            <v>SA</v>
          </cell>
        </row>
        <row r="900">
          <cell r="D900" t="str">
            <v>1930/11</v>
          </cell>
          <cell r="E900" t="str">
            <v>05/09/2011</v>
          </cell>
          <cell r="F900">
            <v>40970</v>
          </cell>
          <cell r="G900">
            <v>40877</v>
          </cell>
          <cell r="H900" t="str">
            <v>2011-0.221.553-4</v>
          </cell>
          <cell r="I900">
            <v>44324.52</v>
          </cell>
          <cell r="J900" t="str">
            <v xml:space="preserve">              123611122                  2848                    33903600</v>
          </cell>
          <cell r="K900" t="str">
            <v>05/09/2011</v>
          </cell>
          <cell r="L900">
            <v>87</v>
          </cell>
          <cell r="M900">
            <v>21500</v>
          </cell>
          <cell r="N900">
            <v>57278</v>
          </cell>
          <cell r="O900">
            <v>28569</v>
          </cell>
          <cell r="P900">
            <v>16</v>
          </cell>
          <cell r="Q900">
            <v>3</v>
          </cell>
          <cell r="T900">
            <v>8600</v>
          </cell>
          <cell r="U900">
            <v>0</v>
          </cell>
          <cell r="V900">
            <v>7400</v>
          </cell>
          <cell r="W900">
            <v>180</v>
          </cell>
          <cell r="X900">
            <v>5920</v>
          </cell>
          <cell r="Y900">
            <v>103069</v>
          </cell>
          <cell r="Z900">
            <v>7751.35</v>
          </cell>
          <cell r="AA900">
            <v>5568.65</v>
          </cell>
          <cell r="AB900">
            <v>246.2473333333333</v>
          </cell>
          <cell r="AC900">
            <v>7400</v>
          </cell>
          <cell r="AD900">
            <v>6557.01</v>
          </cell>
          <cell r="AE900">
            <v>842.98999999999978</v>
          </cell>
          <cell r="AN900" t="str">
            <v xml:space="preserve">Contrato emergencial nº </v>
          </cell>
          <cell r="AO900" t="str">
            <v>JT</v>
          </cell>
        </row>
        <row r="901">
          <cell r="D901" t="str">
            <v>1931/11</v>
          </cell>
          <cell r="E901" t="str">
            <v>05/09/2011</v>
          </cell>
          <cell r="F901">
            <v>40970</v>
          </cell>
          <cell r="G901">
            <v>40877</v>
          </cell>
          <cell r="H901" t="str">
            <v>2011-0.223.328-1</v>
          </cell>
          <cell r="I901">
            <v>37607.879999999997</v>
          </cell>
          <cell r="J901" t="str">
            <v xml:space="preserve">              123651121                 2847                    33903600</v>
          </cell>
          <cell r="K901" t="str">
            <v>05/09/2011</v>
          </cell>
          <cell r="L901">
            <v>87</v>
          </cell>
          <cell r="M901">
            <v>18200</v>
          </cell>
          <cell r="N901">
            <v>57273</v>
          </cell>
          <cell r="O901">
            <v>28571</v>
          </cell>
          <cell r="P901">
            <v>16</v>
          </cell>
          <cell r="Q901">
            <v>2</v>
          </cell>
          <cell r="T901">
            <v>7280</v>
          </cell>
          <cell r="U901">
            <v>0</v>
          </cell>
          <cell r="V901">
            <v>6900</v>
          </cell>
          <cell r="W901">
            <v>180</v>
          </cell>
          <cell r="X901">
            <v>5520</v>
          </cell>
          <cell r="Y901">
            <v>102067</v>
          </cell>
          <cell r="Z901">
            <v>5648.44</v>
          </cell>
          <cell r="AA901">
            <v>6771.56</v>
          </cell>
          <cell r="AB901">
            <v>208.93266666666665</v>
          </cell>
          <cell r="AC901">
            <v>6300</v>
          </cell>
          <cell r="AD901">
            <v>6833.4650000000011</v>
          </cell>
          <cell r="AE901">
            <v>-533.46500000000106</v>
          </cell>
          <cell r="AN901" t="str">
            <v xml:space="preserve">Contrato emergencial nº </v>
          </cell>
          <cell r="AO901" t="str">
            <v>PJ</v>
          </cell>
        </row>
        <row r="902">
          <cell r="D902" t="str">
            <v>1932/11</v>
          </cell>
          <cell r="E902" t="str">
            <v>05/09/2011</v>
          </cell>
          <cell r="F902">
            <v>40970</v>
          </cell>
          <cell r="G902">
            <v>40877</v>
          </cell>
          <cell r="H902" t="str">
            <v>2011-0.223.332-0</v>
          </cell>
          <cell r="I902">
            <v>31012.38</v>
          </cell>
          <cell r="J902" t="str">
            <v xml:space="preserve">              123651121                 2847                    33903600</v>
          </cell>
          <cell r="K902" t="str">
            <v>05/09/2011</v>
          </cell>
          <cell r="L902">
            <v>87</v>
          </cell>
          <cell r="M902">
            <v>15000</v>
          </cell>
          <cell r="N902">
            <v>57273</v>
          </cell>
          <cell r="O902">
            <v>28573</v>
          </cell>
          <cell r="P902">
            <v>16</v>
          </cell>
          <cell r="Q902">
            <v>2</v>
          </cell>
          <cell r="T902">
            <v>6000</v>
          </cell>
          <cell r="U902">
            <v>0</v>
          </cell>
          <cell r="V902">
            <v>5200</v>
          </cell>
          <cell r="W902">
            <v>180</v>
          </cell>
          <cell r="X902">
            <v>4160</v>
          </cell>
          <cell r="Y902">
            <v>103091</v>
          </cell>
          <cell r="Z902">
            <v>5761.62</v>
          </cell>
          <cell r="AA902">
            <v>3598.38</v>
          </cell>
          <cell r="AB902">
            <v>172.291</v>
          </cell>
          <cell r="AC902">
            <v>5200</v>
          </cell>
          <cell r="AD902">
            <v>4681.0626666666658</v>
          </cell>
          <cell r="AE902">
            <v>518.93733333333421</v>
          </cell>
          <cell r="AN902" t="str">
            <v xml:space="preserve">Contrato emergencial nº </v>
          </cell>
          <cell r="AO902" t="str">
            <v>G</v>
          </cell>
        </row>
        <row r="903">
          <cell r="D903" t="str">
            <v>1934/11</v>
          </cell>
          <cell r="E903" t="str">
            <v>05/09/2011</v>
          </cell>
          <cell r="F903">
            <v>40970</v>
          </cell>
          <cell r="G903">
            <v>40877</v>
          </cell>
          <cell r="H903" t="str">
            <v>2011-0.223.344-3</v>
          </cell>
          <cell r="I903">
            <v>31418.52</v>
          </cell>
          <cell r="J903" t="str">
            <v xml:space="preserve">              123611122                  2848                    33903600</v>
          </cell>
          <cell r="K903" t="str">
            <v>05/09/2011</v>
          </cell>
          <cell r="L903">
            <v>87</v>
          </cell>
          <cell r="M903">
            <v>15200</v>
          </cell>
          <cell r="N903">
            <v>57278</v>
          </cell>
          <cell r="O903">
            <v>28579</v>
          </cell>
          <cell r="P903">
            <v>16</v>
          </cell>
          <cell r="Q903">
            <v>3</v>
          </cell>
          <cell r="T903">
            <v>6080</v>
          </cell>
          <cell r="U903">
            <v>0</v>
          </cell>
          <cell r="V903">
            <v>6000</v>
          </cell>
          <cell r="W903">
            <v>180</v>
          </cell>
          <cell r="X903">
            <v>4800</v>
          </cell>
          <cell r="Y903">
            <v>102318</v>
          </cell>
          <cell r="Z903">
            <v>10048.16</v>
          </cell>
          <cell r="AA903">
            <v>751.84000000000015</v>
          </cell>
          <cell r="AB903">
            <v>174.54733333333334</v>
          </cell>
          <cell r="AC903">
            <v>5300</v>
          </cell>
          <cell r="AD903">
            <v>5992.09</v>
          </cell>
          <cell r="AE903">
            <v>-692.09000000000015</v>
          </cell>
          <cell r="AN903" t="str">
            <v xml:space="preserve">Contrato emergencial nº </v>
          </cell>
          <cell r="AO903" t="str">
            <v>CL</v>
          </cell>
        </row>
        <row r="904">
          <cell r="D904" t="str">
            <v>1935/11</v>
          </cell>
          <cell r="E904" t="str">
            <v>05/09/2011</v>
          </cell>
          <cell r="F904">
            <v>40970</v>
          </cell>
          <cell r="G904">
            <v>40877</v>
          </cell>
          <cell r="H904" t="str">
            <v>2011-0.223.351-6</v>
          </cell>
          <cell r="I904">
            <v>44324.52</v>
          </cell>
          <cell r="J904" t="str">
            <v xml:space="preserve">              123611122                  2848                    33903600</v>
          </cell>
          <cell r="K904" t="str">
            <v>05/09/2011</v>
          </cell>
          <cell r="L904">
            <v>87</v>
          </cell>
          <cell r="M904">
            <v>21500</v>
          </cell>
          <cell r="N904">
            <v>57278</v>
          </cell>
          <cell r="O904">
            <v>28581</v>
          </cell>
          <cell r="P904">
            <v>16</v>
          </cell>
          <cell r="Q904">
            <v>3</v>
          </cell>
          <cell r="T904">
            <v>8600</v>
          </cell>
          <cell r="U904">
            <v>0</v>
          </cell>
          <cell r="V904">
            <v>7400</v>
          </cell>
          <cell r="W904">
            <v>180</v>
          </cell>
          <cell r="X904">
            <v>5920</v>
          </cell>
          <cell r="Y904">
            <v>102300</v>
          </cell>
          <cell r="Z904">
            <v>8480.2200000000012</v>
          </cell>
          <cell r="AA904">
            <v>4839.7799999999988</v>
          </cell>
          <cell r="AB904">
            <v>246.2473333333333</v>
          </cell>
          <cell r="AC904">
            <v>7400</v>
          </cell>
          <cell r="AD904">
            <v>7056.15</v>
          </cell>
          <cell r="AE904">
            <v>343.85000000000036</v>
          </cell>
          <cell r="AN904" t="str">
            <v xml:space="preserve">Contrato emergencial nº </v>
          </cell>
          <cell r="AO904" t="str">
            <v>CS</v>
          </cell>
        </row>
        <row r="905">
          <cell r="D905" t="str">
            <v>1936/11</v>
          </cell>
          <cell r="E905" t="str">
            <v>05/09/2011</v>
          </cell>
          <cell r="F905">
            <v>40970</v>
          </cell>
          <cell r="G905">
            <v>40877</v>
          </cell>
          <cell r="H905" t="str">
            <v>2011-0.223.394-0</v>
          </cell>
          <cell r="I905">
            <v>32835.120000000003</v>
          </cell>
          <cell r="J905" t="str">
            <v xml:space="preserve">              123611122                  2848                    33903600</v>
          </cell>
          <cell r="K905" t="str">
            <v>05/09/2011</v>
          </cell>
          <cell r="L905">
            <v>87</v>
          </cell>
          <cell r="M905">
            <v>15900</v>
          </cell>
          <cell r="N905">
            <v>57278</v>
          </cell>
          <cell r="O905">
            <v>28584</v>
          </cell>
          <cell r="P905">
            <v>16</v>
          </cell>
          <cell r="Q905">
            <v>3</v>
          </cell>
          <cell r="T905">
            <v>6360</v>
          </cell>
          <cell r="U905">
            <v>0</v>
          </cell>
          <cell r="V905">
            <v>5500</v>
          </cell>
          <cell r="W905">
            <v>180</v>
          </cell>
          <cell r="X905">
            <v>4400</v>
          </cell>
          <cell r="Y905">
            <v>102216</v>
          </cell>
          <cell r="Z905">
            <v>7992.56</v>
          </cell>
          <cell r="AA905">
            <v>1907.4399999999996</v>
          </cell>
          <cell r="AB905">
            <v>182.41733333333335</v>
          </cell>
          <cell r="AC905">
            <v>5500</v>
          </cell>
          <cell r="AD905">
            <v>4265.2100000000009</v>
          </cell>
          <cell r="AE905">
            <v>1234.7899999999991</v>
          </cell>
          <cell r="AN905" t="str">
            <v xml:space="preserve">Contrato emergencial nº </v>
          </cell>
          <cell r="AO905" t="str">
            <v>PJ</v>
          </cell>
        </row>
        <row r="906">
          <cell r="D906" t="str">
            <v>1937/11</v>
          </cell>
          <cell r="E906" t="str">
            <v>05/09/2011</v>
          </cell>
          <cell r="F906">
            <v>40970</v>
          </cell>
          <cell r="G906">
            <v>40877</v>
          </cell>
          <cell r="H906" t="str">
            <v>2011-0.223.408-3</v>
          </cell>
          <cell r="I906">
            <v>27971.16</v>
          </cell>
          <cell r="J906" t="str">
            <v xml:space="preserve">              123611122                  2848                    33903600</v>
          </cell>
          <cell r="K906" t="str">
            <v>05/09/2011</v>
          </cell>
          <cell r="L906">
            <v>87</v>
          </cell>
          <cell r="M906">
            <v>13600</v>
          </cell>
          <cell r="N906">
            <v>57278</v>
          </cell>
          <cell r="O906">
            <v>28588</v>
          </cell>
          <cell r="P906">
            <v>16</v>
          </cell>
          <cell r="Q906">
            <v>3</v>
          </cell>
          <cell r="T906">
            <v>5440</v>
          </cell>
          <cell r="U906">
            <v>0</v>
          </cell>
          <cell r="V906">
            <v>5100</v>
          </cell>
          <cell r="W906">
            <v>180</v>
          </cell>
          <cell r="X906">
            <v>4080</v>
          </cell>
          <cell r="Y906">
            <v>102230</v>
          </cell>
          <cell r="Z906">
            <v>4227.87</v>
          </cell>
          <cell r="AA906">
            <v>4952.13</v>
          </cell>
          <cell r="AB906">
            <v>155.39533333333333</v>
          </cell>
          <cell r="AC906">
            <v>4700</v>
          </cell>
          <cell r="AD906">
            <v>5053.47</v>
          </cell>
          <cell r="AE906">
            <v>-353.47000000000025</v>
          </cell>
          <cell r="AN906" t="str">
            <v xml:space="preserve">Contrato emergencial nº </v>
          </cell>
          <cell r="AO906" t="str">
            <v>PJ</v>
          </cell>
        </row>
        <row r="907">
          <cell r="D907" t="str">
            <v>1938/11</v>
          </cell>
          <cell r="E907" t="str">
            <v>05/09/2011</v>
          </cell>
          <cell r="F907">
            <v>40970</v>
          </cell>
          <cell r="G907">
            <v>40877</v>
          </cell>
          <cell r="H907" t="str">
            <v>2011-0.223.413-0</v>
          </cell>
          <cell r="I907">
            <v>24820.92</v>
          </cell>
          <cell r="J907" t="str">
            <v xml:space="preserve">              123611122                  2848                    33903600</v>
          </cell>
          <cell r="K907" t="str">
            <v>05/09/2011</v>
          </cell>
          <cell r="L907">
            <v>87</v>
          </cell>
          <cell r="M907">
            <v>12000</v>
          </cell>
          <cell r="N907">
            <v>57278</v>
          </cell>
          <cell r="O907">
            <v>28589</v>
          </cell>
          <cell r="P907">
            <v>16</v>
          </cell>
          <cell r="Q907">
            <v>3</v>
          </cell>
          <cell r="T907">
            <v>4800</v>
          </cell>
          <cell r="U907">
            <v>0</v>
          </cell>
          <cell r="V907">
            <v>5400</v>
          </cell>
          <cell r="W907">
            <v>180</v>
          </cell>
          <cell r="X907">
            <v>4320</v>
          </cell>
          <cell r="Y907">
            <v>102261</v>
          </cell>
          <cell r="Z907">
            <v>3092.39</v>
          </cell>
          <cell r="AA907">
            <v>6627.6100000000006</v>
          </cell>
          <cell r="AB907">
            <v>137.89399999999998</v>
          </cell>
          <cell r="AC907">
            <v>4200</v>
          </cell>
          <cell r="AD907">
            <v>5379.2899999999991</v>
          </cell>
          <cell r="AE907">
            <v>-1179.2899999999991</v>
          </cell>
          <cell r="AN907" t="str">
            <v xml:space="preserve">Contrato emergencial nº </v>
          </cell>
          <cell r="AO907" t="str">
            <v>PJ</v>
          </cell>
        </row>
        <row r="908">
          <cell r="D908" t="str">
            <v>1939/11</v>
          </cell>
          <cell r="E908" t="str">
            <v>05/09/2011</v>
          </cell>
          <cell r="F908">
            <v>40970</v>
          </cell>
          <cell r="G908">
            <v>40877</v>
          </cell>
          <cell r="H908" t="str">
            <v>2011-0.223.421-0</v>
          </cell>
          <cell r="I908">
            <v>44324.52</v>
          </cell>
          <cell r="J908" t="str">
            <v xml:space="preserve">              123651121                 2847                    33903600</v>
          </cell>
          <cell r="K908" t="str">
            <v>05/09/2011</v>
          </cell>
          <cell r="L908">
            <v>87</v>
          </cell>
          <cell r="M908">
            <v>21500</v>
          </cell>
          <cell r="N908">
            <v>57273</v>
          </cell>
          <cell r="O908">
            <v>28592</v>
          </cell>
          <cell r="P908">
            <v>16</v>
          </cell>
          <cell r="Q908">
            <v>2</v>
          </cell>
          <cell r="T908">
            <v>8600</v>
          </cell>
          <cell r="U908">
            <v>0</v>
          </cell>
          <cell r="V908">
            <v>7400</v>
          </cell>
          <cell r="W908">
            <v>180</v>
          </cell>
          <cell r="X908">
            <v>5920</v>
          </cell>
          <cell r="Y908">
            <v>102491</v>
          </cell>
          <cell r="Z908">
            <v>10903.17</v>
          </cell>
          <cell r="AA908">
            <v>2416.83</v>
          </cell>
          <cell r="AB908">
            <v>246.2473333333333</v>
          </cell>
          <cell r="AC908">
            <v>7400</v>
          </cell>
          <cell r="AD908">
            <v>5687.3499999999995</v>
          </cell>
          <cell r="AE908">
            <v>1712.6500000000005</v>
          </cell>
          <cell r="AN908" t="str">
            <v xml:space="preserve">Contrato emergencial nº </v>
          </cell>
          <cell r="AO908" t="str">
            <v>IQ</v>
          </cell>
        </row>
        <row r="909">
          <cell r="D909" t="str">
            <v>1940/11</v>
          </cell>
          <cell r="E909" t="str">
            <v>05/09/2011</v>
          </cell>
          <cell r="F909">
            <v>40970</v>
          </cell>
          <cell r="G909">
            <v>40877</v>
          </cell>
          <cell r="H909" t="str">
            <v>2011-0.223.435-0</v>
          </cell>
          <cell r="I909">
            <v>44324.52</v>
          </cell>
          <cell r="J909" t="str">
            <v xml:space="preserve">              123651121                 2847                    33903600</v>
          </cell>
          <cell r="K909" t="str">
            <v>05/09/2011</v>
          </cell>
          <cell r="L909">
            <v>87</v>
          </cell>
          <cell r="M909">
            <v>21500</v>
          </cell>
          <cell r="N909">
            <v>57273</v>
          </cell>
          <cell r="O909">
            <v>28595</v>
          </cell>
          <cell r="P909">
            <v>16</v>
          </cell>
          <cell r="Q909">
            <v>2</v>
          </cell>
          <cell r="T909">
            <v>8600</v>
          </cell>
          <cell r="U909">
            <v>0</v>
          </cell>
          <cell r="V909">
            <v>7400</v>
          </cell>
          <cell r="W909">
            <v>180</v>
          </cell>
          <cell r="X909">
            <v>5920</v>
          </cell>
          <cell r="Y909">
            <v>102405</v>
          </cell>
          <cell r="Z909">
            <v>10612.12</v>
          </cell>
          <cell r="AA909">
            <v>2707.8799999999992</v>
          </cell>
          <cell r="AB909">
            <v>246.2473333333333</v>
          </cell>
          <cell r="AC909">
            <v>7400</v>
          </cell>
          <cell r="AD909">
            <v>5852.8799999999983</v>
          </cell>
          <cell r="AE909">
            <v>1547.1200000000017</v>
          </cell>
          <cell r="AN909" t="str">
            <v xml:space="preserve">Contrato emergencial nº </v>
          </cell>
          <cell r="AO909" t="str">
            <v>IQ</v>
          </cell>
        </row>
        <row r="910">
          <cell r="D910" t="str">
            <v>1941/11</v>
          </cell>
          <cell r="E910" t="str">
            <v>05/09/2011</v>
          </cell>
          <cell r="F910">
            <v>40970</v>
          </cell>
          <cell r="G910">
            <v>40877</v>
          </cell>
          <cell r="H910" t="str">
            <v>2011-0.223.438-5</v>
          </cell>
          <cell r="I910">
            <v>38261.760000000002</v>
          </cell>
          <cell r="J910" t="str">
            <v xml:space="preserve">              123611122                  2848                    33903600</v>
          </cell>
          <cell r="K910" t="str">
            <v>05/09/2011</v>
          </cell>
          <cell r="L910">
            <v>87</v>
          </cell>
          <cell r="M910">
            <v>18500</v>
          </cell>
          <cell r="N910">
            <v>57278</v>
          </cell>
          <cell r="O910">
            <v>28597</v>
          </cell>
          <cell r="P910">
            <v>16</v>
          </cell>
          <cell r="Q910">
            <v>3</v>
          </cell>
          <cell r="T910">
            <v>7400</v>
          </cell>
          <cell r="U910">
            <v>0</v>
          </cell>
          <cell r="V910">
            <v>6400</v>
          </cell>
          <cell r="W910">
            <v>180</v>
          </cell>
          <cell r="X910">
            <v>5120</v>
          </cell>
          <cell r="Y910">
            <v>102556</v>
          </cell>
          <cell r="Z910">
            <v>13422.06</v>
          </cell>
          <cell r="AA910">
            <v>-1902.0599999999995</v>
          </cell>
          <cell r="AB910">
            <v>212.56533333333334</v>
          </cell>
          <cell r="AC910">
            <v>6400</v>
          </cell>
          <cell r="AD910">
            <v>6107.03</v>
          </cell>
          <cell r="AE910">
            <v>292.97000000000025</v>
          </cell>
          <cell r="AN910" t="str">
            <v xml:space="preserve">Contrato emergencial nº </v>
          </cell>
          <cell r="AO910" t="str">
            <v>SM</v>
          </cell>
        </row>
        <row r="911">
          <cell r="D911" t="str">
            <v>1942/11</v>
          </cell>
          <cell r="E911" t="str">
            <v>05/09/2011</v>
          </cell>
          <cell r="F911">
            <v>40970</v>
          </cell>
          <cell r="G911">
            <v>40877</v>
          </cell>
          <cell r="H911" t="str">
            <v>2011-0.223.444-0</v>
          </cell>
          <cell r="I911">
            <v>30606.240000000002</v>
          </cell>
          <cell r="J911" t="str">
            <v xml:space="preserve">              123651121                 2847                    33903600</v>
          </cell>
          <cell r="K911" t="str">
            <v>05/09/2011</v>
          </cell>
          <cell r="L911">
            <v>87</v>
          </cell>
          <cell r="M911">
            <v>14800</v>
          </cell>
          <cell r="N911">
            <v>57273</v>
          </cell>
          <cell r="O911">
            <v>28599</v>
          </cell>
          <cell r="P911">
            <v>16</v>
          </cell>
          <cell r="Q911">
            <v>2</v>
          </cell>
          <cell r="T911">
            <v>5920</v>
          </cell>
          <cell r="U911">
            <v>0</v>
          </cell>
          <cell r="V911">
            <v>5600</v>
          </cell>
          <cell r="W911">
            <v>180</v>
          </cell>
          <cell r="X911">
            <v>4480</v>
          </cell>
          <cell r="Y911">
            <v>102264</v>
          </cell>
          <cell r="Z911">
            <v>10209.129999999999</v>
          </cell>
          <cell r="AA911">
            <v>-129.1299999999992</v>
          </cell>
          <cell r="AB911">
            <v>170.03466666666668</v>
          </cell>
          <cell r="AC911">
            <v>5200</v>
          </cell>
          <cell r="AD911">
            <v>5526.66</v>
          </cell>
          <cell r="AE911">
            <v>-326.65999999999985</v>
          </cell>
          <cell r="AN911" t="str">
            <v xml:space="preserve">Contrato emergencial nº </v>
          </cell>
          <cell r="AO911" t="str">
            <v>CL</v>
          </cell>
        </row>
        <row r="912">
          <cell r="D912" t="str">
            <v>1943/11</v>
          </cell>
          <cell r="E912" t="str">
            <v>05/09/2011</v>
          </cell>
          <cell r="F912">
            <v>40970</v>
          </cell>
          <cell r="G912">
            <v>40877</v>
          </cell>
          <cell r="H912" t="str">
            <v>2011-0.223.450-4</v>
          </cell>
          <cell r="I912">
            <v>44324.52</v>
          </cell>
          <cell r="J912" t="str">
            <v xml:space="preserve">              123651121                 2847                    33903600</v>
          </cell>
          <cell r="K912" t="str">
            <v>05/09/2011</v>
          </cell>
          <cell r="L912">
            <v>87</v>
          </cell>
          <cell r="M912">
            <v>21500</v>
          </cell>
          <cell r="N912">
            <v>57273</v>
          </cell>
          <cell r="O912">
            <v>28601</v>
          </cell>
          <cell r="P912">
            <v>16</v>
          </cell>
          <cell r="Q912">
            <v>2</v>
          </cell>
          <cell r="T912">
            <v>8600</v>
          </cell>
          <cell r="U912">
            <v>0</v>
          </cell>
          <cell r="V912">
            <v>7400</v>
          </cell>
          <cell r="W912">
            <v>180</v>
          </cell>
          <cell r="X912">
            <v>5920</v>
          </cell>
          <cell r="Y912">
            <v>102411</v>
          </cell>
          <cell r="Z912">
            <v>11175.24</v>
          </cell>
          <cell r="AA912">
            <v>2144.7600000000002</v>
          </cell>
          <cell r="AB912">
            <v>246.2473333333333</v>
          </cell>
          <cell r="AC912">
            <v>7400</v>
          </cell>
          <cell r="AD912">
            <v>5671.93</v>
          </cell>
          <cell r="AE912">
            <v>1728.0699999999997</v>
          </cell>
          <cell r="AN912" t="str">
            <v xml:space="preserve">Contrato emergencial nº </v>
          </cell>
          <cell r="AO912" t="str">
            <v>IQ</v>
          </cell>
        </row>
        <row r="913">
          <cell r="D913" t="str">
            <v>1944/11</v>
          </cell>
          <cell r="E913" t="str">
            <v>05/09/2011</v>
          </cell>
          <cell r="F913">
            <v>40970</v>
          </cell>
          <cell r="G913">
            <v>40877</v>
          </cell>
          <cell r="H913" t="str">
            <v>2011-0.223.455-5</v>
          </cell>
          <cell r="I913">
            <v>44324.52</v>
          </cell>
          <cell r="J913" t="str">
            <v xml:space="preserve">              123651121                 2847                    33903600</v>
          </cell>
          <cell r="K913" t="str">
            <v>05/09/2011</v>
          </cell>
          <cell r="L913">
            <v>87</v>
          </cell>
          <cell r="M913">
            <v>21500</v>
          </cell>
          <cell r="N913">
            <v>57273</v>
          </cell>
          <cell r="O913">
            <v>28604</v>
          </cell>
          <cell r="P913">
            <v>16</v>
          </cell>
          <cell r="Q913">
            <v>2</v>
          </cell>
          <cell r="T913">
            <v>8600</v>
          </cell>
          <cell r="U913">
            <v>0</v>
          </cell>
          <cell r="V913">
            <v>7400</v>
          </cell>
          <cell r="W913">
            <v>180</v>
          </cell>
          <cell r="X913">
            <v>5920</v>
          </cell>
          <cell r="Y913">
            <v>101968</v>
          </cell>
          <cell r="Z913">
            <v>8659.5499999999993</v>
          </cell>
          <cell r="AA913">
            <v>4660.4500000000007</v>
          </cell>
          <cell r="AB913">
            <v>246.2473333333333</v>
          </cell>
          <cell r="AC913">
            <v>7400</v>
          </cell>
          <cell r="AD913">
            <v>6794.9533333333329</v>
          </cell>
          <cell r="AE913">
            <v>605.04666666666708</v>
          </cell>
          <cell r="AN913" t="str">
            <v xml:space="preserve">Contrato emergencial nº </v>
          </cell>
          <cell r="AO913" t="str">
            <v>PJ</v>
          </cell>
        </row>
        <row r="914">
          <cell r="D914" t="str">
            <v>1945/11</v>
          </cell>
          <cell r="E914" t="str">
            <v>05/09/2011</v>
          </cell>
          <cell r="F914">
            <v>40970</v>
          </cell>
          <cell r="G914">
            <v>40877</v>
          </cell>
          <cell r="H914" t="str">
            <v>2011-0.223.460-1</v>
          </cell>
          <cell r="I914">
            <v>40223.339999999997</v>
          </cell>
          <cell r="J914" t="str">
            <v xml:space="preserve">              123651121                 2847                    33903600</v>
          </cell>
          <cell r="K914" t="str">
            <v>05/09/2011</v>
          </cell>
          <cell r="L914">
            <v>87</v>
          </cell>
          <cell r="M914">
            <v>19500</v>
          </cell>
          <cell r="N914">
            <v>57273</v>
          </cell>
          <cell r="O914">
            <v>28605</v>
          </cell>
          <cell r="P914">
            <v>16</v>
          </cell>
          <cell r="Q914">
            <v>2</v>
          </cell>
          <cell r="T914">
            <v>7800</v>
          </cell>
          <cell r="U914">
            <v>0</v>
          </cell>
          <cell r="V914">
            <v>6800</v>
          </cell>
          <cell r="W914">
            <v>180</v>
          </cell>
          <cell r="X914">
            <v>5440</v>
          </cell>
          <cell r="Y914">
            <v>102183</v>
          </cell>
          <cell r="Z914">
            <v>7340.1200000000008</v>
          </cell>
          <cell r="AA914">
            <v>4899.8799999999992</v>
          </cell>
          <cell r="AB914">
            <v>223.46299999999999</v>
          </cell>
          <cell r="AC914">
            <v>6800</v>
          </cell>
          <cell r="AD914">
            <v>6571.6399999999994</v>
          </cell>
          <cell r="AE914">
            <v>228.36000000000058</v>
          </cell>
          <cell r="AN914" t="str">
            <v xml:space="preserve">Contrato emergencial nº </v>
          </cell>
          <cell r="AO914" t="str">
            <v>CS</v>
          </cell>
        </row>
        <row r="915">
          <cell r="D915" t="str">
            <v>1946/11</v>
          </cell>
          <cell r="E915" t="str">
            <v>05/09/2011</v>
          </cell>
          <cell r="F915">
            <v>40970</v>
          </cell>
          <cell r="G915">
            <v>40877</v>
          </cell>
          <cell r="H915" t="str">
            <v>2011-0.223.466-0</v>
          </cell>
          <cell r="I915">
            <v>30150.54</v>
          </cell>
          <cell r="J915" t="str">
            <v xml:space="preserve">              123651121                 2847                    33903600</v>
          </cell>
          <cell r="K915" t="str">
            <v>05/09/2011</v>
          </cell>
          <cell r="L915">
            <v>87</v>
          </cell>
          <cell r="M915">
            <v>14600</v>
          </cell>
          <cell r="N915">
            <v>57273</v>
          </cell>
          <cell r="O915">
            <v>28610</v>
          </cell>
          <cell r="P915">
            <v>16</v>
          </cell>
          <cell r="Q915">
            <v>2</v>
          </cell>
          <cell r="T915">
            <v>5840</v>
          </cell>
          <cell r="U915">
            <v>0</v>
          </cell>
          <cell r="V915">
            <v>5200</v>
          </cell>
          <cell r="W915">
            <v>180</v>
          </cell>
          <cell r="X915">
            <v>4160</v>
          </cell>
          <cell r="Y915">
            <v>102033</v>
          </cell>
          <cell r="Z915">
            <v>5125.8100000000004</v>
          </cell>
          <cell r="AA915">
            <v>4234.1899999999996</v>
          </cell>
          <cell r="AB915">
            <v>167.50300000000001</v>
          </cell>
          <cell r="AC915">
            <v>5100</v>
          </cell>
          <cell r="AD915">
            <v>5176.3650000000007</v>
          </cell>
          <cell r="AE915">
            <v>-76.365000000000691</v>
          </cell>
          <cell r="AN915" t="str">
            <v xml:space="preserve">Contrato emergencial nº </v>
          </cell>
          <cell r="AO915" t="str">
            <v>PJ</v>
          </cell>
        </row>
        <row r="916">
          <cell r="D916" t="str">
            <v>1947/11</v>
          </cell>
          <cell r="E916" t="str">
            <v>05/09/2011</v>
          </cell>
          <cell r="F916">
            <v>40970</v>
          </cell>
          <cell r="G916">
            <v>40877</v>
          </cell>
          <cell r="H916" t="str">
            <v>2011-0.222.746-0</v>
          </cell>
          <cell r="I916">
            <v>37607.879999999997</v>
          </cell>
          <cell r="J916" t="str">
            <v xml:space="preserve">              123651121                 2847                    33903600</v>
          </cell>
          <cell r="K916" t="str">
            <v>05/09/2011</v>
          </cell>
          <cell r="L916">
            <v>87</v>
          </cell>
          <cell r="M916">
            <v>18200</v>
          </cell>
          <cell r="N916">
            <v>57273</v>
          </cell>
          <cell r="O916">
            <v>28613</v>
          </cell>
          <cell r="P916">
            <v>16</v>
          </cell>
          <cell r="Q916">
            <v>2</v>
          </cell>
          <cell r="T916">
            <v>7280</v>
          </cell>
          <cell r="U916">
            <v>0</v>
          </cell>
          <cell r="V916">
            <v>6400</v>
          </cell>
          <cell r="W916">
            <v>180</v>
          </cell>
          <cell r="X916">
            <v>5120</v>
          </cell>
          <cell r="Y916">
            <v>102055</v>
          </cell>
          <cell r="Z916">
            <v>6519.2</v>
          </cell>
          <cell r="AA916">
            <v>5000.8</v>
          </cell>
          <cell r="AB916">
            <v>208.93266666666665</v>
          </cell>
          <cell r="AC916">
            <v>6300</v>
          </cell>
          <cell r="AD916">
            <v>6337.04</v>
          </cell>
          <cell r="AE916">
            <v>-37.039999999999964</v>
          </cell>
          <cell r="AN916" t="str">
            <v xml:space="preserve">Contrato emergencial nº </v>
          </cell>
          <cell r="AO916" t="str">
            <v>PJ</v>
          </cell>
        </row>
        <row r="917">
          <cell r="D917" t="str">
            <v>1948/11</v>
          </cell>
          <cell r="E917" t="str">
            <v>05/09/2011</v>
          </cell>
          <cell r="F917">
            <v>40970</v>
          </cell>
          <cell r="G917">
            <v>40877</v>
          </cell>
          <cell r="H917" t="str">
            <v>2011-0.222.235-2</v>
          </cell>
          <cell r="I917">
            <v>44324.52</v>
          </cell>
          <cell r="J917" t="str">
            <v xml:space="preserve">              123651121                 2847                    33903600</v>
          </cell>
          <cell r="K917" t="str">
            <v>05/09/2011</v>
          </cell>
          <cell r="L917">
            <v>87</v>
          </cell>
          <cell r="M917">
            <v>21500</v>
          </cell>
          <cell r="N917">
            <v>57273</v>
          </cell>
          <cell r="O917">
            <v>28616</v>
          </cell>
          <cell r="P917">
            <v>16</v>
          </cell>
          <cell r="Q917">
            <v>2</v>
          </cell>
          <cell r="T917">
            <v>8600</v>
          </cell>
          <cell r="U917">
            <v>0</v>
          </cell>
          <cell r="V917">
            <v>7400</v>
          </cell>
          <cell r="W917">
            <v>180</v>
          </cell>
          <cell r="X917">
            <v>5920</v>
          </cell>
          <cell r="Y917">
            <v>102209</v>
          </cell>
          <cell r="Z917">
            <v>8649.2099999999991</v>
          </cell>
          <cell r="AA917">
            <v>4670.7900000000009</v>
          </cell>
          <cell r="AB917">
            <v>246.2473333333333</v>
          </cell>
          <cell r="AC917">
            <v>7400</v>
          </cell>
          <cell r="AD917">
            <v>6968.11</v>
          </cell>
          <cell r="AE917">
            <v>431.89000000000033</v>
          </cell>
          <cell r="AN917" t="str">
            <v xml:space="preserve">Contrato emergencial nº </v>
          </cell>
          <cell r="AO917" t="str">
            <v>CS</v>
          </cell>
        </row>
        <row r="918">
          <cell r="D918" t="str">
            <v>1949/11</v>
          </cell>
          <cell r="E918" t="str">
            <v>05/09/2011</v>
          </cell>
          <cell r="F918">
            <v>40970</v>
          </cell>
          <cell r="G918">
            <v>40877</v>
          </cell>
          <cell r="H918" t="str">
            <v>2011-0.222.238-7</v>
          </cell>
          <cell r="I918">
            <v>31012.38</v>
          </cell>
          <cell r="J918" t="str">
            <v xml:space="preserve">              123611122                  2848                    33903600</v>
          </cell>
          <cell r="K918" t="str">
            <v>05/09/2011</v>
          </cell>
          <cell r="L918">
            <v>87</v>
          </cell>
          <cell r="M918">
            <v>15000</v>
          </cell>
          <cell r="N918">
            <v>57278</v>
          </cell>
          <cell r="O918">
            <v>28618</v>
          </cell>
          <cell r="P918">
            <v>16</v>
          </cell>
          <cell r="Q918">
            <v>3</v>
          </cell>
          <cell r="T918">
            <v>6000</v>
          </cell>
          <cell r="U918">
            <v>0</v>
          </cell>
          <cell r="V918">
            <v>5200</v>
          </cell>
          <cell r="W918">
            <v>180</v>
          </cell>
          <cell r="X918">
            <v>4160</v>
          </cell>
          <cell r="Y918">
            <v>102286</v>
          </cell>
          <cell r="Z918">
            <v>5517.0500000000011</v>
          </cell>
          <cell r="AA918">
            <v>3842.9499999999989</v>
          </cell>
          <cell r="AB918">
            <v>172.291</v>
          </cell>
          <cell r="AC918">
            <v>5200</v>
          </cell>
          <cell r="AD918">
            <v>4062.63</v>
          </cell>
          <cell r="AE918">
            <v>1137.3699999999999</v>
          </cell>
          <cell r="AN918" t="str">
            <v xml:space="preserve">Contrato emergencial nº </v>
          </cell>
          <cell r="AO918" t="str">
            <v>CS</v>
          </cell>
        </row>
        <row r="919">
          <cell r="D919" t="str">
            <v>1950/11</v>
          </cell>
          <cell r="E919" t="str">
            <v>05/09/2011</v>
          </cell>
          <cell r="F919">
            <v>40970</v>
          </cell>
          <cell r="G919">
            <v>40877</v>
          </cell>
          <cell r="H919" t="str">
            <v>2011-0.222.261-1</v>
          </cell>
          <cell r="I919">
            <v>36954.120000000003</v>
          </cell>
          <cell r="J919" t="str">
            <v xml:space="preserve">              123611122                  2848                    33903600</v>
          </cell>
          <cell r="K919" t="str">
            <v>05/09/2011</v>
          </cell>
          <cell r="L919">
            <v>87</v>
          </cell>
          <cell r="M919">
            <v>17900</v>
          </cell>
          <cell r="N919">
            <v>57278</v>
          </cell>
          <cell r="O919">
            <v>28619</v>
          </cell>
          <cell r="P919">
            <v>16</v>
          </cell>
          <cell r="Q919">
            <v>3</v>
          </cell>
          <cell r="T919">
            <v>7160</v>
          </cell>
          <cell r="U919">
            <v>0</v>
          </cell>
          <cell r="V919">
            <v>6200</v>
          </cell>
          <cell r="W919">
            <v>180</v>
          </cell>
          <cell r="X919">
            <v>4960</v>
          </cell>
          <cell r="Y919">
            <v>102303</v>
          </cell>
          <cell r="Z919">
            <v>7252.92</v>
          </cell>
          <cell r="AA919">
            <v>3907.08</v>
          </cell>
          <cell r="AB919">
            <v>205.30066666666667</v>
          </cell>
          <cell r="AC919">
            <v>6200</v>
          </cell>
          <cell r="AD919">
            <v>5849.51</v>
          </cell>
          <cell r="AE919">
            <v>350.48999999999978</v>
          </cell>
          <cell r="AN919" t="str">
            <v xml:space="preserve">Contrato emergencial nº </v>
          </cell>
          <cell r="AO919" t="str">
            <v>CS</v>
          </cell>
        </row>
        <row r="920">
          <cell r="D920" t="str">
            <v>1951/11</v>
          </cell>
          <cell r="E920" t="str">
            <v>05/09/2011</v>
          </cell>
          <cell r="F920">
            <v>40970</v>
          </cell>
          <cell r="G920">
            <v>40877</v>
          </cell>
          <cell r="H920" t="str">
            <v>2011-0.222.263-8</v>
          </cell>
          <cell r="I920">
            <v>32379.48</v>
          </cell>
          <cell r="J920" t="str">
            <v xml:space="preserve">              123611122                  2848                    33903600</v>
          </cell>
          <cell r="K920" t="str">
            <v>05/09/2011</v>
          </cell>
          <cell r="L920">
            <v>87</v>
          </cell>
          <cell r="M920">
            <v>15700</v>
          </cell>
          <cell r="N920">
            <v>57278</v>
          </cell>
          <cell r="O920">
            <v>28623</v>
          </cell>
          <cell r="P920">
            <v>16</v>
          </cell>
          <cell r="Q920">
            <v>3</v>
          </cell>
          <cell r="T920">
            <v>6280</v>
          </cell>
          <cell r="U920">
            <v>0</v>
          </cell>
          <cell r="V920">
            <v>5400</v>
          </cell>
          <cell r="W920">
            <v>180</v>
          </cell>
          <cell r="X920">
            <v>4320</v>
          </cell>
          <cell r="Y920">
            <v>102490</v>
          </cell>
          <cell r="Z920">
            <v>11167.83</v>
          </cell>
          <cell r="AA920">
            <v>-1447.83</v>
          </cell>
          <cell r="AB920">
            <v>179.886</v>
          </cell>
          <cell r="AC920">
            <v>5400</v>
          </cell>
          <cell r="AD920">
            <v>4738.08</v>
          </cell>
          <cell r="AE920">
            <v>661.92000000000007</v>
          </cell>
          <cell r="AN920" t="str">
            <v xml:space="preserve">Contrato emergencial nº </v>
          </cell>
          <cell r="AO920" t="str">
            <v>CL</v>
          </cell>
        </row>
        <row r="921">
          <cell r="D921" t="str">
            <v>1952/11</v>
          </cell>
          <cell r="E921" t="str">
            <v>05/09/2011</v>
          </cell>
          <cell r="F921">
            <v>40970</v>
          </cell>
          <cell r="G921">
            <v>40877</v>
          </cell>
          <cell r="H921" t="str">
            <v>2011-0.222.264-6</v>
          </cell>
          <cell r="I921">
            <v>31418.52</v>
          </cell>
          <cell r="J921" t="str">
            <v xml:space="preserve">              123611122                  2848                    33903600</v>
          </cell>
          <cell r="K921" t="str">
            <v>05/09/2011</v>
          </cell>
          <cell r="L921">
            <v>87</v>
          </cell>
          <cell r="M921">
            <v>15200</v>
          </cell>
          <cell r="N921">
            <v>57278</v>
          </cell>
          <cell r="O921">
            <v>28625</v>
          </cell>
          <cell r="P921">
            <v>16</v>
          </cell>
          <cell r="Q921">
            <v>3</v>
          </cell>
          <cell r="T921">
            <v>6080</v>
          </cell>
          <cell r="U921">
            <v>0</v>
          </cell>
          <cell r="V921">
            <v>6300</v>
          </cell>
          <cell r="W921">
            <v>180</v>
          </cell>
          <cell r="X921">
            <v>5040</v>
          </cell>
          <cell r="Y921">
            <v>102270</v>
          </cell>
          <cell r="Z921">
            <v>3620.86</v>
          </cell>
          <cell r="AA921">
            <v>7719.1399999999994</v>
          </cell>
          <cell r="AB921">
            <v>174.54733333333334</v>
          </cell>
          <cell r="AC921">
            <v>5300</v>
          </cell>
          <cell r="AD921">
            <v>6289.08</v>
          </cell>
          <cell r="AE921">
            <v>-989.07999999999993</v>
          </cell>
          <cell r="AN921" t="str">
            <v xml:space="preserve">Contrato emergencial nº </v>
          </cell>
          <cell r="AO921" t="str">
            <v>PJ</v>
          </cell>
        </row>
        <row r="922">
          <cell r="D922" t="str">
            <v>1953/11</v>
          </cell>
          <cell r="E922" t="str">
            <v>05/09/2011</v>
          </cell>
          <cell r="F922">
            <v>40970</v>
          </cell>
          <cell r="G922">
            <v>40877</v>
          </cell>
          <cell r="H922" t="str">
            <v>2011-0.222.265-4</v>
          </cell>
          <cell r="I922">
            <v>44978.400000000001</v>
          </cell>
          <cell r="J922" t="str">
            <v xml:space="preserve">              123611122                  2848                    33903600</v>
          </cell>
          <cell r="K922" t="str">
            <v>05/09/2011</v>
          </cell>
          <cell r="L922">
            <v>87</v>
          </cell>
          <cell r="M922">
            <v>21800</v>
          </cell>
          <cell r="N922">
            <v>57278</v>
          </cell>
          <cell r="O922">
            <v>28627</v>
          </cell>
          <cell r="P922">
            <v>16</v>
          </cell>
          <cell r="Q922">
            <v>3</v>
          </cell>
          <cell r="T922">
            <v>8720</v>
          </cell>
          <cell r="U922">
            <v>0</v>
          </cell>
          <cell r="V922">
            <v>7500</v>
          </cell>
          <cell r="W922">
            <v>180</v>
          </cell>
          <cell r="X922">
            <v>6000</v>
          </cell>
          <cell r="Y922">
            <v>102323</v>
          </cell>
          <cell r="Z922">
            <v>15874.15</v>
          </cell>
          <cell r="AA922">
            <v>-2374.1499999999996</v>
          </cell>
          <cell r="AB922">
            <v>249.88</v>
          </cell>
          <cell r="AC922">
            <v>7500</v>
          </cell>
          <cell r="AD922">
            <v>6839.89</v>
          </cell>
          <cell r="AE922">
            <v>660.10999999999967</v>
          </cell>
          <cell r="AN922" t="str">
            <v xml:space="preserve">Contrato emergencial nº </v>
          </cell>
          <cell r="AO922" t="str">
            <v>CL</v>
          </cell>
        </row>
        <row r="923">
          <cell r="D923" t="str">
            <v>1954/11</v>
          </cell>
          <cell r="E923" t="str">
            <v>05/09/2011</v>
          </cell>
          <cell r="F923">
            <v>40970</v>
          </cell>
          <cell r="G923">
            <v>40877</v>
          </cell>
          <cell r="H923" t="str">
            <v>2011-0.222.267-0</v>
          </cell>
          <cell r="I923">
            <v>37607.879999999997</v>
          </cell>
          <cell r="J923" t="str">
            <v xml:space="preserve">              123611122                  2848                    33903600</v>
          </cell>
          <cell r="K923" t="str">
            <v>05/09/2011</v>
          </cell>
          <cell r="L923">
            <v>87</v>
          </cell>
          <cell r="M923">
            <v>18200</v>
          </cell>
          <cell r="N923">
            <v>57278</v>
          </cell>
          <cell r="O923">
            <v>28632</v>
          </cell>
          <cell r="P923">
            <v>16</v>
          </cell>
          <cell r="Q923">
            <v>3</v>
          </cell>
          <cell r="T923">
            <v>7280</v>
          </cell>
          <cell r="U923">
            <v>0</v>
          </cell>
          <cell r="V923">
            <v>6300</v>
          </cell>
          <cell r="W923">
            <v>180</v>
          </cell>
          <cell r="X923">
            <v>5040</v>
          </cell>
          <cell r="Y923">
            <v>102421</v>
          </cell>
          <cell r="Z923">
            <v>13362.28</v>
          </cell>
          <cell r="AA923">
            <v>-2022.2800000000007</v>
          </cell>
          <cell r="AB923">
            <v>208.93266666666665</v>
          </cell>
          <cell r="AC923">
            <v>6300</v>
          </cell>
          <cell r="AD923">
            <v>5780.1749999999993</v>
          </cell>
          <cell r="AE923">
            <v>519.82500000000073</v>
          </cell>
          <cell r="AN923" t="str">
            <v xml:space="preserve">Contrato emergencial nº </v>
          </cell>
          <cell r="AO923" t="str">
            <v>CL</v>
          </cell>
        </row>
        <row r="924">
          <cell r="D924" t="str">
            <v>1955/11</v>
          </cell>
          <cell r="E924" t="str">
            <v>05/09/2011</v>
          </cell>
          <cell r="F924">
            <v>40970</v>
          </cell>
          <cell r="G924">
            <v>40877</v>
          </cell>
          <cell r="H924" t="str">
            <v>2011-0.222.269-7</v>
          </cell>
          <cell r="I924">
            <v>44324.52</v>
          </cell>
          <cell r="J924" t="str">
            <v xml:space="preserve">              123651121                 2847                    33903600</v>
          </cell>
          <cell r="K924" t="str">
            <v>05/09/2011</v>
          </cell>
          <cell r="L924">
            <v>87</v>
          </cell>
          <cell r="M924">
            <v>21500</v>
          </cell>
          <cell r="N924">
            <v>57273</v>
          </cell>
          <cell r="O924">
            <v>28636</v>
          </cell>
          <cell r="P924">
            <v>16</v>
          </cell>
          <cell r="Q924">
            <v>2</v>
          </cell>
          <cell r="T924">
            <v>8600</v>
          </cell>
          <cell r="U924">
            <v>0</v>
          </cell>
          <cell r="V924">
            <v>7400</v>
          </cell>
          <cell r="W924">
            <v>180</v>
          </cell>
          <cell r="X924">
            <v>5920</v>
          </cell>
          <cell r="Y924">
            <v>102218</v>
          </cell>
          <cell r="Z924">
            <v>8763.7099999999991</v>
          </cell>
          <cell r="AA924">
            <v>4556.2900000000009</v>
          </cell>
          <cell r="AB924">
            <v>246.2473333333333</v>
          </cell>
          <cell r="AC924">
            <v>7400</v>
          </cell>
          <cell r="AD924">
            <v>6922.11</v>
          </cell>
          <cell r="AE924">
            <v>477.89000000000033</v>
          </cell>
          <cell r="AN924" t="str">
            <v xml:space="preserve">Contrato emergencial nº </v>
          </cell>
          <cell r="AO924" t="str">
            <v>CS</v>
          </cell>
        </row>
        <row r="925">
          <cell r="D925" t="str">
            <v>1956/11</v>
          </cell>
          <cell r="E925" t="str">
            <v>05/09/2011</v>
          </cell>
          <cell r="F925">
            <v>40970</v>
          </cell>
          <cell r="G925">
            <v>40877</v>
          </cell>
          <cell r="H925" t="str">
            <v>2011-0.222.271-9</v>
          </cell>
          <cell r="I925">
            <v>44978.400000000001</v>
          </cell>
          <cell r="J925" t="str">
            <v xml:space="preserve">              123611122                  2848                    33903600</v>
          </cell>
          <cell r="K925" t="str">
            <v>05/09/2011</v>
          </cell>
          <cell r="L925">
            <v>87</v>
          </cell>
          <cell r="M925">
            <v>21800</v>
          </cell>
          <cell r="N925">
            <v>57278</v>
          </cell>
          <cell r="O925">
            <v>28540</v>
          </cell>
          <cell r="P925">
            <v>16</v>
          </cell>
          <cell r="Q925">
            <v>3</v>
          </cell>
          <cell r="T925">
            <v>8720</v>
          </cell>
          <cell r="U925">
            <v>0</v>
          </cell>
          <cell r="V925">
            <v>7500</v>
          </cell>
          <cell r="W925">
            <v>180</v>
          </cell>
          <cell r="X925">
            <v>6000</v>
          </cell>
          <cell r="Y925">
            <v>102322</v>
          </cell>
          <cell r="Z925">
            <v>9985.9700000000012</v>
          </cell>
          <cell r="AA925">
            <v>3514.0299999999988</v>
          </cell>
          <cell r="AB925">
            <v>249.88</v>
          </cell>
          <cell r="AC925">
            <v>7500</v>
          </cell>
          <cell r="AD925">
            <v>6017.8899999999994</v>
          </cell>
          <cell r="AE925">
            <v>1482.1100000000006</v>
          </cell>
          <cell r="AN925" t="str">
            <v xml:space="preserve">Contrato emergencial nº </v>
          </cell>
          <cell r="AO925" t="str">
            <v>CS</v>
          </cell>
        </row>
        <row r="926">
          <cell r="D926" t="str">
            <v>1957/11</v>
          </cell>
          <cell r="E926" t="str">
            <v>12/09/2011</v>
          </cell>
          <cell r="F926">
            <v>40977</v>
          </cell>
          <cell r="G926">
            <v>40877</v>
          </cell>
          <cell r="H926" t="str">
            <v>2011-0.222.273-5</v>
          </cell>
          <cell r="I926">
            <v>26851.74</v>
          </cell>
          <cell r="J926" t="str">
            <v xml:space="preserve">              123611122                  2848                    33903600</v>
          </cell>
          <cell r="K926" t="str">
            <v>12/09/2011</v>
          </cell>
          <cell r="L926">
            <v>80</v>
          </cell>
          <cell r="M926">
            <v>12000</v>
          </cell>
          <cell r="N926">
            <v>57278</v>
          </cell>
          <cell r="O926">
            <v>28543</v>
          </cell>
          <cell r="P926">
            <v>16</v>
          </cell>
          <cell r="Q926">
            <v>3</v>
          </cell>
          <cell r="T926">
            <v>4200</v>
          </cell>
          <cell r="U926">
            <v>0</v>
          </cell>
          <cell r="V926">
            <v>4500</v>
          </cell>
          <cell r="W926">
            <v>180</v>
          </cell>
          <cell r="X926">
            <v>3600</v>
          </cell>
          <cell r="Y926">
            <v>102389</v>
          </cell>
          <cell r="Z926">
            <v>5588.04</v>
          </cell>
          <cell r="AA926">
            <v>2511.96</v>
          </cell>
          <cell r="AB926">
            <v>149.17633333333333</v>
          </cell>
          <cell r="AC926">
            <v>4500</v>
          </cell>
          <cell r="AD926">
            <v>3970.0800000000004</v>
          </cell>
          <cell r="AE926">
            <v>529.91999999999962</v>
          </cell>
          <cell r="AN926" t="str">
            <v xml:space="preserve">Contrato emergencial nº </v>
          </cell>
          <cell r="AO926" t="str">
            <v>SA</v>
          </cell>
        </row>
        <row r="927">
          <cell r="D927" t="str">
            <v>1958/11</v>
          </cell>
          <cell r="E927" t="str">
            <v>12/09/2011</v>
          </cell>
          <cell r="F927">
            <v>40977</v>
          </cell>
          <cell r="G927">
            <v>40877</v>
          </cell>
          <cell r="H927" t="str">
            <v>2011-0.222.275-1</v>
          </cell>
          <cell r="I927">
            <v>30150.54</v>
          </cell>
          <cell r="J927" t="str">
            <v xml:space="preserve">              123611122                  2848                    33903600</v>
          </cell>
          <cell r="K927" t="str">
            <v>12/09/2011</v>
          </cell>
          <cell r="L927">
            <v>80</v>
          </cell>
          <cell r="M927">
            <v>13500</v>
          </cell>
          <cell r="N927">
            <v>57278</v>
          </cell>
          <cell r="O927">
            <v>29745</v>
          </cell>
          <cell r="P927">
            <v>16</v>
          </cell>
          <cell r="Q927">
            <v>3</v>
          </cell>
          <cell r="T927">
            <v>4725</v>
          </cell>
          <cell r="U927">
            <v>0</v>
          </cell>
          <cell r="V927">
            <v>6200</v>
          </cell>
          <cell r="W927">
            <v>180</v>
          </cell>
          <cell r="X927">
            <v>4960</v>
          </cell>
          <cell r="Y927">
            <v>101962</v>
          </cell>
          <cell r="Z927">
            <v>3610.65</v>
          </cell>
          <cell r="AA927">
            <v>7549.35</v>
          </cell>
          <cell r="AB927">
            <v>167.50300000000001</v>
          </cell>
          <cell r="AC927">
            <v>5100</v>
          </cell>
          <cell r="AD927">
            <v>6132.915</v>
          </cell>
          <cell r="AE927">
            <v>-1032.915</v>
          </cell>
          <cell r="AN927" t="str">
            <v xml:space="preserve">Contrato emergencial nº </v>
          </cell>
          <cell r="AO927" t="str">
            <v>PJ</v>
          </cell>
        </row>
        <row r="928">
          <cell r="D928" t="str">
            <v>1960/11</v>
          </cell>
          <cell r="E928" t="str">
            <v>12/09/2011</v>
          </cell>
          <cell r="F928">
            <v>40977</v>
          </cell>
          <cell r="G928">
            <v>40877</v>
          </cell>
          <cell r="H928" t="str">
            <v>2011-0.222.277-8</v>
          </cell>
          <cell r="I928">
            <v>30150.54</v>
          </cell>
          <cell r="J928" t="str">
            <v xml:space="preserve">              123611122                  2848                    33903600</v>
          </cell>
          <cell r="K928" t="str">
            <v>12/09/2011</v>
          </cell>
          <cell r="L928">
            <v>80</v>
          </cell>
          <cell r="M928">
            <v>13500</v>
          </cell>
          <cell r="N928">
            <v>57278</v>
          </cell>
          <cell r="O928">
            <v>28548</v>
          </cell>
          <cell r="P928">
            <v>16</v>
          </cell>
          <cell r="Q928">
            <v>3</v>
          </cell>
          <cell r="T928">
            <v>4725</v>
          </cell>
          <cell r="U928">
            <v>0</v>
          </cell>
          <cell r="V928">
            <v>5500</v>
          </cell>
          <cell r="W928">
            <v>180</v>
          </cell>
          <cell r="X928">
            <v>4400</v>
          </cell>
          <cell r="Y928">
            <v>102484</v>
          </cell>
          <cell r="Z928">
            <v>10114.549999999999</v>
          </cell>
          <cell r="AA928">
            <v>-214.54999999999927</v>
          </cell>
          <cell r="AB928">
            <v>167.50300000000001</v>
          </cell>
          <cell r="AC928">
            <v>5100</v>
          </cell>
          <cell r="AD928">
            <v>5409.2000000000007</v>
          </cell>
          <cell r="AE928">
            <v>-309.20000000000073</v>
          </cell>
          <cell r="AN928" t="str">
            <v xml:space="preserve">Contrato emergencial nº </v>
          </cell>
          <cell r="AO928" t="str">
            <v>CL</v>
          </cell>
        </row>
        <row r="929">
          <cell r="D929" t="str">
            <v>1961/11</v>
          </cell>
          <cell r="E929" t="str">
            <v>12/09/2011</v>
          </cell>
          <cell r="F929">
            <v>40977</v>
          </cell>
          <cell r="G929">
            <v>40877</v>
          </cell>
          <cell r="H929" t="str">
            <v>2011-0.222.287-5</v>
          </cell>
          <cell r="I929">
            <v>44324.52</v>
          </cell>
          <cell r="J929" t="str">
            <v xml:space="preserve">              123651121                 2847                    33903600</v>
          </cell>
          <cell r="K929" t="str">
            <v>12/09/2011</v>
          </cell>
          <cell r="L929">
            <v>80</v>
          </cell>
          <cell r="M929">
            <v>19700</v>
          </cell>
          <cell r="N929">
            <v>57273</v>
          </cell>
          <cell r="O929">
            <v>29746</v>
          </cell>
          <cell r="P929">
            <v>16</v>
          </cell>
          <cell r="Q929">
            <v>2</v>
          </cell>
          <cell r="T929">
            <v>6895</v>
          </cell>
          <cell r="U929">
            <v>0</v>
          </cell>
          <cell r="V929">
            <v>7400</v>
          </cell>
          <cell r="W929">
            <v>180</v>
          </cell>
          <cell r="X929">
            <v>5920</v>
          </cell>
          <cell r="Y929">
            <v>102202</v>
          </cell>
          <cell r="Z929">
            <v>7887.43</v>
          </cell>
          <cell r="AA929">
            <v>5432.57</v>
          </cell>
          <cell r="AB929">
            <v>246.2473333333333</v>
          </cell>
          <cell r="AC929">
            <v>7400</v>
          </cell>
          <cell r="AD929">
            <v>7290.04</v>
          </cell>
          <cell r="AE929">
            <v>109.96000000000004</v>
          </cell>
          <cell r="AN929" t="str">
            <v xml:space="preserve">Contrato emergencial nº </v>
          </cell>
          <cell r="AO929" t="str">
            <v>CS</v>
          </cell>
        </row>
        <row r="930">
          <cell r="D930" t="str">
            <v>1962/11</v>
          </cell>
          <cell r="E930" t="str">
            <v>12/09/2011</v>
          </cell>
          <cell r="F930">
            <v>40977</v>
          </cell>
          <cell r="G930">
            <v>40877</v>
          </cell>
          <cell r="H930" t="str">
            <v>2011-0.222.288-3</v>
          </cell>
          <cell r="I930">
            <v>37607.879999999997</v>
          </cell>
          <cell r="J930" t="str">
            <v xml:space="preserve">              123651121                 2847                    33903600</v>
          </cell>
          <cell r="K930" t="str">
            <v>12/09/2011</v>
          </cell>
          <cell r="L930">
            <v>80</v>
          </cell>
          <cell r="M930">
            <v>16800</v>
          </cell>
          <cell r="N930">
            <v>57273</v>
          </cell>
          <cell r="O930">
            <v>28550</v>
          </cell>
          <cell r="P930">
            <v>16</v>
          </cell>
          <cell r="Q930">
            <v>2</v>
          </cell>
          <cell r="T930">
            <v>5880</v>
          </cell>
          <cell r="U930">
            <v>0</v>
          </cell>
          <cell r="V930">
            <v>6300</v>
          </cell>
          <cell r="W930">
            <v>180</v>
          </cell>
          <cell r="X930">
            <v>5040</v>
          </cell>
          <cell r="Y930">
            <v>103060</v>
          </cell>
          <cell r="Z930">
            <v>8937.59</v>
          </cell>
          <cell r="AA930">
            <v>2402.41</v>
          </cell>
          <cell r="AB930">
            <v>208.93266666666665</v>
          </cell>
          <cell r="AC930">
            <v>6300</v>
          </cell>
          <cell r="AD930">
            <v>4819.9400000000005</v>
          </cell>
          <cell r="AE930">
            <v>1480.0599999999995</v>
          </cell>
          <cell r="AN930" t="str">
            <v xml:space="preserve">Contrato emergencial nº </v>
          </cell>
          <cell r="AO930" t="str">
            <v>JT</v>
          </cell>
        </row>
        <row r="931">
          <cell r="D931" t="str">
            <v>1963/11</v>
          </cell>
          <cell r="E931" t="str">
            <v>12/09/2011</v>
          </cell>
          <cell r="F931">
            <v>40977</v>
          </cell>
          <cell r="G931">
            <v>40877</v>
          </cell>
          <cell r="H931" t="str">
            <v>2011-0.222.290-5</v>
          </cell>
          <cell r="I931">
            <v>37607.879999999997</v>
          </cell>
          <cell r="J931" t="str">
            <v xml:space="preserve">              123651121                 2847                    33903600</v>
          </cell>
          <cell r="K931" t="str">
            <v>12/09/2011</v>
          </cell>
          <cell r="L931">
            <v>80</v>
          </cell>
          <cell r="M931">
            <v>16800</v>
          </cell>
          <cell r="N931">
            <v>57273</v>
          </cell>
          <cell r="O931">
            <v>29747</v>
          </cell>
          <cell r="P931">
            <v>16</v>
          </cell>
          <cell r="Q931">
            <v>2</v>
          </cell>
          <cell r="T931">
            <v>5880</v>
          </cell>
          <cell r="U931">
            <v>0</v>
          </cell>
          <cell r="V931">
            <v>6800</v>
          </cell>
          <cell r="W931">
            <v>180</v>
          </cell>
          <cell r="X931">
            <v>5440</v>
          </cell>
          <cell r="Y931">
            <v>102078</v>
          </cell>
          <cell r="Z931">
            <v>5136.54</v>
          </cell>
          <cell r="AA931">
            <v>7103.46</v>
          </cell>
          <cell r="AB931">
            <v>208.93266666666665</v>
          </cell>
          <cell r="AC931">
            <v>6300</v>
          </cell>
          <cell r="AD931">
            <v>6733.405333333335</v>
          </cell>
          <cell r="AE931">
            <v>-433.40533333333497</v>
          </cell>
          <cell r="AN931" t="str">
            <v xml:space="preserve">Contrato emergencial nº </v>
          </cell>
          <cell r="AO931" t="str">
            <v>PJ</v>
          </cell>
        </row>
        <row r="932">
          <cell r="D932" t="str">
            <v>1964/11</v>
          </cell>
          <cell r="E932" t="str">
            <v>12/09/2011</v>
          </cell>
          <cell r="F932">
            <v>40977</v>
          </cell>
          <cell r="G932">
            <v>40877</v>
          </cell>
          <cell r="H932" t="str">
            <v>2011-0.222.291-3</v>
          </cell>
          <cell r="I932">
            <v>30150.54</v>
          </cell>
          <cell r="J932" t="str">
            <v xml:space="preserve">              123611122                  2848                    33903600</v>
          </cell>
          <cell r="K932" t="str">
            <v>12/09/2011</v>
          </cell>
          <cell r="L932">
            <v>80</v>
          </cell>
          <cell r="M932">
            <v>13500</v>
          </cell>
          <cell r="N932">
            <v>57278</v>
          </cell>
          <cell r="O932">
            <v>28552</v>
          </cell>
          <cell r="P932">
            <v>16</v>
          </cell>
          <cell r="Q932">
            <v>3</v>
          </cell>
          <cell r="T932">
            <v>4725</v>
          </cell>
          <cell r="U932">
            <v>0</v>
          </cell>
          <cell r="V932">
            <v>5200</v>
          </cell>
          <cell r="W932">
            <v>180</v>
          </cell>
          <cell r="X932">
            <v>4160</v>
          </cell>
          <cell r="Y932">
            <v>102341</v>
          </cell>
          <cell r="Z932">
            <v>10230.41</v>
          </cell>
          <cell r="AA932">
            <v>-870.40999999999985</v>
          </cell>
          <cell r="AB932">
            <v>167.50300000000001</v>
          </cell>
          <cell r="AC932">
            <v>5100</v>
          </cell>
          <cell r="AD932">
            <v>5158.6499999999996</v>
          </cell>
          <cell r="AE932">
            <v>-58.649999999999636</v>
          </cell>
          <cell r="AN932" t="str">
            <v xml:space="preserve">Contrato emergencial nº </v>
          </cell>
          <cell r="AO932" t="str">
            <v>CL</v>
          </cell>
        </row>
        <row r="933">
          <cell r="D933" t="str">
            <v>1965/11</v>
          </cell>
          <cell r="E933" t="str">
            <v>12/09/2011</v>
          </cell>
          <cell r="F933">
            <v>40977</v>
          </cell>
          <cell r="G933">
            <v>40877</v>
          </cell>
          <cell r="H933" t="str">
            <v>2011-0.222.292-1</v>
          </cell>
          <cell r="I933">
            <v>30150.54</v>
          </cell>
          <cell r="J933" t="str">
            <v xml:space="preserve">              123611122                  2848                    33903600</v>
          </cell>
          <cell r="K933" t="str">
            <v>12/09/2011</v>
          </cell>
          <cell r="L933">
            <v>80</v>
          </cell>
          <cell r="M933">
            <v>13500</v>
          </cell>
          <cell r="N933">
            <v>57278</v>
          </cell>
          <cell r="O933">
            <v>28557</v>
          </cell>
          <cell r="P933">
            <v>16</v>
          </cell>
          <cell r="Q933">
            <v>3</v>
          </cell>
          <cell r="T933">
            <v>4725</v>
          </cell>
          <cell r="U933">
            <v>0</v>
          </cell>
          <cell r="V933">
            <v>5200</v>
          </cell>
          <cell r="W933">
            <v>180</v>
          </cell>
          <cell r="X933">
            <v>4160</v>
          </cell>
          <cell r="Y933">
            <v>102288</v>
          </cell>
          <cell r="Z933">
            <v>5179.6499999999996</v>
          </cell>
          <cell r="AA933">
            <v>4180.3500000000004</v>
          </cell>
          <cell r="AB933">
            <v>167.50300000000001</v>
          </cell>
          <cell r="AC933">
            <v>5100</v>
          </cell>
          <cell r="AD933">
            <v>5126.66</v>
          </cell>
          <cell r="AE933">
            <v>-26.659999999999854</v>
          </cell>
          <cell r="AN933" t="str">
            <v xml:space="preserve">Contrato emergencial nº </v>
          </cell>
          <cell r="AO933" t="str">
            <v>SA</v>
          </cell>
        </row>
        <row r="934">
          <cell r="D934" t="str">
            <v>1966/11</v>
          </cell>
          <cell r="E934" t="str">
            <v>12/09/2011</v>
          </cell>
          <cell r="F934">
            <v>40977</v>
          </cell>
          <cell r="G934">
            <v>40877</v>
          </cell>
          <cell r="H934" t="str">
            <v>2011-0.222.294-8</v>
          </cell>
          <cell r="I934">
            <v>37607.879999999997</v>
          </cell>
          <cell r="J934" t="str">
            <v xml:space="preserve">              123611122                  2848                    33903600</v>
          </cell>
          <cell r="K934" t="str">
            <v>12/09/2011</v>
          </cell>
          <cell r="L934">
            <v>80</v>
          </cell>
          <cell r="M934">
            <v>16800</v>
          </cell>
          <cell r="N934">
            <v>57278</v>
          </cell>
          <cell r="O934">
            <v>29749</v>
          </cell>
          <cell r="P934">
            <v>16</v>
          </cell>
          <cell r="Q934">
            <v>3</v>
          </cell>
          <cell r="T934">
            <v>5880</v>
          </cell>
          <cell r="U934">
            <v>0</v>
          </cell>
          <cell r="V934">
            <v>6300</v>
          </cell>
          <cell r="W934">
            <v>180</v>
          </cell>
          <cell r="X934">
            <v>5040</v>
          </cell>
          <cell r="Y934">
            <v>102583</v>
          </cell>
          <cell r="Z934">
            <v>9211.42</v>
          </cell>
          <cell r="AA934">
            <v>2128.58</v>
          </cell>
          <cell r="AB934">
            <v>208.93266666666665</v>
          </cell>
          <cell r="AC934">
            <v>6300</v>
          </cell>
          <cell r="AD934">
            <v>4649.8500000000004</v>
          </cell>
          <cell r="AE934">
            <v>1650.1499999999996</v>
          </cell>
          <cell r="AN934" t="str">
            <v xml:space="preserve">Contrato emergencial nº </v>
          </cell>
          <cell r="AO934" t="str">
            <v>IQ</v>
          </cell>
        </row>
        <row r="935">
          <cell r="D935" t="str">
            <v>1967/11</v>
          </cell>
          <cell r="E935" t="str">
            <v>12/09/2011</v>
          </cell>
          <cell r="F935">
            <v>40977</v>
          </cell>
          <cell r="G935">
            <v>40877</v>
          </cell>
          <cell r="H935" t="str">
            <v>2011-0.222.345-6</v>
          </cell>
          <cell r="I935">
            <v>24008.639999999999</v>
          </cell>
          <cell r="J935" t="str">
            <v xml:space="preserve">              123611122                  2848                    33903600</v>
          </cell>
          <cell r="K935" t="str">
            <v>12/09/2011</v>
          </cell>
          <cell r="L935">
            <v>80</v>
          </cell>
          <cell r="M935">
            <v>10700</v>
          </cell>
          <cell r="N935">
            <v>57278</v>
          </cell>
          <cell r="O935">
            <v>28560</v>
          </cell>
          <cell r="P935">
            <v>16</v>
          </cell>
          <cell r="Q935">
            <v>3</v>
          </cell>
          <cell r="T935">
            <v>3744.9999999999995</v>
          </cell>
          <cell r="U935">
            <v>0</v>
          </cell>
          <cell r="V935">
            <v>4100</v>
          </cell>
          <cell r="W935">
            <v>180</v>
          </cell>
          <cell r="X935">
            <v>3280</v>
          </cell>
          <cell r="Y935">
            <v>102313</v>
          </cell>
          <cell r="Z935">
            <v>3117.9799999999996</v>
          </cell>
          <cell r="AA935">
            <v>4262.0200000000004</v>
          </cell>
          <cell r="AB935">
            <v>133.38133333333332</v>
          </cell>
          <cell r="AC935">
            <v>4100</v>
          </cell>
          <cell r="AD935">
            <v>3136.36</v>
          </cell>
          <cell r="AE935">
            <v>963.63999999999987</v>
          </cell>
          <cell r="AN935" t="str">
            <v xml:space="preserve">Contrato emergencial nº </v>
          </cell>
          <cell r="AO935" t="str">
            <v>CS</v>
          </cell>
        </row>
        <row r="936">
          <cell r="D936" t="str">
            <v>1968/11</v>
          </cell>
          <cell r="E936" t="str">
            <v>12/09/2011</v>
          </cell>
          <cell r="F936">
            <v>40977</v>
          </cell>
          <cell r="G936">
            <v>40877</v>
          </cell>
          <cell r="H936" t="str">
            <v>2011-0.222.352-9</v>
          </cell>
          <cell r="I936">
            <v>31418.52</v>
          </cell>
          <cell r="J936" t="str">
            <v xml:space="preserve">              123611122                  2848                    33903600</v>
          </cell>
          <cell r="K936" t="str">
            <v>12/09/2011</v>
          </cell>
          <cell r="L936">
            <v>80</v>
          </cell>
          <cell r="M936">
            <v>14000</v>
          </cell>
          <cell r="N936">
            <v>57278</v>
          </cell>
          <cell r="O936">
            <v>29750</v>
          </cell>
          <cell r="P936">
            <v>16</v>
          </cell>
          <cell r="Q936">
            <v>3</v>
          </cell>
          <cell r="T936">
            <v>4900</v>
          </cell>
          <cell r="U936">
            <v>0</v>
          </cell>
          <cell r="V936">
            <v>5300</v>
          </cell>
          <cell r="W936">
            <v>180</v>
          </cell>
          <cell r="X936">
            <v>4240</v>
          </cell>
          <cell r="Y936">
            <v>102276</v>
          </cell>
          <cell r="Z936">
            <v>5548.71</v>
          </cell>
          <cell r="AA936">
            <v>3991.29</v>
          </cell>
          <cell r="AB936">
            <v>174.54733333333334</v>
          </cell>
          <cell r="AC936">
            <v>5300</v>
          </cell>
          <cell r="AD936">
            <v>5209.8149999999996</v>
          </cell>
          <cell r="AE936">
            <v>90.1850000000004</v>
          </cell>
          <cell r="AN936" t="str">
            <v xml:space="preserve">Contrato emergencial nº </v>
          </cell>
          <cell r="AO936" t="str">
            <v>PJ</v>
          </cell>
        </row>
        <row r="937">
          <cell r="D937" t="str">
            <v>1969/11</v>
          </cell>
          <cell r="E937" t="str">
            <v>12/09/2011</v>
          </cell>
          <cell r="F937">
            <v>40977</v>
          </cell>
          <cell r="G937">
            <v>40877</v>
          </cell>
          <cell r="H937" t="str">
            <v>2011-0.222.354-5</v>
          </cell>
          <cell r="I937">
            <v>39569.46</v>
          </cell>
          <cell r="J937" t="str">
            <v xml:space="preserve">              123651121                 2847                    33903600</v>
          </cell>
          <cell r="K937" t="str">
            <v>12/09/2011</v>
          </cell>
          <cell r="L937">
            <v>80</v>
          </cell>
          <cell r="M937">
            <v>17600</v>
          </cell>
          <cell r="N937">
            <v>57273</v>
          </cell>
          <cell r="O937">
            <v>28563</v>
          </cell>
          <cell r="P937">
            <v>16</v>
          </cell>
          <cell r="Q937">
            <v>2</v>
          </cell>
          <cell r="T937">
            <v>6160</v>
          </cell>
          <cell r="U937">
            <v>0</v>
          </cell>
          <cell r="V937">
            <v>6600</v>
          </cell>
          <cell r="W937">
            <v>180</v>
          </cell>
          <cell r="X937">
            <v>5280</v>
          </cell>
          <cell r="Y937">
            <v>102187</v>
          </cell>
          <cell r="Z937">
            <v>7709.7900000000009</v>
          </cell>
          <cell r="AA937">
            <v>4170.2099999999991</v>
          </cell>
          <cell r="AB937">
            <v>219.83033333333333</v>
          </cell>
          <cell r="AC937">
            <v>6600</v>
          </cell>
          <cell r="AD937">
            <v>6221.16</v>
          </cell>
          <cell r="AE937">
            <v>378.84000000000015</v>
          </cell>
          <cell r="AN937" t="str">
            <v xml:space="preserve">Contrato emergencial nº </v>
          </cell>
          <cell r="AO937" t="str">
            <v>CS</v>
          </cell>
        </row>
        <row r="938">
          <cell r="D938" t="str">
            <v>1970/11</v>
          </cell>
          <cell r="E938" t="str">
            <v>12/09/2011</v>
          </cell>
          <cell r="F938">
            <v>40977</v>
          </cell>
          <cell r="G938">
            <v>40877</v>
          </cell>
          <cell r="H938" t="str">
            <v>2011-0.222.363-4</v>
          </cell>
          <cell r="I938">
            <v>31418.52</v>
          </cell>
          <cell r="J938" t="str">
            <v xml:space="preserve">              123651121                 2847                    33903600</v>
          </cell>
          <cell r="K938" t="str">
            <v>12/09/2011</v>
          </cell>
          <cell r="L938">
            <v>80</v>
          </cell>
          <cell r="M938">
            <v>14000</v>
          </cell>
          <cell r="N938">
            <v>57273</v>
          </cell>
          <cell r="O938">
            <v>28565</v>
          </cell>
          <cell r="P938">
            <v>16</v>
          </cell>
          <cell r="Q938">
            <v>2</v>
          </cell>
          <cell r="T938">
            <v>4900</v>
          </cell>
          <cell r="U938">
            <v>0</v>
          </cell>
          <cell r="V938">
            <v>5600</v>
          </cell>
          <cell r="W938">
            <v>180</v>
          </cell>
          <cell r="X938">
            <v>4480</v>
          </cell>
          <cell r="Y938">
            <v>102199</v>
          </cell>
          <cell r="Z938">
            <v>10470.08</v>
          </cell>
          <cell r="AA938">
            <v>-390.07999999999993</v>
          </cell>
          <cell r="AB938">
            <v>174.54733333333334</v>
          </cell>
          <cell r="AC938">
            <v>5300</v>
          </cell>
          <cell r="AD938">
            <v>5520.59</v>
          </cell>
          <cell r="AE938">
            <v>-220.59000000000015</v>
          </cell>
          <cell r="AN938" t="str">
            <v xml:space="preserve">Contrato emergencial nº </v>
          </cell>
          <cell r="AO938" t="str">
            <v>CL</v>
          </cell>
        </row>
        <row r="939">
          <cell r="D939" t="str">
            <v>1971/11</v>
          </cell>
          <cell r="E939" t="str">
            <v>12/09/2011</v>
          </cell>
          <cell r="F939">
            <v>40977</v>
          </cell>
          <cell r="G939">
            <v>40877</v>
          </cell>
          <cell r="H939" t="str">
            <v>2011-0.222.360-0</v>
          </cell>
          <cell r="I939">
            <v>44324.52</v>
          </cell>
          <cell r="J939" t="str">
            <v xml:space="preserve">              123651121                 2847                    33903600</v>
          </cell>
          <cell r="K939" t="str">
            <v>12/09/2011</v>
          </cell>
          <cell r="L939">
            <v>80</v>
          </cell>
          <cell r="M939">
            <v>19700</v>
          </cell>
          <cell r="N939">
            <v>57273</v>
          </cell>
          <cell r="O939">
            <v>28567</v>
          </cell>
          <cell r="P939">
            <v>16</v>
          </cell>
          <cell r="Q939">
            <v>2</v>
          </cell>
          <cell r="T939">
            <v>6895</v>
          </cell>
          <cell r="U939">
            <v>0</v>
          </cell>
          <cell r="V939">
            <v>7400</v>
          </cell>
          <cell r="W939">
            <v>180</v>
          </cell>
          <cell r="X939">
            <v>5920</v>
          </cell>
          <cell r="Y939">
            <v>102524</v>
          </cell>
          <cell r="Z939">
            <v>15600.6</v>
          </cell>
          <cell r="AA939">
            <v>-2280.6000000000004</v>
          </cell>
          <cell r="AB939">
            <v>246.2473333333333</v>
          </cell>
          <cell r="AC939">
            <v>7400</v>
          </cell>
          <cell r="AD939">
            <v>6437.7</v>
          </cell>
          <cell r="AE939">
            <v>962.30000000000018</v>
          </cell>
          <cell r="AN939" t="str">
            <v xml:space="preserve">Contrato emergencial nº </v>
          </cell>
          <cell r="AO939" t="str">
            <v>SM</v>
          </cell>
        </row>
        <row r="940">
          <cell r="D940" t="str">
            <v>1972/11</v>
          </cell>
          <cell r="E940" t="str">
            <v>12/09/2011</v>
          </cell>
          <cell r="F940">
            <v>40977</v>
          </cell>
          <cell r="G940">
            <v>40877</v>
          </cell>
          <cell r="H940" t="str">
            <v>2011-0.222.366-9</v>
          </cell>
          <cell r="I940">
            <v>44324.52</v>
          </cell>
          <cell r="J940" t="str">
            <v xml:space="preserve">              123651121                 2847                    33903600</v>
          </cell>
          <cell r="K940" t="str">
            <v>12/09/2011</v>
          </cell>
          <cell r="L940">
            <v>80</v>
          </cell>
          <cell r="M940">
            <v>19700</v>
          </cell>
          <cell r="N940">
            <v>57273</v>
          </cell>
          <cell r="O940">
            <v>28570</v>
          </cell>
          <cell r="P940">
            <v>16</v>
          </cell>
          <cell r="Q940">
            <v>2</v>
          </cell>
          <cell r="T940">
            <v>6895</v>
          </cell>
          <cell r="U940">
            <v>0</v>
          </cell>
          <cell r="V940">
            <v>7400</v>
          </cell>
          <cell r="W940">
            <v>180</v>
          </cell>
          <cell r="X940">
            <v>5920</v>
          </cell>
          <cell r="Y940">
            <v>102206</v>
          </cell>
          <cell r="Z940">
            <v>8247.68</v>
          </cell>
          <cell r="AA940">
            <v>5072.32</v>
          </cell>
          <cell r="AB940">
            <v>246.2473333333333</v>
          </cell>
          <cell r="AC940">
            <v>7400</v>
          </cell>
          <cell r="AD940">
            <v>7040.920000000001</v>
          </cell>
          <cell r="AE940">
            <v>359.07999999999902</v>
          </cell>
          <cell r="AN940" t="str">
            <v xml:space="preserve">Contrato emergencial nº </v>
          </cell>
          <cell r="AO940" t="str">
            <v>CS</v>
          </cell>
        </row>
        <row r="941">
          <cell r="D941" t="str">
            <v>1973/11</v>
          </cell>
          <cell r="E941" t="str">
            <v>12/09/2011</v>
          </cell>
          <cell r="F941">
            <v>40977</v>
          </cell>
          <cell r="G941">
            <v>40877</v>
          </cell>
          <cell r="H941" t="str">
            <v>2011-0.222.369-3</v>
          </cell>
          <cell r="I941">
            <v>44324.52</v>
          </cell>
          <cell r="J941" t="str">
            <v xml:space="preserve">              123651121                 2847                    33903600</v>
          </cell>
          <cell r="K941" t="str">
            <v>12/09/2011</v>
          </cell>
          <cell r="L941">
            <v>80</v>
          </cell>
          <cell r="M941">
            <v>19700</v>
          </cell>
          <cell r="N941">
            <v>57273</v>
          </cell>
          <cell r="O941">
            <v>29752</v>
          </cell>
          <cell r="P941">
            <v>16</v>
          </cell>
          <cell r="Q941">
            <v>2</v>
          </cell>
          <cell r="T941">
            <v>6895</v>
          </cell>
          <cell r="U941">
            <v>0</v>
          </cell>
          <cell r="V941">
            <v>7400</v>
          </cell>
          <cell r="W941">
            <v>180</v>
          </cell>
          <cell r="X941">
            <v>5920</v>
          </cell>
          <cell r="Y941">
            <v>102487</v>
          </cell>
          <cell r="Z941">
            <v>10459.91</v>
          </cell>
          <cell r="AA941">
            <v>2860.09</v>
          </cell>
          <cell r="AB941">
            <v>246.2473333333333</v>
          </cell>
          <cell r="AC941">
            <v>7400</v>
          </cell>
          <cell r="AD941">
            <v>5678.68</v>
          </cell>
          <cell r="AE941">
            <v>1721.3199999999997</v>
          </cell>
          <cell r="AN941" t="str">
            <v xml:space="preserve">Contrato emergencial nº </v>
          </cell>
          <cell r="AO941" t="str">
            <v>IQ</v>
          </cell>
        </row>
        <row r="942">
          <cell r="D942" t="str">
            <v>1974/11</v>
          </cell>
          <cell r="E942" t="str">
            <v>12/09/2011</v>
          </cell>
          <cell r="F942">
            <v>40977</v>
          </cell>
          <cell r="G942">
            <v>40877</v>
          </cell>
          <cell r="H942" t="str">
            <v>2011-0.222.371-5</v>
          </cell>
          <cell r="I942">
            <v>44324.52</v>
          </cell>
          <cell r="J942" t="str">
            <v xml:space="preserve">              123651121                 2847                    33903600</v>
          </cell>
          <cell r="K942" t="str">
            <v>12/09/2011</v>
          </cell>
          <cell r="L942">
            <v>80</v>
          </cell>
          <cell r="M942">
            <v>19700</v>
          </cell>
          <cell r="N942">
            <v>57273</v>
          </cell>
          <cell r="O942">
            <v>28572</v>
          </cell>
          <cell r="P942">
            <v>16</v>
          </cell>
          <cell r="Q942">
            <v>2</v>
          </cell>
          <cell r="T942">
            <v>6895</v>
          </cell>
          <cell r="U942">
            <v>0</v>
          </cell>
          <cell r="V942">
            <v>7400</v>
          </cell>
          <cell r="W942">
            <v>180</v>
          </cell>
          <cell r="X942">
            <v>5920</v>
          </cell>
          <cell r="Y942">
            <v>102215</v>
          </cell>
          <cell r="Z942">
            <v>9017.5299999999988</v>
          </cell>
          <cell r="AA942">
            <v>4302.4700000000012</v>
          </cell>
          <cell r="AB942">
            <v>246.2473333333333</v>
          </cell>
          <cell r="AC942">
            <v>7400</v>
          </cell>
          <cell r="AD942">
            <v>6605.86</v>
          </cell>
          <cell r="AE942">
            <v>794.14000000000033</v>
          </cell>
          <cell r="AN942" t="str">
            <v xml:space="preserve">Contrato emergencial nº </v>
          </cell>
          <cell r="AO942" t="str">
            <v>CS</v>
          </cell>
        </row>
        <row r="943">
          <cell r="D943" t="str">
            <v>1975/11</v>
          </cell>
          <cell r="E943" t="str">
            <v>12/09/2011</v>
          </cell>
          <cell r="F943">
            <v>40977</v>
          </cell>
          <cell r="G943">
            <v>40877</v>
          </cell>
          <cell r="H943" t="str">
            <v>2011-0.222.374-0</v>
          </cell>
          <cell r="I943">
            <v>44324.52</v>
          </cell>
          <cell r="J943" t="str">
            <v xml:space="preserve">              123651121                 2847                    33903600</v>
          </cell>
          <cell r="K943" t="str">
            <v>12/09/2011</v>
          </cell>
          <cell r="L943">
            <v>80</v>
          </cell>
          <cell r="M943">
            <v>19700</v>
          </cell>
          <cell r="N943">
            <v>57273</v>
          </cell>
          <cell r="O943">
            <v>29753</v>
          </cell>
          <cell r="P943">
            <v>16</v>
          </cell>
          <cell r="Q943">
            <v>2</v>
          </cell>
          <cell r="T943">
            <v>6895</v>
          </cell>
          <cell r="U943">
            <v>0</v>
          </cell>
          <cell r="V943">
            <v>7400</v>
          </cell>
          <cell r="W943">
            <v>180</v>
          </cell>
          <cell r="X943">
            <v>5920</v>
          </cell>
          <cell r="Y943">
            <v>102528</v>
          </cell>
          <cell r="Z943">
            <v>15787.96</v>
          </cell>
          <cell r="AA943">
            <v>-2467.9599999999991</v>
          </cell>
          <cell r="AB943">
            <v>246.2473333333333</v>
          </cell>
          <cell r="AC943">
            <v>7400</v>
          </cell>
          <cell r="AD943">
            <v>6202.9400000000005</v>
          </cell>
          <cell r="AE943">
            <v>1197.0599999999995</v>
          </cell>
          <cell r="AN943" t="str">
            <v xml:space="preserve">Contrato emergencial nº </v>
          </cell>
          <cell r="AO943" t="str">
            <v>SM</v>
          </cell>
        </row>
        <row r="944">
          <cell r="D944" t="str">
            <v>1976/11</v>
          </cell>
          <cell r="E944" t="str">
            <v>12/09/2011</v>
          </cell>
          <cell r="F944">
            <v>40977</v>
          </cell>
          <cell r="G944">
            <v>40877</v>
          </cell>
          <cell r="H944" t="str">
            <v>2011-0.222.377-4</v>
          </cell>
          <cell r="I944">
            <v>38261.760000000002</v>
          </cell>
          <cell r="J944" t="str">
            <v xml:space="preserve">              123651121                 2847                    33903600</v>
          </cell>
          <cell r="K944" t="str">
            <v>12/09/2011</v>
          </cell>
          <cell r="L944">
            <v>80</v>
          </cell>
          <cell r="M944">
            <v>17100</v>
          </cell>
          <cell r="N944">
            <v>57273</v>
          </cell>
          <cell r="O944">
            <v>28576</v>
          </cell>
          <cell r="P944">
            <v>16</v>
          </cell>
          <cell r="Q944">
            <v>2</v>
          </cell>
          <cell r="T944">
            <v>5985</v>
          </cell>
          <cell r="U944">
            <v>0</v>
          </cell>
          <cell r="V944">
            <v>6400</v>
          </cell>
          <cell r="W944">
            <v>180</v>
          </cell>
          <cell r="X944">
            <v>5120</v>
          </cell>
          <cell r="Y944">
            <v>102972</v>
          </cell>
          <cell r="Z944">
            <v>9282.57</v>
          </cell>
          <cell r="AA944">
            <v>2237.4300000000003</v>
          </cell>
          <cell r="AB944">
            <v>212.56533333333334</v>
          </cell>
          <cell r="AC944">
            <v>6400</v>
          </cell>
          <cell r="AD944">
            <v>4908.08</v>
          </cell>
          <cell r="AE944">
            <v>1491.92</v>
          </cell>
          <cell r="AN944" t="str">
            <v xml:space="preserve">Contrato emergencial nº </v>
          </cell>
          <cell r="AO944" t="str">
            <v>G</v>
          </cell>
        </row>
        <row r="945">
          <cell r="D945" t="str">
            <v>1977/11</v>
          </cell>
          <cell r="E945" t="str">
            <v>12/09/2011</v>
          </cell>
          <cell r="F945">
            <v>40977</v>
          </cell>
          <cell r="G945">
            <v>40877</v>
          </cell>
          <cell r="H945" t="str">
            <v>2011-0.222.379-0</v>
          </cell>
          <cell r="I945">
            <v>44978.400000000001</v>
          </cell>
          <cell r="J945" t="str">
            <v xml:space="preserve">              123651121                 2847                    33903600</v>
          </cell>
          <cell r="K945" t="str">
            <v>12/09/2011</v>
          </cell>
          <cell r="L945">
            <v>80</v>
          </cell>
          <cell r="M945">
            <v>20000</v>
          </cell>
          <cell r="N945">
            <v>57273</v>
          </cell>
          <cell r="O945">
            <v>28578</v>
          </cell>
          <cell r="P945">
            <v>16</v>
          </cell>
          <cell r="Q945">
            <v>2</v>
          </cell>
          <cell r="T945">
            <v>7000</v>
          </cell>
          <cell r="U945">
            <v>0</v>
          </cell>
          <cell r="V945">
            <v>7500</v>
          </cell>
          <cell r="W945">
            <v>180</v>
          </cell>
          <cell r="X945">
            <v>6000</v>
          </cell>
          <cell r="Y945">
            <v>102221</v>
          </cell>
          <cell r="Z945">
            <v>9431.89</v>
          </cell>
          <cell r="AA945">
            <v>4068.1100000000006</v>
          </cell>
          <cell r="AB945">
            <v>249.88</v>
          </cell>
          <cell r="AC945">
            <v>7500</v>
          </cell>
          <cell r="AD945">
            <v>6098.3899999999994</v>
          </cell>
          <cell r="AE945">
            <v>1401.6100000000006</v>
          </cell>
          <cell r="AN945" t="str">
            <v xml:space="preserve">Contrato emergencial nº </v>
          </cell>
          <cell r="AO945" t="str">
            <v>CS</v>
          </cell>
        </row>
        <row r="946">
          <cell r="D946" t="str">
            <v>1978/11</v>
          </cell>
          <cell r="E946" t="str">
            <v>12/09/2011</v>
          </cell>
          <cell r="F946">
            <v>40977</v>
          </cell>
          <cell r="G946">
            <v>40877</v>
          </cell>
          <cell r="H946" t="str">
            <v>2011-0.222.381-2</v>
          </cell>
          <cell r="I946">
            <v>42184.92</v>
          </cell>
          <cell r="J946" t="str">
            <v xml:space="preserve">             123671125                  2863                   33903600</v>
          </cell>
          <cell r="K946" t="str">
            <v>12/09/2011</v>
          </cell>
          <cell r="L946">
            <v>80</v>
          </cell>
          <cell r="M946">
            <v>18800</v>
          </cell>
          <cell r="N946">
            <v>57287</v>
          </cell>
          <cell r="O946">
            <v>29756</v>
          </cell>
          <cell r="P946">
            <v>16</v>
          </cell>
          <cell r="Q946">
            <v>4</v>
          </cell>
          <cell r="T946">
            <v>6580</v>
          </cell>
          <cell r="U946">
            <v>0</v>
          </cell>
          <cell r="V946">
            <v>8200</v>
          </cell>
          <cell r="W946">
            <v>180</v>
          </cell>
          <cell r="X946">
            <v>6560</v>
          </cell>
          <cell r="Y946">
            <v>102081</v>
          </cell>
          <cell r="Z946">
            <v>5872.34</v>
          </cell>
          <cell r="AA946">
            <v>8887.66</v>
          </cell>
          <cell r="AB946">
            <v>234.36066666666665</v>
          </cell>
          <cell r="AC946">
            <v>7100</v>
          </cell>
          <cell r="AD946">
            <v>8147.89</v>
          </cell>
          <cell r="AE946">
            <v>-1047.8900000000003</v>
          </cell>
          <cell r="AN946" t="str">
            <v xml:space="preserve">Contrato emergencial nº </v>
          </cell>
          <cell r="AO946" t="str">
            <v>PJ</v>
          </cell>
        </row>
        <row r="947">
          <cell r="D947" t="str">
            <v>1979/11</v>
          </cell>
          <cell r="E947" t="str">
            <v>12/09/2011</v>
          </cell>
          <cell r="F947">
            <v>40977</v>
          </cell>
          <cell r="G947">
            <v>40877</v>
          </cell>
          <cell r="H947" t="str">
            <v>2011-0.222.384-7</v>
          </cell>
          <cell r="I947">
            <v>44324.52</v>
          </cell>
          <cell r="J947" t="str">
            <v xml:space="preserve">              123651121                 2847                    33903600</v>
          </cell>
          <cell r="K947" t="str">
            <v>12/09/2011</v>
          </cell>
          <cell r="L947">
            <v>80</v>
          </cell>
          <cell r="M947">
            <v>19700</v>
          </cell>
          <cell r="N947">
            <v>57273</v>
          </cell>
          <cell r="O947">
            <v>28580</v>
          </cell>
          <cell r="P947">
            <v>16</v>
          </cell>
          <cell r="Q947">
            <v>2</v>
          </cell>
          <cell r="T947">
            <v>6895</v>
          </cell>
          <cell r="U947">
            <v>0</v>
          </cell>
          <cell r="V947">
            <v>7400</v>
          </cell>
          <cell r="W947">
            <v>180</v>
          </cell>
          <cell r="X947">
            <v>5920</v>
          </cell>
          <cell r="Y947">
            <v>102545</v>
          </cell>
          <cell r="Z947">
            <v>9371.5</v>
          </cell>
          <cell r="AA947">
            <v>3948.5</v>
          </cell>
          <cell r="AB947">
            <v>246.2473333333333</v>
          </cell>
          <cell r="AC947">
            <v>7400</v>
          </cell>
          <cell r="AD947">
            <v>6343.1</v>
          </cell>
          <cell r="AE947">
            <v>1056.8999999999996</v>
          </cell>
          <cell r="AN947" t="str">
            <v xml:space="preserve">Contrato emergencial nº </v>
          </cell>
          <cell r="AO947" t="str">
            <v>SM</v>
          </cell>
        </row>
        <row r="948">
          <cell r="D948" t="str">
            <v>1980/11</v>
          </cell>
          <cell r="E948" t="str">
            <v>13/09/2011</v>
          </cell>
          <cell r="F948">
            <v>40978</v>
          </cell>
          <cell r="G948">
            <v>40877</v>
          </cell>
          <cell r="H948" t="str">
            <v>2011-0.222.515-7</v>
          </cell>
          <cell r="I948">
            <v>37607.879999999997</v>
          </cell>
          <cell r="J948" t="str">
            <v xml:space="preserve">              123611122                  2848                    33903600</v>
          </cell>
          <cell r="K948" t="str">
            <v>13/09/2011</v>
          </cell>
          <cell r="L948">
            <v>79</v>
          </cell>
          <cell r="M948">
            <v>16600</v>
          </cell>
          <cell r="N948">
            <v>57278</v>
          </cell>
          <cell r="O948">
            <v>29757</v>
          </cell>
          <cell r="P948">
            <v>16</v>
          </cell>
          <cell r="Q948">
            <v>3</v>
          </cell>
          <cell r="T948">
            <v>5810</v>
          </cell>
          <cell r="U948">
            <v>0</v>
          </cell>
          <cell r="V948">
            <v>6300</v>
          </cell>
          <cell r="W948">
            <v>180</v>
          </cell>
          <cell r="X948">
            <v>5040</v>
          </cell>
          <cell r="Y948">
            <v>102502</v>
          </cell>
          <cell r="Z948">
            <v>8604.8700000000008</v>
          </cell>
          <cell r="AA948">
            <v>2735.1299999999992</v>
          </cell>
          <cell r="AB948">
            <v>208.93266666666665</v>
          </cell>
          <cell r="AC948">
            <v>6300</v>
          </cell>
          <cell r="AD948">
            <v>4997.95</v>
          </cell>
          <cell r="AE948">
            <v>1302.0500000000002</v>
          </cell>
          <cell r="AN948" t="str">
            <v xml:space="preserve">Contrato emergencial nº </v>
          </cell>
          <cell r="AO948" t="str">
            <v>IQ</v>
          </cell>
        </row>
        <row r="949">
          <cell r="D949" t="str">
            <v>1981/11</v>
          </cell>
          <cell r="E949" t="str">
            <v>12/09/2011</v>
          </cell>
          <cell r="F949">
            <v>40977</v>
          </cell>
          <cell r="G949">
            <v>40877</v>
          </cell>
          <cell r="H949" t="str">
            <v>2011-0.222.535-1</v>
          </cell>
          <cell r="I949">
            <v>36092.28</v>
          </cell>
          <cell r="J949" t="str">
            <v xml:space="preserve">              123611122                  2848                    33903600</v>
          </cell>
          <cell r="K949" t="str">
            <v>12/09/2011</v>
          </cell>
          <cell r="L949">
            <v>80</v>
          </cell>
          <cell r="M949">
            <v>16100</v>
          </cell>
          <cell r="N949">
            <v>57278</v>
          </cell>
          <cell r="O949">
            <v>29759</v>
          </cell>
          <cell r="P949">
            <v>16</v>
          </cell>
          <cell r="Q949">
            <v>3</v>
          </cell>
          <cell r="T949">
            <v>5635</v>
          </cell>
          <cell r="U949">
            <v>0</v>
          </cell>
          <cell r="V949">
            <v>6100</v>
          </cell>
          <cell r="W949">
            <v>180</v>
          </cell>
          <cell r="X949">
            <v>4880</v>
          </cell>
          <cell r="Y949">
            <v>102351</v>
          </cell>
          <cell r="Z949">
            <v>12249.28</v>
          </cell>
          <cell r="AA949">
            <v>-1269.2800000000007</v>
          </cell>
          <cell r="AB949">
            <v>200.51266666666666</v>
          </cell>
          <cell r="AC949">
            <v>6100</v>
          </cell>
          <cell r="AD949">
            <v>6096.4400000000005</v>
          </cell>
          <cell r="AE949">
            <v>3.5599999999994907</v>
          </cell>
          <cell r="AN949" t="str">
            <v xml:space="preserve">Contrato emergencial nº </v>
          </cell>
          <cell r="AO949" t="str">
            <v>CL</v>
          </cell>
        </row>
        <row r="950">
          <cell r="D950" t="str">
            <v>1983/11</v>
          </cell>
          <cell r="E950" t="str">
            <v>12/09/2011</v>
          </cell>
          <cell r="F950">
            <v>40977</v>
          </cell>
          <cell r="G950">
            <v>40877</v>
          </cell>
          <cell r="H950" t="str">
            <v>2011-0.222.546-7</v>
          </cell>
          <cell r="I950">
            <v>37607.879999999997</v>
          </cell>
          <cell r="J950" t="str">
            <v xml:space="preserve">              123611122                  2848                    33903600</v>
          </cell>
          <cell r="K950" t="str">
            <v>12/09/2011</v>
          </cell>
          <cell r="L950">
            <v>80</v>
          </cell>
          <cell r="M950">
            <v>16800</v>
          </cell>
          <cell r="N950">
            <v>57278</v>
          </cell>
          <cell r="O950">
            <v>28583</v>
          </cell>
          <cell r="P950">
            <v>16</v>
          </cell>
          <cell r="Q950">
            <v>3</v>
          </cell>
          <cell r="T950">
            <v>5880</v>
          </cell>
          <cell r="U950">
            <v>0</v>
          </cell>
          <cell r="V950">
            <v>6300</v>
          </cell>
          <cell r="W950">
            <v>180</v>
          </cell>
          <cell r="X950">
            <v>5040</v>
          </cell>
          <cell r="Y950">
            <v>103072</v>
          </cell>
          <cell r="Z950">
            <v>8913.2999999999993</v>
          </cell>
          <cell r="AA950">
            <v>2426.7000000000007</v>
          </cell>
          <cell r="AB950">
            <v>208.93266666666665</v>
          </cell>
          <cell r="AC950">
            <v>6300</v>
          </cell>
          <cell r="AD950">
            <v>4853.76</v>
          </cell>
          <cell r="AE950">
            <v>1446.2399999999998</v>
          </cell>
          <cell r="AN950" t="str">
            <v xml:space="preserve">Contrato emergencial nº </v>
          </cell>
          <cell r="AO950" t="str">
            <v>JT</v>
          </cell>
        </row>
        <row r="951">
          <cell r="D951" t="str">
            <v>1984/11</v>
          </cell>
          <cell r="E951" t="str">
            <v>12/09/2011</v>
          </cell>
          <cell r="F951">
            <v>40977</v>
          </cell>
          <cell r="G951">
            <v>40877</v>
          </cell>
          <cell r="H951" t="str">
            <v>2011-0.222.551-3</v>
          </cell>
          <cell r="I951">
            <v>29744.400000000001</v>
          </cell>
          <cell r="J951" t="str">
            <v xml:space="preserve">              123611122                  2848                    33903600</v>
          </cell>
          <cell r="K951" t="str">
            <v>12/09/2011</v>
          </cell>
          <cell r="L951">
            <v>80</v>
          </cell>
          <cell r="M951">
            <v>13300</v>
          </cell>
          <cell r="N951">
            <v>57278</v>
          </cell>
          <cell r="O951">
            <v>29760</v>
          </cell>
          <cell r="P951">
            <v>16</v>
          </cell>
          <cell r="Q951">
            <v>3</v>
          </cell>
          <cell r="T951">
            <v>4655</v>
          </cell>
          <cell r="U951">
            <v>0</v>
          </cell>
          <cell r="V951">
            <v>5000</v>
          </cell>
          <cell r="W951">
            <v>180</v>
          </cell>
          <cell r="X951">
            <v>4000</v>
          </cell>
          <cell r="Y951">
            <v>102326</v>
          </cell>
          <cell r="Z951">
            <v>6732.51</v>
          </cell>
          <cell r="AA951">
            <v>2267.4899999999998</v>
          </cell>
          <cell r="AB951">
            <v>165.24666666666667</v>
          </cell>
          <cell r="AC951">
            <v>5000</v>
          </cell>
          <cell r="AD951">
            <v>4042.0249999999996</v>
          </cell>
          <cell r="AE951">
            <v>957.97500000000036</v>
          </cell>
          <cell r="AN951" t="str">
            <v xml:space="preserve">Contrato emergencial nº </v>
          </cell>
          <cell r="AO951" t="str">
            <v>SA</v>
          </cell>
        </row>
        <row r="952">
          <cell r="D952" t="str">
            <v>1985/11</v>
          </cell>
          <cell r="E952" t="str">
            <v>12/09/2011</v>
          </cell>
          <cell r="F952">
            <v>40977</v>
          </cell>
          <cell r="G952">
            <v>40877</v>
          </cell>
          <cell r="H952" t="str">
            <v>2011-0.222.559-9</v>
          </cell>
          <cell r="I952">
            <v>44978.400000000001</v>
          </cell>
          <cell r="J952" t="str">
            <v xml:space="preserve">              123611122                  2848                    33903600</v>
          </cell>
          <cell r="K952" t="str">
            <v>12/09/2011</v>
          </cell>
          <cell r="L952">
            <v>80</v>
          </cell>
          <cell r="M952">
            <v>20000</v>
          </cell>
          <cell r="N952">
            <v>57278</v>
          </cell>
          <cell r="O952">
            <v>29764</v>
          </cell>
          <cell r="P952">
            <v>16</v>
          </cell>
          <cell r="Q952">
            <v>3</v>
          </cell>
          <cell r="T952">
            <v>7000</v>
          </cell>
          <cell r="U952">
            <v>0</v>
          </cell>
          <cell r="V952">
            <v>7600</v>
          </cell>
          <cell r="W952">
            <v>180</v>
          </cell>
          <cell r="X952">
            <v>6080</v>
          </cell>
          <cell r="Y952">
            <v>102381</v>
          </cell>
          <cell r="Z952">
            <v>15209.19</v>
          </cell>
          <cell r="AA952">
            <v>-1529.1900000000005</v>
          </cell>
          <cell r="AB952">
            <v>249.88</v>
          </cell>
          <cell r="AC952">
            <v>7500</v>
          </cell>
          <cell r="AD952">
            <v>7511.27</v>
          </cell>
          <cell r="AE952">
            <v>-11.270000000000437</v>
          </cell>
          <cell r="AN952" t="str">
            <v xml:space="preserve">Contrato emergencial nº </v>
          </cell>
          <cell r="AO952" t="str">
            <v>CL</v>
          </cell>
        </row>
        <row r="953">
          <cell r="D953" t="str">
            <v>1987/11</v>
          </cell>
          <cell r="E953" t="str">
            <v>12/09/2011</v>
          </cell>
          <cell r="F953">
            <v>40977</v>
          </cell>
          <cell r="G953">
            <v>40877</v>
          </cell>
          <cell r="H953" t="str">
            <v>2011-0.222.569-6</v>
          </cell>
          <cell r="I953">
            <v>29338.26</v>
          </cell>
          <cell r="J953" t="str">
            <v xml:space="preserve">              123611122                  2848                    33903600</v>
          </cell>
          <cell r="K953" t="str">
            <v>12/09/2011</v>
          </cell>
          <cell r="L953">
            <v>80</v>
          </cell>
          <cell r="M953">
            <v>13100</v>
          </cell>
          <cell r="N953">
            <v>57278</v>
          </cell>
          <cell r="O953">
            <v>29766</v>
          </cell>
          <cell r="P953">
            <v>16</v>
          </cell>
          <cell r="Q953">
            <v>3</v>
          </cell>
          <cell r="T953">
            <v>4585</v>
          </cell>
          <cell r="U953">
            <v>0</v>
          </cell>
          <cell r="V953">
            <v>4900</v>
          </cell>
          <cell r="W953">
            <v>180</v>
          </cell>
          <cell r="X953">
            <v>3920</v>
          </cell>
          <cell r="Y953">
            <v>102568</v>
          </cell>
          <cell r="Z953">
            <v>6060.47</v>
          </cell>
          <cell r="AA953">
            <v>2759.5299999999997</v>
          </cell>
          <cell r="AB953">
            <v>162.99033333333333</v>
          </cell>
          <cell r="AC953">
            <v>4900</v>
          </cell>
          <cell r="AD953">
            <v>4316.4400000000005</v>
          </cell>
          <cell r="AE953">
            <v>583.55999999999949</v>
          </cell>
          <cell r="AN953" t="str">
            <v xml:space="preserve">Contrato emergencial nº </v>
          </cell>
          <cell r="AO953" t="str">
            <v>IQ</v>
          </cell>
        </row>
        <row r="954">
          <cell r="D954" t="str">
            <v>1988/11</v>
          </cell>
          <cell r="E954" t="str">
            <v>12/09/2011</v>
          </cell>
          <cell r="F954">
            <v>40977</v>
          </cell>
          <cell r="G954">
            <v>40877</v>
          </cell>
          <cell r="H954" t="str">
            <v>2011-0.222.577-7</v>
          </cell>
          <cell r="I954">
            <v>30150.54</v>
          </cell>
          <cell r="J954" t="str">
            <v xml:space="preserve">              123611122                  2848                    33903600</v>
          </cell>
          <cell r="K954" t="str">
            <v>12/09/2011</v>
          </cell>
          <cell r="L954">
            <v>80</v>
          </cell>
          <cell r="M954">
            <v>13500</v>
          </cell>
          <cell r="N954">
            <v>57278</v>
          </cell>
          <cell r="O954">
            <v>29767</v>
          </cell>
          <cell r="P954">
            <v>16</v>
          </cell>
          <cell r="Q954">
            <v>3</v>
          </cell>
          <cell r="T954">
            <v>4725</v>
          </cell>
          <cell r="U954">
            <v>0</v>
          </cell>
          <cell r="V954">
            <v>5400</v>
          </cell>
          <cell r="W954">
            <v>180</v>
          </cell>
          <cell r="X954">
            <v>4320</v>
          </cell>
          <cell r="Y954">
            <v>102404</v>
          </cell>
          <cell r="Z954">
            <v>10106.85</v>
          </cell>
          <cell r="AA954">
            <v>-386.85000000000036</v>
          </cell>
          <cell r="AB954">
            <v>167.50300000000001</v>
          </cell>
          <cell r="AC954">
            <v>5100</v>
          </cell>
          <cell r="AD954">
            <v>5375.85</v>
          </cell>
          <cell r="AE954">
            <v>-275.85000000000036</v>
          </cell>
          <cell r="AN954" t="str">
            <v xml:space="preserve">Contrato emergencial nº </v>
          </cell>
          <cell r="AO954" t="str">
            <v>CL</v>
          </cell>
        </row>
        <row r="955">
          <cell r="D955" t="str">
            <v>1989/11</v>
          </cell>
          <cell r="E955" t="str">
            <v>12/09/2011</v>
          </cell>
          <cell r="F955">
            <v>40977</v>
          </cell>
          <cell r="G955">
            <v>40877</v>
          </cell>
          <cell r="H955" t="str">
            <v>2011-0.222.588-2</v>
          </cell>
          <cell r="I955">
            <v>44324.52</v>
          </cell>
          <cell r="J955" t="str">
            <v xml:space="preserve">              123611122                  2848                    33903600</v>
          </cell>
          <cell r="K955" t="str">
            <v>12/09/2011</v>
          </cell>
          <cell r="L955">
            <v>80</v>
          </cell>
          <cell r="M955">
            <v>19700</v>
          </cell>
          <cell r="N955">
            <v>57278</v>
          </cell>
          <cell r="O955">
            <v>28587</v>
          </cell>
          <cell r="P955">
            <v>16</v>
          </cell>
          <cell r="Q955">
            <v>3</v>
          </cell>
          <cell r="T955">
            <v>6895</v>
          </cell>
          <cell r="U955">
            <v>0</v>
          </cell>
          <cell r="V955">
            <v>7400</v>
          </cell>
          <cell r="W955">
            <v>180</v>
          </cell>
          <cell r="X955">
            <v>5920</v>
          </cell>
          <cell r="Y955">
            <v>102577</v>
          </cell>
          <cell r="Z955">
            <v>10086.59</v>
          </cell>
          <cell r="AA955">
            <v>3233.41</v>
          </cell>
          <cell r="AB955">
            <v>246.2473333333333</v>
          </cell>
          <cell r="AC955">
            <v>7400</v>
          </cell>
          <cell r="AD955">
            <v>5889.16</v>
          </cell>
          <cell r="AE955">
            <v>1510.8400000000001</v>
          </cell>
          <cell r="AN955" t="str">
            <v xml:space="preserve">Contrato emergencial nº </v>
          </cell>
          <cell r="AO955" t="str">
            <v>IQ</v>
          </cell>
        </row>
        <row r="956">
          <cell r="D956" t="str">
            <v>1990/11</v>
          </cell>
          <cell r="E956" t="str">
            <v>12/09/2011</v>
          </cell>
          <cell r="F956">
            <v>40977</v>
          </cell>
          <cell r="G956">
            <v>40877</v>
          </cell>
          <cell r="H956" t="str">
            <v>2011-0.222.595-5</v>
          </cell>
          <cell r="I956">
            <v>45632.28</v>
          </cell>
          <cell r="J956" t="str">
            <v xml:space="preserve">              123611122                  2848                    33903600</v>
          </cell>
          <cell r="K956" t="str">
            <v>12/09/2011</v>
          </cell>
          <cell r="L956">
            <v>80</v>
          </cell>
          <cell r="M956">
            <v>20300</v>
          </cell>
          <cell r="N956">
            <v>57278</v>
          </cell>
          <cell r="O956">
            <v>28590</v>
          </cell>
          <cell r="P956">
            <v>16</v>
          </cell>
          <cell r="Q956">
            <v>3</v>
          </cell>
          <cell r="T956">
            <v>7105</v>
          </cell>
          <cell r="U956">
            <v>0</v>
          </cell>
          <cell r="V956">
            <v>7700</v>
          </cell>
          <cell r="W956">
            <v>180</v>
          </cell>
          <cell r="X956">
            <v>6160</v>
          </cell>
          <cell r="Y956">
            <v>102347</v>
          </cell>
          <cell r="Z956">
            <v>9137.2800000000007</v>
          </cell>
          <cell r="AA956">
            <v>4722.7199999999993</v>
          </cell>
          <cell r="AB956">
            <v>253.51266666666666</v>
          </cell>
          <cell r="AC956">
            <v>7700</v>
          </cell>
          <cell r="AD956">
            <v>6875.57</v>
          </cell>
          <cell r="AE956">
            <v>824.43000000000029</v>
          </cell>
          <cell r="AN956" t="str">
            <v xml:space="preserve">Contrato emergencial nº </v>
          </cell>
          <cell r="AO956" t="str">
            <v>SA</v>
          </cell>
        </row>
        <row r="957">
          <cell r="D957" t="str">
            <v>1991/11</v>
          </cell>
          <cell r="E957" t="str">
            <v>12/09/2011</v>
          </cell>
          <cell r="F957">
            <v>40977</v>
          </cell>
          <cell r="G957">
            <v>40877</v>
          </cell>
          <cell r="H957" t="str">
            <v>2011-0.222.598-0</v>
          </cell>
          <cell r="I957">
            <v>44324.52</v>
          </cell>
          <cell r="J957" t="str">
            <v xml:space="preserve">              123611122                  2848                    33903600</v>
          </cell>
          <cell r="K957" t="str">
            <v>12/09/2011</v>
          </cell>
          <cell r="L957">
            <v>80</v>
          </cell>
          <cell r="M957">
            <v>19700</v>
          </cell>
          <cell r="N957">
            <v>57278</v>
          </cell>
          <cell r="O957">
            <v>28594</v>
          </cell>
          <cell r="P957">
            <v>16</v>
          </cell>
          <cell r="Q957">
            <v>3</v>
          </cell>
          <cell r="T957">
            <v>6895</v>
          </cell>
          <cell r="U957">
            <v>0</v>
          </cell>
          <cell r="V957">
            <v>7400</v>
          </cell>
          <cell r="W957">
            <v>180</v>
          </cell>
          <cell r="X957">
            <v>5920</v>
          </cell>
          <cell r="Y957">
            <v>102352</v>
          </cell>
          <cell r="Z957">
            <v>9954.94</v>
          </cell>
          <cell r="AA957">
            <v>3365.0599999999995</v>
          </cell>
          <cell r="AB957">
            <v>246.2473333333333</v>
          </cell>
          <cell r="AC957">
            <v>7400</v>
          </cell>
          <cell r="AD957">
            <v>6000.4499999999989</v>
          </cell>
          <cell r="AE957">
            <v>1399.5500000000011</v>
          </cell>
          <cell r="AN957" t="str">
            <v xml:space="preserve">Contrato emergencial nº </v>
          </cell>
          <cell r="AO957" t="str">
            <v>SA</v>
          </cell>
        </row>
        <row r="958">
          <cell r="D958" t="str">
            <v>1992/11</v>
          </cell>
          <cell r="E958" t="str">
            <v>12/09/2011</v>
          </cell>
          <cell r="F958">
            <v>40977</v>
          </cell>
          <cell r="G958">
            <v>40877</v>
          </cell>
          <cell r="H958" t="str">
            <v>2011-0.222.605-6</v>
          </cell>
          <cell r="I958">
            <v>43670.7</v>
          </cell>
          <cell r="J958" t="str">
            <v xml:space="preserve">              123611122                  2848                    33903600</v>
          </cell>
          <cell r="K958" t="str">
            <v>12/09/2011</v>
          </cell>
          <cell r="L958">
            <v>80</v>
          </cell>
          <cell r="M958">
            <v>19500</v>
          </cell>
          <cell r="N958">
            <v>57278</v>
          </cell>
          <cell r="O958">
            <v>28596</v>
          </cell>
          <cell r="P958">
            <v>16</v>
          </cell>
          <cell r="Q958">
            <v>3</v>
          </cell>
          <cell r="T958">
            <v>6825</v>
          </cell>
          <cell r="U958">
            <v>0</v>
          </cell>
          <cell r="V958">
            <v>7300</v>
          </cell>
          <cell r="W958">
            <v>180</v>
          </cell>
          <cell r="X958">
            <v>5840</v>
          </cell>
          <cell r="Y958">
            <v>102489</v>
          </cell>
          <cell r="Z958">
            <v>8431.2800000000007</v>
          </cell>
          <cell r="AA958">
            <v>4708.7199999999993</v>
          </cell>
          <cell r="AB958">
            <v>242.61499999999998</v>
          </cell>
          <cell r="AC958">
            <v>7300</v>
          </cell>
          <cell r="AD958">
            <v>6874.6900000000005</v>
          </cell>
          <cell r="AE958">
            <v>425.30999999999949</v>
          </cell>
          <cell r="AN958" t="str">
            <v xml:space="preserve">Contrato emergencial nº </v>
          </cell>
          <cell r="AO958" t="str">
            <v>IP</v>
          </cell>
        </row>
        <row r="959">
          <cell r="D959" t="str">
            <v>1993/11</v>
          </cell>
          <cell r="E959" t="str">
            <v>12/09/2011</v>
          </cell>
          <cell r="F959">
            <v>40977</v>
          </cell>
          <cell r="G959">
            <v>40877</v>
          </cell>
          <cell r="H959" t="str">
            <v>2011-0.222.614-5</v>
          </cell>
          <cell r="I959">
            <v>44324.52</v>
          </cell>
          <cell r="J959" t="str">
            <v xml:space="preserve">              123611122                  2848                    33903600</v>
          </cell>
          <cell r="K959" t="str">
            <v>12/09/2011</v>
          </cell>
          <cell r="L959">
            <v>80</v>
          </cell>
          <cell r="M959">
            <v>19700</v>
          </cell>
          <cell r="N959">
            <v>57278</v>
          </cell>
          <cell r="O959">
            <v>29769</v>
          </cell>
          <cell r="P959">
            <v>16</v>
          </cell>
          <cell r="Q959">
            <v>3</v>
          </cell>
          <cell r="T959">
            <v>6895</v>
          </cell>
          <cell r="U959">
            <v>0</v>
          </cell>
          <cell r="V959">
            <v>7400</v>
          </cell>
          <cell r="W959">
            <v>180</v>
          </cell>
          <cell r="X959">
            <v>5920</v>
          </cell>
          <cell r="Y959">
            <v>102586</v>
          </cell>
          <cell r="Z959">
            <v>8388.2000000000007</v>
          </cell>
          <cell r="AA959">
            <v>4931.7999999999993</v>
          </cell>
          <cell r="AB959">
            <v>246.2473333333333</v>
          </cell>
          <cell r="AC959">
            <v>7400</v>
          </cell>
          <cell r="AD959">
            <v>7085.7449999999999</v>
          </cell>
          <cell r="AE959">
            <v>314.25500000000011</v>
          </cell>
          <cell r="AN959" t="str">
            <v xml:space="preserve">Contrato emergencial nº </v>
          </cell>
          <cell r="AO959" t="str">
            <v>IQ</v>
          </cell>
        </row>
        <row r="960">
          <cell r="D960" t="str">
            <v>1994/11</v>
          </cell>
          <cell r="E960" t="str">
            <v>12/09/2011</v>
          </cell>
          <cell r="F960">
            <v>40977</v>
          </cell>
          <cell r="G960">
            <v>40877</v>
          </cell>
          <cell r="H960" t="str">
            <v>2011-0.222.751-6</v>
          </cell>
          <cell r="I960">
            <v>44324.52</v>
          </cell>
          <cell r="J960" t="str">
            <v xml:space="preserve">              123611122                  2848                    33903600</v>
          </cell>
          <cell r="K960" t="str">
            <v>12/09/2011</v>
          </cell>
          <cell r="L960">
            <v>80</v>
          </cell>
          <cell r="M960">
            <v>19700</v>
          </cell>
          <cell r="N960">
            <v>57278</v>
          </cell>
          <cell r="O960">
            <v>29771</v>
          </cell>
          <cell r="P960">
            <v>16</v>
          </cell>
          <cell r="Q960">
            <v>3</v>
          </cell>
          <cell r="T960">
            <v>6895</v>
          </cell>
          <cell r="U960">
            <v>0</v>
          </cell>
          <cell r="V960">
            <v>7400</v>
          </cell>
          <cell r="W960">
            <v>180</v>
          </cell>
          <cell r="X960">
            <v>5920</v>
          </cell>
          <cell r="Y960">
            <v>103146</v>
          </cell>
          <cell r="Z960">
            <v>8091.68</v>
          </cell>
          <cell r="AA960">
            <v>5228.32</v>
          </cell>
          <cell r="AB960">
            <v>246.2473333333333</v>
          </cell>
          <cell r="AC960">
            <v>7400</v>
          </cell>
          <cell r="AD960">
            <v>7123.420000000001</v>
          </cell>
          <cell r="AE960">
            <v>276.57999999999902</v>
          </cell>
          <cell r="AN960" t="str">
            <v xml:space="preserve">Contrato emergencial nº </v>
          </cell>
          <cell r="AO960" t="str">
            <v>G</v>
          </cell>
        </row>
        <row r="961">
          <cell r="D961" t="str">
            <v>1995/11</v>
          </cell>
          <cell r="E961" t="str">
            <v>12/09/2011</v>
          </cell>
          <cell r="F961">
            <v>40977</v>
          </cell>
          <cell r="G961">
            <v>40877</v>
          </cell>
          <cell r="H961" t="str">
            <v>2011-0.222.755-9</v>
          </cell>
          <cell r="I961">
            <v>42184.92</v>
          </cell>
          <cell r="J961" t="str">
            <v xml:space="preserve">             123671125                  2863                   33903600</v>
          </cell>
          <cell r="K961" t="str">
            <v>12/09/2011</v>
          </cell>
          <cell r="L961">
            <v>80</v>
          </cell>
          <cell r="M961">
            <v>18800</v>
          </cell>
          <cell r="N961">
            <v>57287</v>
          </cell>
          <cell r="O961">
            <v>28600</v>
          </cell>
          <cell r="P961">
            <v>16</v>
          </cell>
          <cell r="Q961">
            <v>4</v>
          </cell>
          <cell r="T961">
            <v>6580</v>
          </cell>
          <cell r="U961">
            <v>0</v>
          </cell>
          <cell r="V961">
            <v>7100</v>
          </cell>
          <cell r="W961">
            <v>180</v>
          </cell>
          <cell r="X961">
            <v>5680</v>
          </cell>
          <cell r="Y961">
            <v>102392</v>
          </cell>
          <cell r="Z961">
            <v>7751.4</v>
          </cell>
          <cell r="AA961">
            <v>5028.6000000000004</v>
          </cell>
          <cell r="AB961">
            <v>234.36066666666665</v>
          </cell>
          <cell r="AC961">
            <v>7100</v>
          </cell>
          <cell r="AD961">
            <v>6794.8950000000013</v>
          </cell>
          <cell r="AE961">
            <v>305.10499999999865</v>
          </cell>
          <cell r="AN961" t="str">
            <v xml:space="preserve">Contrato emergencial nº </v>
          </cell>
          <cell r="AO961" t="str">
            <v>SA</v>
          </cell>
        </row>
        <row r="962">
          <cell r="D962" t="str">
            <v>1996/11</v>
          </cell>
          <cell r="E962" t="str">
            <v>12/09/2011</v>
          </cell>
          <cell r="F962">
            <v>40977</v>
          </cell>
          <cell r="G962">
            <v>40877</v>
          </cell>
          <cell r="H962" t="str">
            <v>2011-0.222.760-5</v>
          </cell>
          <cell r="I962">
            <v>29744.400000000001</v>
          </cell>
          <cell r="J962" t="str">
            <v xml:space="preserve">              123611122                  2848                    33903600</v>
          </cell>
          <cell r="K962" t="str">
            <v>12/09/2011</v>
          </cell>
          <cell r="L962">
            <v>80</v>
          </cell>
          <cell r="M962">
            <v>13300</v>
          </cell>
          <cell r="N962">
            <v>57278</v>
          </cell>
          <cell r="O962">
            <v>28603</v>
          </cell>
          <cell r="P962">
            <v>16</v>
          </cell>
          <cell r="Q962">
            <v>3</v>
          </cell>
          <cell r="T962">
            <v>4655</v>
          </cell>
          <cell r="U962">
            <v>0</v>
          </cell>
          <cell r="V962">
            <v>5200</v>
          </cell>
          <cell r="W962">
            <v>180</v>
          </cell>
          <cell r="X962">
            <v>4160</v>
          </cell>
          <cell r="Y962">
            <v>102398</v>
          </cell>
          <cell r="Z962">
            <v>4951.2299999999996</v>
          </cell>
          <cell r="AA962">
            <v>4408.7700000000004</v>
          </cell>
          <cell r="AB962">
            <v>165.24666666666667</v>
          </cell>
          <cell r="AC962">
            <v>5000</v>
          </cell>
          <cell r="AD962">
            <v>5198.1099999999997</v>
          </cell>
          <cell r="AE962">
            <v>-198.10999999999967</v>
          </cell>
          <cell r="AN962" t="str">
            <v xml:space="preserve">Contrato emergencial nº </v>
          </cell>
          <cell r="AO962" t="str">
            <v>SA</v>
          </cell>
        </row>
        <row r="963">
          <cell r="D963" t="str">
            <v>1997/11</v>
          </cell>
          <cell r="E963" t="str">
            <v>12/09/2011</v>
          </cell>
          <cell r="F963">
            <v>40977</v>
          </cell>
          <cell r="G963">
            <v>40877</v>
          </cell>
          <cell r="H963" t="str">
            <v>2011-0.222.767-2</v>
          </cell>
          <cell r="I963">
            <v>30150.54</v>
          </cell>
          <cell r="J963" t="str">
            <v xml:space="preserve">              123611122                  2848                    33903600</v>
          </cell>
          <cell r="K963" t="str">
            <v>12/09/2011</v>
          </cell>
          <cell r="L963">
            <v>80</v>
          </cell>
          <cell r="M963">
            <v>13500</v>
          </cell>
          <cell r="N963">
            <v>57278</v>
          </cell>
          <cell r="O963">
            <v>28606</v>
          </cell>
          <cell r="P963">
            <v>16</v>
          </cell>
          <cell r="Q963">
            <v>3</v>
          </cell>
          <cell r="T963">
            <v>4725</v>
          </cell>
          <cell r="U963">
            <v>0</v>
          </cell>
          <cell r="V963">
            <v>5100</v>
          </cell>
          <cell r="W963">
            <v>180</v>
          </cell>
          <cell r="X963">
            <v>4080</v>
          </cell>
          <cell r="Y963">
            <v>102608</v>
          </cell>
          <cell r="Z963">
            <v>7132.61</v>
          </cell>
          <cell r="AA963">
            <v>2047.3900000000003</v>
          </cell>
          <cell r="AB963">
            <v>167.50300000000001</v>
          </cell>
          <cell r="AC963">
            <v>5100</v>
          </cell>
          <cell r="AD963">
            <v>3916.9100000000003</v>
          </cell>
          <cell r="AE963">
            <v>1183.0899999999997</v>
          </cell>
          <cell r="AN963" t="str">
            <v xml:space="preserve">Contrato emergencial nº </v>
          </cell>
          <cell r="AO963" t="str">
            <v>IQ</v>
          </cell>
        </row>
        <row r="964">
          <cell r="D964" t="str">
            <v>1999/11</v>
          </cell>
          <cell r="E964" t="str">
            <v>12/09/2011</v>
          </cell>
          <cell r="F964">
            <v>40977</v>
          </cell>
          <cell r="G964">
            <v>40877</v>
          </cell>
          <cell r="H964" t="str">
            <v>2011-0.222.776-1</v>
          </cell>
          <cell r="I964">
            <v>31824.66</v>
          </cell>
          <cell r="J964" t="str">
            <v xml:space="preserve">              123651121                 2847                    33903600</v>
          </cell>
          <cell r="K964" t="str">
            <v>12/09/2011</v>
          </cell>
          <cell r="L964">
            <v>80</v>
          </cell>
          <cell r="M964">
            <v>14200</v>
          </cell>
          <cell r="N964">
            <v>57273</v>
          </cell>
          <cell r="O964">
            <v>29772</v>
          </cell>
          <cell r="P964">
            <v>16</v>
          </cell>
          <cell r="Q964">
            <v>2</v>
          </cell>
          <cell r="T964">
            <v>4970</v>
          </cell>
          <cell r="U964">
            <v>0</v>
          </cell>
          <cell r="V964">
            <v>5400</v>
          </cell>
          <cell r="W964">
            <v>180</v>
          </cell>
          <cell r="X964">
            <v>4320</v>
          </cell>
          <cell r="Y964">
            <v>102228</v>
          </cell>
          <cell r="Z964">
            <v>10660.96</v>
          </cell>
          <cell r="AA964">
            <v>-940.95999999999913</v>
          </cell>
          <cell r="AB964">
            <v>176.80366666666666</v>
          </cell>
          <cell r="AC964">
            <v>5400</v>
          </cell>
          <cell r="AD964">
            <v>4836.32</v>
          </cell>
          <cell r="AE964">
            <v>563.68000000000029</v>
          </cell>
          <cell r="AN964" t="str">
            <v xml:space="preserve">Contrato emergencial nº </v>
          </cell>
          <cell r="AO964" t="str">
            <v>CL</v>
          </cell>
        </row>
        <row r="965">
          <cell r="D965" t="str">
            <v>2001/11</v>
          </cell>
          <cell r="E965" t="str">
            <v>12/09/2011</v>
          </cell>
          <cell r="F965">
            <v>40977</v>
          </cell>
          <cell r="G965">
            <v>40877</v>
          </cell>
          <cell r="H965" t="str">
            <v>2011-0.222.780-0</v>
          </cell>
          <cell r="I965">
            <v>37607.879999999997</v>
          </cell>
          <cell r="J965" t="str">
            <v xml:space="preserve">              123651121                 2847                    33903600</v>
          </cell>
          <cell r="K965" t="str">
            <v>12/09/2011</v>
          </cell>
          <cell r="L965">
            <v>80</v>
          </cell>
          <cell r="M965">
            <v>16800</v>
          </cell>
          <cell r="N965">
            <v>57273</v>
          </cell>
          <cell r="O965">
            <v>29774</v>
          </cell>
          <cell r="P965">
            <v>16</v>
          </cell>
          <cell r="Q965">
            <v>2</v>
          </cell>
          <cell r="T965">
            <v>5880</v>
          </cell>
          <cell r="U965">
            <v>0</v>
          </cell>
          <cell r="V965">
            <v>6300</v>
          </cell>
          <cell r="W965">
            <v>180</v>
          </cell>
          <cell r="X965">
            <v>5040</v>
          </cell>
          <cell r="Y965">
            <v>102937</v>
          </cell>
          <cell r="Z965">
            <v>8507.4599999999991</v>
          </cell>
          <cell r="AA965">
            <v>2832.5400000000009</v>
          </cell>
          <cell r="AB965">
            <v>208.93266666666665</v>
          </cell>
          <cell r="AC965">
            <v>6300</v>
          </cell>
          <cell r="AD965">
            <v>5100.74</v>
          </cell>
          <cell r="AE965">
            <v>1199.2600000000002</v>
          </cell>
          <cell r="AN965" t="str">
            <v xml:space="preserve">Contrato emergencial nº </v>
          </cell>
          <cell r="AO965" t="str">
            <v>G</v>
          </cell>
        </row>
        <row r="966">
          <cell r="D966" t="str">
            <v>2002/11</v>
          </cell>
          <cell r="E966" t="str">
            <v>12/09/2011</v>
          </cell>
          <cell r="F966">
            <v>40977</v>
          </cell>
          <cell r="G966">
            <v>40877</v>
          </cell>
          <cell r="H966" t="str">
            <v>2011-0.222.785-0</v>
          </cell>
          <cell r="I966">
            <v>44324.52</v>
          </cell>
          <cell r="J966" t="str">
            <v xml:space="preserve">              123651121                 2847                    33903600</v>
          </cell>
          <cell r="K966" t="str">
            <v>12/09/2011</v>
          </cell>
          <cell r="L966">
            <v>80</v>
          </cell>
          <cell r="M966">
            <v>19700</v>
          </cell>
          <cell r="N966">
            <v>57273</v>
          </cell>
          <cell r="O966">
            <v>29775</v>
          </cell>
          <cell r="P966">
            <v>16</v>
          </cell>
          <cell r="Q966">
            <v>2</v>
          </cell>
          <cell r="T966">
            <v>6895</v>
          </cell>
          <cell r="U966">
            <v>0</v>
          </cell>
          <cell r="V966">
            <v>7400</v>
          </cell>
          <cell r="W966">
            <v>180</v>
          </cell>
          <cell r="X966">
            <v>5920</v>
          </cell>
          <cell r="Y966">
            <v>102951</v>
          </cell>
          <cell r="Z966">
            <v>8850.0300000000007</v>
          </cell>
          <cell r="AA966">
            <v>4469.9699999999993</v>
          </cell>
          <cell r="AB966">
            <v>246.2473333333333</v>
          </cell>
          <cell r="AC966">
            <v>7400</v>
          </cell>
          <cell r="AD966">
            <v>5911.16</v>
          </cell>
          <cell r="AE966">
            <v>1488.8400000000001</v>
          </cell>
          <cell r="AN966" t="str">
            <v xml:space="preserve">Contrato emergencial nº </v>
          </cell>
          <cell r="AO966" t="str">
            <v>G</v>
          </cell>
        </row>
        <row r="967">
          <cell r="D967" t="str">
            <v>2003/11</v>
          </cell>
          <cell r="E967" t="str">
            <v>12/09/2011</v>
          </cell>
          <cell r="F967">
            <v>40977</v>
          </cell>
          <cell r="G967">
            <v>40877</v>
          </cell>
          <cell r="H967" t="str">
            <v>2011-0.222.791-5</v>
          </cell>
          <cell r="I967">
            <v>37607.879999999997</v>
          </cell>
          <cell r="J967" t="str">
            <v xml:space="preserve">              123651121                 2847                    33903600</v>
          </cell>
          <cell r="K967" t="str">
            <v>12/09/2011</v>
          </cell>
          <cell r="L967">
            <v>80</v>
          </cell>
          <cell r="M967">
            <v>16800</v>
          </cell>
          <cell r="N967">
            <v>57273</v>
          </cell>
          <cell r="O967">
            <v>29776</v>
          </cell>
          <cell r="P967">
            <v>16</v>
          </cell>
          <cell r="Q967">
            <v>2</v>
          </cell>
          <cell r="T967">
            <v>5880</v>
          </cell>
          <cell r="U967">
            <v>0</v>
          </cell>
          <cell r="V967">
            <v>6300</v>
          </cell>
          <cell r="W967">
            <v>180</v>
          </cell>
          <cell r="X967">
            <v>5040</v>
          </cell>
          <cell r="Y967">
            <v>102498</v>
          </cell>
          <cell r="Z967">
            <v>8787.9599999999991</v>
          </cell>
          <cell r="AA967">
            <v>2552.0400000000009</v>
          </cell>
          <cell r="AB967">
            <v>208.93266666666665</v>
          </cell>
          <cell r="AC967">
            <v>6300</v>
          </cell>
          <cell r="AD967">
            <v>4919.24</v>
          </cell>
          <cell r="AE967">
            <v>1380.7600000000002</v>
          </cell>
          <cell r="AN967" t="str">
            <v xml:space="preserve">Contrato emergencial nº </v>
          </cell>
          <cell r="AO967" t="str">
            <v>IQ</v>
          </cell>
        </row>
        <row r="968">
          <cell r="D968" t="str">
            <v>2004/11</v>
          </cell>
          <cell r="E968" t="str">
            <v>12/09/2011</v>
          </cell>
          <cell r="F968">
            <v>40977</v>
          </cell>
          <cell r="G968">
            <v>40877</v>
          </cell>
          <cell r="H968" t="str">
            <v>2011-0.222.797-4</v>
          </cell>
          <cell r="I968">
            <v>44324.52</v>
          </cell>
          <cell r="J968" t="str">
            <v xml:space="preserve">              123651121                 2847                    33903600</v>
          </cell>
          <cell r="K968" t="str">
            <v>12/09/2011</v>
          </cell>
          <cell r="L968">
            <v>80</v>
          </cell>
          <cell r="M968">
            <v>19700</v>
          </cell>
          <cell r="N968">
            <v>57273</v>
          </cell>
          <cell r="O968">
            <v>29777</v>
          </cell>
          <cell r="P968">
            <v>16</v>
          </cell>
          <cell r="Q968">
            <v>2</v>
          </cell>
          <cell r="T968">
            <v>6895</v>
          </cell>
          <cell r="U968">
            <v>0</v>
          </cell>
          <cell r="V968">
            <v>7400</v>
          </cell>
          <cell r="W968">
            <v>180</v>
          </cell>
          <cell r="X968">
            <v>5920</v>
          </cell>
          <cell r="Y968">
            <v>102255</v>
          </cell>
          <cell r="Z968">
            <v>7798.23</v>
          </cell>
          <cell r="AA968">
            <v>5521.77</v>
          </cell>
          <cell r="AB968">
            <v>246.2473333333333</v>
          </cell>
          <cell r="AC968">
            <v>7400</v>
          </cell>
          <cell r="AD968">
            <v>7303.9400000000005</v>
          </cell>
          <cell r="AE968">
            <v>96.059999999999491</v>
          </cell>
          <cell r="AN968" t="str">
            <v xml:space="preserve">Contrato emergencial nº </v>
          </cell>
          <cell r="AO968" t="str">
            <v>CS</v>
          </cell>
        </row>
        <row r="969">
          <cell r="D969" t="str">
            <v>2005/11</v>
          </cell>
          <cell r="E969" t="str">
            <v>12/09/2011</v>
          </cell>
          <cell r="F969">
            <v>40977</v>
          </cell>
          <cell r="G969">
            <v>40877</v>
          </cell>
          <cell r="H969" t="str">
            <v>2011-0.223.191-2</v>
          </cell>
          <cell r="I969">
            <v>40223.339999999997</v>
          </cell>
          <cell r="J969" t="str">
            <v xml:space="preserve">              123651121                 2847                    33903600</v>
          </cell>
          <cell r="K969" t="str">
            <v>12/09/2011</v>
          </cell>
          <cell r="L969">
            <v>80</v>
          </cell>
          <cell r="M969">
            <v>17900</v>
          </cell>
          <cell r="N969">
            <v>57273</v>
          </cell>
          <cell r="O969">
            <v>28611</v>
          </cell>
          <cell r="P969">
            <v>16</v>
          </cell>
          <cell r="Q969">
            <v>2</v>
          </cell>
          <cell r="T969">
            <v>6265</v>
          </cell>
          <cell r="U969">
            <v>0</v>
          </cell>
          <cell r="V969">
            <v>6800</v>
          </cell>
          <cell r="W969">
            <v>180</v>
          </cell>
          <cell r="X969">
            <v>5440</v>
          </cell>
          <cell r="Y969">
            <v>103116</v>
          </cell>
          <cell r="Z969">
            <v>8895.4699999999993</v>
          </cell>
          <cell r="AA969">
            <v>3344.5300000000007</v>
          </cell>
          <cell r="AB969">
            <v>223.46299999999999</v>
          </cell>
          <cell r="AC969">
            <v>6800</v>
          </cell>
          <cell r="AD969">
            <v>5536.65</v>
          </cell>
          <cell r="AE969">
            <v>1263.3500000000004</v>
          </cell>
          <cell r="AN969" t="str">
            <v xml:space="preserve">Contrato emergencial nº </v>
          </cell>
          <cell r="AO969" t="str">
            <v>G</v>
          </cell>
        </row>
        <row r="970">
          <cell r="D970" t="str">
            <v>2006/11</v>
          </cell>
          <cell r="E970" t="str">
            <v>12/09/2011</v>
          </cell>
          <cell r="F970">
            <v>40977</v>
          </cell>
          <cell r="G970">
            <v>40877</v>
          </cell>
          <cell r="H970" t="str">
            <v>2011-0.223.198-0</v>
          </cell>
          <cell r="I970">
            <v>44324.52</v>
          </cell>
          <cell r="J970" t="str">
            <v xml:space="preserve">              123611122                  2848                    33903600</v>
          </cell>
          <cell r="K970" t="str">
            <v>12/09/2011</v>
          </cell>
          <cell r="L970">
            <v>80</v>
          </cell>
          <cell r="M970">
            <v>19700</v>
          </cell>
          <cell r="N970">
            <v>57278</v>
          </cell>
          <cell r="O970">
            <v>28612</v>
          </cell>
          <cell r="P970">
            <v>16</v>
          </cell>
          <cell r="Q970">
            <v>3</v>
          </cell>
          <cell r="T970">
            <v>6895</v>
          </cell>
          <cell r="U970">
            <v>0</v>
          </cell>
          <cell r="V970">
            <v>7400</v>
          </cell>
          <cell r="W970">
            <v>180</v>
          </cell>
          <cell r="X970">
            <v>5920</v>
          </cell>
          <cell r="Y970">
            <v>102292</v>
          </cell>
          <cell r="Z970">
            <v>9086.67</v>
          </cell>
          <cell r="AA970">
            <v>4233.33</v>
          </cell>
          <cell r="AB970">
            <v>246.2473333333333</v>
          </cell>
          <cell r="AC970">
            <v>7400</v>
          </cell>
          <cell r="AD970">
            <v>6518.12</v>
          </cell>
          <cell r="AE970">
            <v>881.88000000000011</v>
          </cell>
          <cell r="AN970" t="str">
            <v xml:space="preserve">Contrato emergencial nº </v>
          </cell>
          <cell r="AO970" t="str">
            <v>CS</v>
          </cell>
        </row>
        <row r="971">
          <cell r="D971" t="str">
            <v>2007/11</v>
          </cell>
          <cell r="E971" t="str">
            <v>12/09/2011</v>
          </cell>
          <cell r="F971">
            <v>40977</v>
          </cell>
          <cell r="G971">
            <v>40877</v>
          </cell>
          <cell r="H971" t="str">
            <v>2011-0.223.208-0</v>
          </cell>
          <cell r="I971">
            <v>32379.48</v>
          </cell>
          <cell r="J971" t="str">
            <v xml:space="preserve">              123611122                  2848                    33903600</v>
          </cell>
          <cell r="K971" t="str">
            <v>12/09/2011</v>
          </cell>
          <cell r="L971">
            <v>80</v>
          </cell>
          <cell r="M971">
            <v>14400</v>
          </cell>
          <cell r="N971">
            <v>57278</v>
          </cell>
          <cell r="O971">
            <v>28614</v>
          </cell>
          <cell r="P971">
            <v>16</v>
          </cell>
          <cell r="Q971">
            <v>3</v>
          </cell>
          <cell r="T971">
            <v>5040</v>
          </cell>
          <cell r="U971">
            <v>0</v>
          </cell>
          <cell r="V971">
            <v>5400</v>
          </cell>
          <cell r="W971">
            <v>180</v>
          </cell>
          <cell r="X971">
            <v>4320</v>
          </cell>
          <cell r="Y971">
            <v>102293</v>
          </cell>
          <cell r="Z971">
            <v>5508.27</v>
          </cell>
          <cell r="AA971">
            <v>4211.7299999999996</v>
          </cell>
          <cell r="AB971">
            <v>179.886</v>
          </cell>
          <cell r="AC971">
            <v>5400</v>
          </cell>
          <cell r="AD971">
            <v>5105.08</v>
          </cell>
          <cell r="AE971">
            <v>294.92000000000007</v>
          </cell>
          <cell r="AN971" t="str">
            <v xml:space="preserve">Contrato emergencial nº </v>
          </cell>
          <cell r="AO971" t="str">
            <v>CS</v>
          </cell>
        </row>
        <row r="972">
          <cell r="D972" t="str">
            <v>2008/11</v>
          </cell>
          <cell r="E972" t="str">
            <v>12/09/2011</v>
          </cell>
          <cell r="F972">
            <v>40977</v>
          </cell>
          <cell r="G972">
            <v>40877</v>
          </cell>
          <cell r="H972" t="str">
            <v>2011-0.223.213-7</v>
          </cell>
          <cell r="I972">
            <v>40877.160000000003</v>
          </cell>
          <cell r="J972" t="str">
            <v xml:space="preserve">             123671125                  2863                   33903600</v>
          </cell>
          <cell r="K972" t="str">
            <v>12/09/2011</v>
          </cell>
          <cell r="L972">
            <v>80</v>
          </cell>
          <cell r="M972">
            <v>18200</v>
          </cell>
          <cell r="N972">
            <v>57287</v>
          </cell>
          <cell r="O972">
            <v>28617</v>
          </cell>
          <cell r="P972">
            <v>16</v>
          </cell>
          <cell r="Q972">
            <v>4</v>
          </cell>
          <cell r="T972">
            <v>6370</v>
          </cell>
          <cell r="U972">
            <v>0</v>
          </cell>
          <cell r="V972">
            <v>6900</v>
          </cell>
          <cell r="W972">
            <v>180</v>
          </cell>
          <cell r="X972">
            <v>5520</v>
          </cell>
          <cell r="Y972">
            <v>102309</v>
          </cell>
          <cell r="Z972">
            <v>7494.81</v>
          </cell>
          <cell r="AA972">
            <v>4925.1899999999996</v>
          </cell>
          <cell r="AB972">
            <v>227.09533333333334</v>
          </cell>
          <cell r="AC972">
            <v>6900</v>
          </cell>
          <cell r="AD972">
            <v>6513.07</v>
          </cell>
          <cell r="AE972">
            <v>386.93000000000029</v>
          </cell>
          <cell r="AN972" t="str">
            <v xml:space="preserve">Contrato emergencial nº </v>
          </cell>
          <cell r="AO972" t="str">
            <v>CS</v>
          </cell>
        </row>
        <row r="973">
          <cell r="D973" t="str">
            <v>2009/11</v>
          </cell>
          <cell r="E973" t="str">
            <v>12/09/2011</v>
          </cell>
          <cell r="F973">
            <v>40977</v>
          </cell>
          <cell r="G973">
            <v>40877</v>
          </cell>
          <cell r="H973" t="str">
            <v>2011-0.223.285-4</v>
          </cell>
          <cell r="I973">
            <v>40223.339999999997</v>
          </cell>
          <cell r="J973" t="str">
            <v xml:space="preserve">              123611122                  2848                    33903600</v>
          </cell>
          <cell r="K973" t="str">
            <v>12/09/2011</v>
          </cell>
          <cell r="L973">
            <v>80</v>
          </cell>
          <cell r="M973">
            <v>17900</v>
          </cell>
          <cell r="N973">
            <v>57278</v>
          </cell>
          <cell r="O973">
            <v>28620</v>
          </cell>
          <cell r="P973">
            <v>16</v>
          </cell>
          <cell r="Q973">
            <v>3</v>
          </cell>
          <cell r="T973">
            <v>6265</v>
          </cell>
          <cell r="U973">
            <v>0</v>
          </cell>
          <cell r="V973">
            <v>6800</v>
          </cell>
          <cell r="W973">
            <v>180</v>
          </cell>
          <cell r="X973">
            <v>5440</v>
          </cell>
          <cell r="Y973">
            <v>102436</v>
          </cell>
          <cell r="Z973">
            <v>13900.05</v>
          </cell>
          <cell r="AA973">
            <v>-1660.0499999999993</v>
          </cell>
          <cell r="AB973">
            <v>223.46299999999999</v>
          </cell>
          <cell r="AC973">
            <v>6800</v>
          </cell>
          <cell r="AD973">
            <v>6348.59</v>
          </cell>
          <cell r="AE973">
            <v>451.40999999999985</v>
          </cell>
          <cell r="AN973" t="str">
            <v xml:space="preserve">Contrato emergencial nº </v>
          </cell>
          <cell r="AO973" t="str">
            <v>CL</v>
          </cell>
        </row>
        <row r="974">
          <cell r="D974" t="str">
            <v>2010/11</v>
          </cell>
          <cell r="E974" t="str">
            <v>12/09/2011</v>
          </cell>
          <cell r="F974">
            <v>40977</v>
          </cell>
          <cell r="G974">
            <v>40877</v>
          </cell>
          <cell r="H974" t="str">
            <v>2011-0.223.296-0</v>
          </cell>
          <cell r="I974">
            <v>44324.52</v>
          </cell>
          <cell r="J974" t="str">
            <v xml:space="preserve">              123611122                  2848                    33903600</v>
          </cell>
          <cell r="K974" t="str">
            <v>12/09/2011</v>
          </cell>
          <cell r="L974">
            <v>80</v>
          </cell>
          <cell r="M974">
            <v>19700</v>
          </cell>
          <cell r="N974">
            <v>57278</v>
          </cell>
          <cell r="O974">
            <v>28624</v>
          </cell>
          <cell r="P974">
            <v>16</v>
          </cell>
          <cell r="Q974">
            <v>3</v>
          </cell>
          <cell r="T974">
            <v>6895</v>
          </cell>
          <cell r="U974">
            <v>0</v>
          </cell>
          <cell r="V974">
            <v>7400</v>
          </cell>
          <cell r="W974">
            <v>180</v>
          </cell>
          <cell r="X974">
            <v>5920</v>
          </cell>
          <cell r="Y974">
            <v>103143</v>
          </cell>
          <cell r="Z974">
            <v>10139.6</v>
          </cell>
          <cell r="AA974">
            <v>3180.3999999999996</v>
          </cell>
          <cell r="AB974">
            <v>246.2473333333333</v>
          </cell>
          <cell r="AC974">
            <v>7400</v>
          </cell>
          <cell r="AD974">
            <v>5841.02</v>
          </cell>
          <cell r="AE974">
            <v>1558.9799999999996</v>
          </cell>
          <cell r="AN974" t="str">
            <v xml:space="preserve">Contrato emergencial nº </v>
          </cell>
          <cell r="AO974" t="str">
            <v>G</v>
          </cell>
        </row>
        <row r="975">
          <cell r="D975" t="str">
            <v>2011/11</v>
          </cell>
          <cell r="E975" t="str">
            <v>12/09/2011</v>
          </cell>
          <cell r="F975">
            <v>40977</v>
          </cell>
          <cell r="G975">
            <v>40877</v>
          </cell>
          <cell r="H975" t="str">
            <v>2011-0.223.304-4</v>
          </cell>
          <cell r="I975">
            <v>44324.52</v>
          </cell>
          <cell r="J975" t="str">
            <v xml:space="preserve">              123611122                  2848                    33903600</v>
          </cell>
          <cell r="K975" t="str">
            <v>12/09/2011</v>
          </cell>
          <cell r="L975">
            <v>80</v>
          </cell>
          <cell r="M975">
            <v>19700</v>
          </cell>
          <cell r="N975">
            <v>57278</v>
          </cell>
          <cell r="O975">
            <v>29778</v>
          </cell>
          <cell r="P975">
            <v>16</v>
          </cell>
          <cell r="Q975">
            <v>3</v>
          </cell>
          <cell r="T975">
            <v>6895</v>
          </cell>
          <cell r="U975">
            <v>0</v>
          </cell>
          <cell r="V975">
            <v>7400</v>
          </cell>
          <cell r="W975">
            <v>180</v>
          </cell>
          <cell r="X975">
            <v>5920</v>
          </cell>
          <cell r="Y975">
            <v>102584</v>
          </cell>
          <cell r="Z975">
            <v>8349.23</v>
          </cell>
          <cell r="AA975">
            <v>4970.7700000000004</v>
          </cell>
          <cell r="AB975">
            <v>246.2473333333333</v>
          </cell>
          <cell r="AC975">
            <v>7400</v>
          </cell>
          <cell r="AD975">
            <v>7012.2599999999993</v>
          </cell>
          <cell r="AE975">
            <v>387.74000000000069</v>
          </cell>
          <cell r="AN975" t="str">
            <v xml:space="preserve">Contrato emergencial nº </v>
          </cell>
          <cell r="AO975" t="str">
            <v>IQ</v>
          </cell>
        </row>
        <row r="976">
          <cell r="D976" t="str">
            <v>2012/11</v>
          </cell>
          <cell r="E976" t="str">
            <v>12/09/2011</v>
          </cell>
          <cell r="F976">
            <v>40977</v>
          </cell>
          <cell r="G976">
            <v>40877</v>
          </cell>
          <cell r="H976" t="str">
            <v>2011-0.223.313-3</v>
          </cell>
          <cell r="I976">
            <v>31824.66</v>
          </cell>
          <cell r="J976" t="str">
            <v xml:space="preserve">              123611122                  2848                    33903600</v>
          </cell>
          <cell r="K976" t="str">
            <v>12/09/2011</v>
          </cell>
          <cell r="L976">
            <v>80</v>
          </cell>
          <cell r="M976">
            <v>14200</v>
          </cell>
          <cell r="N976">
            <v>57278</v>
          </cell>
          <cell r="O976">
            <v>29780</v>
          </cell>
          <cell r="P976">
            <v>16</v>
          </cell>
          <cell r="Q976">
            <v>3</v>
          </cell>
          <cell r="T976">
            <v>4970</v>
          </cell>
          <cell r="U976">
            <v>0</v>
          </cell>
          <cell r="V976">
            <v>5600</v>
          </cell>
          <cell r="W976">
            <v>180</v>
          </cell>
          <cell r="X976">
            <v>4480</v>
          </cell>
          <cell r="Y976">
            <v>102526</v>
          </cell>
          <cell r="Z976">
            <v>10431.83</v>
          </cell>
          <cell r="AA976">
            <v>-351.82999999999993</v>
          </cell>
          <cell r="AB976">
            <v>176.80366666666666</v>
          </cell>
          <cell r="AC976">
            <v>5400</v>
          </cell>
          <cell r="AD976">
            <v>5582.4524444444442</v>
          </cell>
          <cell r="AE976">
            <v>-182.45244444444415</v>
          </cell>
          <cell r="AN976" t="str">
            <v xml:space="preserve">Contrato emergencial nº </v>
          </cell>
          <cell r="AO976" t="str">
            <v>CL</v>
          </cell>
        </row>
        <row r="977">
          <cell r="D977" t="str">
            <v>2013/11</v>
          </cell>
          <cell r="E977" t="str">
            <v>12/09/2011</v>
          </cell>
          <cell r="F977">
            <v>40977</v>
          </cell>
          <cell r="G977">
            <v>40877</v>
          </cell>
          <cell r="H977" t="str">
            <v>2011-0.223.319-2</v>
          </cell>
          <cell r="I977">
            <v>44978.400000000001</v>
          </cell>
          <cell r="J977" t="str">
            <v xml:space="preserve">              123611122                  2848                    33903600</v>
          </cell>
          <cell r="K977" t="str">
            <v>12/09/2011</v>
          </cell>
          <cell r="L977">
            <v>80</v>
          </cell>
          <cell r="M977">
            <v>20000</v>
          </cell>
          <cell r="N977">
            <v>57278</v>
          </cell>
          <cell r="O977">
            <v>28626</v>
          </cell>
          <cell r="P977">
            <v>16</v>
          </cell>
          <cell r="Q977">
            <v>3</v>
          </cell>
          <cell r="T977">
            <v>7000</v>
          </cell>
          <cell r="U977">
            <v>0</v>
          </cell>
          <cell r="V977">
            <v>7500</v>
          </cell>
          <cell r="W977">
            <v>180</v>
          </cell>
          <cell r="X977">
            <v>6000</v>
          </cell>
          <cell r="Y977">
            <v>102918</v>
          </cell>
          <cell r="Z977">
            <v>9854.27</v>
          </cell>
          <cell r="AA977">
            <v>3645.7299999999996</v>
          </cell>
          <cell r="AB977">
            <v>249.88</v>
          </cell>
          <cell r="AC977">
            <v>7500</v>
          </cell>
          <cell r="AD977">
            <v>6297.4699999999993</v>
          </cell>
          <cell r="AE977">
            <v>1202.5300000000007</v>
          </cell>
          <cell r="AN977" t="str">
            <v xml:space="preserve">Contrato emergencial nº </v>
          </cell>
          <cell r="AO977" t="str">
            <v>PE</v>
          </cell>
        </row>
        <row r="978">
          <cell r="D978" t="str">
            <v>2014/11</v>
          </cell>
          <cell r="E978" t="str">
            <v>12/09/2011</v>
          </cell>
          <cell r="F978">
            <v>40977</v>
          </cell>
          <cell r="G978">
            <v>40877</v>
          </cell>
          <cell r="H978" t="str">
            <v>2011-0.222.359-6</v>
          </cell>
          <cell r="I978">
            <v>31210.5</v>
          </cell>
          <cell r="J978" t="str">
            <v xml:space="preserve">              123611122                  2848                    33903600</v>
          </cell>
          <cell r="K978" t="str">
            <v>12/09/2011</v>
          </cell>
          <cell r="L978">
            <v>80</v>
          </cell>
          <cell r="M978">
            <v>13900</v>
          </cell>
          <cell r="N978">
            <v>57278</v>
          </cell>
          <cell r="O978">
            <v>29781</v>
          </cell>
          <cell r="P978">
            <v>16</v>
          </cell>
          <cell r="Q978">
            <v>3</v>
          </cell>
          <cell r="T978">
            <v>4865</v>
          </cell>
          <cell r="U978">
            <v>0</v>
          </cell>
          <cell r="V978">
            <v>5300</v>
          </cell>
          <cell r="W978">
            <v>180</v>
          </cell>
          <cell r="X978">
            <v>4240</v>
          </cell>
          <cell r="Y978">
            <v>102503</v>
          </cell>
          <cell r="Z978">
            <v>10561.68</v>
          </cell>
          <cell r="AA978">
            <v>-1021.6800000000003</v>
          </cell>
          <cell r="AB978">
            <v>173.39166666666668</v>
          </cell>
          <cell r="AC978">
            <v>5300</v>
          </cell>
          <cell r="AD978">
            <v>5205.8499999999985</v>
          </cell>
          <cell r="AE978">
            <v>94.150000000001455</v>
          </cell>
          <cell r="AN978" t="str">
            <v xml:space="preserve">Contrato emergencial nº </v>
          </cell>
          <cell r="AO978" t="str">
            <v>CL</v>
          </cell>
        </row>
        <row r="979">
          <cell r="D979" t="str">
            <v>2015/11</v>
          </cell>
          <cell r="E979" t="str">
            <v>12/09/2011</v>
          </cell>
          <cell r="F979">
            <v>40977</v>
          </cell>
          <cell r="G979">
            <v>40877</v>
          </cell>
          <cell r="H979" t="str">
            <v>2011-0.222.370-7</v>
          </cell>
          <cell r="I979">
            <v>37607.879999999997</v>
          </cell>
          <cell r="J979" t="str">
            <v xml:space="preserve">              123611122                  2848                    33903600</v>
          </cell>
          <cell r="K979" t="str">
            <v>12/09/2011</v>
          </cell>
          <cell r="L979">
            <v>80</v>
          </cell>
          <cell r="M979">
            <v>16800</v>
          </cell>
          <cell r="N979">
            <v>57278</v>
          </cell>
          <cell r="O979">
            <v>29782</v>
          </cell>
          <cell r="P979">
            <v>16</v>
          </cell>
          <cell r="Q979">
            <v>3</v>
          </cell>
          <cell r="T979">
            <v>5880</v>
          </cell>
          <cell r="U979">
            <v>0</v>
          </cell>
          <cell r="V979">
            <v>6300</v>
          </cell>
          <cell r="W979">
            <v>180</v>
          </cell>
          <cell r="X979">
            <v>5040</v>
          </cell>
          <cell r="Y979">
            <v>103077</v>
          </cell>
          <cell r="Z979">
            <v>7273.36</v>
          </cell>
          <cell r="AA979">
            <v>4066.6400000000003</v>
          </cell>
          <cell r="AB979">
            <v>208.93266666666665</v>
          </cell>
          <cell r="AC979">
            <v>6300</v>
          </cell>
          <cell r="AD979">
            <v>5177.1900000000005</v>
          </cell>
          <cell r="AE979">
            <v>1122.8099999999995</v>
          </cell>
          <cell r="AN979" t="str">
            <v xml:space="preserve">Contrato emergencial nº </v>
          </cell>
          <cell r="AO979" t="str">
            <v>JT</v>
          </cell>
        </row>
        <row r="980">
          <cell r="D980" t="str">
            <v>2016/11</v>
          </cell>
          <cell r="E980" t="str">
            <v>12/09/2011</v>
          </cell>
          <cell r="F980">
            <v>40977</v>
          </cell>
          <cell r="G980">
            <v>40877</v>
          </cell>
          <cell r="H980" t="str">
            <v>2011-0.222.378-2</v>
          </cell>
          <cell r="I980">
            <v>44324.52</v>
          </cell>
          <cell r="J980" t="str">
            <v xml:space="preserve">              123651121                 2847                    33903600</v>
          </cell>
          <cell r="K980" t="str">
            <v>12/09/2011</v>
          </cell>
          <cell r="L980">
            <v>80</v>
          </cell>
          <cell r="M980">
            <v>19700</v>
          </cell>
          <cell r="N980">
            <v>57273</v>
          </cell>
          <cell r="O980">
            <v>28631</v>
          </cell>
          <cell r="P980">
            <v>16</v>
          </cell>
          <cell r="Q980">
            <v>2</v>
          </cell>
          <cell r="T980">
            <v>6895</v>
          </cell>
          <cell r="U980">
            <v>0</v>
          </cell>
          <cell r="V980">
            <v>7400</v>
          </cell>
          <cell r="W980">
            <v>180</v>
          </cell>
          <cell r="X980">
            <v>5920</v>
          </cell>
          <cell r="Y980">
            <v>102244</v>
          </cell>
          <cell r="Z980">
            <v>15884.72</v>
          </cell>
          <cell r="AA980">
            <v>-2564.7199999999993</v>
          </cell>
          <cell r="AB980">
            <v>246.2473333333333</v>
          </cell>
          <cell r="AC980">
            <v>7400</v>
          </cell>
          <cell r="AD980">
            <v>5952.2</v>
          </cell>
          <cell r="AE980">
            <v>1447.8000000000002</v>
          </cell>
          <cell r="AN980" t="str">
            <v xml:space="preserve">Contrato emergencial nº </v>
          </cell>
          <cell r="AO980" t="str">
            <v>CL</v>
          </cell>
        </row>
        <row r="981">
          <cell r="D981" t="str">
            <v>2017/11</v>
          </cell>
          <cell r="E981" t="str">
            <v>12/09/2011</v>
          </cell>
          <cell r="F981">
            <v>40977</v>
          </cell>
          <cell r="G981">
            <v>40877</v>
          </cell>
          <cell r="H981" t="str">
            <v>2011-0.222.382-0</v>
          </cell>
          <cell r="I981">
            <v>22185.9</v>
          </cell>
          <cell r="J981" t="str">
            <v xml:space="preserve">              123651121                 2847                    33903600</v>
          </cell>
          <cell r="K981" t="str">
            <v>12/09/2011</v>
          </cell>
          <cell r="L981">
            <v>80</v>
          </cell>
          <cell r="M981">
            <v>9900</v>
          </cell>
          <cell r="N981">
            <v>57273</v>
          </cell>
          <cell r="O981">
            <v>29784</v>
          </cell>
          <cell r="P981">
            <v>16</v>
          </cell>
          <cell r="Q981">
            <v>2</v>
          </cell>
          <cell r="T981">
            <v>3465</v>
          </cell>
          <cell r="U981">
            <v>0</v>
          </cell>
          <cell r="V981">
            <v>3700</v>
          </cell>
          <cell r="W981">
            <v>180</v>
          </cell>
          <cell r="X981">
            <v>2960</v>
          </cell>
          <cell r="Y981">
            <v>102253</v>
          </cell>
          <cell r="Z981">
            <v>7577.08</v>
          </cell>
          <cell r="AA981">
            <v>-917.07999999999993</v>
          </cell>
          <cell r="AB981">
            <v>123.25500000000001</v>
          </cell>
          <cell r="AC981">
            <v>3700</v>
          </cell>
          <cell r="AD981">
            <v>3479.3713333333335</v>
          </cell>
          <cell r="AE981">
            <v>220.6286666666665</v>
          </cell>
          <cell r="AN981" t="str">
            <v xml:space="preserve">Contrato emergencial nº </v>
          </cell>
          <cell r="AO981" t="str">
            <v>CL</v>
          </cell>
        </row>
        <row r="982">
          <cell r="D982" t="str">
            <v>2018/11</v>
          </cell>
          <cell r="E982" t="str">
            <v>12/09/2011</v>
          </cell>
          <cell r="F982">
            <v>40977</v>
          </cell>
          <cell r="G982">
            <v>40878</v>
          </cell>
          <cell r="H982" t="str">
            <v>2011-0.222.391-0</v>
          </cell>
          <cell r="I982">
            <v>37607.879999999997</v>
          </cell>
          <cell r="J982" t="str">
            <v xml:space="preserve">              123611122                  2848                    33903600</v>
          </cell>
          <cell r="K982" t="str">
            <v>12/09/2011</v>
          </cell>
          <cell r="L982">
            <v>81</v>
          </cell>
          <cell r="M982">
            <v>17000</v>
          </cell>
          <cell r="N982">
            <v>57278</v>
          </cell>
          <cell r="O982">
            <v>28635</v>
          </cell>
          <cell r="P982">
            <v>16</v>
          </cell>
          <cell r="Q982">
            <v>3</v>
          </cell>
          <cell r="T982">
            <v>5950</v>
          </cell>
          <cell r="U982">
            <v>0</v>
          </cell>
          <cell r="V982">
            <v>6300</v>
          </cell>
          <cell r="W982">
            <v>180</v>
          </cell>
          <cell r="X982">
            <v>5040</v>
          </cell>
          <cell r="Y982">
            <v>105368</v>
          </cell>
          <cell r="Z982">
            <v>5290.8799999999992</v>
          </cell>
          <cell r="AA982">
            <v>6049.1200000000008</v>
          </cell>
          <cell r="AB982">
            <v>208.93266666666665</v>
          </cell>
          <cell r="AC982">
            <v>6300</v>
          </cell>
          <cell r="AD982">
            <v>4673.7000000000007</v>
          </cell>
          <cell r="AE982">
            <v>1626.2999999999993</v>
          </cell>
          <cell r="AN982" t="str">
            <v xml:space="preserve">Contrato emergencial nº </v>
          </cell>
          <cell r="AO982" t="str">
            <v>FO</v>
          </cell>
        </row>
        <row r="983">
          <cell r="D983" t="str">
            <v>2019/11</v>
          </cell>
          <cell r="E983" t="str">
            <v>12/09/2011</v>
          </cell>
          <cell r="F983">
            <v>40977</v>
          </cell>
          <cell r="G983">
            <v>40879</v>
          </cell>
          <cell r="H983" t="str">
            <v>2011-0.222.399-5</v>
          </cell>
          <cell r="I983">
            <v>40223.339999999997</v>
          </cell>
          <cell r="J983" t="str">
            <v xml:space="preserve">              123611122                  2848                    33903600</v>
          </cell>
          <cell r="K983" t="str">
            <v>12/09/2011</v>
          </cell>
          <cell r="L983">
            <v>82</v>
          </cell>
          <cell r="M983">
            <v>18400</v>
          </cell>
          <cell r="N983">
            <v>57278</v>
          </cell>
          <cell r="O983">
            <v>28638</v>
          </cell>
          <cell r="P983">
            <v>16</v>
          </cell>
          <cell r="Q983">
            <v>3</v>
          </cell>
          <cell r="T983">
            <v>6440</v>
          </cell>
          <cell r="U983">
            <v>0</v>
          </cell>
          <cell r="V983">
            <v>6800</v>
          </cell>
          <cell r="W983">
            <v>180</v>
          </cell>
          <cell r="X983">
            <v>5440</v>
          </cell>
          <cell r="Y983">
            <v>102212</v>
          </cell>
          <cell r="Z983">
            <v>8507.7999999999993</v>
          </cell>
          <cell r="AA983">
            <v>3732.2000000000007</v>
          </cell>
          <cell r="AB983">
            <v>223.46299999999999</v>
          </cell>
          <cell r="AC983">
            <v>6800</v>
          </cell>
          <cell r="AD983">
            <v>6147.0800000000008</v>
          </cell>
          <cell r="AE983">
            <v>652.91999999999916</v>
          </cell>
          <cell r="AN983" t="str">
            <v xml:space="preserve">Contrato emergencial nº </v>
          </cell>
          <cell r="AO983" t="str">
            <v>PJ</v>
          </cell>
        </row>
        <row r="984">
          <cell r="D984" t="str">
            <v>2020/11</v>
          </cell>
          <cell r="E984" t="str">
            <v>12/09/2011</v>
          </cell>
          <cell r="F984">
            <v>40977</v>
          </cell>
          <cell r="G984">
            <v>40880</v>
          </cell>
          <cell r="H984" t="str">
            <v>2011-0.222.403-7</v>
          </cell>
          <cell r="I984">
            <v>44324.52</v>
          </cell>
          <cell r="J984" t="str">
            <v xml:space="preserve">              123611122                  2848                    33903600</v>
          </cell>
          <cell r="K984" t="str">
            <v>12/09/2011</v>
          </cell>
          <cell r="L984">
            <v>83</v>
          </cell>
          <cell r="M984">
            <v>20500</v>
          </cell>
          <cell r="N984">
            <v>57278</v>
          </cell>
          <cell r="O984">
            <v>28639</v>
          </cell>
          <cell r="P984">
            <v>16</v>
          </cell>
          <cell r="Q984">
            <v>3</v>
          </cell>
          <cell r="T984">
            <v>7174.9999999999991</v>
          </cell>
          <cell r="U984">
            <v>0</v>
          </cell>
          <cell r="V984">
            <v>7400</v>
          </cell>
          <cell r="W984">
            <v>180</v>
          </cell>
          <cell r="X984">
            <v>5920</v>
          </cell>
          <cell r="Y984">
            <v>102559</v>
          </cell>
          <cell r="Z984">
            <v>10221.64</v>
          </cell>
          <cell r="AA984">
            <v>3098.3600000000006</v>
          </cell>
          <cell r="AB984">
            <v>246.2473333333333</v>
          </cell>
          <cell r="AC984">
            <v>7400</v>
          </cell>
          <cell r="AD984">
            <v>6301.44</v>
          </cell>
          <cell r="AE984">
            <v>1098.5600000000004</v>
          </cell>
          <cell r="AN984" t="str">
            <v xml:space="preserve">Contrato emergencial nº </v>
          </cell>
          <cell r="AO984" t="str">
            <v>SM</v>
          </cell>
        </row>
        <row r="985">
          <cell r="D985" t="str">
            <v>2021/11</v>
          </cell>
          <cell r="E985" t="str">
            <v>12/09/2011</v>
          </cell>
          <cell r="F985">
            <v>40977</v>
          </cell>
          <cell r="G985">
            <v>40881</v>
          </cell>
          <cell r="H985" t="str">
            <v>2011-0.222.417-7</v>
          </cell>
          <cell r="I985">
            <v>29744.400000000001</v>
          </cell>
          <cell r="J985" t="str">
            <v xml:space="preserve">              123611122                  2848                    33903600</v>
          </cell>
          <cell r="K985" t="str">
            <v>12/09/2011</v>
          </cell>
          <cell r="L985">
            <v>84</v>
          </cell>
          <cell r="M985">
            <v>13900</v>
          </cell>
          <cell r="N985">
            <v>57278</v>
          </cell>
          <cell r="O985">
            <v>28641</v>
          </cell>
          <cell r="P985">
            <v>16</v>
          </cell>
          <cell r="Q985">
            <v>3</v>
          </cell>
          <cell r="T985">
            <v>4865</v>
          </cell>
          <cell r="U985">
            <v>0</v>
          </cell>
          <cell r="V985">
            <v>5400</v>
          </cell>
          <cell r="W985">
            <v>180</v>
          </cell>
          <cell r="X985">
            <v>4320</v>
          </cell>
          <cell r="Y985">
            <v>102431</v>
          </cell>
          <cell r="Z985">
            <v>10458.93</v>
          </cell>
          <cell r="AA985">
            <v>-738.93000000000029</v>
          </cell>
          <cell r="AB985">
            <v>165.24666666666667</v>
          </cell>
          <cell r="AC985">
            <v>5000</v>
          </cell>
          <cell r="AD985">
            <v>5387.62</v>
          </cell>
          <cell r="AE985">
            <v>-387.61999999999989</v>
          </cell>
          <cell r="AN985" t="str">
            <v xml:space="preserve">Contrato emergencial nº </v>
          </cell>
          <cell r="AO985" t="str">
            <v>CL</v>
          </cell>
        </row>
        <row r="986">
          <cell r="D986" t="str">
            <v>2022/11</v>
          </cell>
          <cell r="E986" t="str">
            <v>12/09/2011</v>
          </cell>
          <cell r="F986">
            <v>40977</v>
          </cell>
          <cell r="G986">
            <v>40877</v>
          </cell>
          <cell r="H986" t="str">
            <v>2011-0.222.428-2</v>
          </cell>
          <cell r="I986">
            <v>29744.400000000001</v>
          </cell>
          <cell r="J986" t="str">
            <v xml:space="preserve">              123611122                  2848                    33903600</v>
          </cell>
          <cell r="K986" t="str">
            <v>12/09/2011</v>
          </cell>
          <cell r="L986">
            <v>80</v>
          </cell>
          <cell r="M986">
            <v>13300</v>
          </cell>
          <cell r="N986">
            <v>57278</v>
          </cell>
          <cell r="O986">
            <v>29785</v>
          </cell>
          <cell r="P986">
            <v>16</v>
          </cell>
          <cell r="Q986">
            <v>3</v>
          </cell>
          <cell r="T986">
            <v>4655</v>
          </cell>
          <cell r="U986">
            <v>0</v>
          </cell>
          <cell r="V986">
            <v>5000</v>
          </cell>
          <cell r="W986">
            <v>180</v>
          </cell>
          <cell r="X986">
            <v>4000</v>
          </cell>
          <cell r="Y986">
            <v>102306</v>
          </cell>
          <cell r="Z986">
            <v>6060.27</v>
          </cell>
          <cell r="AA986">
            <v>2939.7299999999996</v>
          </cell>
          <cell r="AB986">
            <v>165.24666666666667</v>
          </cell>
          <cell r="AC986">
            <v>5000</v>
          </cell>
          <cell r="AD986">
            <v>4475.7</v>
          </cell>
          <cell r="AE986">
            <v>524.30000000000018</v>
          </cell>
          <cell r="AN986" t="str">
            <v xml:space="preserve">Contrato emergencial nº </v>
          </cell>
          <cell r="AO986" t="str">
            <v>SA</v>
          </cell>
        </row>
        <row r="987">
          <cell r="D987" t="str">
            <v>2023/11</v>
          </cell>
          <cell r="E987" t="str">
            <v>12/09/2011</v>
          </cell>
          <cell r="F987">
            <v>40977</v>
          </cell>
          <cell r="G987">
            <v>40877</v>
          </cell>
          <cell r="H987" t="str">
            <v>2011-0.222.431-2</v>
          </cell>
          <cell r="I987">
            <v>30150.54</v>
          </cell>
          <cell r="J987" t="str">
            <v xml:space="preserve">              123651121                 2847                    33903600</v>
          </cell>
          <cell r="K987" t="str">
            <v>12/09/2011</v>
          </cell>
          <cell r="L987">
            <v>80</v>
          </cell>
          <cell r="M987">
            <v>13500</v>
          </cell>
          <cell r="N987">
            <v>57273</v>
          </cell>
          <cell r="O987">
            <v>29786</v>
          </cell>
          <cell r="P987">
            <v>16</v>
          </cell>
          <cell r="Q987">
            <v>2</v>
          </cell>
          <cell r="T987">
            <v>4725</v>
          </cell>
          <cell r="U987">
            <v>0</v>
          </cell>
          <cell r="V987">
            <v>5400</v>
          </cell>
          <cell r="W987">
            <v>180</v>
          </cell>
          <cell r="X987">
            <v>4320</v>
          </cell>
          <cell r="Y987">
            <v>102191</v>
          </cell>
          <cell r="Z987">
            <v>4937.3900000000003</v>
          </cell>
          <cell r="AA987">
            <v>4782.6099999999997</v>
          </cell>
          <cell r="AB987">
            <v>167.50300000000001</v>
          </cell>
          <cell r="AC987">
            <v>5100</v>
          </cell>
          <cell r="AD987">
            <v>5345.1950000000006</v>
          </cell>
          <cell r="AE987">
            <v>-245.19500000000062</v>
          </cell>
          <cell r="AN987" t="str">
            <v xml:space="preserve">Contrato emergencial nº </v>
          </cell>
          <cell r="AO987" t="str">
            <v>PJ</v>
          </cell>
        </row>
        <row r="988">
          <cell r="D988" t="str">
            <v>2024/11</v>
          </cell>
          <cell r="E988" t="str">
            <v>12/09/2011</v>
          </cell>
          <cell r="F988">
            <v>40977</v>
          </cell>
          <cell r="G988">
            <v>40877</v>
          </cell>
          <cell r="H988" t="str">
            <v>2011-0.222.435-5</v>
          </cell>
          <cell r="I988">
            <v>37786.199999999997</v>
          </cell>
          <cell r="J988" t="str">
            <v xml:space="preserve">              123651121                 2847                    33903600</v>
          </cell>
          <cell r="K988" t="str">
            <v>12/09/2011</v>
          </cell>
          <cell r="L988">
            <v>80</v>
          </cell>
          <cell r="M988">
            <v>16800</v>
          </cell>
          <cell r="N988">
            <v>57273</v>
          </cell>
          <cell r="O988">
            <v>29787</v>
          </cell>
          <cell r="P988">
            <v>16</v>
          </cell>
          <cell r="Q988">
            <v>2</v>
          </cell>
          <cell r="T988">
            <v>5880</v>
          </cell>
          <cell r="U988">
            <v>0</v>
          </cell>
          <cell r="V988">
            <v>6300</v>
          </cell>
          <cell r="W988">
            <v>180</v>
          </cell>
          <cell r="X988">
            <v>5040</v>
          </cell>
          <cell r="Y988">
            <v>102074</v>
          </cell>
          <cell r="Z988">
            <v>6946.43</v>
          </cell>
          <cell r="AA988">
            <v>4393.57</v>
          </cell>
          <cell r="AB988">
            <v>209.92333333333332</v>
          </cell>
          <cell r="AC988">
            <v>6300</v>
          </cell>
          <cell r="AD988">
            <v>6076.4949999999999</v>
          </cell>
          <cell r="AE988">
            <v>223.50500000000011</v>
          </cell>
          <cell r="AN988" t="str">
            <v xml:space="preserve">Contrato emergencial nº </v>
          </cell>
          <cell r="AO988" t="str">
            <v>PJ</v>
          </cell>
        </row>
        <row r="989">
          <cell r="D989" t="str">
            <v>2025/11</v>
          </cell>
          <cell r="E989" t="str">
            <v>12/09/2011</v>
          </cell>
          <cell r="F989">
            <v>40977</v>
          </cell>
          <cell r="G989">
            <v>40877</v>
          </cell>
          <cell r="H989" t="str">
            <v>2011-0.222.441-0</v>
          </cell>
          <cell r="I989">
            <v>44978.400000000001</v>
          </cell>
          <cell r="J989" t="str">
            <v xml:space="preserve">              123611122                  2848                    33903600</v>
          </cell>
          <cell r="K989" t="str">
            <v>12/09/2011</v>
          </cell>
          <cell r="L989">
            <v>80</v>
          </cell>
          <cell r="M989">
            <v>20000</v>
          </cell>
          <cell r="N989">
            <v>57278</v>
          </cell>
          <cell r="O989">
            <v>29788</v>
          </cell>
          <cell r="P989">
            <v>16</v>
          </cell>
          <cell r="Q989">
            <v>3</v>
          </cell>
          <cell r="T989">
            <v>7000</v>
          </cell>
          <cell r="U989">
            <v>0</v>
          </cell>
          <cell r="V989">
            <v>7500</v>
          </cell>
          <cell r="W989">
            <v>180</v>
          </cell>
          <cell r="X989">
            <v>6000</v>
          </cell>
          <cell r="Y989">
            <v>102291</v>
          </cell>
          <cell r="Z989">
            <v>9989.85</v>
          </cell>
          <cell r="AA989">
            <v>3510.1499999999996</v>
          </cell>
          <cell r="AB989">
            <v>249.88</v>
          </cell>
          <cell r="AC989">
            <v>7500</v>
          </cell>
          <cell r="AD989">
            <v>6164.02</v>
          </cell>
          <cell r="AE989">
            <v>1335.9799999999996</v>
          </cell>
          <cell r="AN989" t="str">
            <v xml:space="preserve">Contrato emergencial nº </v>
          </cell>
          <cell r="AO989" t="str">
            <v>SA</v>
          </cell>
        </row>
        <row r="990">
          <cell r="D990" t="str">
            <v>2027/11</v>
          </cell>
          <cell r="E990" t="str">
            <v>12/09/2011</v>
          </cell>
          <cell r="F990">
            <v>40977</v>
          </cell>
          <cell r="G990">
            <v>40877</v>
          </cell>
          <cell r="H990" t="str">
            <v>2011-0.222.455-0</v>
          </cell>
          <cell r="I990">
            <v>31418.52</v>
          </cell>
          <cell r="J990" t="str">
            <v xml:space="preserve">              123611122                  2848                    33903600</v>
          </cell>
          <cell r="K990" t="str">
            <v>12/09/2011</v>
          </cell>
          <cell r="L990">
            <v>80</v>
          </cell>
          <cell r="M990">
            <v>14000</v>
          </cell>
          <cell r="N990">
            <v>57278</v>
          </cell>
          <cell r="O990">
            <v>29789</v>
          </cell>
          <cell r="P990">
            <v>16</v>
          </cell>
          <cell r="Q990">
            <v>3</v>
          </cell>
          <cell r="T990">
            <v>4900</v>
          </cell>
          <cell r="U990">
            <v>0</v>
          </cell>
          <cell r="V990">
            <v>5300</v>
          </cell>
          <cell r="W990">
            <v>180</v>
          </cell>
          <cell r="X990">
            <v>4240</v>
          </cell>
          <cell r="Y990">
            <v>102189</v>
          </cell>
          <cell r="Z990">
            <v>5925.18</v>
          </cell>
          <cell r="AA990">
            <v>3614.8199999999997</v>
          </cell>
          <cell r="AB990">
            <v>174.54733333333334</v>
          </cell>
          <cell r="AC990">
            <v>5300</v>
          </cell>
          <cell r="AD990">
            <v>4933.47</v>
          </cell>
          <cell r="AE990">
            <v>366.52999999999975</v>
          </cell>
          <cell r="AN990" t="str">
            <v xml:space="preserve">Contrato emergencial nº </v>
          </cell>
          <cell r="AO990" t="str">
            <v>CS</v>
          </cell>
        </row>
        <row r="991">
          <cell r="D991" t="str">
            <v>2028/11</v>
          </cell>
          <cell r="E991" t="str">
            <v>12/09/2011</v>
          </cell>
          <cell r="F991">
            <v>40977</v>
          </cell>
          <cell r="G991">
            <v>40877</v>
          </cell>
          <cell r="H991" t="str">
            <v>2011-0.222.458-4</v>
          </cell>
          <cell r="I991">
            <v>31418.52</v>
          </cell>
          <cell r="J991" t="str">
            <v xml:space="preserve">              123651121                 2847                    33903600</v>
          </cell>
          <cell r="K991" t="str">
            <v>12/09/2011</v>
          </cell>
          <cell r="L991">
            <v>80</v>
          </cell>
          <cell r="M991">
            <v>14000</v>
          </cell>
          <cell r="N991">
            <v>57273</v>
          </cell>
          <cell r="O991">
            <v>29790</v>
          </cell>
          <cell r="P991">
            <v>16</v>
          </cell>
          <cell r="Q991">
            <v>2</v>
          </cell>
          <cell r="T991">
            <v>4900</v>
          </cell>
          <cell r="U991">
            <v>0</v>
          </cell>
          <cell r="V991">
            <v>5300</v>
          </cell>
          <cell r="W991">
            <v>180</v>
          </cell>
          <cell r="X991">
            <v>4240</v>
          </cell>
          <cell r="Y991">
            <v>102485</v>
          </cell>
          <cell r="Z991">
            <v>5512.54</v>
          </cell>
          <cell r="AA991">
            <v>4027.46</v>
          </cell>
          <cell r="AB991">
            <v>174.54733333333334</v>
          </cell>
          <cell r="AC991">
            <v>5300</v>
          </cell>
          <cell r="AD991">
            <v>5217.6499999999996</v>
          </cell>
          <cell r="AE991">
            <v>82.350000000000364</v>
          </cell>
          <cell r="AN991" t="str">
            <v xml:space="preserve">Contrato emergencial nº </v>
          </cell>
          <cell r="AO991" t="str">
            <v>IP</v>
          </cell>
        </row>
        <row r="992">
          <cell r="D992" t="str">
            <v>2029/11</v>
          </cell>
          <cell r="E992" t="str">
            <v>12/09/2011</v>
          </cell>
          <cell r="F992">
            <v>40977</v>
          </cell>
          <cell r="G992">
            <v>40882</v>
          </cell>
          <cell r="H992" t="str">
            <v>2011-0.222.461-4</v>
          </cell>
          <cell r="I992">
            <v>43670.7</v>
          </cell>
          <cell r="J992" t="str">
            <v xml:space="preserve">              123611122                  2848                    33903600</v>
          </cell>
          <cell r="K992" t="str">
            <v>12/09/2011</v>
          </cell>
          <cell r="L992">
            <v>85</v>
          </cell>
          <cell r="M992">
            <v>20700</v>
          </cell>
          <cell r="N992">
            <v>57278</v>
          </cell>
          <cell r="O992">
            <v>28642</v>
          </cell>
          <cell r="P992">
            <v>16</v>
          </cell>
          <cell r="Q992">
            <v>3</v>
          </cell>
          <cell r="T992">
            <v>7244.9999999999991</v>
          </cell>
          <cell r="U992">
            <v>0</v>
          </cell>
          <cell r="V992">
            <v>7300</v>
          </cell>
          <cell r="W992">
            <v>180</v>
          </cell>
          <cell r="X992">
            <v>5840</v>
          </cell>
          <cell r="Y992">
            <v>102217</v>
          </cell>
          <cell r="Z992">
            <v>11158.5</v>
          </cell>
          <cell r="AA992">
            <v>1981.5</v>
          </cell>
          <cell r="AB992">
            <v>242.61499999999998</v>
          </cell>
          <cell r="AC992">
            <v>7300</v>
          </cell>
          <cell r="AD992">
            <v>5879.91</v>
          </cell>
          <cell r="AE992">
            <v>1420.0900000000001</v>
          </cell>
          <cell r="AN992" t="str">
            <v xml:space="preserve">Contrato emergencial nº </v>
          </cell>
          <cell r="AO992" t="str">
            <v>CS</v>
          </cell>
        </row>
        <row r="993">
          <cell r="D993" t="str">
            <v>2030/11</v>
          </cell>
          <cell r="E993" t="str">
            <v>19/09/2011</v>
          </cell>
          <cell r="F993">
            <v>40984</v>
          </cell>
          <cell r="G993">
            <v>40877</v>
          </cell>
          <cell r="H993" t="str">
            <v>2011-0.222.463-0</v>
          </cell>
          <cell r="I993">
            <v>27971.16</v>
          </cell>
          <cell r="J993" t="str">
            <v xml:space="preserve">              123651121                 2847                    33903600</v>
          </cell>
          <cell r="K993" t="str">
            <v>19/09/2011</v>
          </cell>
          <cell r="L993">
            <v>73</v>
          </cell>
          <cell r="M993">
            <v>11400</v>
          </cell>
          <cell r="N993">
            <v>57273</v>
          </cell>
          <cell r="O993">
            <v>30522</v>
          </cell>
          <cell r="P993">
            <v>16</v>
          </cell>
          <cell r="Q993">
            <v>2</v>
          </cell>
          <cell r="T993">
            <v>2850</v>
          </cell>
          <cell r="U993">
            <v>0</v>
          </cell>
          <cell r="V993">
            <v>4700</v>
          </cell>
          <cell r="W993">
            <v>180</v>
          </cell>
          <cell r="X993">
            <v>3760</v>
          </cell>
          <cell r="Y993">
            <v>103075</v>
          </cell>
          <cell r="Z993">
            <v>5314.95</v>
          </cell>
          <cell r="AA993">
            <v>3145.05</v>
          </cell>
          <cell r="AB993">
            <v>155.39533333333333</v>
          </cell>
          <cell r="AC993">
            <v>4700</v>
          </cell>
          <cell r="AD993">
            <v>4319.07</v>
          </cell>
          <cell r="AE993">
            <v>380.93000000000029</v>
          </cell>
          <cell r="AN993" t="str">
            <v xml:space="preserve">Contrato emergencial nº </v>
          </cell>
          <cell r="AO993" t="str">
            <v>JT</v>
          </cell>
        </row>
        <row r="994">
          <cell r="D994" t="str">
            <v>2031/11</v>
          </cell>
          <cell r="E994" t="str">
            <v>19/09/2011</v>
          </cell>
          <cell r="F994">
            <v>40984</v>
          </cell>
          <cell r="G994">
            <v>40877</v>
          </cell>
          <cell r="H994" t="str">
            <v>2011-0.222.467-3</v>
          </cell>
          <cell r="I994">
            <v>30606.240000000002</v>
          </cell>
          <cell r="J994" t="str">
            <v xml:space="preserve">              123611122                  2848                    33903600</v>
          </cell>
          <cell r="K994" t="str">
            <v>19/09/2011</v>
          </cell>
          <cell r="L994">
            <v>73</v>
          </cell>
          <cell r="M994">
            <v>12500</v>
          </cell>
          <cell r="N994">
            <v>57278</v>
          </cell>
          <cell r="O994">
            <v>30523</v>
          </cell>
          <cell r="P994">
            <v>16</v>
          </cell>
          <cell r="Q994">
            <v>3</v>
          </cell>
          <cell r="T994">
            <v>3125</v>
          </cell>
          <cell r="U994">
            <v>0</v>
          </cell>
          <cell r="V994">
            <v>5200</v>
          </cell>
          <cell r="W994">
            <v>180</v>
          </cell>
          <cell r="X994">
            <v>4160</v>
          </cell>
          <cell r="Y994">
            <v>102285</v>
          </cell>
          <cell r="Z994">
            <v>5408.1</v>
          </cell>
          <cell r="AA994">
            <v>3951.8999999999996</v>
          </cell>
          <cell r="AB994">
            <v>170.03466666666668</v>
          </cell>
          <cell r="AC994">
            <v>5200</v>
          </cell>
          <cell r="AD994">
            <v>5136.3600000000006</v>
          </cell>
          <cell r="AE994">
            <v>63.639999999999418</v>
          </cell>
          <cell r="AN994" t="str">
            <v xml:space="preserve">Contrato emergencial nº </v>
          </cell>
          <cell r="AO994" t="str">
            <v>SA</v>
          </cell>
        </row>
        <row r="995">
          <cell r="D995" t="str">
            <v>2032/11</v>
          </cell>
          <cell r="E995" t="str">
            <v>19/09/2011</v>
          </cell>
          <cell r="F995">
            <v>40984</v>
          </cell>
          <cell r="G995">
            <v>40877</v>
          </cell>
          <cell r="H995" t="str">
            <v>2011-0.222.471-1</v>
          </cell>
          <cell r="I995">
            <v>55766.34</v>
          </cell>
          <cell r="J995" t="str">
            <v xml:space="preserve">              123651121                 2847                    33903600</v>
          </cell>
          <cell r="K995" t="str">
            <v>19/09/2011</v>
          </cell>
          <cell r="L995">
            <v>73</v>
          </cell>
          <cell r="M995">
            <v>22700</v>
          </cell>
          <cell r="N995">
            <v>57273</v>
          </cell>
          <cell r="O995">
            <v>29791</v>
          </cell>
          <cell r="P995">
            <v>16</v>
          </cell>
          <cell r="Q995">
            <v>2</v>
          </cell>
          <cell r="T995">
            <v>5675</v>
          </cell>
          <cell r="U995">
            <v>0</v>
          </cell>
          <cell r="V995">
            <v>9300</v>
          </cell>
          <cell r="W995">
            <v>180</v>
          </cell>
          <cell r="X995">
            <v>7440</v>
          </cell>
          <cell r="Y995">
            <v>101946</v>
          </cell>
          <cell r="Z995">
            <v>10502.339999999998</v>
          </cell>
          <cell r="AA995">
            <v>6237.6600000000017</v>
          </cell>
          <cell r="AB995">
            <v>309.81299999999999</v>
          </cell>
          <cell r="AC995">
            <v>9300</v>
          </cell>
          <cell r="AD995">
            <v>8705.25</v>
          </cell>
          <cell r="AE995">
            <v>594.75</v>
          </cell>
          <cell r="AN995" t="str">
            <v xml:space="preserve">Contrato emergencial nº </v>
          </cell>
          <cell r="AO995" t="str">
            <v>CS</v>
          </cell>
        </row>
        <row r="996">
          <cell r="D996" t="str">
            <v>2033/11</v>
          </cell>
          <cell r="E996" t="str">
            <v>19/09/2011</v>
          </cell>
          <cell r="F996">
            <v>40984</v>
          </cell>
          <cell r="G996">
            <v>40877</v>
          </cell>
          <cell r="H996" t="str">
            <v>2011-0.222.475-4</v>
          </cell>
          <cell r="I996">
            <v>46286.1</v>
          </cell>
          <cell r="J996" t="str">
            <v xml:space="preserve">              123651121                 2847                    33903600</v>
          </cell>
          <cell r="K996" t="str">
            <v>19/09/2011</v>
          </cell>
          <cell r="L996">
            <v>73</v>
          </cell>
          <cell r="M996">
            <v>18800</v>
          </cell>
          <cell r="N996">
            <v>57273</v>
          </cell>
          <cell r="O996">
            <v>29792</v>
          </cell>
          <cell r="P996">
            <v>16</v>
          </cell>
          <cell r="Q996">
            <v>2</v>
          </cell>
          <cell r="T996">
            <v>4700</v>
          </cell>
          <cell r="U996">
            <v>0</v>
          </cell>
          <cell r="V996">
            <v>7800</v>
          </cell>
          <cell r="W996">
            <v>180</v>
          </cell>
          <cell r="X996">
            <v>6240</v>
          </cell>
          <cell r="Y996">
            <v>101959</v>
          </cell>
          <cell r="Z996">
            <v>10171.009999999998</v>
          </cell>
          <cell r="AA996">
            <v>3868.9900000000016</v>
          </cell>
          <cell r="AB996">
            <v>257.14499999999998</v>
          </cell>
          <cell r="AC996">
            <v>7800</v>
          </cell>
          <cell r="AD996">
            <v>6186.7100000000009</v>
          </cell>
          <cell r="AE996">
            <v>1613.2899999999991</v>
          </cell>
          <cell r="AN996" t="str">
            <v xml:space="preserve">Contrato emergencial nº </v>
          </cell>
          <cell r="AO996" t="str">
            <v>CS</v>
          </cell>
        </row>
        <row r="997">
          <cell r="D997" t="str">
            <v>2034/11</v>
          </cell>
          <cell r="E997" t="str">
            <v>19/09/2011</v>
          </cell>
          <cell r="F997">
            <v>40984</v>
          </cell>
          <cell r="G997">
            <v>40877</v>
          </cell>
          <cell r="H997" t="str">
            <v>2011-0.223.233-1</v>
          </cell>
          <cell r="I997">
            <v>40877.160000000003</v>
          </cell>
          <cell r="J997" t="str">
            <v xml:space="preserve">              123651121                 2847                    33903600</v>
          </cell>
          <cell r="K997" t="str">
            <v>19/09/2011</v>
          </cell>
          <cell r="L997">
            <v>73</v>
          </cell>
          <cell r="M997">
            <v>16600</v>
          </cell>
          <cell r="N997">
            <v>57273</v>
          </cell>
          <cell r="O997">
            <v>30618</v>
          </cell>
          <cell r="P997">
            <v>16</v>
          </cell>
          <cell r="Q997">
            <v>2</v>
          </cell>
          <cell r="T997">
            <v>4150</v>
          </cell>
          <cell r="U997">
            <v>0</v>
          </cell>
          <cell r="V997">
            <v>6900</v>
          </cell>
          <cell r="W997">
            <v>180</v>
          </cell>
          <cell r="X997">
            <v>5520</v>
          </cell>
          <cell r="Y997">
            <v>101977</v>
          </cell>
          <cell r="Z997">
            <v>7401.67</v>
          </cell>
          <cell r="AA997">
            <v>5018.33</v>
          </cell>
          <cell r="AB997">
            <v>227.09533333333334</v>
          </cell>
          <cell r="AC997">
            <v>6900</v>
          </cell>
          <cell r="AD997">
            <v>6642.91</v>
          </cell>
          <cell r="AE997">
            <v>257.09000000000015</v>
          </cell>
          <cell r="AN997" t="str">
            <v xml:space="preserve">Contrato emergencial nº </v>
          </cell>
          <cell r="AO997" t="str">
            <v>PJ</v>
          </cell>
        </row>
        <row r="998">
          <cell r="D998" t="str">
            <v>2035/11</v>
          </cell>
          <cell r="E998" t="str">
            <v>19/09/2011</v>
          </cell>
          <cell r="F998">
            <v>40984</v>
          </cell>
          <cell r="G998">
            <v>40877</v>
          </cell>
          <cell r="H998" t="str">
            <v>2011-0.223.237-4</v>
          </cell>
          <cell r="I998">
            <v>31418.52</v>
          </cell>
          <cell r="J998" t="str">
            <v xml:space="preserve">              123651121                 2847                    33903600</v>
          </cell>
          <cell r="K998" t="str">
            <v>19/09/2011</v>
          </cell>
          <cell r="L998">
            <v>73</v>
          </cell>
          <cell r="M998">
            <v>12800</v>
          </cell>
          <cell r="N998">
            <v>57273</v>
          </cell>
          <cell r="O998">
            <v>30619</v>
          </cell>
          <cell r="P998">
            <v>16</v>
          </cell>
          <cell r="Q998">
            <v>2</v>
          </cell>
          <cell r="T998">
            <v>3200</v>
          </cell>
          <cell r="U998">
            <v>0</v>
          </cell>
          <cell r="V998">
            <v>5500</v>
          </cell>
          <cell r="W998">
            <v>180</v>
          </cell>
          <cell r="X998">
            <v>4400</v>
          </cell>
          <cell r="Y998">
            <v>102044</v>
          </cell>
          <cell r="Z998">
            <v>10519.03</v>
          </cell>
          <cell r="AA998">
            <v>-619.03000000000065</v>
          </cell>
          <cell r="AB998">
            <v>174.54733333333334</v>
          </cell>
          <cell r="AC998">
            <v>5300</v>
          </cell>
          <cell r="AD998">
            <v>5401.5300000000007</v>
          </cell>
          <cell r="AE998">
            <v>-101.53000000000065</v>
          </cell>
          <cell r="AN998" t="str">
            <v xml:space="preserve">Contrato emergencial nº </v>
          </cell>
          <cell r="AO998" t="str">
            <v>CL</v>
          </cell>
        </row>
        <row r="999">
          <cell r="D999" t="str">
            <v>2036/11</v>
          </cell>
          <cell r="E999" t="str">
            <v>19/09/2011</v>
          </cell>
          <cell r="F999">
            <v>40984</v>
          </cell>
          <cell r="G999">
            <v>40877</v>
          </cell>
          <cell r="H999" t="str">
            <v>2011-0.223.244-7</v>
          </cell>
          <cell r="I999">
            <v>44978.400000000001</v>
          </cell>
          <cell r="J999" t="str">
            <v xml:space="preserve">              123651121                 2847                    33903600</v>
          </cell>
          <cell r="K999" t="str">
            <v>19/09/2011</v>
          </cell>
          <cell r="L999">
            <v>73</v>
          </cell>
          <cell r="M999">
            <v>18300</v>
          </cell>
          <cell r="N999">
            <v>57273</v>
          </cell>
          <cell r="O999">
            <v>30770</v>
          </cell>
          <cell r="P999">
            <v>16</v>
          </cell>
          <cell r="Q999">
            <v>2</v>
          </cell>
          <cell r="T999">
            <v>4575</v>
          </cell>
          <cell r="U999">
            <v>0</v>
          </cell>
          <cell r="V999">
            <v>7500</v>
          </cell>
          <cell r="W999">
            <v>180</v>
          </cell>
          <cell r="X999">
            <v>6000</v>
          </cell>
          <cell r="Y999">
            <v>102005</v>
          </cell>
          <cell r="Z999">
            <v>8311.84</v>
          </cell>
          <cell r="AA999">
            <v>5188.16</v>
          </cell>
          <cell r="AB999">
            <v>249.88</v>
          </cell>
          <cell r="AC999">
            <v>7500</v>
          </cell>
          <cell r="AD999">
            <v>7187.3</v>
          </cell>
          <cell r="AE999">
            <v>312.69999999999982</v>
          </cell>
          <cell r="AN999" t="str">
            <v xml:space="preserve">Contrato emergencial nº </v>
          </cell>
          <cell r="AO999" t="str">
            <v>PJ</v>
          </cell>
        </row>
        <row r="1000">
          <cell r="D1000" t="str">
            <v>2037/11</v>
          </cell>
          <cell r="E1000" t="str">
            <v>19/09/2011</v>
          </cell>
          <cell r="F1000">
            <v>40984</v>
          </cell>
          <cell r="G1000">
            <v>40877</v>
          </cell>
          <cell r="H1000" t="str">
            <v>2011-0.223.247-1</v>
          </cell>
          <cell r="I1000">
            <v>38261.760000000002</v>
          </cell>
          <cell r="J1000" t="str">
            <v xml:space="preserve">              123651121                 2847                    33903600</v>
          </cell>
          <cell r="K1000" t="str">
            <v>19/09/2011</v>
          </cell>
          <cell r="L1000">
            <v>73</v>
          </cell>
          <cell r="M1000">
            <v>15600</v>
          </cell>
          <cell r="N1000">
            <v>57273</v>
          </cell>
          <cell r="O1000">
            <v>30771</v>
          </cell>
          <cell r="P1000">
            <v>16</v>
          </cell>
          <cell r="Q1000">
            <v>2</v>
          </cell>
          <cell r="T1000">
            <v>3900</v>
          </cell>
          <cell r="U1000">
            <v>0</v>
          </cell>
          <cell r="V1000">
            <v>6400</v>
          </cell>
          <cell r="W1000">
            <v>180</v>
          </cell>
          <cell r="X1000">
            <v>5120</v>
          </cell>
          <cell r="Y1000">
            <v>102450</v>
          </cell>
          <cell r="Z1000">
            <v>8345.14</v>
          </cell>
          <cell r="AA1000">
            <v>3174.8600000000006</v>
          </cell>
          <cell r="AB1000">
            <v>212.56533333333334</v>
          </cell>
          <cell r="AC1000">
            <v>6400</v>
          </cell>
          <cell r="AD1000">
            <v>5373.4699999999993</v>
          </cell>
          <cell r="AE1000">
            <v>1026.5300000000007</v>
          </cell>
          <cell r="AN1000" t="str">
            <v xml:space="preserve">Contrato emergencial nº </v>
          </cell>
          <cell r="AO1000" t="str">
            <v>IP</v>
          </cell>
        </row>
        <row r="1001">
          <cell r="D1001" t="str">
            <v>2038/11</v>
          </cell>
          <cell r="E1001" t="str">
            <v>19/09/2011</v>
          </cell>
          <cell r="F1001">
            <v>40984</v>
          </cell>
          <cell r="G1001">
            <v>40877</v>
          </cell>
          <cell r="H1001" t="str">
            <v>2011-0.223.251-0</v>
          </cell>
          <cell r="I1001">
            <v>44324.52</v>
          </cell>
          <cell r="J1001" t="str">
            <v xml:space="preserve">              123651121                 2847                    33903600</v>
          </cell>
          <cell r="K1001" t="str">
            <v>19/09/2011</v>
          </cell>
          <cell r="L1001">
            <v>73</v>
          </cell>
          <cell r="M1001">
            <v>18000</v>
          </cell>
          <cell r="N1001">
            <v>57273</v>
          </cell>
          <cell r="O1001">
            <v>30773</v>
          </cell>
          <cell r="P1001">
            <v>16</v>
          </cell>
          <cell r="Q1001">
            <v>2</v>
          </cell>
          <cell r="T1001">
            <v>4500</v>
          </cell>
          <cell r="U1001">
            <v>0</v>
          </cell>
          <cell r="V1001">
            <v>7400</v>
          </cell>
          <cell r="W1001">
            <v>180</v>
          </cell>
          <cell r="X1001">
            <v>5920</v>
          </cell>
          <cell r="Y1001">
            <v>102242</v>
          </cell>
          <cell r="Z1001">
            <v>9818.2099999999991</v>
          </cell>
          <cell r="AA1001">
            <v>3501.7900000000009</v>
          </cell>
          <cell r="AB1001">
            <v>246.2473333333333</v>
          </cell>
          <cell r="AC1001">
            <v>7400</v>
          </cell>
          <cell r="AD1001">
            <v>5872.0300000000007</v>
          </cell>
          <cell r="AE1001">
            <v>1527.9699999999993</v>
          </cell>
          <cell r="AN1001" t="str">
            <v xml:space="preserve">Contrato emergencial nº </v>
          </cell>
          <cell r="AO1001" t="str">
            <v>SA</v>
          </cell>
        </row>
        <row r="1002">
          <cell r="D1002" t="str">
            <v>2039/11</v>
          </cell>
          <cell r="E1002" t="str">
            <v>19/09/2011</v>
          </cell>
          <cell r="F1002">
            <v>40984</v>
          </cell>
          <cell r="G1002">
            <v>40877</v>
          </cell>
          <cell r="H1002" t="str">
            <v>2011-0.223.254-4</v>
          </cell>
          <cell r="I1002">
            <v>30606.240000000002</v>
          </cell>
          <cell r="J1002" t="str">
            <v xml:space="preserve">              123651121                 2847                    33903600</v>
          </cell>
          <cell r="K1002" t="str">
            <v>19/09/2011</v>
          </cell>
          <cell r="L1002">
            <v>73</v>
          </cell>
          <cell r="M1002">
            <v>12500</v>
          </cell>
          <cell r="N1002">
            <v>57273</v>
          </cell>
          <cell r="O1002">
            <v>30774</v>
          </cell>
          <cell r="P1002">
            <v>16</v>
          </cell>
          <cell r="Q1002">
            <v>2</v>
          </cell>
          <cell r="T1002">
            <v>3125</v>
          </cell>
          <cell r="U1002">
            <v>0</v>
          </cell>
          <cell r="V1002">
            <v>5200</v>
          </cell>
          <cell r="W1002">
            <v>180</v>
          </cell>
          <cell r="X1002">
            <v>4160</v>
          </cell>
          <cell r="Y1002">
            <v>102248</v>
          </cell>
          <cell r="Z1002">
            <v>6758.42</v>
          </cell>
          <cell r="AA1002">
            <v>2601.58</v>
          </cell>
          <cell r="AB1002">
            <v>170.03466666666668</v>
          </cell>
          <cell r="AC1002">
            <v>5200</v>
          </cell>
          <cell r="AD1002">
            <v>4128.16</v>
          </cell>
          <cell r="AE1002">
            <v>1071.8400000000001</v>
          </cell>
          <cell r="AN1002" t="str">
            <v xml:space="preserve">Contrato emergencial nº </v>
          </cell>
          <cell r="AO1002" t="str">
            <v>SA</v>
          </cell>
        </row>
        <row r="1003">
          <cell r="D1003" t="str">
            <v>2040/11</v>
          </cell>
          <cell r="E1003" t="str">
            <v>19/09/2011</v>
          </cell>
          <cell r="F1003">
            <v>40984</v>
          </cell>
          <cell r="G1003">
            <v>40877</v>
          </cell>
          <cell r="H1003" t="str">
            <v>2011-0.223.259-5</v>
          </cell>
          <cell r="I1003">
            <v>31418.52</v>
          </cell>
          <cell r="J1003" t="str">
            <v xml:space="preserve">              123651121                 2847                    33903600</v>
          </cell>
          <cell r="K1003" t="str">
            <v>19/09/2011</v>
          </cell>
          <cell r="L1003">
            <v>73</v>
          </cell>
          <cell r="M1003">
            <v>12800</v>
          </cell>
          <cell r="N1003">
            <v>57273</v>
          </cell>
          <cell r="O1003">
            <v>30777</v>
          </cell>
          <cell r="P1003">
            <v>16</v>
          </cell>
          <cell r="Q1003">
            <v>2</v>
          </cell>
          <cell r="T1003">
            <v>3200</v>
          </cell>
          <cell r="U1003">
            <v>0</v>
          </cell>
          <cell r="V1003">
            <v>5300</v>
          </cell>
          <cell r="W1003">
            <v>180</v>
          </cell>
          <cell r="X1003">
            <v>4240</v>
          </cell>
          <cell r="Y1003">
            <v>102200</v>
          </cell>
          <cell r="Z1003">
            <v>6627.24</v>
          </cell>
          <cell r="AA1003">
            <v>2912.76</v>
          </cell>
          <cell r="AB1003">
            <v>174.54733333333334</v>
          </cell>
          <cell r="AC1003">
            <v>5300</v>
          </cell>
          <cell r="AD1003">
            <v>4461.58</v>
          </cell>
          <cell r="AE1003">
            <v>838.42000000000007</v>
          </cell>
          <cell r="AN1003" t="str">
            <v xml:space="preserve">Contrato emergencial nº </v>
          </cell>
          <cell r="AO1003" t="str">
            <v>CS</v>
          </cell>
        </row>
        <row r="1004">
          <cell r="D1004" t="str">
            <v>2041/11</v>
          </cell>
          <cell r="E1004" t="str">
            <v>19/09/2011</v>
          </cell>
          <cell r="F1004">
            <v>40984</v>
          </cell>
          <cell r="G1004">
            <v>40877</v>
          </cell>
          <cell r="H1004" t="str">
            <v>2011-0.223.261-7</v>
          </cell>
          <cell r="I1004">
            <v>20967.419999999998</v>
          </cell>
          <cell r="J1004" t="str">
            <v xml:space="preserve">              123651121                 2847                    33903600</v>
          </cell>
          <cell r="K1004" t="str">
            <v>19/09/2011</v>
          </cell>
          <cell r="L1004">
            <v>73</v>
          </cell>
          <cell r="M1004">
            <v>8600</v>
          </cell>
          <cell r="N1004">
            <v>57273</v>
          </cell>
          <cell r="O1004">
            <v>30779</v>
          </cell>
          <cell r="P1004">
            <v>16</v>
          </cell>
          <cell r="Q1004">
            <v>2</v>
          </cell>
          <cell r="T1004">
            <v>2150</v>
          </cell>
          <cell r="U1004">
            <v>0</v>
          </cell>
          <cell r="V1004">
            <v>3500</v>
          </cell>
          <cell r="W1004">
            <v>180</v>
          </cell>
          <cell r="X1004">
            <v>2800</v>
          </cell>
          <cell r="Y1004">
            <v>102210</v>
          </cell>
          <cell r="Z1004">
            <v>7290.63</v>
          </cell>
          <cell r="AA1004">
            <v>-990.63000000000011</v>
          </cell>
          <cell r="AB1004">
            <v>116.48566666666666</v>
          </cell>
          <cell r="AC1004">
            <v>3500</v>
          </cell>
          <cell r="AD1004">
            <v>3249.18</v>
          </cell>
          <cell r="AE1004">
            <v>250.82000000000016</v>
          </cell>
          <cell r="AN1004" t="str">
            <v xml:space="preserve">Contrato emergencial nº </v>
          </cell>
          <cell r="AO1004" t="str">
            <v>CL</v>
          </cell>
        </row>
        <row r="1005">
          <cell r="D1005" t="str">
            <v>2042/11</v>
          </cell>
          <cell r="E1005" t="str">
            <v>19/09/2011</v>
          </cell>
          <cell r="F1005">
            <v>40984</v>
          </cell>
          <cell r="G1005">
            <v>40877</v>
          </cell>
          <cell r="H1005" t="str">
            <v>2011-0.223.266-8</v>
          </cell>
          <cell r="I1005">
            <v>44324.52</v>
          </cell>
          <cell r="J1005" t="str">
            <v xml:space="preserve">              123651121                 2847                    33903600</v>
          </cell>
          <cell r="K1005" t="str">
            <v>19/09/2011</v>
          </cell>
          <cell r="L1005">
            <v>73</v>
          </cell>
          <cell r="M1005">
            <v>18000</v>
          </cell>
          <cell r="N1005">
            <v>57273</v>
          </cell>
          <cell r="O1005">
            <v>30781</v>
          </cell>
          <cell r="P1005">
            <v>16</v>
          </cell>
          <cell r="Q1005">
            <v>2</v>
          </cell>
          <cell r="T1005">
            <v>4500</v>
          </cell>
          <cell r="U1005">
            <v>0</v>
          </cell>
          <cell r="V1005">
            <v>7400</v>
          </cell>
          <cell r="W1005">
            <v>180</v>
          </cell>
          <cell r="X1005">
            <v>5920</v>
          </cell>
          <cell r="Y1005">
            <v>102075</v>
          </cell>
          <cell r="Z1005">
            <v>8768.0300000000007</v>
          </cell>
          <cell r="AA1005">
            <v>4551.9699999999993</v>
          </cell>
          <cell r="AB1005">
            <v>246.2473333333333</v>
          </cell>
          <cell r="AC1005">
            <v>7400</v>
          </cell>
          <cell r="AD1005">
            <v>6768.86</v>
          </cell>
          <cell r="AE1005">
            <v>631.14000000000033</v>
          </cell>
          <cell r="AN1005" t="str">
            <v xml:space="preserve">Contrato emergencial nº </v>
          </cell>
          <cell r="AO1005" t="str">
            <v>PJ</v>
          </cell>
        </row>
        <row r="1006">
          <cell r="D1006" t="str">
            <v>2043/11</v>
          </cell>
          <cell r="E1006" t="str">
            <v>19/09/2011</v>
          </cell>
          <cell r="F1006">
            <v>40984</v>
          </cell>
          <cell r="G1006">
            <v>40877</v>
          </cell>
          <cell r="H1006" t="str">
            <v>2011-0.223.271-4</v>
          </cell>
          <cell r="I1006">
            <v>37607.879999999997</v>
          </cell>
          <cell r="J1006" t="str">
            <v xml:space="preserve">              123651121                 2847                    33903600</v>
          </cell>
          <cell r="K1006" t="str">
            <v>19/09/2011</v>
          </cell>
          <cell r="L1006">
            <v>73</v>
          </cell>
          <cell r="M1006">
            <v>15300</v>
          </cell>
          <cell r="N1006">
            <v>57273</v>
          </cell>
          <cell r="O1006">
            <v>30782</v>
          </cell>
          <cell r="P1006">
            <v>16</v>
          </cell>
          <cell r="Q1006">
            <v>2</v>
          </cell>
          <cell r="T1006">
            <v>3825</v>
          </cell>
          <cell r="U1006">
            <v>0</v>
          </cell>
          <cell r="V1006">
            <v>6300</v>
          </cell>
          <cell r="W1006">
            <v>180</v>
          </cell>
          <cell r="X1006">
            <v>5040</v>
          </cell>
          <cell r="Y1006">
            <v>102474</v>
          </cell>
          <cell r="Z1006">
            <v>6829.93</v>
          </cell>
          <cell r="AA1006">
            <v>4510.07</v>
          </cell>
          <cell r="AB1006">
            <v>208.93266666666665</v>
          </cell>
          <cell r="AC1006">
            <v>6300</v>
          </cell>
          <cell r="AD1006">
            <v>6089.7300000000005</v>
          </cell>
          <cell r="AE1006">
            <v>210.26999999999953</v>
          </cell>
          <cell r="AN1006" t="str">
            <v xml:space="preserve">Contrato emergencial nº </v>
          </cell>
          <cell r="AO1006" t="str">
            <v>IP</v>
          </cell>
        </row>
        <row r="1007">
          <cell r="D1007" t="str">
            <v>2044/11</v>
          </cell>
          <cell r="E1007" t="str">
            <v>19/09/2011</v>
          </cell>
          <cell r="F1007">
            <v>40984</v>
          </cell>
          <cell r="G1007">
            <v>40877</v>
          </cell>
          <cell r="H1007" t="str">
            <v>2011-0.223.273-0</v>
          </cell>
          <cell r="I1007">
            <v>38261.760000000002</v>
          </cell>
          <cell r="J1007" t="str">
            <v xml:space="preserve">              123651121                 2847                    33903600</v>
          </cell>
          <cell r="K1007" t="str">
            <v>19/09/2011</v>
          </cell>
          <cell r="L1007">
            <v>73</v>
          </cell>
          <cell r="M1007">
            <v>15600</v>
          </cell>
          <cell r="N1007">
            <v>57273</v>
          </cell>
          <cell r="O1007">
            <v>30783</v>
          </cell>
          <cell r="P1007">
            <v>16</v>
          </cell>
          <cell r="Q1007">
            <v>2</v>
          </cell>
          <cell r="T1007">
            <v>3900</v>
          </cell>
          <cell r="U1007">
            <v>0</v>
          </cell>
          <cell r="V1007">
            <v>6400</v>
          </cell>
          <cell r="W1007">
            <v>180</v>
          </cell>
          <cell r="X1007">
            <v>5120</v>
          </cell>
          <cell r="Y1007">
            <v>102898</v>
          </cell>
          <cell r="Z1007">
            <v>6861.72</v>
          </cell>
          <cell r="AA1007">
            <v>4658.28</v>
          </cell>
          <cell r="AB1007">
            <v>212.56533333333334</v>
          </cell>
          <cell r="AC1007">
            <v>6400</v>
          </cell>
          <cell r="AD1007">
            <v>6386.83</v>
          </cell>
          <cell r="AE1007">
            <v>13.170000000000073</v>
          </cell>
          <cell r="AN1007" t="str">
            <v xml:space="preserve">Contrato emergencial nº </v>
          </cell>
          <cell r="AO1007" t="str">
            <v>PE</v>
          </cell>
        </row>
        <row r="1008">
          <cell r="D1008" t="str">
            <v>2045/11</v>
          </cell>
          <cell r="E1008" t="str">
            <v>19/09/2011</v>
          </cell>
          <cell r="F1008">
            <v>40984</v>
          </cell>
          <cell r="G1008">
            <v>40877</v>
          </cell>
          <cell r="H1008" t="str">
            <v>2011-0.223.277-3</v>
          </cell>
          <cell r="I1008">
            <v>44324.52</v>
          </cell>
          <cell r="J1008" t="str">
            <v xml:space="preserve">              123651121                 2847                    33903600</v>
          </cell>
          <cell r="K1008" t="str">
            <v>19/09/2011</v>
          </cell>
          <cell r="L1008">
            <v>73</v>
          </cell>
          <cell r="M1008">
            <v>18000</v>
          </cell>
          <cell r="N1008">
            <v>57273</v>
          </cell>
          <cell r="O1008">
            <v>30784</v>
          </cell>
          <cell r="P1008">
            <v>16</v>
          </cell>
          <cell r="Q1008">
            <v>2</v>
          </cell>
          <cell r="T1008">
            <v>4500</v>
          </cell>
          <cell r="U1008">
            <v>0</v>
          </cell>
          <cell r="V1008">
            <v>7500</v>
          </cell>
          <cell r="W1008">
            <v>180</v>
          </cell>
          <cell r="X1008">
            <v>6000</v>
          </cell>
          <cell r="Y1008">
            <v>102223</v>
          </cell>
          <cell r="Z1008">
            <v>7876.3499999999995</v>
          </cell>
          <cell r="AA1008">
            <v>5623.6500000000005</v>
          </cell>
          <cell r="AB1008">
            <v>246.2473333333333</v>
          </cell>
          <cell r="AC1008">
            <v>7400</v>
          </cell>
          <cell r="AD1008">
            <v>7410.86</v>
          </cell>
          <cell r="AE1008">
            <v>-10.859999999999673</v>
          </cell>
          <cell r="AN1008" t="str">
            <v xml:space="preserve">Contrato emergencial nº </v>
          </cell>
          <cell r="AO1008" t="str">
            <v>CS</v>
          </cell>
        </row>
        <row r="1009">
          <cell r="D1009" t="str">
            <v>2046/11</v>
          </cell>
          <cell r="E1009" t="str">
            <v>19/09/2011</v>
          </cell>
          <cell r="F1009">
            <v>40984</v>
          </cell>
          <cell r="G1009">
            <v>40877</v>
          </cell>
          <cell r="H1009" t="str">
            <v>2011-0.223.280-3</v>
          </cell>
          <cell r="I1009">
            <v>41531.040000000001</v>
          </cell>
          <cell r="J1009" t="str">
            <v xml:space="preserve">              123651121                 2847                    33903600</v>
          </cell>
          <cell r="K1009" t="str">
            <v>19/09/2011</v>
          </cell>
          <cell r="L1009">
            <v>73</v>
          </cell>
          <cell r="M1009">
            <v>16900</v>
          </cell>
          <cell r="N1009">
            <v>57273</v>
          </cell>
          <cell r="O1009">
            <v>30785</v>
          </cell>
          <cell r="P1009">
            <v>16</v>
          </cell>
          <cell r="Q1009">
            <v>2</v>
          </cell>
          <cell r="T1009">
            <v>4225</v>
          </cell>
          <cell r="U1009">
            <v>0</v>
          </cell>
          <cell r="V1009">
            <v>7000</v>
          </cell>
          <cell r="W1009">
            <v>180</v>
          </cell>
          <cell r="X1009">
            <v>5600</v>
          </cell>
          <cell r="Y1009">
            <v>102102</v>
          </cell>
          <cell r="Z1009">
            <v>8742.0499999999993</v>
          </cell>
          <cell r="AA1009">
            <v>3857.9500000000007</v>
          </cell>
          <cell r="AB1009">
            <v>230.72800000000001</v>
          </cell>
          <cell r="AC1009">
            <v>7000</v>
          </cell>
          <cell r="AD1009">
            <v>5878.35</v>
          </cell>
          <cell r="AE1009">
            <v>1121.6499999999996</v>
          </cell>
          <cell r="AN1009" t="str">
            <v xml:space="preserve">Contrato emergencial nº </v>
          </cell>
          <cell r="AO1009" t="str">
            <v>PJ</v>
          </cell>
        </row>
        <row r="1010">
          <cell r="D1010" t="str">
            <v>2047/11</v>
          </cell>
          <cell r="E1010" t="str">
            <v>19/09/2011</v>
          </cell>
          <cell r="F1010">
            <v>40984</v>
          </cell>
          <cell r="G1010">
            <v>40877</v>
          </cell>
          <cell r="H1010" t="str">
            <v>2011-0.223.307-9</v>
          </cell>
          <cell r="I1010">
            <v>44324.52</v>
          </cell>
          <cell r="J1010" t="str">
            <v xml:space="preserve">              123651121                 2847                    33903600</v>
          </cell>
          <cell r="K1010" t="str">
            <v>19/09/2011</v>
          </cell>
          <cell r="L1010">
            <v>73</v>
          </cell>
          <cell r="M1010">
            <v>18000</v>
          </cell>
          <cell r="N1010">
            <v>57273</v>
          </cell>
          <cell r="O1010">
            <v>30786</v>
          </cell>
          <cell r="P1010">
            <v>16</v>
          </cell>
          <cell r="Q1010">
            <v>2</v>
          </cell>
          <cell r="T1010">
            <v>4500</v>
          </cell>
          <cell r="U1010">
            <v>0</v>
          </cell>
          <cell r="V1010">
            <v>7400</v>
          </cell>
          <cell r="W1010">
            <v>180</v>
          </cell>
          <cell r="X1010">
            <v>5920</v>
          </cell>
          <cell r="Y1010">
            <v>103109</v>
          </cell>
          <cell r="Z1010">
            <v>8943.39</v>
          </cell>
          <cell r="AA1010">
            <v>4376.6100000000006</v>
          </cell>
          <cell r="AB1010">
            <v>246.2473333333333</v>
          </cell>
          <cell r="AC1010">
            <v>7400</v>
          </cell>
          <cell r="AD1010">
            <v>6647.8600000000006</v>
          </cell>
          <cell r="AE1010">
            <v>752.13999999999942</v>
          </cell>
          <cell r="AN1010" t="str">
            <v xml:space="preserve">Contrato emergencial nº </v>
          </cell>
          <cell r="AO1010" t="str">
            <v>G</v>
          </cell>
        </row>
        <row r="1011">
          <cell r="D1011" t="str">
            <v>2048/11</v>
          </cell>
          <cell r="E1011" t="str">
            <v>19/09/2011</v>
          </cell>
          <cell r="F1011">
            <v>40984</v>
          </cell>
          <cell r="G1011">
            <v>40877</v>
          </cell>
          <cell r="H1011" t="str">
            <v>2011-0.223.310-9</v>
          </cell>
          <cell r="I1011">
            <v>21779.759999999998</v>
          </cell>
          <cell r="J1011" t="str">
            <v xml:space="preserve">              123651121                 2847                    33903600</v>
          </cell>
          <cell r="K1011" t="str">
            <v>19/09/2011</v>
          </cell>
          <cell r="L1011">
            <v>73</v>
          </cell>
          <cell r="M1011">
            <v>8900</v>
          </cell>
          <cell r="N1011">
            <v>57273</v>
          </cell>
          <cell r="O1011">
            <v>30787</v>
          </cell>
          <cell r="P1011">
            <v>16</v>
          </cell>
          <cell r="Q1011">
            <v>2</v>
          </cell>
          <cell r="T1011">
            <v>2225</v>
          </cell>
          <cell r="U1011">
            <v>0</v>
          </cell>
          <cell r="V1011">
            <v>4300</v>
          </cell>
          <cell r="W1011">
            <v>180</v>
          </cell>
          <cell r="X1011">
            <v>3440</v>
          </cell>
          <cell r="Y1011">
            <v>102193</v>
          </cell>
          <cell r="Z1011">
            <v>2899.1</v>
          </cell>
          <cell r="AA1011">
            <v>4840.8999999999996</v>
          </cell>
          <cell r="AB1011">
            <v>120.99866666666665</v>
          </cell>
          <cell r="AC1011">
            <v>3700</v>
          </cell>
          <cell r="AD1011">
            <v>4298.5199999999995</v>
          </cell>
          <cell r="AE1011">
            <v>-598.51999999999953</v>
          </cell>
          <cell r="AN1011" t="str">
            <v xml:space="preserve">Contrato emergencial nº </v>
          </cell>
          <cell r="AO1011" t="str">
            <v>PJ</v>
          </cell>
        </row>
        <row r="1012">
          <cell r="D1012" t="str">
            <v>2049/11</v>
          </cell>
          <cell r="E1012" t="str">
            <v>19/09/2011</v>
          </cell>
          <cell r="F1012">
            <v>40984</v>
          </cell>
          <cell r="G1012">
            <v>40877</v>
          </cell>
          <cell r="H1012" t="str">
            <v>2011-0.223.314-1</v>
          </cell>
          <cell r="I1012">
            <v>40877.160000000003</v>
          </cell>
          <cell r="J1012" t="str">
            <v xml:space="preserve">              123611122                  2848                    33903600</v>
          </cell>
          <cell r="K1012" t="str">
            <v>19/09/2011</v>
          </cell>
          <cell r="L1012">
            <v>73</v>
          </cell>
          <cell r="M1012">
            <v>16600</v>
          </cell>
          <cell r="N1012">
            <v>57278</v>
          </cell>
          <cell r="O1012">
            <v>30788</v>
          </cell>
          <cell r="P1012">
            <v>16</v>
          </cell>
          <cell r="Q1012">
            <v>3</v>
          </cell>
          <cell r="T1012">
            <v>4150</v>
          </cell>
          <cell r="U1012">
            <v>0</v>
          </cell>
          <cell r="V1012">
            <v>6900</v>
          </cell>
          <cell r="W1012">
            <v>180</v>
          </cell>
          <cell r="X1012">
            <v>5520</v>
          </cell>
          <cell r="Y1012">
            <v>102283</v>
          </cell>
          <cell r="Z1012">
            <v>9006.58</v>
          </cell>
          <cell r="AA1012">
            <v>3413.42</v>
          </cell>
          <cell r="AB1012">
            <v>227.09533333333334</v>
          </cell>
          <cell r="AC1012">
            <v>6900</v>
          </cell>
          <cell r="AD1012">
            <v>5447.915</v>
          </cell>
          <cell r="AE1012">
            <v>1452.085</v>
          </cell>
          <cell r="AN1012" t="str">
            <v xml:space="preserve">Contrato emergencial nº </v>
          </cell>
          <cell r="AO1012" t="str">
            <v>SA</v>
          </cell>
        </row>
        <row r="1013">
          <cell r="D1013" t="str">
            <v>2050/11</v>
          </cell>
          <cell r="E1013" t="str">
            <v>19/09/2011</v>
          </cell>
          <cell r="F1013">
            <v>40984</v>
          </cell>
          <cell r="G1013">
            <v>40877</v>
          </cell>
          <cell r="H1013" t="str">
            <v>2011-0.223.315-0</v>
          </cell>
          <cell r="I1013">
            <v>21779.759999999998</v>
          </cell>
          <cell r="J1013" t="str">
            <v xml:space="preserve">              123611122                  2848                    33903600</v>
          </cell>
          <cell r="K1013" t="str">
            <v>19/09/2011</v>
          </cell>
          <cell r="L1013">
            <v>73</v>
          </cell>
          <cell r="M1013">
            <v>8900</v>
          </cell>
          <cell r="N1013">
            <v>57278</v>
          </cell>
          <cell r="O1013">
            <v>30790</v>
          </cell>
          <cell r="P1013">
            <v>16</v>
          </cell>
          <cell r="Q1013">
            <v>3</v>
          </cell>
          <cell r="T1013">
            <v>2225</v>
          </cell>
          <cell r="U1013">
            <v>0</v>
          </cell>
          <cell r="V1013">
            <v>3700</v>
          </cell>
          <cell r="W1013">
            <v>180</v>
          </cell>
          <cell r="X1013">
            <v>2960</v>
          </cell>
          <cell r="Y1013">
            <v>102329</v>
          </cell>
          <cell r="Z1013">
            <v>7463.5</v>
          </cell>
          <cell r="AA1013">
            <v>-803.5</v>
          </cell>
          <cell r="AB1013">
            <v>120.99866666666665</v>
          </cell>
          <cell r="AC1013">
            <v>3700</v>
          </cell>
          <cell r="AD1013">
            <v>3564.6400000000003</v>
          </cell>
          <cell r="AE1013">
            <v>135.35999999999967</v>
          </cell>
          <cell r="AN1013" t="str">
            <v xml:space="preserve">Contrato emergencial nº </v>
          </cell>
          <cell r="AO1013" t="str">
            <v>CL</v>
          </cell>
        </row>
        <row r="1014">
          <cell r="D1014" t="str">
            <v>2051/11</v>
          </cell>
          <cell r="E1014" t="str">
            <v>19/09/2011</v>
          </cell>
          <cell r="F1014">
            <v>40984</v>
          </cell>
          <cell r="G1014">
            <v>40877</v>
          </cell>
          <cell r="H1014" t="str">
            <v>2011-0.223.318-4</v>
          </cell>
          <cell r="I1014">
            <v>44978.400000000001</v>
          </cell>
          <cell r="J1014" t="str">
            <v xml:space="preserve">              123611122                  2848                    33903600</v>
          </cell>
          <cell r="K1014" t="str">
            <v>19/09/2011</v>
          </cell>
          <cell r="L1014">
            <v>73</v>
          </cell>
          <cell r="M1014">
            <v>18300</v>
          </cell>
          <cell r="N1014">
            <v>57278</v>
          </cell>
          <cell r="O1014">
            <v>30791</v>
          </cell>
          <cell r="P1014">
            <v>16</v>
          </cell>
          <cell r="Q1014">
            <v>3</v>
          </cell>
          <cell r="T1014">
            <v>4575</v>
          </cell>
          <cell r="U1014">
            <v>0</v>
          </cell>
          <cell r="V1014">
            <v>7500</v>
          </cell>
          <cell r="W1014">
            <v>180</v>
          </cell>
          <cell r="X1014">
            <v>6000</v>
          </cell>
          <cell r="Y1014">
            <v>103067</v>
          </cell>
          <cell r="Z1014">
            <v>9332.15</v>
          </cell>
          <cell r="AA1014">
            <v>4167.8500000000004</v>
          </cell>
          <cell r="AB1014">
            <v>249.88</v>
          </cell>
          <cell r="AC1014">
            <v>7500</v>
          </cell>
          <cell r="AD1014">
            <v>6428.99</v>
          </cell>
          <cell r="AE1014">
            <v>1071.0100000000002</v>
          </cell>
          <cell r="AN1014" t="str">
            <v xml:space="preserve">Contrato emergencial nº </v>
          </cell>
          <cell r="AO1014" t="str">
            <v>JT</v>
          </cell>
        </row>
        <row r="1015">
          <cell r="D1015" t="str">
            <v>2052/11</v>
          </cell>
          <cell r="E1015" t="str">
            <v>19/09/2011</v>
          </cell>
          <cell r="F1015">
            <v>40984</v>
          </cell>
          <cell r="G1015">
            <v>40877</v>
          </cell>
          <cell r="H1015" t="str">
            <v>2011-0.223.324-9</v>
          </cell>
          <cell r="I1015">
            <v>36092.28</v>
          </cell>
          <cell r="J1015" t="str">
            <v xml:space="preserve">              123611122                  2848                    33903600</v>
          </cell>
          <cell r="K1015" t="str">
            <v>19/09/2011</v>
          </cell>
          <cell r="L1015">
            <v>73</v>
          </cell>
          <cell r="M1015">
            <v>14700</v>
          </cell>
          <cell r="N1015">
            <v>57278</v>
          </cell>
          <cell r="O1015">
            <v>30792</v>
          </cell>
          <cell r="P1015">
            <v>16</v>
          </cell>
          <cell r="Q1015">
            <v>3</v>
          </cell>
          <cell r="T1015">
            <v>3675</v>
          </cell>
          <cell r="U1015">
            <v>0</v>
          </cell>
          <cell r="V1015">
            <v>6100</v>
          </cell>
          <cell r="W1015">
            <v>180</v>
          </cell>
          <cell r="X1015">
            <v>4880</v>
          </cell>
          <cell r="Y1015">
            <v>102500</v>
          </cell>
          <cell r="Z1015">
            <v>6770.44</v>
          </cell>
          <cell r="AA1015">
            <v>4209.5600000000004</v>
          </cell>
          <cell r="AB1015">
            <v>200.51266666666666</v>
          </cell>
          <cell r="AC1015">
            <v>6100</v>
          </cell>
          <cell r="AD1015">
            <v>5695.4</v>
          </cell>
          <cell r="AE1015">
            <v>404.60000000000036</v>
          </cell>
          <cell r="AN1015" t="str">
            <v xml:space="preserve">Contrato emergencial nº </v>
          </cell>
          <cell r="AO1015" t="str">
            <v>IQ</v>
          </cell>
        </row>
        <row r="1016">
          <cell r="D1016" t="str">
            <v>2053/11</v>
          </cell>
          <cell r="E1016" t="str">
            <v>19/09/2011</v>
          </cell>
          <cell r="F1016">
            <v>40984</v>
          </cell>
          <cell r="G1016">
            <v>40877</v>
          </cell>
          <cell r="H1016" t="str">
            <v>2011-0.223.327-3</v>
          </cell>
          <cell r="I1016">
            <v>44978.400000000001</v>
          </cell>
          <cell r="J1016" t="str">
            <v xml:space="preserve">              123611122                  2848                    33903600</v>
          </cell>
          <cell r="K1016" t="str">
            <v>19/09/2011</v>
          </cell>
          <cell r="L1016">
            <v>73</v>
          </cell>
          <cell r="M1016">
            <v>18300</v>
          </cell>
          <cell r="N1016">
            <v>57278</v>
          </cell>
          <cell r="O1016">
            <v>30795</v>
          </cell>
          <cell r="P1016">
            <v>16</v>
          </cell>
          <cell r="Q1016">
            <v>3</v>
          </cell>
          <cell r="T1016">
            <v>4575</v>
          </cell>
          <cell r="U1016">
            <v>0</v>
          </cell>
          <cell r="V1016">
            <v>7500</v>
          </cell>
          <cell r="W1016">
            <v>180</v>
          </cell>
          <cell r="X1016">
            <v>6000</v>
          </cell>
          <cell r="Y1016">
            <v>102295</v>
          </cell>
          <cell r="Z1016">
            <v>8282.02</v>
          </cell>
          <cell r="AA1016">
            <v>5217.9799999999996</v>
          </cell>
          <cell r="AB1016">
            <v>249.88</v>
          </cell>
          <cell r="AC1016">
            <v>7500</v>
          </cell>
          <cell r="AD1016">
            <v>7220.84</v>
          </cell>
          <cell r="AE1016">
            <v>279.15999999999985</v>
          </cell>
          <cell r="AN1016" t="str">
            <v xml:space="preserve">Contrato emergencial nº </v>
          </cell>
          <cell r="AO1016" t="str">
            <v>CS</v>
          </cell>
        </row>
        <row r="1017">
          <cell r="D1017" t="str">
            <v>2054/11</v>
          </cell>
          <cell r="E1017" t="str">
            <v>19/09/2011</v>
          </cell>
          <cell r="F1017">
            <v>40984</v>
          </cell>
          <cell r="G1017">
            <v>40877</v>
          </cell>
          <cell r="H1017" t="str">
            <v>2011-0.223.329-0</v>
          </cell>
          <cell r="I1017">
            <v>40223.339999999997</v>
          </cell>
          <cell r="J1017" t="str">
            <v xml:space="preserve">              123611122                  2848                    33903600</v>
          </cell>
          <cell r="K1017" t="str">
            <v>19/09/2011</v>
          </cell>
          <cell r="L1017">
            <v>73</v>
          </cell>
          <cell r="M1017">
            <v>16400</v>
          </cell>
          <cell r="N1017">
            <v>57278</v>
          </cell>
          <cell r="O1017">
            <v>30796</v>
          </cell>
          <cell r="P1017">
            <v>16</v>
          </cell>
          <cell r="Q1017">
            <v>3</v>
          </cell>
          <cell r="T1017">
            <v>4100</v>
          </cell>
          <cell r="U1017">
            <v>0</v>
          </cell>
          <cell r="V1017">
            <v>6800</v>
          </cell>
          <cell r="W1017">
            <v>180</v>
          </cell>
          <cell r="X1017">
            <v>5440</v>
          </cell>
          <cell r="Y1017">
            <v>103127</v>
          </cell>
          <cell r="Z1017">
            <v>7416.4</v>
          </cell>
          <cell r="AA1017">
            <v>4823.6000000000004</v>
          </cell>
          <cell r="AB1017">
            <v>223.46299999999999</v>
          </cell>
          <cell r="AC1017">
            <v>6800</v>
          </cell>
          <cell r="AD1017">
            <v>6429.4400000000005</v>
          </cell>
          <cell r="AE1017">
            <v>370.55999999999949</v>
          </cell>
          <cell r="AN1017" t="str">
            <v xml:space="preserve">Contrato emergencial nº </v>
          </cell>
          <cell r="AO1017" t="str">
            <v>G</v>
          </cell>
        </row>
        <row r="1018">
          <cell r="D1018" t="str">
            <v>2055/11</v>
          </cell>
          <cell r="E1018" t="str">
            <v>19/09/2011</v>
          </cell>
          <cell r="F1018">
            <v>40984</v>
          </cell>
          <cell r="G1018">
            <v>40877</v>
          </cell>
          <cell r="H1018" t="str">
            <v>2011-0.223.333.8</v>
          </cell>
          <cell r="I1018">
            <v>44978.400000000001</v>
          </cell>
          <cell r="J1018" t="str">
            <v xml:space="preserve">              123611122                  2848                    33903600</v>
          </cell>
          <cell r="K1018" t="str">
            <v>19/09/2011</v>
          </cell>
          <cell r="L1018">
            <v>73</v>
          </cell>
          <cell r="M1018">
            <v>18300</v>
          </cell>
          <cell r="N1018">
            <v>57278</v>
          </cell>
          <cell r="O1018">
            <v>30797</v>
          </cell>
          <cell r="P1018">
            <v>16</v>
          </cell>
          <cell r="Q1018">
            <v>3</v>
          </cell>
          <cell r="T1018">
            <v>4575</v>
          </cell>
          <cell r="U1018">
            <v>0</v>
          </cell>
          <cell r="V1018">
            <v>7500</v>
          </cell>
          <cell r="W1018">
            <v>180</v>
          </cell>
          <cell r="X1018">
            <v>6000</v>
          </cell>
          <cell r="Y1018">
            <v>102365</v>
          </cell>
          <cell r="Z1018">
            <v>15987.4</v>
          </cell>
          <cell r="AA1018">
            <v>-2487.3999999999996</v>
          </cell>
          <cell r="AB1018">
            <v>249.88</v>
          </cell>
          <cell r="AC1018">
            <v>7500</v>
          </cell>
          <cell r="AD1018">
            <v>5793.34</v>
          </cell>
          <cell r="AE1018">
            <v>1706.6599999999999</v>
          </cell>
          <cell r="AN1018" t="str">
            <v xml:space="preserve">Contrato emergencial nº </v>
          </cell>
          <cell r="AO1018" t="str">
            <v>CL</v>
          </cell>
        </row>
        <row r="1019">
          <cell r="D1019" t="str">
            <v>2056/11</v>
          </cell>
          <cell r="E1019" t="str">
            <v>19/09/2011</v>
          </cell>
          <cell r="F1019">
            <v>40984</v>
          </cell>
          <cell r="G1019">
            <v>40877</v>
          </cell>
          <cell r="H1019" t="str">
            <v>2011-0.223.334-6</v>
          </cell>
          <cell r="I1019">
            <v>38261.760000000002</v>
          </cell>
          <cell r="J1019" t="str">
            <v xml:space="preserve">              123611122                  2848                    33903600</v>
          </cell>
          <cell r="K1019" t="str">
            <v>19/09/2011</v>
          </cell>
          <cell r="L1019">
            <v>73</v>
          </cell>
          <cell r="M1019">
            <v>15600</v>
          </cell>
          <cell r="N1019">
            <v>57278</v>
          </cell>
          <cell r="O1019">
            <v>30799</v>
          </cell>
          <cell r="P1019">
            <v>16</v>
          </cell>
          <cell r="Q1019">
            <v>3</v>
          </cell>
          <cell r="T1019">
            <v>3900</v>
          </cell>
          <cell r="U1019">
            <v>0</v>
          </cell>
          <cell r="V1019">
            <v>6500</v>
          </cell>
          <cell r="W1019">
            <v>180</v>
          </cell>
          <cell r="X1019">
            <v>5200</v>
          </cell>
          <cell r="Y1019">
            <v>102375</v>
          </cell>
          <cell r="Z1019">
            <v>12994.21</v>
          </cell>
          <cell r="AA1019">
            <v>-1294.2099999999991</v>
          </cell>
          <cell r="AB1019">
            <v>212.56533333333334</v>
          </cell>
          <cell r="AC1019">
            <v>6400</v>
          </cell>
          <cell r="AD1019">
            <v>6443.23</v>
          </cell>
          <cell r="AE1019">
            <v>-43.229999999999563</v>
          </cell>
          <cell r="AN1019" t="str">
            <v xml:space="preserve">Contrato emergencial nº </v>
          </cell>
          <cell r="AO1019" t="str">
            <v>CL</v>
          </cell>
        </row>
        <row r="1020">
          <cell r="D1020" t="str">
            <v>2057/11</v>
          </cell>
          <cell r="E1020" t="str">
            <v>19/09/2011</v>
          </cell>
          <cell r="F1020">
            <v>40984</v>
          </cell>
          <cell r="G1020">
            <v>40877</v>
          </cell>
          <cell r="H1020" t="str">
            <v>2011-0.223.336-2</v>
          </cell>
          <cell r="I1020">
            <v>21779.759999999998</v>
          </cell>
          <cell r="J1020" t="str">
            <v xml:space="preserve">              123611122                  2848                    33903600</v>
          </cell>
          <cell r="K1020" t="str">
            <v>19/09/2011</v>
          </cell>
          <cell r="L1020">
            <v>73</v>
          </cell>
          <cell r="M1020">
            <v>8900</v>
          </cell>
          <cell r="N1020">
            <v>57278</v>
          </cell>
          <cell r="O1020">
            <v>30800</v>
          </cell>
          <cell r="P1020">
            <v>16</v>
          </cell>
          <cell r="Q1020">
            <v>3</v>
          </cell>
          <cell r="T1020">
            <v>2225</v>
          </cell>
          <cell r="U1020">
            <v>0</v>
          </cell>
          <cell r="V1020">
            <v>3700</v>
          </cell>
          <cell r="W1020">
            <v>180</v>
          </cell>
          <cell r="X1020">
            <v>2960</v>
          </cell>
          <cell r="Y1020">
            <v>102226</v>
          </cell>
          <cell r="Z1020">
            <v>2904.91</v>
          </cell>
          <cell r="AA1020">
            <v>3755.09</v>
          </cell>
          <cell r="AB1020">
            <v>120.99866666666665</v>
          </cell>
          <cell r="AC1020">
            <v>3700</v>
          </cell>
          <cell r="AD1020">
            <v>3235.28</v>
          </cell>
          <cell r="AE1020">
            <v>464.7199999999998</v>
          </cell>
          <cell r="AN1020" t="str">
            <v xml:space="preserve">Contrato emergencial nº </v>
          </cell>
          <cell r="AO1020" t="str">
            <v>PJ</v>
          </cell>
        </row>
        <row r="1021">
          <cell r="D1021" t="str">
            <v>2058/11</v>
          </cell>
          <cell r="E1021" t="str">
            <v>19/09/2011</v>
          </cell>
          <cell r="F1021">
            <v>40984</v>
          </cell>
          <cell r="G1021">
            <v>40877</v>
          </cell>
          <cell r="H1021" t="str">
            <v>2011-0.223.357-5</v>
          </cell>
          <cell r="I1021">
            <v>44978.400000000001</v>
          </cell>
          <cell r="J1021" t="str">
            <v xml:space="preserve">              123611122                  2848                    33903600</v>
          </cell>
          <cell r="K1021" t="str">
            <v>19/09/2011</v>
          </cell>
          <cell r="L1021">
            <v>73</v>
          </cell>
          <cell r="M1021">
            <v>18300</v>
          </cell>
          <cell r="N1021">
            <v>57278</v>
          </cell>
          <cell r="O1021">
            <v>30801</v>
          </cell>
          <cell r="P1021">
            <v>16</v>
          </cell>
          <cell r="Q1021">
            <v>3</v>
          </cell>
          <cell r="T1021">
            <v>4575</v>
          </cell>
          <cell r="U1021">
            <v>0</v>
          </cell>
          <cell r="V1021">
            <v>7500</v>
          </cell>
          <cell r="W1021">
            <v>180</v>
          </cell>
          <cell r="X1021">
            <v>6000</v>
          </cell>
          <cell r="Y1021">
            <v>102320</v>
          </cell>
          <cell r="Z1021">
            <v>10150.530000000001</v>
          </cell>
          <cell r="AA1021">
            <v>3349.4699999999993</v>
          </cell>
          <cell r="AB1021">
            <v>249.88</v>
          </cell>
          <cell r="AC1021">
            <v>7500</v>
          </cell>
          <cell r="AD1021">
            <v>5921.13</v>
          </cell>
          <cell r="AE1021">
            <v>1578.87</v>
          </cell>
          <cell r="AN1021" t="str">
            <v xml:space="preserve">Contrato emergencial nº </v>
          </cell>
          <cell r="AO1021" t="str">
            <v>SA</v>
          </cell>
        </row>
        <row r="1022">
          <cell r="D1022" t="str">
            <v>2059/11</v>
          </cell>
          <cell r="E1022" t="str">
            <v>19/09/2011</v>
          </cell>
          <cell r="F1022">
            <v>40984</v>
          </cell>
          <cell r="G1022">
            <v>40877</v>
          </cell>
          <cell r="H1022" t="str">
            <v>2011-0.223.359-1</v>
          </cell>
          <cell r="I1022">
            <v>22691.1</v>
          </cell>
          <cell r="J1022" t="str">
            <v xml:space="preserve">              123611122                  2848                    33903600</v>
          </cell>
          <cell r="K1022" t="str">
            <v>19/09/2011</v>
          </cell>
          <cell r="L1022">
            <v>73</v>
          </cell>
          <cell r="M1022">
            <v>9300</v>
          </cell>
          <cell r="N1022">
            <v>57278</v>
          </cell>
          <cell r="O1022">
            <v>30802</v>
          </cell>
          <cell r="P1022">
            <v>16</v>
          </cell>
          <cell r="Q1022">
            <v>3</v>
          </cell>
          <cell r="T1022">
            <v>2325</v>
          </cell>
          <cell r="U1022">
            <v>0</v>
          </cell>
          <cell r="V1022">
            <v>3800</v>
          </cell>
          <cell r="W1022">
            <v>180</v>
          </cell>
          <cell r="X1022">
            <v>3040</v>
          </cell>
          <cell r="Y1022">
            <v>102233</v>
          </cell>
          <cell r="Z1022">
            <v>4202.78</v>
          </cell>
          <cell r="AA1022">
            <v>2637.2200000000003</v>
          </cell>
          <cell r="AB1022">
            <v>126.06166666666665</v>
          </cell>
          <cell r="AC1022">
            <v>3800</v>
          </cell>
          <cell r="AD1022">
            <v>3640.87</v>
          </cell>
          <cell r="AE1022">
            <v>159.13000000000011</v>
          </cell>
          <cell r="AN1022" t="str">
            <v xml:space="preserve">Contrato emergencial nº </v>
          </cell>
          <cell r="AO1022" t="str">
            <v>PJ</v>
          </cell>
        </row>
        <row r="1023">
          <cell r="D1023" t="str">
            <v>2060/11</v>
          </cell>
          <cell r="E1023" t="str">
            <v>19/09/2011</v>
          </cell>
          <cell r="F1023">
            <v>40984</v>
          </cell>
          <cell r="G1023">
            <v>40877</v>
          </cell>
          <cell r="H1023" t="str">
            <v>2011-0.223.360-5</v>
          </cell>
          <cell r="I1023">
            <v>37607.879999999997</v>
          </cell>
          <cell r="J1023" t="str">
            <v xml:space="preserve">              123611122                  2848                    33903600</v>
          </cell>
          <cell r="K1023" t="str">
            <v>19/09/2011</v>
          </cell>
          <cell r="L1023">
            <v>73</v>
          </cell>
          <cell r="M1023">
            <v>15300</v>
          </cell>
          <cell r="N1023">
            <v>57278</v>
          </cell>
          <cell r="O1023">
            <v>30803</v>
          </cell>
          <cell r="P1023">
            <v>16</v>
          </cell>
          <cell r="Q1023">
            <v>3</v>
          </cell>
          <cell r="T1023">
            <v>3825</v>
          </cell>
          <cell r="U1023">
            <v>0</v>
          </cell>
          <cell r="V1023">
            <v>6400</v>
          </cell>
          <cell r="W1023">
            <v>180</v>
          </cell>
          <cell r="X1023">
            <v>5120</v>
          </cell>
          <cell r="Y1023">
            <v>102449</v>
          </cell>
          <cell r="Z1023">
            <v>12721.41</v>
          </cell>
          <cell r="AA1023">
            <v>-1201.4099999999999</v>
          </cell>
          <cell r="AB1023">
            <v>208.93266666666665</v>
          </cell>
          <cell r="AC1023">
            <v>6300</v>
          </cell>
          <cell r="AD1023">
            <v>6371.48</v>
          </cell>
          <cell r="AE1023">
            <v>-71.479999999999563</v>
          </cell>
          <cell r="AN1023" t="str">
            <v xml:space="preserve">Contrato emergencial nº </v>
          </cell>
          <cell r="AO1023" t="str">
            <v>CL</v>
          </cell>
        </row>
        <row r="1024">
          <cell r="D1024" t="str">
            <v>2061/11</v>
          </cell>
          <cell r="E1024" t="str">
            <v>19/09/2011</v>
          </cell>
          <cell r="F1024">
            <v>40984</v>
          </cell>
          <cell r="G1024">
            <v>40877</v>
          </cell>
          <cell r="H1024" t="str">
            <v>2011-0.223.363-0</v>
          </cell>
          <cell r="I1024">
            <v>38261.760000000002</v>
          </cell>
          <cell r="J1024" t="str">
            <v xml:space="preserve">              123611122                  2848                    33903600</v>
          </cell>
          <cell r="K1024" t="str">
            <v>19/09/2011</v>
          </cell>
          <cell r="L1024">
            <v>73</v>
          </cell>
          <cell r="M1024">
            <v>15600</v>
          </cell>
          <cell r="N1024">
            <v>57278</v>
          </cell>
          <cell r="O1024">
            <v>30805</v>
          </cell>
          <cell r="P1024">
            <v>16</v>
          </cell>
          <cell r="Q1024">
            <v>3</v>
          </cell>
          <cell r="T1024">
            <v>3900</v>
          </cell>
          <cell r="U1024">
            <v>0</v>
          </cell>
          <cell r="V1024">
            <v>6400</v>
          </cell>
          <cell r="W1024">
            <v>180</v>
          </cell>
          <cell r="X1024">
            <v>5120</v>
          </cell>
          <cell r="Y1024">
            <v>102486</v>
          </cell>
          <cell r="Z1024">
            <v>8561.9</v>
          </cell>
          <cell r="AA1024">
            <v>2958.1000000000004</v>
          </cell>
          <cell r="AB1024">
            <v>212.56533333333334</v>
          </cell>
          <cell r="AC1024">
            <v>6400</v>
          </cell>
          <cell r="AD1024">
            <v>5114.7199999999993</v>
          </cell>
          <cell r="AE1024">
            <v>1285.2800000000007</v>
          </cell>
          <cell r="AN1024" t="str">
            <v xml:space="preserve">Contrato emergencial nº </v>
          </cell>
          <cell r="AO1024" t="str">
            <v>IP</v>
          </cell>
        </row>
        <row r="1025">
          <cell r="D1025" t="str">
            <v>2062/11</v>
          </cell>
          <cell r="E1025" t="str">
            <v>19/09/2011</v>
          </cell>
          <cell r="F1025">
            <v>40984</v>
          </cell>
          <cell r="G1025">
            <v>40877</v>
          </cell>
          <cell r="H1025" t="str">
            <v>2011-0.223.366-4</v>
          </cell>
          <cell r="I1025">
            <v>44324.52</v>
          </cell>
          <cell r="J1025" t="str">
            <v xml:space="preserve">              123611122                  2848                    33903600</v>
          </cell>
          <cell r="K1025" t="str">
            <v>19/09/2011</v>
          </cell>
          <cell r="L1025">
            <v>73</v>
          </cell>
          <cell r="M1025">
            <v>18000</v>
          </cell>
          <cell r="N1025">
            <v>57278</v>
          </cell>
          <cell r="O1025">
            <v>30806</v>
          </cell>
          <cell r="P1025">
            <v>16</v>
          </cell>
          <cell r="Q1025">
            <v>3</v>
          </cell>
          <cell r="T1025">
            <v>4500</v>
          </cell>
          <cell r="U1025">
            <v>0</v>
          </cell>
          <cell r="V1025">
            <v>7400</v>
          </cell>
          <cell r="W1025">
            <v>180</v>
          </cell>
          <cell r="X1025">
            <v>5920</v>
          </cell>
          <cell r="Y1025">
            <v>105373</v>
          </cell>
          <cell r="Z1025">
            <v>1434.9399999999996</v>
          </cell>
          <cell r="AA1025">
            <v>11885.060000000001</v>
          </cell>
          <cell r="AB1025">
            <v>246.2473333333333</v>
          </cell>
          <cell r="AC1025">
            <v>7400</v>
          </cell>
          <cell r="AD1025">
            <v>6722.41</v>
          </cell>
          <cell r="AE1025">
            <v>677.59000000000015</v>
          </cell>
          <cell r="AN1025" t="str">
            <v xml:space="preserve">Contrato emergencial nº </v>
          </cell>
          <cell r="AO1025" t="str">
            <v>MP</v>
          </cell>
        </row>
        <row r="1026">
          <cell r="D1026" t="str">
            <v>2063/11</v>
          </cell>
          <cell r="E1026" t="str">
            <v>19/09/2011</v>
          </cell>
          <cell r="F1026">
            <v>40984</v>
          </cell>
          <cell r="G1026">
            <v>40877</v>
          </cell>
          <cell r="H1026" t="str">
            <v>2011-0.223.369-9</v>
          </cell>
          <cell r="I1026">
            <v>44324.52</v>
          </cell>
          <cell r="J1026" t="str">
            <v xml:space="preserve">              123611122                  2848                    33903600</v>
          </cell>
          <cell r="K1026" t="str">
            <v>19/09/2011</v>
          </cell>
          <cell r="L1026">
            <v>73</v>
          </cell>
          <cell r="M1026">
            <v>18000</v>
          </cell>
          <cell r="N1026">
            <v>57278</v>
          </cell>
          <cell r="O1026">
            <v>30808</v>
          </cell>
          <cell r="P1026">
            <v>16</v>
          </cell>
          <cell r="Q1026">
            <v>3</v>
          </cell>
          <cell r="T1026">
            <v>4500</v>
          </cell>
          <cell r="U1026">
            <v>6952.42</v>
          </cell>
          <cell r="V1026">
            <v>7400</v>
          </cell>
          <cell r="W1026">
            <v>180</v>
          </cell>
          <cell r="X1026">
            <v>5920</v>
          </cell>
          <cell r="Y1026">
            <v>102311</v>
          </cell>
          <cell r="Z1026">
            <v>8209.01</v>
          </cell>
          <cell r="AA1026">
            <v>12063.409999999998</v>
          </cell>
          <cell r="AB1026">
            <v>246.2473333333333</v>
          </cell>
          <cell r="AC1026">
            <v>7400</v>
          </cell>
          <cell r="AD1026">
            <v>7024.42</v>
          </cell>
          <cell r="AE1026">
            <v>375.57999999999993</v>
          </cell>
          <cell r="AN1026" t="str">
            <v xml:space="preserve">Contrato emergencial nº </v>
          </cell>
          <cell r="AO1026" t="str">
            <v>CS</v>
          </cell>
        </row>
        <row r="1027">
          <cell r="D1027" t="str">
            <v>2064/11</v>
          </cell>
          <cell r="E1027" t="str">
            <v>19/09/2011</v>
          </cell>
          <cell r="F1027">
            <v>40984</v>
          </cell>
          <cell r="G1027">
            <v>40877</v>
          </cell>
          <cell r="H1027" t="str">
            <v>2011-0.223.374-5</v>
          </cell>
          <cell r="I1027">
            <v>40877.160000000003</v>
          </cell>
          <cell r="J1027" t="str">
            <v xml:space="preserve">              123611122                  2848                    33903600</v>
          </cell>
          <cell r="K1027" t="str">
            <v>19/09/2011</v>
          </cell>
          <cell r="L1027">
            <v>73</v>
          </cell>
          <cell r="M1027">
            <v>16600</v>
          </cell>
          <cell r="N1027">
            <v>57278</v>
          </cell>
          <cell r="O1027">
            <v>30809</v>
          </cell>
          <cell r="P1027">
            <v>16</v>
          </cell>
          <cell r="Q1027">
            <v>3</v>
          </cell>
          <cell r="T1027">
            <v>4150</v>
          </cell>
          <cell r="U1027">
            <v>0</v>
          </cell>
          <cell r="V1027">
            <v>6900</v>
          </cell>
          <cell r="W1027">
            <v>180</v>
          </cell>
          <cell r="X1027">
            <v>5520</v>
          </cell>
          <cell r="Y1027">
            <v>102513</v>
          </cell>
          <cell r="Z1027">
            <v>13942.71</v>
          </cell>
          <cell r="AA1027">
            <v>-1522.7099999999991</v>
          </cell>
          <cell r="AB1027">
            <v>227.09533333333334</v>
          </cell>
          <cell r="AC1027">
            <v>6900</v>
          </cell>
          <cell r="AD1027">
            <v>6559.22</v>
          </cell>
          <cell r="AE1027">
            <v>340.77999999999975</v>
          </cell>
          <cell r="AN1027" t="str">
            <v xml:space="preserve">Contrato emergencial nº </v>
          </cell>
          <cell r="AO1027" t="str">
            <v>BT</v>
          </cell>
        </row>
        <row r="1028">
          <cell r="D1028" t="str">
            <v>2065/11</v>
          </cell>
          <cell r="E1028" t="str">
            <v>19/09/2011</v>
          </cell>
          <cell r="F1028">
            <v>40984</v>
          </cell>
          <cell r="G1028">
            <v>40877</v>
          </cell>
          <cell r="H1028" t="str">
            <v>2011-0.223.378-8</v>
          </cell>
          <cell r="I1028">
            <v>44324.52</v>
          </cell>
          <cell r="J1028" t="str">
            <v xml:space="preserve">              123611122                  2848                    33903600</v>
          </cell>
          <cell r="K1028" t="str">
            <v>19/09/2011</v>
          </cell>
          <cell r="L1028">
            <v>73</v>
          </cell>
          <cell r="M1028">
            <v>18000</v>
          </cell>
          <cell r="N1028">
            <v>57278</v>
          </cell>
          <cell r="O1028">
            <v>30810</v>
          </cell>
          <cell r="P1028">
            <v>16</v>
          </cell>
          <cell r="Q1028">
            <v>3</v>
          </cell>
          <cell r="T1028">
            <v>4500</v>
          </cell>
          <cell r="U1028">
            <v>0</v>
          </cell>
          <cell r="V1028">
            <v>7400</v>
          </cell>
          <cell r="W1028">
            <v>180</v>
          </cell>
          <cell r="X1028">
            <v>5920</v>
          </cell>
          <cell r="Y1028">
            <v>102317</v>
          </cell>
          <cell r="Z1028">
            <v>8147.0999999999995</v>
          </cell>
          <cell r="AA1028">
            <v>5172.9000000000005</v>
          </cell>
          <cell r="AB1028">
            <v>246.2473333333333</v>
          </cell>
          <cell r="AC1028">
            <v>7400</v>
          </cell>
          <cell r="AD1028">
            <v>6686.8899999999994</v>
          </cell>
          <cell r="AE1028">
            <v>713.11000000000058</v>
          </cell>
          <cell r="AN1028" t="str">
            <v xml:space="preserve">Contrato emergencial nº </v>
          </cell>
          <cell r="AO1028" t="str">
            <v>CS</v>
          </cell>
        </row>
        <row r="1029">
          <cell r="D1029" t="str">
            <v>2066/11</v>
          </cell>
          <cell r="E1029" t="str">
            <v>19/09/2011</v>
          </cell>
          <cell r="F1029">
            <v>40984</v>
          </cell>
          <cell r="G1029">
            <v>40877</v>
          </cell>
          <cell r="H1029" t="str">
            <v>2011-0.223.385-0</v>
          </cell>
          <cell r="I1029">
            <v>44324.52</v>
          </cell>
          <cell r="J1029" t="str">
            <v xml:space="preserve">              123611122                  2848                    33903600</v>
          </cell>
          <cell r="K1029" t="str">
            <v>19/09/2011</v>
          </cell>
          <cell r="L1029">
            <v>73</v>
          </cell>
          <cell r="M1029">
            <v>18000</v>
          </cell>
          <cell r="N1029">
            <v>57278</v>
          </cell>
          <cell r="O1029">
            <v>30811</v>
          </cell>
          <cell r="P1029">
            <v>16</v>
          </cell>
          <cell r="Q1029">
            <v>3</v>
          </cell>
          <cell r="T1029">
            <v>4500</v>
          </cell>
          <cell r="U1029">
            <v>0</v>
          </cell>
          <cell r="V1029">
            <v>7400</v>
          </cell>
          <cell r="W1029">
            <v>180</v>
          </cell>
          <cell r="X1029">
            <v>5920</v>
          </cell>
          <cell r="Y1029">
            <v>103150</v>
          </cell>
          <cell r="Z1029">
            <v>9326.1299999999992</v>
          </cell>
          <cell r="AA1029">
            <v>3993.8700000000008</v>
          </cell>
          <cell r="AB1029">
            <v>246.2473333333333</v>
          </cell>
          <cell r="AC1029">
            <v>7400</v>
          </cell>
          <cell r="AD1029">
            <v>6243.46</v>
          </cell>
          <cell r="AE1029">
            <v>1156.54</v>
          </cell>
          <cell r="AN1029" t="str">
            <v xml:space="preserve">Contrato emergencial nº </v>
          </cell>
          <cell r="AO1029" t="str">
            <v>G</v>
          </cell>
        </row>
        <row r="1030">
          <cell r="D1030" t="str">
            <v>2067/11</v>
          </cell>
          <cell r="E1030" t="str">
            <v>19/09/2011</v>
          </cell>
          <cell r="F1030">
            <v>40984</v>
          </cell>
          <cell r="G1030">
            <v>40877</v>
          </cell>
          <cell r="H1030" t="str">
            <v>2011-0.223.389-3</v>
          </cell>
          <cell r="I1030">
            <v>40223.339999999997</v>
          </cell>
          <cell r="J1030" t="str">
            <v xml:space="preserve">              123611122                  2848                    33903600</v>
          </cell>
          <cell r="K1030" t="str">
            <v>19/09/2011</v>
          </cell>
          <cell r="L1030">
            <v>73</v>
          </cell>
          <cell r="M1030">
            <v>16400</v>
          </cell>
          <cell r="N1030">
            <v>57278</v>
          </cell>
          <cell r="O1030">
            <v>30812</v>
          </cell>
          <cell r="P1030">
            <v>16</v>
          </cell>
          <cell r="Q1030">
            <v>3</v>
          </cell>
          <cell r="T1030">
            <v>4100</v>
          </cell>
          <cell r="U1030">
            <v>0</v>
          </cell>
          <cell r="V1030">
            <v>6800</v>
          </cell>
          <cell r="W1030">
            <v>180</v>
          </cell>
          <cell r="X1030">
            <v>5440</v>
          </cell>
          <cell r="Y1030">
            <v>102394</v>
          </cell>
          <cell r="Z1030">
            <v>7308.68</v>
          </cell>
          <cell r="AA1030">
            <v>4931.32</v>
          </cell>
          <cell r="AB1030">
            <v>223.46299999999999</v>
          </cell>
          <cell r="AC1030">
            <v>6800</v>
          </cell>
          <cell r="AD1030">
            <v>6544.8700000000008</v>
          </cell>
          <cell r="AE1030">
            <v>255.1299999999992</v>
          </cell>
          <cell r="AN1030" t="str">
            <v xml:space="preserve">Contrato emergencial nº </v>
          </cell>
          <cell r="AO1030" t="str">
            <v>SA</v>
          </cell>
        </row>
        <row r="1031">
          <cell r="D1031" t="str">
            <v>2068/11</v>
          </cell>
          <cell r="E1031" t="str">
            <v>19/09/2011</v>
          </cell>
          <cell r="F1031">
            <v>40984</v>
          </cell>
          <cell r="G1031">
            <v>40877</v>
          </cell>
          <cell r="H1031" t="str">
            <v>2011-0.223.393-1</v>
          </cell>
          <cell r="I1031">
            <v>44324.52</v>
          </cell>
          <cell r="J1031" t="str">
            <v xml:space="preserve">              123611122                  2848                    33903600</v>
          </cell>
          <cell r="K1031" t="str">
            <v>19/09/2011</v>
          </cell>
          <cell r="L1031">
            <v>73</v>
          </cell>
          <cell r="M1031">
            <v>18000</v>
          </cell>
          <cell r="N1031">
            <v>57278</v>
          </cell>
          <cell r="O1031">
            <v>30813</v>
          </cell>
          <cell r="P1031">
            <v>16</v>
          </cell>
          <cell r="Q1031">
            <v>3</v>
          </cell>
          <cell r="T1031">
            <v>4500</v>
          </cell>
          <cell r="U1031">
            <v>0</v>
          </cell>
          <cell r="V1031">
            <v>7400</v>
          </cell>
          <cell r="W1031">
            <v>180</v>
          </cell>
          <cell r="X1031">
            <v>5920</v>
          </cell>
          <cell r="Y1031">
            <v>102325</v>
          </cell>
          <cell r="Z1031">
            <v>8819.5999999999985</v>
          </cell>
          <cell r="AA1031">
            <v>4500.4000000000015</v>
          </cell>
          <cell r="AB1031">
            <v>246.2473333333333</v>
          </cell>
          <cell r="AC1031">
            <v>7400</v>
          </cell>
          <cell r="AD1031">
            <v>6594.36</v>
          </cell>
          <cell r="AE1031">
            <v>805.64000000000033</v>
          </cell>
          <cell r="AN1031" t="str">
            <v xml:space="preserve">Contrato emergencial nº </v>
          </cell>
          <cell r="AO1031" t="str">
            <v>CS</v>
          </cell>
        </row>
        <row r="1032">
          <cell r="D1032" t="str">
            <v>2069/11</v>
          </cell>
          <cell r="E1032" t="str">
            <v>19/09/2011</v>
          </cell>
          <cell r="F1032">
            <v>40984</v>
          </cell>
          <cell r="G1032">
            <v>40877</v>
          </cell>
          <cell r="H1032" t="str">
            <v>2011-0.223.399-0</v>
          </cell>
          <cell r="I1032">
            <v>44324.52</v>
          </cell>
          <cell r="J1032" t="str">
            <v xml:space="preserve">              123651121                 2847                    33903600</v>
          </cell>
          <cell r="K1032" t="str">
            <v>19/09/2011</v>
          </cell>
          <cell r="L1032">
            <v>73</v>
          </cell>
          <cell r="M1032">
            <v>18000</v>
          </cell>
          <cell r="N1032">
            <v>57273</v>
          </cell>
          <cell r="O1032">
            <v>30814</v>
          </cell>
          <cell r="P1032">
            <v>16</v>
          </cell>
          <cell r="Q1032">
            <v>2</v>
          </cell>
          <cell r="T1032">
            <v>4500</v>
          </cell>
          <cell r="U1032">
            <v>0</v>
          </cell>
          <cell r="V1032">
            <v>7400</v>
          </cell>
          <cell r="W1032">
            <v>180</v>
          </cell>
          <cell r="X1032">
            <v>5920</v>
          </cell>
          <cell r="Y1032">
            <v>101948</v>
          </cell>
          <cell r="Z1032">
            <v>8491.99</v>
          </cell>
          <cell r="AA1032">
            <v>4828.01</v>
          </cell>
          <cell r="AB1032">
            <v>246.2473333333333</v>
          </cell>
          <cell r="AC1032">
            <v>7400</v>
          </cell>
          <cell r="AD1032">
            <v>6750.2726666666658</v>
          </cell>
          <cell r="AE1032">
            <v>649.72733333333417</v>
          </cell>
          <cell r="AN1032" t="str">
            <v xml:space="preserve">Contrato emergencial nº </v>
          </cell>
          <cell r="AO1032" t="str">
            <v>PJ</v>
          </cell>
        </row>
        <row r="1033">
          <cell r="D1033" t="str">
            <v>2070/11</v>
          </cell>
          <cell r="E1033" t="str">
            <v>19/09/2011</v>
          </cell>
          <cell r="F1033">
            <v>40984</v>
          </cell>
          <cell r="G1033">
            <v>40877</v>
          </cell>
          <cell r="H1033" t="str">
            <v>2011-0.224.192-6</v>
          </cell>
          <cell r="I1033">
            <v>44324.52</v>
          </cell>
          <cell r="J1033" t="str">
            <v xml:space="preserve">              123651121                 2847                    33903600</v>
          </cell>
          <cell r="K1033" t="str">
            <v>19/09/2011</v>
          </cell>
          <cell r="L1033">
            <v>73</v>
          </cell>
          <cell r="M1033">
            <v>18000</v>
          </cell>
          <cell r="N1033">
            <v>57273</v>
          </cell>
          <cell r="O1033">
            <v>30816</v>
          </cell>
          <cell r="P1033">
            <v>16</v>
          </cell>
          <cell r="Q1033">
            <v>2</v>
          </cell>
          <cell r="T1033">
            <v>4500</v>
          </cell>
          <cell r="U1033">
            <v>0</v>
          </cell>
          <cell r="V1033">
            <v>7400</v>
          </cell>
          <cell r="W1033">
            <v>180</v>
          </cell>
          <cell r="X1033">
            <v>5920</v>
          </cell>
          <cell r="Y1033">
            <v>102184</v>
          </cell>
          <cell r="Z1033">
            <v>9740.09</v>
          </cell>
          <cell r="AA1033">
            <v>3579.91</v>
          </cell>
          <cell r="AB1033">
            <v>246.2473333333333</v>
          </cell>
          <cell r="AC1033">
            <v>7400</v>
          </cell>
          <cell r="AD1033">
            <v>5932.9</v>
          </cell>
          <cell r="AE1033">
            <v>1467.1000000000004</v>
          </cell>
          <cell r="AN1033" t="str">
            <v xml:space="preserve">Contrato emergencial nº </v>
          </cell>
          <cell r="AO1033" t="str">
            <v>CS</v>
          </cell>
        </row>
        <row r="1034">
          <cell r="D1034" t="str">
            <v>2071/11</v>
          </cell>
          <cell r="E1034" t="str">
            <v>19/09/2011</v>
          </cell>
          <cell r="F1034">
            <v>40984</v>
          </cell>
          <cell r="G1034">
            <v>40877</v>
          </cell>
          <cell r="H1034" t="str">
            <v>2011-0.224.197-7</v>
          </cell>
          <cell r="I1034">
            <v>37607.879999999997</v>
          </cell>
          <cell r="J1034" t="str">
            <v xml:space="preserve">              123651121                 2847                    33903600</v>
          </cell>
          <cell r="K1034" t="str">
            <v>19/09/2011</v>
          </cell>
          <cell r="L1034">
            <v>73</v>
          </cell>
          <cell r="M1034">
            <v>15300</v>
          </cell>
          <cell r="N1034">
            <v>57273</v>
          </cell>
          <cell r="O1034">
            <v>30817</v>
          </cell>
          <cell r="P1034">
            <v>16</v>
          </cell>
          <cell r="Q1034">
            <v>2</v>
          </cell>
          <cell r="T1034">
            <v>3825</v>
          </cell>
          <cell r="U1034">
            <v>0</v>
          </cell>
          <cell r="V1034">
            <v>6300</v>
          </cell>
          <cell r="W1034">
            <v>180</v>
          </cell>
          <cell r="X1034">
            <v>5040</v>
          </cell>
          <cell r="Y1034">
            <v>103053</v>
          </cell>
          <cell r="Z1034">
            <v>6612.48</v>
          </cell>
          <cell r="AA1034">
            <v>4727.5200000000004</v>
          </cell>
          <cell r="AB1034">
            <v>208.93266666666665</v>
          </cell>
          <cell r="AC1034">
            <v>6300</v>
          </cell>
          <cell r="AD1034">
            <v>6293.3075000000008</v>
          </cell>
          <cell r="AE1034">
            <v>6.6924999999991996</v>
          </cell>
          <cell r="AN1034" t="str">
            <v xml:space="preserve">Contrato emergencial nº </v>
          </cell>
          <cell r="AO1034" t="str">
            <v>JT</v>
          </cell>
        </row>
        <row r="1035">
          <cell r="D1035" t="str">
            <v>2072/11</v>
          </cell>
          <cell r="E1035" t="str">
            <v>19/09/2011</v>
          </cell>
          <cell r="F1035">
            <v>40984</v>
          </cell>
          <cell r="G1035">
            <v>40877</v>
          </cell>
          <cell r="H1035" t="str">
            <v>2011-0.224.200-0</v>
          </cell>
          <cell r="I1035">
            <v>30606.240000000002</v>
          </cell>
          <cell r="J1035" t="str">
            <v xml:space="preserve">              123651121                 2847                    33903600</v>
          </cell>
          <cell r="K1035" t="str">
            <v>19/09/2011</v>
          </cell>
          <cell r="L1035">
            <v>73</v>
          </cell>
          <cell r="M1035">
            <v>12500</v>
          </cell>
          <cell r="N1035">
            <v>57273</v>
          </cell>
          <cell r="O1035">
            <v>30818</v>
          </cell>
          <cell r="P1035">
            <v>16</v>
          </cell>
          <cell r="Q1035">
            <v>2</v>
          </cell>
          <cell r="T1035">
            <v>3125</v>
          </cell>
          <cell r="U1035">
            <v>0</v>
          </cell>
          <cell r="V1035">
            <v>5600</v>
          </cell>
          <cell r="W1035">
            <v>180</v>
          </cell>
          <cell r="X1035">
            <v>4480</v>
          </cell>
          <cell r="Y1035">
            <v>102050</v>
          </cell>
          <cell r="Z1035">
            <v>10269.67</v>
          </cell>
          <cell r="AA1035">
            <v>-189.67000000000007</v>
          </cell>
          <cell r="AB1035">
            <v>170.03466666666668</v>
          </cell>
          <cell r="AC1035">
            <v>5200</v>
          </cell>
          <cell r="AD1035">
            <v>5569.46</v>
          </cell>
          <cell r="AE1035">
            <v>-369.46000000000004</v>
          </cell>
          <cell r="AN1035" t="str">
            <v xml:space="preserve">Contrato emergencial nº </v>
          </cell>
          <cell r="AO1035" t="str">
            <v>CL</v>
          </cell>
        </row>
        <row r="1036">
          <cell r="D1036" t="str">
            <v>2073/11</v>
          </cell>
          <cell r="E1036" t="str">
            <v>19/09/2011</v>
          </cell>
          <cell r="F1036">
            <v>40984</v>
          </cell>
          <cell r="G1036">
            <v>40877</v>
          </cell>
          <cell r="H1036" t="str">
            <v>2011-0.224.204-3</v>
          </cell>
          <cell r="I1036">
            <v>44324.52</v>
          </cell>
          <cell r="J1036" t="str">
            <v xml:space="preserve">              123651121                 2847                    33903600</v>
          </cell>
          <cell r="K1036" t="str">
            <v>19/09/2011</v>
          </cell>
          <cell r="L1036">
            <v>73</v>
          </cell>
          <cell r="M1036">
            <v>18000</v>
          </cell>
          <cell r="N1036">
            <v>57273</v>
          </cell>
          <cell r="O1036">
            <v>30915</v>
          </cell>
          <cell r="P1036">
            <v>16</v>
          </cell>
          <cell r="Q1036">
            <v>2</v>
          </cell>
          <cell r="T1036">
            <v>4500</v>
          </cell>
          <cell r="U1036">
            <v>0</v>
          </cell>
          <cell r="V1036">
            <v>7600</v>
          </cell>
          <cell r="W1036">
            <v>180</v>
          </cell>
          <cell r="X1036">
            <v>6080</v>
          </cell>
          <cell r="Y1036">
            <v>102197</v>
          </cell>
          <cell r="Z1036">
            <v>7340.74</v>
          </cell>
          <cell r="AA1036">
            <v>6339.26</v>
          </cell>
          <cell r="AB1036">
            <v>246.2473333333333</v>
          </cell>
          <cell r="AC1036">
            <v>7400</v>
          </cell>
          <cell r="AD1036">
            <v>7576.6800000000012</v>
          </cell>
          <cell r="AE1036">
            <v>-176.6800000000012</v>
          </cell>
          <cell r="AN1036" t="str">
            <v xml:space="preserve">Contrato emergencial nº </v>
          </cell>
          <cell r="AO1036" t="str">
            <v>CS</v>
          </cell>
        </row>
        <row r="1037">
          <cell r="D1037" t="str">
            <v>2074/11</v>
          </cell>
          <cell r="E1037" t="str">
            <v>19/09/2011</v>
          </cell>
          <cell r="F1037">
            <v>40984</v>
          </cell>
          <cell r="G1037">
            <v>40877</v>
          </cell>
          <cell r="H1037" t="str">
            <v>2011-0.224.208-6</v>
          </cell>
          <cell r="I1037">
            <v>31012.38</v>
          </cell>
          <cell r="J1037" t="str">
            <v xml:space="preserve">              123651121                 2847                    33903600</v>
          </cell>
          <cell r="K1037" t="str">
            <v>19/09/2011</v>
          </cell>
          <cell r="L1037">
            <v>73</v>
          </cell>
          <cell r="M1037">
            <v>12600</v>
          </cell>
          <cell r="N1037">
            <v>57273</v>
          </cell>
          <cell r="O1037">
            <v>30917</v>
          </cell>
          <cell r="P1037">
            <v>16</v>
          </cell>
          <cell r="Q1037">
            <v>2</v>
          </cell>
          <cell r="T1037">
            <v>3150</v>
          </cell>
          <cell r="U1037">
            <v>0</v>
          </cell>
          <cell r="V1037">
            <v>5200</v>
          </cell>
          <cell r="W1037">
            <v>180</v>
          </cell>
          <cell r="X1037">
            <v>4160</v>
          </cell>
          <cell r="Y1037">
            <v>102441</v>
          </cell>
          <cell r="Z1037">
            <v>6784.39</v>
          </cell>
          <cell r="AA1037">
            <v>2575.6099999999997</v>
          </cell>
          <cell r="AB1037">
            <v>172.291</v>
          </cell>
          <cell r="AC1037">
            <v>5200</v>
          </cell>
          <cell r="AD1037">
            <v>4126.43</v>
          </cell>
          <cell r="AE1037">
            <v>1073.5699999999997</v>
          </cell>
          <cell r="AN1037" t="str">
            <v xml:space="preserve">Contrato emergencial nº </v>
          </cell>
          <cell r="AO1037" t="str">
            <v>IQ</v>
          </cell>
        </row>
        <row r="1038">
          <cell r="D1038" t="str">
            <v>2075/11</v>
          </cell>
          <cell r="E1038" t="str">
            <v>19/09/2011</v>
          </cell>
          <cell r="F1038">
            <v>40984</v>
          </cell>
          <cell r="G1038">
            <v>40877</v>
          </cell>
          <cell r="H1038" t="str">
            <v>2011-0.224.211-6</v>
          </cell>
          <cell r="I1038">
            <v>26752.74</v>
          </cell>
          <cell r="J1038" t="str">
            <v xml:space="preserve">              123651121                 2847                    33903600</v>
          </cell>
          <cell r="K1038" t="str">
            <v>19/09/2011</v>
          </cell>
          <cell r="L1038">
            <v>73</v>
          </cell>
          <cell r="M1038">
            <v>10900</v>
          </cell>
          <cell r="N1038">
            <v>57273</v>
          </cell>
          <cell r="O1038">
            <v>30920</v>
          </cell>
          <cell r="P1038">
            <v>16</v>
          </cell>
          <cell r="Q1038">
            <v>2</v>
          </cell>
          <cell r="T1038">
            <v>2725</v>
          </cell>
          <cell r="U1038">
            <v>0</v>
          </cell>
          <cell r="V1038">
            <v>4800</v>
          </cell>
          <cell r="W1038">
            <v>180</v>
          </cell>
          <cell r="X1038">
            <v>3840</v>
          </cell>
          <cell r="Y1038">
            <v>102208</v>
          </cell>
          <cell r="Z1038">
            <v>4274.7000000000007</v>
          </cell>
          <cell r="AA1038">
            <v>4365.2999999999993</v>
          </cell>
          <cell r="AB1038">
            <v>148.62633333333335</v>
          </cell>
          <cell r="AC1038">
            <v>4500</v>
          </cell>
          <cell r="AD1038">
            <v>4701.07</v>
          </cell>
          <cell r="AE1038">
            <v>-201.06999999999971</v>
          </cell>
          <cell r="AN1038" t="str">
            <v xml:space="preserve">Contrato emergencial nº </v>
          </cell>
          <cell r="AO1038" t="str">
            <v>CS</v>
          </cell>
        </row>
        <row r="1039">
          <cell r="D1039" t="str">
            <v>2076/11</v>
          </cell>
          <cell r="E1039" t="str">
            <v>19/09/2011</v>
          </cell>
          <cell r="F1039">
            <v>40984</v>
          </cell>
          <cell r="G1039">
            <v>40877</v>
          </cell>
          <cell r="H1039" t="str">
            <v>2011-0.224.214-0</v>
          </cell>
          <cell r="I1039">
            <v>44324.52</v>
          </cell>
          <cell r="J1039" t="str">
            <v xml:space="preserve">              123651121                 2847                    33903600</v>
          </cell>
          <cell r="K1039" t="str">
            <v>19/09/2011</v>
          </cell>
          <cell r="L1039">
            <v>73</v>
          </cell>
          <cell r="M1039">
            <v>18000</v>
          </cell>
          <cell r="N1039">
            <v>57273</v>
          </cell>
          <cell r="O1039">
            <v>30922</v>
          </cell>
          <cell r="P1039">
            <v>16</v>
          </cell>
          <cell r="Q1039">
            <v>2</v>
          </cell>
          <cell r="T1039">
            <v>4500</v>
          </cell>
          <cell r="U1039">
            <v>0</v>
          </cell>
          <cell r="V1039">
            <v>7400</v>
          </cell>
          <cell r="W1039">
            <v>180</v>
          </cell>
          <cell r="X1039">
            <v>5920</v>
          </cell>
          <cell r="Y1039">
            <v>105364</v>
          </cell>
          <cell r="Z1039">
            <v>1656.71</v>
          </cell>
          <cell r="AA1039">
            <v>11663.29</v>
          </cell>
          <cell r="AB1039">
            <v>246.2473333333333</v>
          </cell>
          <cell r="AC1039">
            <v>7400</v>
          </cell>
          <cell r="AD1039">
            <v>6558.2400000000007</v>
          </cell>
          <cell r="AE1039">
            <v>841.75999999999931</v>
          </cell>
          <cell r="AN1039" t="str">
            <v xml:space="preserve">Contrato emergencial nº </v>
          </cell>
          <cell r="AO1039" t="str">
            <v>MP</v>
          </cell>
        </row>
        <row r="1040">
          <cell r="D1040" t="str">
            <v>2077/11</v>
          </cell>
          <cell r="E1040" t="str">
            <v>19/09/2011</v>
          </cell>
          <cell r="F1040">
            <v>40984</v>
          </cell>
          <cell r="G1040">
            <v>40877</v>
          </cell>
          <cell r="H1040" t="str">
            <v>2011-0.224.217-5</v>
          </cell>
          <cell r="I1040">
            <v>21373.56</v>
          </cell>
          <cell r="J1040" t="str">
            <v xml:space="preserve">              123651121                 2847                    33903600</v>
          </cell>
          <cell r="K1040" t="str">
            <v>19/09/2011</v>
          </cell>
          <cell r="L1040">
            <v>73</v>
          </cell>
          <cell r="M1040">
            <v>8700</v>
          </cell>
          <cell r="N1040">
            <v>57273</v>
          </cell>
          <cell r="O1040">
            <v>30923</v>
          </cell>
          <cell r="P1040">
            <v>16</v>
          </cell>
          <cell r="Q1040">
            <v>2</v>
          </cell>
          <cell r="T1040">
            <v>2175</v>
          </cell>
          <cell r="U1040">
            <v>0</v>
          </cell>
          <cell r="V1040">
            <v>3600</v>
          </cell>
          <cell r="W1040">
            <v>180</v>
          </cell>
          <cell r="X1040">
            <v>2880</v>
          </cell>
          <cell r="Y1040">
            <v>102268</v>
          </cell>
          <cell r="Z1040">
            <v>3967.54</v>
          </cell>
          <cell r="AA1040">
            <v>2512.46</v>
          </cell>
          <cell r="AB1040">
            <v>118.742</v>
          </cell>
          <cell r="AC1040">
            <v>3600</v>
          </cell>
          <cell r="AD1040">
            <v>3400.6545000000006</v>
          </cell>
          <cell r="AE1040">
            <v>199.34549999999945</v>
          </cell>
          <cell r="AN1040" t="str">
            <v xml:space="preserve">Contrato emergencial nº </v>
          </cell>
          <cell r="AO1040" t="str">
            <v>SA</v>
          </cell>
        </row>
        <row r="1041">
          <cell r="D1041" t="str">
            <v>2078/11</v>
          </cell>
          <cell r="E1041" t="str">
            <v>19/09/2011</v>
          </cell>
          <cell r="F1041">
            <v>40984</v>
          </cell>
          <cell r="G1041">
            <v>40877</v>
          </cell>
          <cell r="H1041" t="str">
            <v>2011-0.224.221-3</v>
          </cell>
          <cell r="I1041">
            <v>37607.879999999997</v>
          </cell>
          <cell r="J1041" t="str">
            <v xml:space="preserve">              123651121                 2847                    33903600</v>
          </cell>
          <cell r="K1041" t="str">
            <v>19/09/2011</v>
          </cell>
          <cell r="L1041">
            <v>73</v>
          </cell>
          <cell r="M1041">
            <v>15300</v>
          </cell>
          <cell r="N1041">
            <v>57273</v>
          </cell>
          <cell r="O1041">
            <v>30925</v>
          </cell>
          <cell r="P1041">
            <v>16</v>
          </cell>
          <cell r="Q1041">
            <v>2</v>
          </cell>
          <cell r="T1041">
            <v>3825</v>
          </cell>
          <cell r="U1041">
            <v>0</v>
          </cell>
          <cell r="V1041">
            <v>6300</v>
          </cell>
          <cell r="W1041">
            <v>180</v>
          </cell>
          <cell r="X1041">
            <v>5040</v>
          </cell>
          <cell r="Y1041">
            <v>103088</v>
          </cell>
          <cell r="Z1041">
            <v>6758.64</v>
          </cell>
          <cell r="AA1041">
            <v>4581.3599999999997</v>
          </cell>
          <cell r="AB1041">
            <v>208.93266666666665</v>
          </cell>
          <cell r="AC1041">
            <v>6300</v>
          </cell>
          <cell r="AD1041">
            <v>5955.3473333333341</v>
          </cell>
          <cell r="AE1041">
            <v>344.65266666666594</v>
          </cell>
          <cell r="AN1041" t="str">
            <v xml:space="preserve">Contrato emergencial nº </v>
          </cell>
          <cell r="AO1041" t="str">
            <v>G</v>
          </cell>
        </row>
        <row r="1042">
          <cell r="D1042" t="str">
            <v>2079/11</v>
          </cell>
          <cell r="E1042" t="str">
            <v>19/09/2011</v>
          </cell>
          <cell r="F1042">
            <v>40984</v>
          </cell>
          <cell r="G1042">
            <v>40877</v>
          </cell>
          <cell r="H1042" t="str">
            <v>2011-0.224.226-4</v>
          </cell>
          <cell r="I1042">
            <v>44324.52</v>
          </cell>
          <cell r="J1042" t="str">
            <v xml:space="preserve">              123651121                 2847                    33903600</v>
          </cell>
          <cell r="K1042" t="str">
            <v>19/09/2011</v>
          </cell>
          <cell r="L1042">
            <v>73</v>
          </cell>
          <cell r="M1042">
            <v>18000</v>
          </cell>
          <cell r="N1042">
            <v>57273</v>
          </cell>
          <cell r="O1042">
            <v>30926</v>
          </cell>
          <cell r="P1042">
            <v>16</v>
          </cell>
          <cell r="Q1042">
            <v>2</v>
          </cell>
          <cell r="T1042">
            <v>4500</v>
          </cell>
          <cell r="U1042">
            <v>0</v>
          </cell>
          <cell r="V1042">
            <v>7400</v>
          </cell>
          <cell r="W1042">
            <v>180</v>
          </cell>
          <cell r="X1042">
            <v>5920</v>
          </cell>
          <cell r="Y1042">
            <v>102220</v>
          </cell>
          <cell r="Z1042">
            <v>9970.58</v>
          </cell>
          <cell r="AA1042">
            <v>3349.42</v>
          </cell>
          <cell r="AB1042">
            <v>246.2473333333333</v>
          </cell>
          <cell r="AC1042">
            <v>7400</v>
          </cell>
          <cell r="AD1042">
            <v>5753.66</v>
          </cell>
          <cell r="AE1042">
            <v>1646.3400000000001</v>
          </cell>
          <cell r="AN1042" t="str">
            <v xml:space="preserve">Contrato emergencial nº </v>
          </cell>
          <cell r="AO1042" t="str">
            <v>CS</v>
          </cell>
        </row>
        <row r="1043">
          <cell r="D1043" t="str">
            <v>2080/11</v>
          </cell>
          <cell r="E1043" t="str">
            <v>19/09/2011</v>
          </cell>
          <cell r="F1043">
            <v>40984</v>
          </cell>
          <cell r="G1043">
            <v>40877</v>
          </cell>
          <cell r="H1043" t="str">
            <v>2011-0.224.231-0</v>
          </cell>
          <cell r="I1043">
            <v>31418.52</v>
          </cell>
          <cell r="J1043" t="str">
            <v xml:space="preserve">              123651121                 2847                    33903600</v>
          </cell>
          <cell r="K1043" t="str">
            <v>19/09/2011</v>
          </cell>
          <cell r="L1043">
            <v>73</v>
          </cell>
          <cell r="M1043">
            <v>12800</v>
          </cell>
          <cell r="N1043">
            <v>57273</v>
          </cell>
          <cell r="O1043">
            <v>30927</v>
          </cell>
          <cell r="P1043">
            <v>16</v>
          </cell>
          <cell r="Q1043">
            <v>2</v>
          </cell>
          <cell r="T1043">
            <v>3200</v>
          </cell>
          <cell r="U1043">
            <v>0</v>
          </cell>
          <cell r="V1043">
            <v>5300</v>
          </cell>
          <cell r="W1043">
            <v>180</v>
          </cell>
          <cell r="X1043">
            <v>4240</v>
          </cell>
          <cell r="Y1043">
            <v>102910</v>
          </cell>
          <cell r="Z1043">
            <v>6105.22</v>
          </cell>
          <cell r="AA1043">
            <v>3434.7799999999997</v>
          </cell>
          <cell r="AB1043">
            <v>174.54733333333334</v>
          </cell>
          <cell r="AC1043">
            <v>5300</v>
          </cell>
          <cell r="AD1043">
            <v>4514.32</v>
          </cell>
          <cell r="AE1043">
            <v>785.68000000000029</v>
          </cell>
          <cell r="AN1043" t="str">
            <v xml:space="preserve">Contrato emergencial nº </v>
          </cell>
          <cell r="AO1043" t="str">
            <v>PE</v>
          </cell>
        </row>
        <row r="1044">
          <cell r="D1044" t="str">
            <v>2081/11</v>
          </cell>
          <cell r="E1044" t="str">
            <v>19/09/2011</v>
          </cell>
          <cell r="F1044">
            <v>40984</v>
          </cell>
          <cell r="G1044">
            <v>40877</v>
          </cell>
          <cell r="H1044" t="str">
            <v>2011-0.224.288-4</v>
          </cell>
          <cell r="I1044">
            <v>37607.879999999997</v>
          </cell>
          <cell r="J1044" t="str">
            <v xml:space="preserve">              123651121                 2847                    33903600</v>
          </cell>
          <cell r="K1044" t="str">
            <v>19/09/2011</v>
          </cell>
          <cell r="L1044">
            <v>73</v>
          </cell>
          <cell r="M1044">
            <v>15300</v>
          </cell>
          <cell r="N1044">
            <v>57273</v>
          </cell>
          <cell r="O1044">
            <v>30929</v>
          </cell>
          <cell r="P1044">
            <v>16</v>
          </cell>
          <cell r="Q1044">
            <v>2</v>
          </cell>
          <cell r="T1044">
            <v>3825</v>
          </cell>
          <cell r="U1044">
            <v>0</v>
          </cell>
          <cell r="V1044">
            <v>6300</v>
          </cell>
          <cell r="W1044">
            <v>180</v>
          </cell>
          <cell r="X1044">
            <v>5040</v>
          </cell>
          <cell r="Y1044">
            <v>105365</v>
          </cell>
          <cell r="Z1044">
            <v>622.73000000000047</v>
          </cell>
          <cell r="AA1044">
            <v>10717.27</v>
          </cell>
          <cell r="AB1044">
            <v>208.93266666666665</v>
          </cell>
          <cell r="AC1044">
            <v>6300</v>
          </cell>
          <cell r="AD1044">
            <v>6139.83</v>
          </cell>
          <cell r="AE1044">
            <v>160.17000000000007</v>
          </cell>
          <cell r="AN1044" t="str">
            <v xml:space="preserve">Contrato emergencial nº </v>
          </cell>
          <cell r="AO1044" t="str">
            <v>MP</v>
          </cell>
        </row>
        <row r="1045">
          <cell r="D1045" t="str">
            <v>2082/11</v>
          </cell>
          <cell r="E1045" t="str">
            <v>19/09/2011</v>
          </cell>
          <cell r="F1045">
            <v>40984</v>
          </cell>
          <cell r="G1045">
            <v>40877</v>
          </cell>
          <cell r="H1045" t="str">
            <v>2011-0.224.313-9</v>
          </cell>
          <cell r="I1045">
            <v>20967.419999999998</v>
          </cell>
          <cell r="J1045" t="str">
            <v xml:space="preserve">              123651121                 2847                    33903600</v>
          </cell>
          <cell r="K1045" t="str">
            <v>19/09/2011</v>
          </cell>
          <cell r="L1045">
            <v>73</v>
          </cell>
          <cell r="M1045">
            <v>8600</v>
          </cell>
          <cell r="N1045">
            <v>57273</v>
          </cell>
          <cell r="O1045">
            <v>30933</v>
          </cell>
          <cell r="P1045">
            <v>16</v>
          </cell>
          <cell r="Q1045">
            <v>2</v>
          </cell>
          <cell r="T1045">
            <v>2150</v>
          </cell>
          <cell r="U1045">
            <v>0</v>
          </cell>
          <cell r="V1045">
            <v>3500</v>
          </cell>
          <cell r="W1045">
            <v>180</v>
          </cell>
          <cell r="X1045">
            <v>2800</v>
          </cell>
          <cell r="Y1045">
            <v>102245</v>
          </cell>
          <cell r="Z1045">
            <v>3639.95</v>
          </cell>
          <cell r="AA1045">
            <v>2660.05</v>
          </cell>
          <cell r="AB1045">
            <v>116.48566666666666</v>
          </cell>
          <cell r="AC1045">
            <v>3500</v>
          </cell>
          <cell r="AD1045">
            <v>2851.5099999999998</v>
          </cell>
          <cell r="AE1045">
            <v>648.49000000000024</v>
          </cell>
          <cell r="AN1045" t="str">
            <v xml:space="preserve">Contrato emergencial nº </v>
          </cell>
          <cell r="AO1045" t="str">
            <v>CS</v>
          </cell>
        </row>
        <row r="1046">
          <cell r="D1046" t="str">
            <v>2083/11</v>
          </cell>
          <cell r="E1046" t="str">
            <v>19/09/2011</v>
          </cell>
          <cell r="F1046">
            <v>40984</v>
          </cell>
          <cell r="G1046">
            <v>40877</v>
          </cell>
          <cell r="H1046" t="str">
            <v>2011-0.224.676-6</v>
          </cell>
          <cell r="I1046">
            <v>44324.52</v>
          </cell>
          <cell r="J1046" t="str">
            <v xml:space="preserve">              123651121                 2847                    33903600</v>
          </cell>
          <cell r="K1046" t="str">
            <v>19/09/2011</v>
          </cell>
          <cell r="L1046">
            <v>73</v>
          </cell>
          <cell r="M1046">
            <v>18000</v>
          </cell>
          <cell r="N1046">
            <v>57273</v>
          </cell>
          <cell r="O1046">
            <v>30935</v>
          </cell>
          <cell r="P1046">
            <v>16</v>
          </cell>
          <cell r="Q1046">
            <v>2</v>
          </cell>
          <cell r="T1046">
            <v>4500</v>
          </cell>
          <cell r="U1046">
            <v>0</v>
          </cell>
          <cell r="V1046">
            <v>7400</v>
          </cell>
          <cell r="W1046">
            <v>180</v>
          </cell>
          <cell r="X1046">
            <v>5920</v>
          </cell>
          <cell r="Y1046">
            <v>102262</v>
          </cell>
          <cell r="Z1046">
            <v>8643.0700000000015</v>
          </cell>
          <cell r="AA1046">
            <v>4676.9299999999985</v>
          </cell>
          <cell r="AB1046">
            <v>246.2473333333333</v>
          </cell>
          <cell r="AC1046">
            <v>7400</v>
          </cell>
          <cell r="AD1046">
            <v>6718.8799999999992</v>
          </cell>
          <cell r="AE1046">
            <v>681.1200000000008</v>
          </cell>
          <cell r="AN1046" t="str">
            <v xml:space="preserve">Contrato emergencial nº </v>
          </cell>
          <cell r="AO1046" t="str">
            <v>CS</v>
          </cell>
        </row>
        <row r="1047">
          <cell r="D1047" t="str">
            <v>2084/11</v>
          </cell>
          <cell r="E1047" t="str">
            <v>19/09/2011</v>
          </cell>
          <cell r="F1047">
            <v>40984</v>
          </cell>
          <cell r="G1047">
            <v>40877</v>
          </cell>
          <cell r="H1047" t="str">
            <v>2011-0.224.680-4</v>
          </cell>
          <cell r="I1047">
            <v>22592.1</v>
          </cell>
          <cell r="J1047" t="str">
            <v xml:space="preserve">              123611122                  2848                    33903600</v>
          </cell>
          <cell r="K1047" t="str">
            <v>19/09/2011</v>
          </cell>
          <cell r="L1047">
            <v>73</v>
          </cell>
          <cell r="M1047">
            <v>9200</v>
          </cell>
          <cell r="N1047">
            <v>57278</v>
          </cell>
          <cell r="O1047">
            <v>30937</v>
          </cell>
          <cell r="P1047">
            <v>16</v>
          </cell>
          <cell r="Q1047">
            <v>3</v>
          </cell>
          <cell r="T1047">
            <v>2300</v>
          </cell>
          <cell r="U1047">
            <v>0</v>
          </cell>
          <cell r="V1047">
            <v>3800</v>
          </cell>
          <cell r="W1047">
            <v>180</v>
          </cell>
          <cell r="X1047">
            <v>3040</v>
          </cell>
          <cell r="Y1047">
            <v>102315</v>
          </cell>
          <cell r="Z1047">
            <v>7854.28</v>
          </cell>
          <cell r="AA1047">
            <v>-1014.2799999999997</v>
          </cell>
          <cell r="AB1047">
            <v>125.51166666666666</v>
          </cell>
          <cell r="AC1047">
            <v>3800</v>
          </cell>
          <cell r="AD1047">
            <v>3311.79</v>
          </cell>
          <cell r="AE1047">
            <v>488.21000000000004</v>
          </cell>
          <cell r="AN1047" t="str">
            <v xml:space="preserve">Contrato emergencial nº </v>
          </cell>
          <cell r="AO1047" t="str">
            <v>BT</v>
          </cell>
        </row>
        <row r="1048">
          <cell r="D1048" t="str">
            <v>2085/11</v>
          </cell>
          <cell r="E1048" t="str">
            <v>19/09/2011</v>
          </cell>
          <cell r="F1048">
            <v>40984</v>
          </cell>
          <cell r="G1048">
            <v>40877</v>
          </cell>
          <cell r="H1048" t="str">
            <v>2011-0.224.681-2</v>
          </cell>
          <cell r="I1048">
            <v>44324.52</v>
          </cell>
          <cell r="J1048" t="str">
            <v xml:space="preserve">              123611122                  2848                    33903600</v>
          </cell>
          <cell r="K1048" t="str">
            <v>19/09/2011</v>
          </cell>
          <cell r="L1048">
            <v>73</v>
          </cell>
          <cell r="M1048">
            <v>18000</v>
          </cell>
          <cell r="N1048">
            <v>57278</v>
          </cell>
          <cell r="O1048">
            <v>30939</v>
          </cell>
          <cell r="P1048">
            <v>16</v>
          </cell>
          <cell r="Q1048">
            <v>3</v>
          </cell>
          <cell r="T1048">
            <v>4500</v>
          </cell>
          <cell r="U1048">
            <v>0</v>
          </cell>
          <cell r="V1048">
            <v>7400</v>
          </cell>
          <cell r="W1048">
            <v>180</v>
          </cell>
          <cell r="X1048">
            <v>5920</v>
          </cell>
          <cell r="Y1048">
            <v>102290</v>
          </cell>
          <cell r="Z1048">
            <v>8347.41</v>
          </cell>
          <cell r="AA1048">
            <v>4972.59</v>
          </cell>
          <cell r="AB1048">
            <v>246.2473333333333</v>
          </cell>
          <cell r="AC1048">
            <v>7400</v>
          </cell>
          <cell r="AD1048">
            <v>6932.0300000000007</v>
          </cell>
          <cell r="AE1048">
            <v>467.96999999999935</v>
          </cell>
          <cell r="AN1048" t="str">
            <v xml:space="preserve">Contrato emergencial nº </v>
          </cell>
          <cell r="AO1048" t="str">
            <v>CS</v>
          </cell>
        </row>
        <row r="1049">
          <cell r="D1049" t="str">
            <v>2086/11</v>
          </cell>
          <cell r="E1049" t="str">
            <v>19/09/2011</v>
          </cell>
          <cell r="F1049">
            <v>40984</v>
          </cell>
          <cell r="G1049">
            <v>40877</v>
          </cell>
          <cell r="H1049" t="str">
            <v>2011-0.224.684-7</v>
          </cell>
          <cell r="I1049">
            <v>44324.52</v>
          </cell>
          <cell r="J1049" t="str">
            <v xml:space="preserve">              123611122                  2848                    33903600</v>
          </cell>
          <cell r="K1049" t="str">
            <v>19/09/2011</v>
          </cell>
          <cell r="L1049">
            <v>73</v>
          </cell>
          <cell r="M1049">
            <v>18000</v>
          </cell>
          <cell r="N1049">
            <v>57278</v>
          </cell>
          <cell r="O1049">
            <v>30942</v>
          </cell>
          <cell r="P1049">
            <v>16</v>
          </cell>
          <cell r="Q1049">
            <v>3</v>
          </cell>
          <cell r="T1049">
            <v>4500</v>
          </cell>
          <cell r="U1049">
            <v>0</v>
          </cell>
          <cell r="V1049">
            <v>7400</v>
          </cell>
          <cell r="W1049">
            <v>180</v>
          </cell>
          <cell r="X1049">
            <v>5920</v>
          </cell>
          <cell r="Y1049">
            <v>102298</v>
          </cell>
          <cell r="Z1049">
            <v>8715.66</v>
          </cell>
          <cell r="AA1049">
            <v>4604.34</v>
          </cell>
          <cell r="AB1049">
            <v>246.2473333333333</v>
          </cell>
          <cell r="AC1049">
            <v>7400</v>
          </cell>
          <cell r="AD1049">
            <v>6655.2800000000007</v>
          </cell>
          <cell r="AE1049">
            <v>744.71999999999935</v>
          </cell>
          <cell r="AN1049" t="str">
            <v xml:space="preserve">Contrato emergencial nº </v>
          </cell>
          <cell r="AO1049" t="str">
            <v>CS</v>
          </cell>
        </row>
        <row r="1050">
          <cell r="D1050" t="str">
            <v>2087/11</v>
          </cell>
          <cell r="E1050" t="str">
            <v>19/09/2011</v>
          </cell>
          <cell r="F1050">
            <v>40984</v>
          </cell>
          <cell r="G1050">
            <v>40877</v>
          </cell>
          <cell r="H1050" t="str">
            <v>2011-0.224.687-1</v>
          </cell>
          <cell r="I1050">
            <v>44324.52</v>
          </cell>
          <cell r="J1050" t="str">
            <v xml:space="preserve">              123611122                  2848                    33903600</v>
          </cell>
          <cell r="K1050" t="str">
            <v>19/09/2011</v>
          </cell>
          <cell r="L1050">
            <v>73</v>
          </cell>
          <cell r="M1050">
            <v>18000</v>
          </cell>
          <cell r="N1050">
            <v>57278</v>
          </cell>
          <cell r="O1050">
            <v>30945</v>
          </cell>
          <cell r="P1050">
            <v>16</v>
          </cell>
          <cell r="Q1050">
            <v>3</v>
          </cell>
          <cell r="T1050">
            <v>4500</v>
          </cell>
          <cell r="U1050">
            <v>0</v>
          </cell>
          <cell r="V1050">
            <v>7400</v>
          </cell>
          <cell r="W1050">
            <v>180</v>
          </cell>
          <cell r="X1050">
            <v>5920</v>
          </cell>
          <cell r="Y1050">
            <v>102299</v>
          </cell>
          <cell r="Z1050">
            <v>8367.5300000000007</v>
          </cell>
          <cell r="AA1050">
            <v>4952.4699999999993</v>
          </cell>
          <cell r="AB1050">
            <v>246.2473333333333</v>
          </cell>
          <cell r="AC1050">
            <v>7400</v>
          </cell>
          <cell r="AD1050">
            <v>5937.6599999999989</v>
          </cell>
          <cell r="AE1050">
            <v>1462.3400000000011</v>
          </cell>
          <cell r="AN1050" t="str">
            <v xml:space="preserve">Contrato emergencial nº </v>
          </cell>
          <cell r="AO1050" t="str">
            <v>CS</v>
          </cell>
        </row>
        <row r="1051">
          <cell r="D1051" t="str">
            <v>2088/11</v>
          </cell>
          <cell r="E1051" t="str">
            <v>19/09/2011</v>
          </cell>
          <cell r="F1051">
            <v>40984</v>
          </cell>
          <cell r="G1051">
            <v>40877</v>
          </cell>
          <cell r="H1051" t="str">
            <v>2011-0.224.692-8</v>
          </cell>
          <cell r="I1051">
            <v>25128.06</v>
          </cell>
          <cell r="J1051" t="str">
            <v xml:space="preserve">              123611122                  2848                    33903600</v>
          </cell>
          <cell r="K1051" t="str">
            <v>19/09/2011</v>
          </cell>
          <cell r="L1051">
            <v>73</v>
          </cell>
          <cell r="M1051">
            <v>10200</v>
          </cell>
          <cell r="N1051">
            <v>57278</v>
          </cell>
          <cell r="O1051">
            <v>30949</v>
          </cell>
          <cell r="P1051">
            <v>16</v>
          </cell>
          <cell r="Q1051">
            <v>3</v>
          </cell>
          <cell r="T1051">
            <v>2550</v>
          </cell>
          <cell r="U1051">
            <v>0</v>
          </cell>
          <cell r="V1051">
            <v>4200</v>
          </cell>
          <cell r="W1051">
            <v>180</v>
          </cell>
          <cell r="X1051">
            <v>3360</v>
          </cell>
          <cell r="Y1051">
            <v>102479</v>
          </cell>
          <cell r="Z1051">
            <v>3893.79</v>
          </cell>
          <cell r="AA1051">
            <v>3666.21</v>
          </cell>
          <cell r="AB1051">
            <v>139.60033333333334</v>
          </cell>
          <cell r="AC1051">
            <v>4200</v>
          </cell>
          <cell r="AD1051">
            <v>4139.13</v>
          </cell>
          <cell r="AE1051">
            <v>60.869999999999891</v>
          </cell>
          <cell r="AN1051" t="str">
            <v xml:space="preserve">Contrato emergencial nº </v>
          </cell>
          <cell r="AO1051" t="str">
            <v>IP</v>
          </cell>
        </row>
        <row r="1052">
          <cell r="D1052" t="str">
            <v>2089/11</v>
          </cell>
          <cell r="E1052" t="str">
            <v>19/09/2011</v>
          </cell>
          <cell r="F1052">
            <v>40984</v>
          </cell>
          <cell r="G1052">
            <v>40877</v>
          </cell>
          <cell r="H1052" t="str">
            <v>2011-0.224.705-3</v>
          </cell>
          <cell r="I1052">
            <v>31012.38</v>
          </cell>
          <cell r="J1052" t="str">
            <v xml:space="preserve">              123611122                  2848                    33903600</v>
          </cell>
          <cell r="K1052" t="str">
            <v>19/09/2011</v>
          </cell>
          <cell r="L1052">
            <v>73</v>
          </cell>
          <cell r="M1052">
            <v>12600</v>
          </cell>
          <cell r="N1052">
            <v>57278</v>
          </cell>
          <cell r="O1052">
            <v>30950</v>
          </cell>
          <cell r="P1052">
            <v>16</v>
          </cell>
          <cell r="Q1052">
            <v>3</v>
          </cell>
          <cell r="T1052">
            <v>3150</v>
          </cell>
          <cell r="U1052">
            <v>0</v>
          </cell>
          <cell r="V1052">
            <v>5200</v>
          </cell>
          <cell r="W1052">
            <v>180</v>
          </cell>
          <cell r="X1052">
            <v>4160</v>
          </cell>
          <cell r="Y1052">
            <v>102308</v>
          </cell>
          <cell r="Z1052">
            <v>6684.77</v>
          </cell>
          <cell r="AA1052">
            <v>2675.2299999999996</v>
          </cell>
          <cell r="AB1052">
            <v>172.291</v>
          </cell>
          <cell r="AC1052">
            <v>5200</v>
          </cell>
          <cell r="AD1052">
            <v>4263.92</v>
          </cell>
          <cell r="AE1052">
            <v>936.07999999999993</v>
          </cell>
          <cell r="AN1052" t="str">
            <v xml:space="preserve">Contrato emergencial nº </v>
          </cell>
          <cell r="AO1052" t="str">
            <v>SA</v>
          </cell>
        </row>
        <row r="1053">
          <cell r="D1053" t="str">
            <v>2090/11</v>
          </cell>
          <cell r="E1053" t="str">
            <v>19/09/2011</v>
          </cell>
          <cell r="F1053">
            <v>40984</v>
          </cell>
          <cell r="G1053">
            <v>40877</v>
          </cell>
          <cell r="H1053" t="str">
            <v>2011-0.224.708-8</v>
          </cell>
          <cell r="I1053">
            <v>44324.52</v>
          </cell>
          <cell r="J1053" t="str">
            <v xml:space="preserve">              123611122                  2848                    33903600</v>
          </cell>
          <cell r="K1053" t="str">
            <v>19/09/2011</v>
          </cell>
          <cell r="L1053">
            <v>73</v>
          </cell>
          <cell r="M1053">
            <v>18000</v>
          </cell>
          <cell r="N1053">
            <v>57278</v>
          </cell>
          <cell r="O1053">
            <v>30965</v>
          </cell>
          <cell r="P1053">
            <v>16</v>
          </cell>
          <cell r="Q1053">
            <v>3</v>
          </cell>
          <cell r="T1053">
            <v>4500</v>
          </cell>
          <cell r="U1053">
            <v>0</v>
          </cell>
          <cell r="V1053">
            <v>7400</v>
          </cell>
          <cell r="W1053">
            <v>180</v>
          </cell>
          <cell r="X1053">
            <v>5920</v>
          </cell>
          <cell r="Y1053">
            <v>102302</v>
          </cell>
          <cell r="Z1053">
            <v>8650.5700000000015</v>
          </cell>
          <cell r="AA1053">
            <v>4669.4299999999985</v>
          </cell>
          <cell r="AB1053">
            <v>246.2473333333333</v>
          </cell>
          <cell r="AC1053">
            <v>7400</v>
          </cell>
          <cell r="AD1053">
            <v>6713.1299999999992</v>
          </cell>
          <cell r="AE1053">
            <v>686.8700000000008</v>
          </cell>
          <cell r="AN1053" t="str">
            <v xml:space="preserve">Contrato emergencial nº </v>
          </cell>
          <cell r="AO1053" t="str">
            <v>CS</v>
          </cell>
        </row>
        <row r="1054">
          <cell r="D1054" t="str">
            <v>2091/11</v>
          </cell>
          <cell r="E1054" t="str">
            <v>19/09/2011</v>
          </cell>
          <cell r="F1054">
            <v>40984</v>
          </cell>
          <cell r="G1054">
            <v>40877</v>
          </cell>
          <cell r="H1054" t="str">
            <v>2011-0.224.711-8</v>
          </cell>
          <cell r="I1054">
            <v>31012.38</v>
          </cell>
          <cell r="J1054" t="str">
            <v xml:space="preserve">              123611122                  2848                    33903600</v>
          </cell>
          <cell r="K1054" t="str">
            <v>19/09/2011</v>
          </cell>
          <cell r="L1054">
            <v>73</v>
          </cell>
          <cell r="M1054">
            <v>12600</v>
          </cell>
          <cell r="N1054">
            <v>57278</v>
          </cell>
          <cell r="O1054">
            <v>30966</v>
          </cell>
          <cell r="P1054">
            <v>16</v>
          </cell>
          <cell r="Q1054">
            <v>3</v>
          </cell>
          <cell r="T1054">
            <v>3150</v>
          </cell>
          <cell r="U1054">
            <v>0</v>
          </cell>
          <cell r="V1054">
            <v>5200</v>
          </cell>
          <cell r="W1054">
            <v>180</v>
          </cell>
          <cell r="X1054">
            <v>4160</v>
          </cell>
          <cell r="Y1054">
            <v>102316</v>
          </cell>
          <cell r="Z1054">
            <v>6095.48</v>
          </cell>
          <cell r="AA1054">
            <v>3264.5200000000004</v>
          </cell>
          <cell r="AB1054">
            <v>172.291</v>
          </cell>
          <cell r="AC1054">
            <v>5200</v>
          </cell>
          <cell r="AD1054">
            <v>4689.1849999999995</v>
          </cell>
          <cell r="AE1054">
            <v>510.81500000000051</v>
          </cell>
          <cell r="AN1054" t="str">
            <v xml:space="preserve">Contrato emergencial nº </v>
          </cell>
          <cell r="AO1054" t="str">
            <v>SA</v>
          </cell>
        </row>
        <row r="1055">
          <cell r="D1055" t="str">
            <v>2092/11</v>
          </cell>
          <cell r="E1055" t="str">
            <v>19/09/2011</v>
          </cell>
          <cell r="F1055">
            <v>40984</v>
          </cell>
          <cell r="G1055">
            <v>40877</v>
          </cell>
          <cell r="H1055" t="str">
            <v>2011-0.224.713-4</v>
          </cell>
          <cell r="I1055">
            <v>30606.240000000002</v>
          </cell>
          <cell r="J1055" t="str">
            <v xml:space="preserve">              123611122                  2848                    33903600</v>
          </cell>
          <cell r="K1055" t="str">
            <v>19/09/2011</v>
          </cell>
          <cell r="L1055">
            <v>73</v>
          </cell>
          <cell r="M1055">
            <v>12500</v>
          </cell>
          <cell r="N1055">
            <v>57278</v>
          </cell>
          <cell r="O1055">
            <v>30967</v>
          </cell>
          <cell r="P1055">
            <v>16</v>
          </cell>
          <cell r="Q1055">
            <v>3</v>
          </cell>
          <cell r="T1055">
            <v>3125</v>
          </cell>
          <cell r="U1055">
            <v>0</v>
          </cell>
          <cell r="V1055">
            <v>5200</v>
          </cell>
          <cell r="W1055">
            <v>180</v>
          </cell>
          <cell r="X1055">
            <v>4160</v>
          </cell>
          <cell r="Y1055">
            <v>102307</v>
          </cell>
          <cell r="Z1055">
            <v>5387.64</v>
          </cell>
          <cell r="AA1055">
            <v>3972.3599999999997</v>
          </cell>
          <cell r="AB1055">
            <v>170.03466666666668</v>
          </cell>
          <cell r="AC1055">
            <v>5200</v>
          </cell>
          <cell r="AD1055">
            <v>5051.54</v>
          </cell>
          <cell r="AE1055">
            <v>148.46000000000004</v>
          </cell>
          <cell r="AN1055" t="str">
            <v xml:space="preserve">Contrato emergencial nº </v>
          </cell>
          <cell r="AO1055" t="str">
            <v>CS</v>
          </cell>
        </row>
        <row r="1056">
          <cell r="D1056" t="str">
            <v>2093/11</v>
          </cell>
          <cell r="E1056" t="str">
            <v>19/09/2011</v>
          </cell>
          <cell r="F1056">
            <v>40984</v>
          </cell>
          <cell r="G1056">
            <v>40877</v>
          </cell>
          <cell r="H1056" t="str">
            <v>2011-0.224.715-0</v>
          </cell>
          <cell r="I1056">
            <v>44978.400000000001</v>
          </cell>
          <cell r="J1056" t="str">
            <v xml:space="preserve">              123611122                  2848                    33903600</v>
          </cell>
          <cell r="K1056" t="str">
            <v>19/09/2011</v>
          </cell>
          <cell r="L1056">
            <v>73</v>
          </cell>
          <cell r="M1056">
            <v>18300</v>
          </cell>
          <cell r="N1056">
            <v>57278</v>
          </cell>
          <cell r="O1056">
            <v>30969</v>
          </cell>
          <cell r="P1056">
            <v>16</v>
          </cell>
          <cell r="Q1056">
            <v>3</v>
          </cell>
          <cell r="T1056">
            <v>4575</v>
          </cell>
          <cell r="U1056">
            <v>0</v>
          </cell>
          <cell r="V1056">
            <v>7500</v>
          </cell>
          <cell r="W1056">
            <v>180</v>
          </cell>
          <cell r="X1056">
            <v>6000</v>
          </cell>
          <cell r="Y1056">
            <v>102563</v>
          </cell>
          <cell r="Z1056">
            <v>9304.4699999999993</v>
          </cell>
          <cell r="AA1056">
            <v>4195.5300000000007</v>
          </cell>
          <cell r="AB1056">
            <v>249.88</v>
          </cell>
          <cell r="AC1056">
            <v>7500</v>
          </cell>
          <cell r="AD1056">
            <v>6473.7199999999993</v>
          </cell>
          <cell r="AE1056">
            <v>1026.2800000000007</v>
          </cell>
          <cell r="AN1056" t="str">
            <v xml:space="preserve">Contrato emergencial nº </v>
          </cell>
          <cell r="AO1056" t="str">
            <v>IQ</v>
          </cell>
        </row>
        <row r="1057">
          <cell r="D1057" t="str">
            <v>2094/11</v>
          </cell>
          <cell r="E1057" t="str">
            <v>19/09/2011</v>
          </cell>
          <cell r="F1057">
            <v>40984</v>
          </cell>
          <cell r="G1057">
            <v>40877</v>
          </cell>
          <cell r="H1057" t="str">
            <v>2011-0.224.722-3</v>
          </cell>
          <cell r="I1057">
            <v>31418.52</v>
          </cell>
          <cell r="J1057" t="str">
            <v xml:space="preserve">              123611122                  2848                    33903600</v>
          </cell>
          <cell r="K1057" t="str">
            <v>19/09/2011</v>
          </cell>
          <cell r="L1057">
            <v>73</v>
          </cell>
          <cell r="M1057">
            <v>12800</v>
          </cell>
          <cell r="N1057">
            <v>57278</v>
          </cell>
          <cell r="O1057">
            <v>30970</v>
          </cell>
          <cell r="P1057">
            <v>16</v>
          </cell>
          <cell r="Q1057">
            <v>3</v>
          </cell>
          <cell r="T1057">
            <v>3200</v>
          </cell>
          <cell r="U1057">
            <v>0</v>
          </cell>
          <cell r="V1057">
            <v>5300</v>
          </cell>
          <cell r="W1057">
            <v>180</v>
          </cell>
          <cell r="X1057">
            <v>4240</v>
          </cell>
          <cell r="Y1057">
            <v>102310</v>
          </cell>
          <cell r="Z1057">
            <v>6154.8900000000012</v>
          </cell>
          <cell r="AA1057">
            <v>3385.1099999999988</v>
          </cell>
          <cell r="AB1057">
            <v>174.54733333333334</v>
          </cell>
          <cell r="AC1057">
            <v>5300</v>
          </cell>
          <cell r="AD1057">
            <v>4042.34</v>
          </cell>
          <cell r="AE1057">
            <v>1257.6599999999999</v>
          </cell>
          <cell r="AN1057" t="str">
            <v xml:space="preserve">Contrato emergencial nº </v>
          </cell>
          <cell r="AO1057" t="str">
            <v>CS</v>
          </cell>
        </row>
        <row r="1058">
          <cell r="D1058" t="str">
            <v>2095/11</v>
          </cell>
          <cell r="E1058" t="str">
            <v>19/09/2011</v>
          </cell>
          <cell r="F1058">
            <v>40984</v>
          </cell>
          <cell r="G1058">
            <v>40877</v>
          </cell>
          <cell r="H1058" t="str">
            <v>2011-0.224.723-1</v>
          </cell>
          <cell r="I1058">
            <v>31418.52</v>
          </cell>
          <cell r="J1058" t="str">
            <v xml:space="preserve">              123611122                  2848                    33903600</v>
          </cell>
          <cell r="K1058" t="str">
            <v>19/09/2011</v>
          </cell>
          <cell r="L1058">
            <v>73</v>
          </cell>
          <cell r="M1058">
            <v>12800</v>
          </cell>
          <cell r="N1058">
            <v>57278</v>
          </cell>
          <cell r="O1058">
            <v>30972</v>
          </cell>
          <cell r="P1058">
            <v>16</v>
          </cell>
          <cell r="Q1058">
            <v>3</v>
          </cell>
          <cell r="T1058">
            <v>3200</v>
          </cell>
          <cell r="U1058">
            <v>0</v>
          </cell>
          <cell r="V1058">
            <v>5300</v>
          </cell>
          <cell r="W1058">
            <v>180</v>
          </cell>
          <cell r="X1058">
            <v>4240</v>
          </cell>
          <cell r="Y1058">
            <v>102442</v>
          </cell>
          <cell r="Z1058">
            <v>10730.06</v>
          </cell>
          <cell r="AA1058">
            <v>-1190.0599999999995</v>
          </cell>
          <cell r="AB1058">
            <v>174.54733333333334</v>
          </cell>
          <cell r="AC1058">
            <v>5300</v>
          </cell>
          <cell r="AD1058">
            <v>5078.7</v>
          </cell>
          <cell r="AE1058">
            <v>221.30000000000018</v>
          </cell>
          <cell r="AN1058" t="str">
            <v xml:space="preserve">Contrato emergencial nº </v>
          </cell>
          <cell r="AO1058" t="str">
            <v>CL</v>
          </cell>
        </row>
        <row r="1059">
          <cell r="D1059" t="str">
            <v>2096/11</v>
          </cell>
          <cell r="E1059" t="str">
            <v>19/09/2011</v>
          </cell>
          <cell r="F1059">
            <v>40984</v>
          </cell>
          <cell r="G1059">
            <v>40877</v>
          </cell>
          <cell r="H1059" t="str">
            <v>2011-0.224.728-2</v>
          </cell>
          <cell r="I1059">
            <v>37607.879999999997</v>
          </cell>
          <cell r="J1059" t="str">
            <v xml:space="preserve">              123611122                  2848                    33903600</v>
          </cell>
          <cell r="K1059" t="str">
            <v>19/09/2011</v>
          </cell>
          <cell r="L1059">
            <v>73</v>
          </cell>
          <cell r="M1059">
            <v>15300</v>
          </cell>
          <cell r="N1059">
            <v>57278</v>
          </cell>
          <cell r="O1059">
            <v>30975</v>
          </cell>
          <cell r="P1059">
            <v>16</v>
          </cell>
          <cell r="Q1059">
            <v>3</v>
          </cell>
          <cell r="T1059">
            <v>3825</v>
          </cell>
          <cell r="U1059">
            <v>0</v>
          </cell>
          <cell r="V1059">
            <v>6300</v>
          </cell>
          <cell r="W1059">
            <v>180</v>
          </cell>
          <cell r="X1059">
            <v>5040</v>
          </cell>
          <cell r="Y1059">
            <v>102915</v>
          </cell>
          <cell r="Z1059">
            <v>8665.25</v>
          </cell>
          <cell r="AA1059">
            <v>2674.75</v>
          </cell>
          <cell r="AB1059">
            <v>208.93266666666665</v>
          </cell>
          <cell r="AC1059">
            <v>6300</v>
          </cell>
          <cell r="AD1059">
            <v>5151.6400000000003</v>
          </cell>
          <cell r="AE1059">
            <v>1148.3599999999997</v>
          </cell>
          <cell r="AN1059" t="str">
            <v xml:space="preserve">Contrato emergencial nº </v>
          </cell>
          <cell r="AO1059" t="str">
            <v>PE</v>
          </cell>
        </row>
        <row r="1060">
          <cell r="D1060" t="str">
            <v>2097/11</v>
          </cell>
          <cell r="E1060" t="str">
            <v>19/09/2011</v>
          </cell>
          <cell r="F1060">
            <v>40984</v>
          </cell>
          <cell r="G1060">
            <v>40877</v>
          </cell>
          <cell r="H1060" t="str">
            <v>2011-0.224.730-4</v>
          </cell>
          <cell r="I1060">
            <v>31418.52</v>
          </cell>
          <cell r="J1060" t="str">
            <v xml:space="preserve">              123611122                  2848                    33903600</v>
          </cell>
          <cell r="K1060" t="str">
            <v>19/09/2011</v>
          </cell>
          <cell r="L1060">
            <v>73</v>
          </cell>
          <cell r="M1060">
            <v>12800</v>
          </cell>
          <cell r="N1060">
            <v>57278</v>
          </cell>
          <cell r="O1060">
            <v>30977</v>
          </cell>
          <cell r="P1060">
            <v>16</v>
          </cell>
          <cell r="Q1060">
            <v>3</v>
          </cell>
          <cell r="T1060">
            <v>3200</v>
          </cell>
          <cell r="U1060">
            <v>0</v>
          </cell>
          <cell r="V1060">
            <v>6000</v>
          </cell>
          <cell r="W1060">
            <v>180</v>
          </cell>
          <cell r="X1060">
            <v>4800</v>
          </cell>
          <cell r="Y1060">
            <v>105369</v>
          </cell>
          <cell r="Z1060">
            <v>4379.25</v>
          </cell>
          <cell r="AA1060">
            <v>6420.75</v>
          </cell>
          <cell r="AB1060">
            <v>174.54733333333334</v>
          </cell>
          <cell r="AC1060">
            <v>5300</v>
          </cell>
          <cell r="AD1060">
            <v>5963.74</v>
          </cell>
          <cell r="AE1060">
            <v>-663.73999999999978</v>
          </cell>
          <cell r="AN1060" t="str">
            <v xml:space="preserve">Contrato emergencial nº </v>
          </cell>
          <cell r="AO1060" t="str">
            <v>MP</v>
          </cell>
        </row>
        <row r="1061">
          <cell r="D1061" t="str">
            <v>2098/11</v>
          </cell>
          <cell r="E1061" t="str">
            <v>19/09/2011</v>
          </cell>
          <cell r="F1061">
            <v>40984</v>
          </cell>
          <cell r="G1061">
            <v>40877</v>
          </cell>
          <cell r="H1061" t="str">
            <v>2011-0.224.733-9</v>
          </cell>
          <cell r="I1061">
            <v>30606.240000000002</v>
          </cell>
          <cell r="J1061" t="str">
            <v xml:space="preserve">              123611122                  2848                    33903600</v>
          </cell>
          <cell r="K1061" t="str">
            <v>19/09/2011</v>
          </cell>
          <cell r="L1061">
            <v>73</v>
          </cell>
          <cell r="M1061">
            <v>12500</v>
          </cell>
          <cell r="N1061">
            <v>57278</v>
          </cell>
          <cell r="O1061">
            <v>30978</v>
          </cell>
          <cell r="P1061">
            <v>16</v>
          </cell>
          <cell r="Q1061">
            <v>3</v>
          </cell>
          <cell r="T1061">
            <v>3125</v>
          </cell>
          <cell r="U1061">
            <v>0</v>
          </cell>
          <cell r="V1061">
            <v>5200</v>
          </cell>
          <cell r="W1061">
            <v>180</v>
          </cell>
          <cell r="X1061">
            <v>4160</v>
          </cell>
          <cell r="Y1061">
            <v>102356</v>
          </cell>
          <cell r="Z1061">
            <v>5527.04</v>
          </cell>
          <cell r="AA1061">
            <v>3832.96</v>
          </cell>
          <cell r="AB1061">
            <v>170.03466666666668</v>
          </cell>
          <cell r="AC1061">
            <v>5200</v>
          </cell>
          <cell r="AD1061">
            <v>5024.53</v>
          </cell>
          <cell r="AE1061">
            <v>175.47000000000025</v>
          </cell>
          <cell r="AN1061" t="str">
            <v xml:space="preserve">Contrato emergencial nº </v>
          </cell>
          <cell r="AO1061" t="str">
            <v>SA</v>
          </cell>
        </row>
        <row r="1062">
          <cell r="D1062" t="str">
            <v>2099/11</v>
          </cell>
          <cell r="E1062" t="str">
            <v>19/09/2011</v>
          </cell>
          <cell r="F1062">
            <v>40984</v>
          </cell>
          <cell r="G1062">
            <v>40877</v>
          </cell>
          <cell r="H1062" t="str">
            <v>2011-0.224.735-5</v>
          </cell>
          <cell r="I1062">
            <v>44324.52</v>
          </cell>
          <cell r="J1062" t="str">
            <v xml:space="preserve">              123611122                  2848                    33903600</v>
          </cell>
          <cell r="K1062" t="str">
            <v>19/09/2011</v>
          </cell>
          <cell r="L1062">
            <v>73</v>
          </cell>
          <cell r="M1062">
            <v>18000</v>
          </cell>
          <cell r="N1062">
            <v>57278</v>
          </cell>
          <cell r="O1062">
            <v>30981</v>
          </cell>
          <cell r="P1062">
            <v>16</v>
          </cell>
          <cell r="Q1062">
            <v>3</v>
          </cell>
          <cell r="T1062">
            <v>4500</v>
          </cell>
          <cell r="U1062">
            <v>0</v>
          </cell>
          <cell r="V1062">
            <v>7400</v>
          </cell>
          <cell r="W1062">
            <v>180</v>
          </cell>
          <cell r="X1062">
            <v>5920</v>
          </cell>
          <cell r="Y1062">
            <v>105375</v>
          </cell>
          <cell r="Z1062">
            <v>1495.8500000000004</v>
          </cell>
          <cell r="AA1062">
            <v>11824.15</v>
          </cell>
          <cell r="AB1062">
            <v>246.2473333333333</v>
          </cell>
          <cell r="AC1062">
            <v>7400</v>
          </cell>
          <cell r="AD1062">
            <v>6664.4849999999997</v>
          </cell>
          <cell r="AE1062">
            <v>735.51500000000033</v>
          </cell>
          <cell r="AN1062" t="str">
            <v xml:space="preserve">Contrato emergencial nº </v>
          </cell>
          <cell r="AO1062" t="str">
            <v>MP</v>
          </cell>
        </row>
        <row r="1063">
          <cell r="D1063" t="str">
            <v>2100/11</v>
          </cell>
          <cell r="E1063" t="str">
            <v>19/09/2011</v>
          </cell>
          <cell r="F1063">
            <v>40984</v>
          </cell>
          <cell r="G1063">
            <v>40877</v>
          </cell>
          <cell r="H1063" t="str">
            <v>2011-0.224.738-0</v>
          </cell>
          <cell r="I1063">
            <v>41709.120000000003</v>
          </cell>
          <cell r="J1063" t="str">
            <v xml:space="preserve">              123611122                  2848                    33903600</v>
          </cell>
          <cell r="K1063" t="str">
            <v>19/09/2011</v>
          </cell>
          <cell r="L1063">
            <v>73</v>
          </cell>
          <cell r="M1063">
            <v>17000</v>
          </cell>
          <cell r="N1063">
            <v>57278</v>
          </cell>
          <cell r="O1063">
            <v>30985</v>
          </cell>
          <cell r="P1063">
            <v>16</v>
          </cell>
          <cell r="Q1063">
            <v>3</v>
          </cell>
          <cell r="T1063">
            <v>4250</v>
          </cell>
          <cell r="U1063">
            <v>0</v>
          </cell>
          <cell r="V1063">
            <v>7000</v>
          </cell>
          <cell r="W1063">
            <v>180</v>
          </cell>
          <cell r="X1063">
            <v>5600</v>
          </cell>
          <cell r="Y1063">
            <v>102499</v>
          </cell>
          <cell r="Z1063">
            <v>14520.32</v>
          </cell>
          <cell r="AA1063">
            <v>-1920.3199999999997</v>
          </cell>
          <cell r="AB1063">
            <v>231.71733333333336</v>
          </cell>
          <cell r="AC1063">
            <v>7000</v>
          </cell>
          <cell r="AD1063">
            <v>5155.6399999999994</v>
          </cell>
          <cell r="AE1063">
            <v>1844.3600000000006</v>
          </cell>
          <cell r="AN1063" t="str">
            <v xml:space="preserve">Contrato emergencial nº </v>
          </cell>
          <cell r="AO1063" t="str">
            <v>CL</v>
          </cell>
        </row>
        <row r="1064">
          <cell r="D1064" t="str">
            <v>2101/11</v>
          </cell>
          <cell r="E1064" t="str">
            <v>19/09/2011</v>
          </cell>
          <cell r="F1064">
            <v>40984</v>
          </cell>
          <cell r="G1064">
            <v>40877</v>
          </cell>
          <cell r="H1064" t="str">
            <v>2011-0.224.740-1</v>
          </cell>
          <cell r="I1064">
            <v>44324.52</v>
          </cell>
          <cell r="J1064" t="str">
            <v xml:space="preserve">              123611122                  2848                    33903600</v>
          </cell>
          <cell r="K1064" t="str">
            <v>19/09/2011</v>
          </cell>
          <cell r="L1064">
            <v>73</v>
          </cell>
          <cell r="M1064">
            <v>18000</v>
          </cell>
          <cell r="N1064">
            <v>57278</v>
          </cell>
          <cell r="O1064">
            <v>30987</v>
          </cell>
          <cell r="P1064">
            <v>16</v>
          </cell>
          <cell r="Q1064">
            <v>3</v>
          </cell>
          <cell r="T1064">
            <v>4500</v>
          </cell>
          <cell r="U1064">
            <v>0</v>
          </cell>
          <cell r="V1064">
            <v>7400</v>
          </cell>
          <cell r="W1064">
            <v>180</v>
          </cell>
          <cell r="X1064">
            <v>5920</v>
          </cell>
          <cell r="Y1064">
            <v>105377</v>
          </cell>
          <cell r="Z1064">
            <v>1836.5199999999986</v>
          </cell>
          <cell r="AA1064">
            <v>11483.480000000001</v>
          </cell>
          <cell r="AB1064">
            <v>246.2473333333333</v>
          </cell>
          <cell r="AC1064">
            <v>7400</v>
          </cell>
          <cell r="AD1064">
            <v>6413.7450000000008</v>
          </cell>
          <cell r="AE1064">
            <v>986.2549999999992</v>
          </cell>
          <cell r="AN1064" t="str">
            <v xml:space="preserve">Contrato emergencial nº </v>
          </cell>
          <cell r="AO1064" t="str">
            <v>MP</v>
          </cell>
        </row>
        <row r="1065">
          <cell r="D1065" t="str">
            <v>2102/11</v>
          </cell>
          <cell r="E1065" t="str">
            <v>19/09/2011</v>
          </cell>
          <cell r="F1065">
            <v>40984</v>
          </cell>
          <cell r="G1065">
            <v>40877</v>
          </cell>
          <cell r="H1065" t="str">
            <v>2011-0.224.745-2</v>
          </cell>
          <cell r="I1065">
            <v>42184.92</v>
          </cell>
          <cell r="J1065" t="str">
            <v xml:space="preserve">             123671125                  2863                   33903600</v>
          </cell>
          <cell r="K1065" t="str">
            <v>19/09/2011</v>
          </cell>
          <cell r="L1065">
            <v>73</v>
          </cell>
          <cell r="M1065">
            <v>17200</v>
          </cell>
          <cell r="N1065">
            <v>57287</v>
          </cell>
          <cell r="O1065">
            <v>30990</v>
          </cell>
          <cell r="P1065">
            <v>16</v>
          </cell>
          <cell r="Q1065">
            <v>4</v>
          </cell>
          <cell r="T1065">
            <v>4300</v>
          </cell>
          <cell r="U1065">
            <v>0</v>
          </cell>
          <cell r="V1065">
            <v>7100</v>
          </cell>
          <cell r="W1065">
            <v>180</v>
          </cell>
          <cell r="X1065">
            <v>5680</v>
          </cell>
          <cell r="Y1065">
            <v>102387</v>
          </cell>
          <cell r="Z1065">
            <v>8264.0499999999993</v>
          </cell>
          <cell r="AA1065">
            <v>4515.9500000000007</v>
          </cell>
          <cell r="AB1065">
            <v>234.36066666666665</v>
          </cell>
          <cell r="AC1065">
            <v>7100</v>
          </cell>
          <cell r="AD1065">
            <v>6396.1000000000013</v>
          </cell>
          <cell r="AE1065">
            <v>703.89999999999873</v>
          </cell>
          <cell r="AN1065" t="str">
            <v xml:space="preserve">Contrato emergencial nº </v>
          </cell>
          <cell r="AO1065" t="str">
            <v>SA</v>
          </cell>
        </row>
        <row r="1066">
          <cell r="D1066" t="str">
            <v>2103/11</v>
          </cell>
          <cell r="E1066" t="str">
            <v>19/09/2011</v>
          </cell>
          <cell r="F1066">
            <v>40984</v>
          </cell>
          <cell r="G1066">
            <v>40877</v>
          </cell>
          <cell r="H1066" t="str">
            <v>2011-0.224.746-0</v>
          </cell>
          <cell r="I1066">
            <v>45186.36</v>
          </cell>
          <cell r="J1066" t="str">
            <v xml:space="preserve">              123611122                  2848                    33903600</v>
          </cell>
          <cell r="K1066" t="str">
            <v>19/09/2011</v>
          </cell>
          <cell r="L1066">
            <v>73</v>
          </cell>
          <cell r="M1066">
            <v>18400</v>
          </cell>
          <cell r="N1066">
            <v>57278</v>
          </cell>
          <cell r="O1066">
            <v>30994</v>
          </cell>
          <cell r="P1066">
            <v>16</v>
          </cell>
          <cell r="Q1066">
            <v>3</v>
          </cell>
          <cell r="T1066">
            <v>4600</v>
          </cell>
          <cell r="U1066">
            <v>0</v>
          </cell>
          <cell r="V1066">
            <v>7600</v>
          </cell>
          <cell r="W1066">
            <v>180</v>
          </cell>
          <cell r="X1066">
            <v>6080</v>
          </cell>
          <cell r="Y1066">
            <v>102319</v>
          </cell>
          <cell r="Z1066">
            <v>9280.15</v>
          </cell>
          <cell r="AA1066">
            <v>4399.8500000000004</v>
          </cell>
          <cell r="AB1066">
            <v>251.03533333333334</v>
          </cell>
          <cell r="AC1066">
            <v>7600</v>
          </cell>
          <cell r="AD1066">
            <v>6606.4500000000007</v>
          </cell>
          <cell r="AE1066">
            <v>993.54999999999927</v>
          </cell>
          <cell r="AN1066" t="str">
            <v xml:space="preserve">Contrato emergencial nº </v>
          </cell>
          <cell r="AO1066" t="str">
            <v>CS</v>
          </cell>
        </row>
        <row r="1067">
          <cell r="D1067" t="str">
            <v>2104/11</v>
          </cell>
          <cell r="E1067" t="str">
            <v>19/09/2011</v>
          </cell>
          <cell r="F1067">
            <v>40984</v>
          </cell>
          <cell r="G1067">
            <v>40877</v>
          </cell>
          <cell r="H1067" t="str">
            <v>2011-0.224.408-9</v>
          </cell>
          <cell r="I1067">
            <v>40223.339999999997</v>
          </cell>
          <cell r="J1067" t="str">
            <v xml:space="preserve">              123611122                  2848                    33903600</v>
          </cell>
          <cell r="K1067" t="str">
            <v>19/09/2011</v>
          </cell>
          <cell r="L1067">
            <v>73</v>
          </cell>
          <cell r="M1067">
            <v>16400</v>
          </cell>
          <cell r="N1067">
            <v>57278</v>
          </cell>
          <cell r="O1067">
            <v>30998</v>
          </cell>
          <cell r="P1067">
            <v>16</v>
          </cell>
          <cell r="Q1067">
            <v>3</v>
          </cell>
          <cell r="T1067">
            <v>4100</v>
          </cell>
          <cell r="U1067">
            <v>0</v>
          </cell>
          <cell r="V1067">
            <v>6800</v>
          </cell>
          <cell r="W1067">
            <v>180</v>
          </cell>
          <cell r="X1067">
            <v>5440</v>
          </cell>
          <cell r="Y1067">
            <v>102321</v>
          </cell>
          <cell r="Z1067">
            <v>8573.82</v>
          </cell>
          <cell r="AA1067">
            <v>3666.1800000000003</v>
          </cell>
          <cell r="AB1067">
            <v>223.46299999999999</v>
          </cell>
          <cell r="AC1067">
            <v>6800</v>
          </cell>
          <cell r="AD1067">
            <v>5657.77</v>
          </cell>
          <cell r="AE1067">
            <v>1142.2299999999996</v>
          </cell>
          <cell r="AN1067" t="str">
            <v xml:space="preserve">Contrato emergencial nº </v>
          </cell>
          <cell r="AO1067" t="str">
            <v>CS</v>
          </cell>
        </row>
        <row r="1068">
          <cell r="D1068" t="str">
            <v>2105/11</v>
          </cell>
          <cell r="E1068" t="str">
            <v>19/09/2011</v>
          </cell>
          <cell r="F1068">
            <v>40984</v>
          </cell>
          <cell r="G1068">
            <v>40877</v>
          </cell>
          <cell r="H1068" t="str">
            <v>2011-0.224.413-5</v>
          </cell>
          <cell r="I1068">
            <v>32379.48</v>
          </cell>
          <cell r="J1068" t="str">
            <v xml:space="preserve">              123611122                  2848                    33903600</v>
          </cell>
          <cell r="K1068" t="str">
            <v>19/09/2011</v>
          </cell>
          <cell r="L1068">
            <v>73</v>
          </cell>
          <cell r="M1068">
            <v>13200</v>
          </cell>
          <cell r="N1068">
            <v>57278</v>
          </cell>
          <cell r="O1068">
            <v>31000</v>
          </cell>
          <cell r="P1068">
            <v>16</v>
          </cell>
          <cell r="Q1068">
            <v>3</v>
          </cell>
          <cell r="T1068">
            <v>3300</v>
          </cell>
          <cell r="U1068">
            <v>0</v>
          </cell>
          <cell r="V1068">
            <v>5400</v>
          </cell>
          <cell r="W1068">
            <v>180</v>
          </cell>
          <cell r="X1068">
            <v>4320</v>
          </cell>
          <cell r="Y1068">
            <v>103155</v>
          </cell>
          <cell r="Z1068">
            <v>6817.4</v>
          </cell>
          <cell r="AA1068">
            <v>2902.6000000000004</v>
          </cell>
          <cell r="AB1068">
            <v>179.886</v>
          </cell>
          <cell r="AC1068">
            <v>5400</v>
          </cell>
          <cell r="AD1068">
            <v>4873.4799999999996</v>
          </cell>
          <cell r="AE1068">
            <v>526.52000000000044</v>
          </cell>
          <cell r="AN1068" t="str">
            <v xml:space="preserve">Contrato emergencial nº </v>
          </cell>
          <cell r="AO1068" t="str">
            <v>G</v>
          </cell>
        </row>
        <row r="1069">
          <cell r="D1069" t="str">
            <v>2106/11</v>
          </cell>
          <cell r="E1069" t="str">
            <v>19/09/2011</v>
          </cell>
          <cell r="F1069">
            <v>40984</v>
          </cell>
          <cell r="G1069">
            <v>40877</v>
          </cell>
          <cell r="H1069" t="str">
            <v>2011-0.224.419-4</v>
          </cell>
          <cell r="I1069">
            <v>36954.120000000003</v>
          </cell>
          <cell r="J1069" t="str">
            <v xml:space="preserve">              123651121                 2847                    33903600</v>
          </cell>
          <cell r="K1069" t="str">
            <v>19/09/2011</v>
          </cell>
          <cell r="L1069">
            <v>73</v>
          </cell>
          <cell r="M1069">
            <v>15000</v>
          </cell>
          <cell r="N1069">
            <v>57273</v>
          </cell>
          <cell r="O1069">
            <v>31002</v>
          </cell>
          <cell r="P1069">
            <v>16</v>
          </cell>
          <cell r="Q1069">
            <v>2</v>
          </cell>
          <cell r="T1069">
            <v>3750</v>
          </cell>
          <cell r="U1069">
            <v>0</v>
          </cell>
          <cell r="V1069">
            <v>6200</v>
          </cell>
          <cell r="W1069">
            <v>180</v>
          </cell>
          <cell r="X1069">
            <v>4960</v>
          </cell>
          <cell r="Y1069">
            <v>102412</v>
          </cell>
          <cell r="Z1069">
            <v>7014.32</v>
          </cell>
          <cell r="AA1069">
            <v>4145.68</v>
          </cell>
          <cell r="AB1069">
            <v>205.30066666666667</v>
          </cell>
          <cell r="AC1069">
            <v>6200</v>
          </cell>
          <cell r="AD1069">
            <v>5716.670000000001</v>
          </cell>
          <cell r="AE1069">
            <v>483.32999999999902</v>
          </cell>
          <cell r="AN1069" t="str">
            <v xml:space="preserve">Contrato emergencial nº </v>
          </cell>
          <cell r="AO1069" t="str">
            <v>IQ</v>
          </cell>
        </row>
        <row r="1070">
          <cell r="D1070" t="str">
            <v>2107/11</v>
          </cell>
          <cell r="E1070" t="str">
            <v>19/09/2011</v>
          </cell>
          <cell r="F1070">
            <v>40984</v>
          </cell>
          <cell r="G1070">
            <v>40877</v>
          </cell>
          <cell r="H1070" t="str">
            <v>2011-0.224.421-6</v>
          </cell>
          <cell r="I1070">
            <v>31012.38</v>
          </cell>
          <cell r="J1070" t="str">
            <v xml:space="preserve">              123651121                 2847                    33903600</v>
          </cell>
          <cell r="K1070" t="str">
            <v>19/09/2011</v>
          </cell>
          <cell r="L1070">
            <v>73</v>
          </cell>
          <cell r="M1070">
            <v>12600</v>
          </cell>
          <cell r="N1070">
            <v>57273</v>
          </cell>
          <cell r="O1070">
            <v>31006</v>
          </cell>
          <cell r="P1070">
            <v>16</v>
          </cell>
          <cell r="Q1070">
            <v>2</v>
          </cell>
          <cell r="T1070">
            <v>3150</v>
          </cell>
          <cell r="U1070">
            <v>0</v>
          </cell>
          <cell r="V1070">
            <v>5200</v>
          </cell>
          <cell r="W1070">
            <v>180</v>
          </cell>
          <cell r="X1070">
            <v>4160</v>
          </cell>
          <cell r="Y1070">
            <v>101997</v>
          </cell>
          <cell r="Z1070">
            <v>5778.52</v>
          </cell>
          <cell r="AA1070">
            <v>3581.4799999999996</v>
          </cell>
          <cell r="AB1070">
            <v>172.291</v>
          </cell>
          <cell r="AC1070">
            <v>5200</v>
          </cell>
          <cell r="AD1070">
            <v>4922.95</v>
          </cell>
          <cell r="AE1070">
            <v>277.05000000000018</v>
          </cell>
          <cell r="AN1070" t="str">
            <v xml:space="preserve">Contrato emergencial nº </v>
          </cell>
          <cell r="AO1070" t="str">
            <v>PJ</v>
          </cell>
        </row>
        <row r="1071">
          <cell r="D1071" t="str">
            <v>2108/11</v>
          </cell>
          <cell r="E1071" t="str">
            <v>19/09/2011</v>
          </cell>
          <cell r="F1071">
            <v>40984</v>
          </cell>
          <cell r="G1071">
            <v>40877</v>
          </cell>
          <cell r="H1071" t="str">
            <v>2011-0.224.423-2</v>
          </cell>
          <cell r="I1071">
            <v>31418.52</v>
          </cell>
          <cell r="J1071" t="str">
            <v xml:space="preserve">              123651121                 2847                    33903600</v>
          </cell>
          <cell r="K1071" t="str">
            <v>19/09/2011</v>
          </cell>
          <cell r="L1071">
            <v>73</v>
          </cell>
          <cell r="M1071">
            <v>12800</v>
          </cell>
          <cell r="N1071">
            <v>57273</v>
          </cell>
          <cell r="O1071">
            <v>31011</v>
          </cell>
          <cell r="P1071">
            <v>16</v>
          </cell>
          <cell r="Q1071">
            <v>2</v>
          </cell>
          <cell r="T1071">
            <v>3200</v>
          </cell>
          <cell r="U1071">
            <v>0</v>
          </cell>
          <cell r="V1071">
            <v>6600</v>
          </cell>
          <cell r="W1071">
            <v>180</v>
          </cell>
          <cell r="X1071">
            <v>5280</v>
          </cell>
          <cell r="Y1071">
            <v>102516</v>
          </cell>
          <cell r="Z1071">
            <v>3609.36</v>
          </cell>
          <cell r="AA1071">
            <v>8270.64</v>
          </cell>
          <cell r="AB1071">
            <v>174.54733333333334</v>
          </cell>
          <cell r="AC1071">
            <v>5300</v>
          </cell>
          <cell r="AD1071">
            <v>6580.6</v>
          </cell>
          <cell r="AE1071">
            <v>-1280.6000000000004</v>
          </cell>
          <cell r="AN1071" t="str">
            <v xml:space="preserve">Contrato emergencial nº </v>
          </cell>
          <cell r="AO1071" t="str">
            <v>SM</v>
          </cell>
        </row>
        <row r="1072">
          <cell r="D1072" t="str">
            <v>2109/11</v>
          </cell>
          <cell r="E1072" t="str">
            <v>19/09/2011</v>
          </cell>
          <cell r="F1072">
            <v>40984</v>
          </cell>
          <cell r="G1072">
            <v>40877</v>
          </cell>
          <cell r="H1072" t="str">
            <v>2011-0.224.429-1</v>
          </cell>
          <cell r="I1072">
            <v>31012.38</v>
          </cell>
          <cell r="J1072" t="str">
            <v xml:space="preserve">              123651121                 2847                    33903600</v>
          </cell>
          <cell r="K1072" t="str">
            <v>19/09/2011</v>
          </cell>
          <cell r="L1072">
            <v>73</v>
          </cell>
          <cell r="M1072">
            <v>12600</v>
          </cell>
          <cell r="N1072">
            <v>57273</v>
          </cell>
          <cell r="O1072">
            <v>31013</v>
          </cell>
          <cell r="P1072">
            <v>16</v>
          </cell>
          <cell r="Q1072">
            <v>2</v>
          </cell>
          <cell r="T1072">
            <v>3150</v>
          </cell>
          <cell r="U1072">
            <v>0</v>
          </cell>
          <cell r="V1072">
            <v>5800</v>
          </cell>
          <cell r="W1072">
            <v>180</v>
          </cell>
          <cell r="X1072">
            <v>4640</v>
          </cell>
          <cell r="Y1072">
            <v>102027</v>
          </cell>
          <cell r="Z1072">
            <v>3531.91</v>
          </cell>
          <cell r="AA1072">
            <v>6908.09</v>
          </cell>
          <cell r="AB1072">
            <v>172.291</v>
          </cell>
          <cell r="AC1072">
            <v>5200</v>
          </cell>
          <cell r="AD1072">
            <v>5736.42</v>
          </cell>
          <cell r="AE1072">
            <v>-536.42000000000007</v>
          </cell>
          <cell r="AN1072" t="str">
            <v xml:space="preserve">Contrato emergencial nº </v>
          </cell>
          <cell r="AO1072" t="str">
            <v>PJ</v>
          </cell>
        </row>
        <row r="1073">
          <cell r="D1073" t="str">
            <v>2110/11</v>
          </cell>
          <cell r="E1073" t="str">
            <v>19/09/2011</v>
          </cell>
          <cell r="F1073">
            <v>40984</v>
          </cell>
          <cell r="G1073">
            <v>40877</v>
          </cell>
          <cell r="H1073" t="str">
            <v>2011-0.224.448-8</v>
          </cell>
          <cell r="I1073">
            <v>31012.38</v>
          </cell>
          <cell r="J1073" t="str">
            <v xml:space="preserve">              123651121                 2847                    33903600</v>
          </cell>
          <cell r="K1073" t="str">
            <v>19/09/2011</v>
          </cell>
          <cell r="L1073">
            <v>73</v>
          </cell>
          <cell r="M1073">
            <v>12600</v>
          </cell>
          <cell r="N1073">
            <v>57273</v>
          </cell>
          <cell r="O1073">
            <v>31029</v>
          </cell>
          <cell r="P1073">
            <v>16</v>
          </cell>
          <cell r="Q1073">
            <v>2</v>
          </cell>
          <cell r="T1073">
            <v>3150</v>
          </cell>
          <cell r="U1073">
            <v>0</v>
          </cell>
          <cell r="V1073">
            <v>5500</v>
          </cell>
          <cell r="W1073">
            <v>180</v>
          </cell>
          <cell r="X1073">
            <v>4400</v>
          </cell>
          <cell r="Y1073">
            <v>102071</v>
          </cell>
          <cell r="Z1073">
            <v>5137.37</v>
          </cell>
          <cell r="AA1073">
            <v>4762.63</v>
          </cell>
          <cell r="AB1073">
            <v>172.291</v>
          </cell>
          <cell r="AC1073">
            <v>5200</v>
          </cell>
          <cell r="AD1073">
            <v>5414.8049999999994</v>
          </cell>
          <cell r="AE1073">
            <v>-214.80499999999938</v>
          </cell>
          <cell r="AN1073" t="str">
            <v xml:space="preserve">Contrato emergencial nº </v>
          </cell>
          <cell r="AO1073" t="str">
            <v>PJ</v>
          </cell>
        </row>
        <row r="1074">
          <cell r="D1074" t="str">
            <v>2111/11</v>
          </cell>
          <cell r="E1074" t="str">
            <v>19/09/2011</v>
          </cell>
          <cell r="F1074">
            <v>40984</v>
          </cell>
          <cell r="G1074">
            <v>40877</v>
          </cell>
          <cell r="H1074" t="str">
            <v>2011-0.224.454-2</v>
          </cell>
          <cell r="I1074">
            <v>31160.94</v>
          </cell>
          <cell r="J1074" t="str">
            <v xml:space="preserve">              123651121                 2847                    33903600</v>
          </cell>
          <cell r="K1074" t="str">
            <v>19/09/2011</v>
          </cell>
          <cell r="L1074">
            <v>73</v>
          </cell>
          <cell r="M1074">
            <v>12700</v>
          </cell>
          <cell r="N1074">
            <v>57273</v>
          </cell>
          <cell r="O1074">
            <v>31033</v>
          </cell>
          <cell r="P1074">
            <v>16</v>
          </cell>
          <cell r="Q1074">
            <v>2</v>
          </cell>
          <cell r="T1074">
            <v>3175</v>
          </cell>
          <cell r="U1074">
            <v>0</v>
          </cell>
          <cell r="V1074">
            <v>5200</v>
          </cell>
          <cell r="W1074">
            <v>180</v>
          </cell>
          <cell r="X1074">
            <v>4160</v>
          </cell>
          <cell r="Y1074">
            <v>102959</v>
          </cell>
          <cell r="Z1074">
            <v>8079.69</v>
          </cell>
          <cell r="AA1074">
            <v>1280.3100000000004</v>
          </cell>
          <cell r="AB1074">
            <v>173.11633333333333</v>
          </cell>
          <cell r="AC1074">
            <v>5200</v>
          </cell>
          <cell r="AD1074">
            <v>3694.2100000000005</v>
          </cell>
          <cell r="AE1074">
            <v>1505.7899999999995</v>
          </cell>
          <cell r="AN1074" t="str">
            <v xml:space="preserve">Contrato emergencial nº </v>
          </cell>
          <cell r="AO1074" t="str">
            <v>G</v>
          </cell>
        </row>
        <row r="1075">
          <cell r="D1075" t="str">
            <v>2112/11</v>
          </cell>
          <cell r="E1075" t="str">
            <v>19/09/2011</v>
          </cell>
          <cell r="F1075">
            <v>40984</v>
          </cell>
          <cell r="G1075">
            <v>40877</v>
          </cell>
          <cell r="H1075" t="str">
            <v>2011-0.224.455-0</v>
          </cell>
          <cell r="I1075">
            <v>44324.52</v>
          </cell>
          <cell r="J1075" t="str">
            <v xml:space="preserve">              123651121                 2847                    33903600</v>
          </cell>
          <cell r="K1075" t="str">
            <v>19/09/2011</v>
          </cell>
          <cell r="L1075">
            <v>73</v>
          </cell>
          <cell r="M1075">
            <v>18000</v>
          </cell>
          <cell r="N1075">
            <v>57273</v>
          </cell>
          <cell r="O1075">
            <v>31038</v>
          </cell>
          <cell r="P1075">
            <v>16</v>
          </cell>
          <cell r="Q1075">
            <v>2</v>
          </cell>
          <cell r="T1075">
            <v>4500</v>
          </cell>
          <cell r="U1075">
            <v>0</v>
          </cell>
          <cell r="V1075">
            <v>7400</v>
          </cell>
          <cell r="W1075">
            <v>180</v>
          </cell>
          <cell r="X1075">
            <v>5920</v>
          </cell>
          <cell r="Y1075">
            <v>102968</v>
          </cell>
          <cell r="Z1075">
            <v>9684.14</v>
          </cell>
          <cell r="AA1075">
            <v>3635.8600000000006</v>
          </cell>
          <cell r="AB1075">
            <v>246.2473333333333</v>
          </cell>
          <cell r="AC1075">
            <v>7400</v>
          </cell>
          <cell r="AD1075">
            <v>6024.54</v>
          </cell>
          <cell r="AE1075">
            <v>1375.46</v>
          </cell>
          <cell r="AN1075" t="str">
            <v xml:space="preserve">Contrato emergencial nº </v>
          </cell>
          <cell r="AO1075" t="str">
            <v>G</v>
          </cell>
        </row>
        <row r="1076">
          <cell r="D1076" t="str">
            <v>2113/11</v>
          </cell>
          <cell r="E1076" t="str">
            <v>19/09/2011</v>
          </cell>
          <cell r="F1076">
            <v>40984</v>
          </cell>
          <cell r="G1076">
            <v>40877</v>
          </cell>
          <cell r="H1076" t="str">
            <v>2011-0.224.459-3</v>
          </cell>
          <cell r="I1076">
            <v>31418.52</v>
          </cell>
          <cell r="J1076" t="str">
            <v xml:space="preserve">              123651121                 2847                    33903600</v>
          </cell>
          <cell r="K1076" t="str">
            <v>19/09/2011</v>
          </cell>
          <cell r="L1076">
            <v>73</v>
          </cell>
          <cell r="M1076">
            <v>12800</v>
          </cell>
          <cell r="N1076">
            <v>57273</v>
          </cell>
          <cell r="O1076">
            <v>31040</v>
          </cell>
          <cell r="P1076">
            <v>16</v>
          </cell>
          <cell r="Q1076">
            <v>2</v>
          </cell>
          <cell r="T1076">
            <v>3200</v>
          </cell>
          <cell r="U1076">
            <v>0</v>
          </cell>
          <cell r="V1076">
            <v>5300</v>
          </cell>
          <cell r="W1076">
            <v>180</v>
          </cell>
          <cell r="X1076">
            <v>4240</v>
          </cell>
          <cell r="Y1076">
            <v>102534</v>
          </cell>
          <cell r="Z1076">
            <v>5656.36</v>
          </cell>
          <cell r="AA1076">
            <v>3883.6400000000003</v>
          </cell>
          <cell r="AB1076">
            <v>174.54733333333334</v>
          </cell>
          <cell r="AC1076">
            <v>5300</v>
          </cell>
          <cell r="AD1076">
            <v>5114.87</v>
          </cell>
          <cell r="AE1076">
            <v>185.13000000000011</v>
          </cell>
          <cell r="AN1076" t="str">
            <v xml:space="preserve">Contrato emergencial nº </v>
          </cell>
          <cell r="AO1076" t="str">
            <v>SM</v>
          </cell>
        </row>
        <row r="1077">
          <cell r="D1077" t="str">
            <v>2114/11</v>
          </cell>
          <cell r="E1077" t="str">
            <v>19/09/2011</v>
          </cell>
          <cell r="F1077">
            <v>40984</v>
          </cell>
          <cell r="G1077">
            <v>40877</v>
          </cell>
          <cell r="H1077" t="str">
            <v>2011-0.224.472-0</v>
          </cell>
          <cell r="I1077">
            <v>31012.38</v>
          </cell>
          <cell r="J1077" t="str">
            <v xml:space="preserve">              123651121                 2847                    33903600</v>
          </cell>
          <cell r="K1077" t="str">
            <v>19/09/2011</v>
          </cell>
          <cell r="L1077">
            <v>73</v>
          </cell>
          <cell r="M1077">
            <v>12600</v>
          </cell>
          <cell r="N1077">
            <v>57273</v>
          </cell>
          <cell r="O1077">
            <v>31050</v>
          </cell>
          <cell r="P1077">
            <v>16</v>
          </cell>
          <cell r="Q1077">
            <v>2</v>
          </cell>
          <cell r="T1077">
            <v>3150</v>
          </cell>
          <cell r="U1077">
            <v>0</v>
          </cell>
          <cell r="V1077">
            <v>6000</v>
          </cell>
          <cell r="W1077">
            <v>180</v>
          </cell>
          <cell r="X1077">
            <v>4800</v>
          </cell>
          <cell r="Y1077">
            <v>102284</v>
          </cell>
          <cell r="Z1077">
            <v>10184.34</v>
          </cell>
          <cell r="AA1077">
            <v>615.65999999999985</v>
          </cell>
          <cell r="AB1077">
            <v>172.291</v>
          </cell>
          <cell r="AC1077">
            <v>5200</v>
          </cell>
          <cell r="AD1077">
            <v>5948.55</v>
          </cell>
          <cell r="AE1077">
            <v>-748.55000000000018</v>
          </cell>
          <cell r="AN1077" t="str">
            <v xml:space="preserve">Contrato emergencial nº </v>
          </cell>
          <cell r="AO1077" t="str">
            <v>CL</v>
          </cell>
        </row>
        <row r="1078">
          <cell r="D1078" t="str">
            <v>2115/11</v>
          </cell>
          <cell r="E1078" t="str">
            <v>19/09/2011</v>
          </cell>
          <cell r="F1078">
            <v>40984</v>
          </cell>
          <cell r="G1078">
            <v>40877</v>
          </cell>
          <cell r="H1078" t="str">
            <v>2011-0.224.475-5</v>
          </cell>
          <cell r="I1078">
            <v>44978.400000000001</v>
          </cell>
          <cell r="J1078" t="str">
            <v xml:space="preserve">              123651121                 2847                    33903600</v>
          </cell>
          <cell r="K1078" t="str">
            <v>19/09/2011</v>
          </cell>
          <cell r="L1078">
            <v>73</v>
          </cell>
          <cell r="M1078">
            <v>18300</v>
          </cell>
          <cell r="N1078">
            <v>57273</v>
          </cell>
          <cell r="O1078">
            <v>31054</v>
          </cell>
          <cell r="P1078">
            <v>16</v>
          </cell>
          <cell r="Q1078">
            <v>2</v>
          </cell>
          <cell r="T1078">
            <v>4575</v>
          </cell>
          <cell r="U1078">
            <v>0</v>
          </cell>
          <cell r="V1078">
            <v>7500</v>
          </cell>
          <cell r="W1078">
            <v>180</v>
          </cell>
          <cell r="X1078">
            <v>6000</v>
          </cell>
          <cell r="Y1078">
            <v>102280</v>
          </cell>
          <cell r="Z1078">
            <v>8937.02</v>
          </cell>
          <cell r="AA1078">
            <v>4562.9799999999996</v>
          </cell>
          <cell r="AB1078">
            <v>249.88</v>
          </cell>
          <cell r="AC1078">
            <v>7500</v>
          </cell>
          <cell r="AD1078">
            <v>6736.69</v>
          </cell>
          <cell r="AE1078">
            <v>763.3100000000004</v>
          </cell>
          <cell r="AN1078" t="str">
            <v xml:space="preserve">Contrato emergencial nº </v>
          </cell>
          <cell r="AO1078" t="str">
            <v>SA</v>
          </cell>
        </row>
        <row r="1079">
          <cell r="D1079" t="str">
            <v>2116/11</v>
          </cell>
          <cell r="E1079" t="str">
            <v>19/09/2011</v>
          </cell>
          <cell r="F1079">
            <v>40984</v>
          </cell>
          <cell r="G1079">
            <v>40877</v>
          </cell>
          <cell r="H1079" t="str">
            <v>2011-0.224.484-4</v>
          </cell>
          <cell r="I1079">
            <v>44324.52</v>
          </cell>
          <cell r="J1079" t="str">
            <v xml:space="preserve">              123651121                 2847                    33903600</v>
          </cell>
          <cell r="K1079" t="str">
            <v>19/09/2011</v>
          </cell>
          <cell r="L1079">
            <v>73</v>
          </cell>
          <cell r="M1079">
            <v>18000</v>
          </cell>
          <cell r="N1079">
            <v>57273</v>
          </cell>
          <cell r="O1079">
            <v>31128</v>
          </cell>
          <cell r="P1079">
            <v>16</v>
          </cell>
          <cell r="Q1079">
            <v>2</v>
          </cell>
          <cell r="T1079">
            <v>4500</v>
          </cell>
          <cell r="U1079">
            <v>0</v>
          </cell>
          <cell r="V1079">
            <v>7600</v>
          </cell>
          <cell r="W1079">
            <v>180</v>
          </cell>
          <cell r="X1079">
            <v>6080</v>
          </cell>
          <cell r="Y1079">
            <v>102247</v>
          </cell>
          <cell r="Z1079">
            <v>7484.09</v>
          </cell>
          <cell r="AA1079">
            <v>6195.91</v>
          </cell>
          <cell r="AB1079">
            <v>246.2473333333333</v>
          </cell>
          <cell r="AC1079">
            <v>7400</v>
          </cell>
          <cell r="AD1079">
            <v>7515.2000000000007</v>
          </cell>
          <cell r="AE1079">
            <v>-115.20000000000073</v>
          </cell>
          <cell r="AN1079" t="str">
            <v xml:space="preserve">Contrato emergencial nº </v>
          </cell>
          <cell r="AO1079" t="str">
            <v>CS</v>
          </cell>
        </row>
        <row r="1080">
          <cell r="D1080" t="str">
            <v>2117/11</v>
          </cell>
          <cell r="E1080" t="str">
            <v>19/09/2011</v>
          </cell>
          <cell r="F1080">
            <v>40984</v>
          </cell>
          <cell r="G1080">
            <v>40877</v>
          </cell>
          <cell r="H1080" t="str">
            <v>2011-0.224.488-7</v>
          </cell>
          <cell r="I1080">
            <v>44324.52</v>
          </cell>
          <cell r="J1080" t="str">
            <v xml:space="preserve">              123651121                 2847                    33903600</v>
          </cell>
          <cell r="K1080" t="str">
            <v>19/09/2011</v>
          </cell>
          <cell r="L1080">
            <v>73</v>
          </cell>
          <cell r="M1080">
            <v>18000</v>
          </cell>
          <cell r="N1080">
            <v>57273</v>
          </cell>
          <cell r="O1080">
            <v>31133</v>
          </cell>
          <cell r="P1080">
            <v>16</v>
          </cell>
          <cell r="Q1080">
            <v>2</v>
          </cell>
          <cell r="T1080">
            <v>4500</v>
          </cell>
          <cell r="U1080">
            <v>0</v>
          </cell>
          <cell r="V1080">
            <v>8300</v>
          </cell>
          <cell r="W1080">
            <v>180</v>
          </cell>
          <cell r="X1080">
            <v>6640</v>
          </cell>
          <cell r="Y1080">
            <v>102256</v>
          </cell>
          <cell r="Z1080">
            <v>6610.58</v>
          </cell>
          <cell r="AA1080">
            <v>8329.42</v>
          </cell>
          <cell r="AB1080">
            <v>246.2473333333333</v>
          </cell>
          <cell r="AC1080">
            <v>7400</v>
          </cell>
          <cell r="AD1080">
            <v>8251.68</v>
          </cell>
          <cell r="AE1080">
            <v>-851.68000000000029</v>
          </cell>
          <cell r="AN1080" t="str">
            <v xml:space="preserve">Contrato emergencial nº </v>
          </cell>
          <cell r="AO1080" t="str">
            <v>CS</v>
          </cell>
        </row>
        <row r="1081">
          <cell r="D1081" t="str">
            <v>2118/11</v>
          </cell>
          <cell r="E1081" t="str">
            <v>19/09/2011</v>
          </cell>
          <cell r="F1081">
            <v>40984</v>
          </cell>
          <cell r="G1081">
            <v>40877</v>
          </cell>
          <cell r="H1081" t="str">
            <v>2011-0.224.490-9</v>
          </cell>
          <cell r="I1081">
            <v>37607.879999999997</v>
          </cell>
          <cell r="J1081" t="str">
            <v xml:space="preserve">              123651121                 2847                    33903600</v>
          </cell>
          <cell r="K1081" t="str">
            <v>19/09/2011</v>
          </cell>
          <cell r="L1081">
            <v>73</v>
          </cell>
          <cell r="M1081">
            <v>15300</v>
          </cell>
          <cell r="N1081">
            <v>57273</v>
          </cell>
          <cell r="O1081">
            <v>31136</v>
          </cell>
          <cell r="P1081">
            <v>16</v>
          </cell>
          <cell r="Q1081">
            <v>2</v>
          </cell>
          <cell r="T1081">
            <v>3825</v>
          </cell>
          <cell r="U1081">
            <v>0</v>
          </cell>
          <cell r="V1081">
            <v>6300</v>
          </cell>
          <cell r="W1081">
            <v>180</v>
          </cell>
          <cell r="X1081">
            <v>5040</v>
          </cell>
          <cell r="Y1081">
            <v>102258</v>
          </cell>
          <cell r="Z1081">
            <v>7264.21</v>
          </cell>
          <cell r="AA1081">
            <v>4075.79</v>
          </cell>
          <cell r="AB1081">
            <v>208.93266666666665</v>
          </cell>
          <cell r="AC1081">
            <v>6300</v>
          </cell>
          <cell r="AD1081">
            <v>5701.8200000000006</v>
          </cell>
          <cell r="AE1081">
            <v>598.17999999999938</v>
          </cell>
          <cell r="AN1081" t="str">
            <v xml:space="preserve">Contrato emergencial nº </v>
          </cell>
          <cell r="AO1081" t="str">
            <v>CS</v>
          </cell>
        </row>
        <row r="1082">
          <cell r="D1082" t="str">
            <v>2119/11</v>
          </cell>
          <cell r="E1082" t="str">
            <v>19/09/2011</v>
          </cell>
          <cell r="F1082">
            <v>40984</v>
          </cell>
          <cell r="G1082">
            <v>40877</v>
          </cell>
          <cell r="H1082" t="str">
            <v>2011-0.224.497-6</v>
          </cell>
          <cell r="I1082">
            <v>38261.760000000002</v>
          </cell>
          <cell r="J1082" t="str">
            <v xml:space="preserve">              123651121                 2847                    33903600</v>
          </cell>
          <cell r="K1082" t="str">
            <v>19/09/2011</v>
          </cell>
          <cell r="L1082">
            <v>73</v>
          </cell>
          <cell r="M1082">
            <v>15600</v>
          </cell>
          <cell r="N1082">
            <v>57273</v>
          </cell>
          <cell r="O1082">
            <v>31137</v>
          </cell>
          <cell r="P1082">
            <v>16</v>
          </cell>
          <cell r="Q1082">
            <v>2</v>
          </cell>
          <cell r="T1082">
            <v>3900</v>
          </cell>
          <cell r="U1082">
            <v>0</v>
          </cell>
          <cell r="V1082">
            <v>6400</v>
          </cell>
          <cell r="W1082">
            <v>180</v>
          </cell>
          <cell r="X1082">
            <v>5120</v>
          </cell>
          <cell r="Y1082">
            <v>103119</v>
          </cell>
          <cell r="Z1082">
            <v>7956.69</v>
          </cell>
          <cell r="AA1082">
            <v>3563.3100000000004</v>
          </cell>
          <cell r="AB1082">
            <v>212.56533333333334</v>
          </cell>
          <cell r="AC1082">
            <v>6400</v>
          </cell>
          <cell r="AD1082">
            <v>6399.8</v>
          </cell>
          <cell r="AE1082">
            <v>0.1999999999998181</v>
          </cell>
          <cell r="AN1082" t="str">
            <v xml:space="preserve">Contrato emergencial nº </v>
          </cell>
          <cell r="AO1082" t="str">
            <v>G</v>
          </cell>
        </row>
        <row r="1083">
          <cell r="D1083" t="str">
            <v>2120/11</v>
          </cell>
          <cell r="E1083" t="str">
            <v>19/09/2011</v>
          </cell>
          <cell r="F1083">
            <v>40984</v>
          </cell>
          <cell r="G1083">
            <v>40877</v>
          </cell>
          <cell r="H1083" t="str">
            <v>2011-0.224.663-4</v>
          </cell>
          <cell r="I1083">
            <v>22185.9</v>
          </cell>
          <cell r="J1083" t="str">
            <v xml:space="preserve">              123611122                  2848                    33903600</v>
          </cell>
          <cell r="K1083" t="str">
            <v>19/09/2011</v>
          </cell>
          <cell r="L1083">
            <v>73</v>
          </cell>
          <cell r="M1083">
            <v>9000</v>
          </cell>
          <cell r="N1083">
            <v>57278</v>
          </cell>
          <cell r="O1083">
            <v>31139</v>
          </cell>
          <cell r="P1083">
            <v>16</v>
          </cell>
          <cell r="Q1083">
            <v>3</v>
          </cell>
          <cell r="T1083">
            <v>2250</v>
          </cell>
          <cell r="U1083">
            <v>0</v>
          </cell>
          <cell r="V1083">
            <v>3700</v>
          </cell>
          <cell r="W1083">
            <v>180</v>
          </cell>
          <cell r="X1083">
            <v>2960</v>
          </cell>
          <cell r="Y1083">
            <v>102289</v>
          </cell>
          <cell r="Z1083">
            <v>3636.2599999999998</v>
          </cell>
          <cell r="AA1083">
            <v>3023.7400000000002</v>
          </cell>
          <cell r="AB1083">
            <v>123.25500000000001</v>
          </cell>
          <cell r="AC1083">
            <v>3700</v>
          </cell>
          <cell r="AD1083">
            <v>3135.09</v>
          </cell>
          <cell r="AE1083">
            <v>564.90999999999985</v>
          </cell>
          <cell r="AN1083" t="str">
            <v xml:space="preserve">Contrato emergencial nº </v>
          </cell>
          <cell r="AO1083" t="str">
            <v>CS</v>
          </cell>
        </row>
        <row r="1084">
          <cell r="D1084" t="str">
            <v>2121/11</v>
          </cell>
          <cell r="E1084" t="str">
            <v>19/09/2011</v>
          </cell>
          <cell r="F1084">
            <v>40984</v>
          </cell>
          <cell r="G1084">
            <v>40877</v>
          </cell>
          <cell r="H1084" t="str">
            <v>2011-0.224.668-5</v>
          </cell>
          <cell r="I1084">
            <v>45632.28</v>
          </cell>
          <cell r="J1084" t="str">
            <v xml:space="preserve">              123611122                  2848                    33903600</v>
          </cell>
          <cell r="K1084" t="str">
            <v>19/09/2011</v>
          </cell>
          <cell r="L1084">
            <v>73</v>
          </cell>
          <cell r="M1084">
            <v>18600</v>
          </cell>
          <cell r="N1084">
            <v>57278</v>
          </cell>
          <cell r="O1084">
            <v>31143</v>
          </cell>
          <cell r="P1084">
            <v>16</v>
          </cell>
          <cell r="Q1084">
            <v>3</v>
          </cell>
          <cell r="T1084">
            <v>4650</v>
          </cell>
          <cell r="U1084">
            <v>0</v>
          </cell>
          <cell r="V1084">
            <v>9200</v>
          </cell>
          <cell r="W1084">
            <v>180</v>
          </cell>
          <cell r="X1084">
            <v>7360</v>
          </cell>
          <cell r="Y1084">
            <v>102198</v>
          </cell>
          <cell r="Z1084">
            <v>5950.32</v>
          </cell>
          <cell r="AA1084">
            <v>10609.68</v>
          </cell>
          <cell r="AB1084">
            <v>253.51266666666666</v>
          </cell>
          <cell r="AC1084">
            <v>7700</v>
          </cell>
          <cell r="AD1084">
            <v>9129.59</v>
          </cell>
          <cell r="AE1084">
            <v>-1429.5900000000001</v>
          </cell>
          <cell r="AN1084" t="str">
            <v xml:space="preserve">Contrato emergencial nº </v>
          </cell>
          <cell r="AO1084" t="str">
            <v>PJ</v>
          </cell>
        </row>
        <row r="1085">
          <cell r="D1085" t="str">
            <v>2122/11</v>
          </cell>
          <cell r="E1085" t="str">
            <v>19/09/2011</v>
          </cell>
          <cell r="F1085">
            <v>40984</v>
          </cell>
          <cell r="G1085">
            <v>40877</v>
          </cell>
          <cell r="H1085" t="str">
            <v>2011-0.224.674-0</v>
          </cell>
          <cell r="I1085">
            <v>44324.52</v>
          </cell>
          <cell r="J1085" t="str">
            <v xml:space="preserve">              123611122                  2848                    33903600</v>
          </cell>
          <cell r="K1085" t="str">
            <v>19/09/2011</v>
          </cell>
          <cell r="L1085">
            <v>73</v>
          </cell>
          <cell r="M1085">
            <v>18000</v>
          </cell>
          <cell r="N1085">
            <v>57278</v>
          </cell>
          <cell r="O1085">
            <v>31145</v>
          </cell>
          <cell r="P1085">
            <v>16</v>
          </cell>
          <cell r="Q1085">
            <v>3</v>
          </cell>
          <cell r="T1085">
            <v>4500</v>
          </cell>
          <cell r="U1085">
            <v>0</v>
          </cell>
          <cell r="V1085">
            <v>7400</v>
          </cell>
          <cell r="W1085">
            <v>180</v>
          </cell>
          <cell r="X1085">
            <v>5920</v>
          </cell>
          <cell r="Y1085">
            <v>102203</v>
          </cell>
          <cell r="Z1085">
            <v>6966.01</v>
          </cell>
          <cell r="AA1085">
            <v>6353.99</v>
          </cell>
          <cell r="AB1085">
            <v>246.2473333333333</v>
          </cell>
          <cell r="AC1085">
            <v>7400</v>
          </cell>
          <cell r="AD1085">
            <v>7348.92</v>
          </cell>
          <cell r="AE1085">
            <v>51.079999999999927</v>
          </cell>
          <cell r="AN1085" t="str">
            <v xml:space="preserve">Contrato emergencial nº </v>
          </cell>
          <cell r="AO1085" t="str">
            <v>PJ</v>
          </cell>
        </row>
        <row r="1086">
          <cell r="D1086" t="str">
            <v>2123/11</v>
          </cell>
          <cell r="E1086" t="str">
            <v>19/09/2011</v>
          </cell>
          <cell r="F1086">
            <v>40984</v>
          </cell>
          <cell r="G1086">
            <v>40877</v>
          </cell>
          <cell r="H1086" t="str">
            <v>2011-0.224.678-2</v>
          </cell>
          <cell r="I1086">
            <v>36954.120000000003</v>
          </cell>
          <cell r="J1086" t="str">
            <v xml:space="preserve">              123611122                  2848                    33903600</v>
          </cell>
          <cell r="K1086" t="str">
            <v>19/09/2011</v>
          </cell>
          <cell r="L1086">
            <v>73</v>
          </cell>
          <cell r="M1086">
            <v>15000</v>
          </cell>
          <cell r="N1086">
            <v>57278</v>
          </cell>
          <cell r="O1086">
            <v>31147</v>
          </cell>
          <cell r="P1086">
            <v>16</v>
          </cell>
          <cell r="Q1086">
            <v>3</v>
          </cell>
          <cell r="T1086">
            <v>3750</v>
          </cell>
          <cell r="U1086">
            <v>0</v>
          </cell>
          <cell r="V1086">
            <v>6200</v>
          </cell>
          <cell r="W1086">
            <v>180</v>
          </cell>
          <cell r="X1086">
            <v>4960</v>
          </cell>
          <cell r="Y1086">
            <v>102504</v>
          </cell>
          <cell r="Z1086">
            <v>8762.4699999999993</v>
          </cell>
          <cell r="AA1086">
            <v>2397.5300000000007</v>
          </cell>
          <cell r="AB1086">
            <v>205.30066666666667</v>
          </cell>
          <cell r="AC1086">
            <v>6200</v>
          </cell>
          <cell r="AD1086">
            <v>4496.66</v>
          </cell>
          <cell r="AE1086">
            <v>1703.3400000000001</v>
          </cell>
          <cell r="AN1086" t="str">
            <v xml:space="preserve">Contrato emergencial nº </v>
          </cell>
          <cell r="AO1086" t="str">
            <v>IQ</v>
          </cell>
        </row>
        <row r="1087">
          <cell r="D1087" t="str">
            <v>2124/11</v>
          </cell>
          <cell r="E1087" t="str">
            <v>19/09/2011</v>
          </cell>
          <cell r="F1087">
            <v>40984</v>
          </cell>
          <cell r="G1087">
            <v>40877</v>
          </cell>
          <cell r="H1087" t="str">
            <v>2011-0.224.689-8</v>
          </cell>
          <cell r="I1087">
            <v>38261.760000000002</v>
          </cell>
          <cell r="J1087" t="str">
            <v xml:space="preserve">              123611122                  2848                    33903600</v>
          </cell>
          <cell r="K1087" t="str">
            <v>19/09/2011</v>
          </cell>
          <cell r="L1087">
            <v>73</v>
          </cell>
          <cell r="M1087">
            <v>15600</v>
          </cell>
          <cell r="N1087">
            <v>57278</v>
          </cell>
          <cell r="O1087">
            <v>31148</v>
          </cell>
          <cell r="P1087">
            <v>16</v>
          </cell>
          <cell r="Q1087">
            <v>3</v>
          </cell>
          <cell r="T1087">
            <v>3900</v>
          </cell>
          <cell r="U1087">
            <v>0</v>
          </cell>
          <cell r="V1087">
            <v>6400</v>
          </cell>
          <cell r="W1087">
            <v>180</v>
          </cell>
          <cell r="X1087">
            <v>5120</v>
          </cell>
          <cell r="Y1087">
            <v>103129</v>
          </cell>
          <cell r="Z1087">
            <v>7247.36</v>
          </cell>
          <cell r="AA1087">
            <v>4272.6400000000003</v>
          </cell>
          <cell r="AB1087">
            <v>212.56533333333334</v>
          </cell>
          <cell r="AC1087">
            <v>6400</v>
          </cell>
          <cell r="AD1087">
            <v>5975.46</v>
          </cell>
          <cell r="AE1087">
            <v>424.53999999999996</v>
          </cell>
          <cell r="AN1087" t="str">
            <v xml:space="preserve">Contrato emergencial nº </v>
          </cell>
          <cell r="AO1087" t="str">
            <v>G</v>
          </cell>
        </row>
        <row r="1088">
          <cell r="D1088" t="str">
            <v>2125/11</v>
          </cell>
          <cell r="E1088" t="str">
            <v>19/09/2011</v>
          </cell>
          <cell r="F1088">
            <v>40984</v>
          </cell>
          <cell r="G1088">
            <v>40877</v>
          </cell>
          <cell r="H1088" t="str">
            <v>2011-0.224.702-9</v>
          </cell>
          <cell r="I1088">
            <v>38261.760000000002</v>
          </cell>
          <cell r="J1088" t="str">
            <v xml:space="preserve">              123611122                  2848                    33903600</v>
          </cell>
          <cell r="K1088" t="str">
            <v>19/09/2011</v>
          </cell>
          <cell r="L1088">
            <v>73</v>
          </cell>
          <cell r="M1088">
            <v>15600</v>
          </cell>
          <cell r="N1088">
            <v>57278</v>
          </cell>
          <cell r="O1088">
            <v>31149</v>
          </cell>
          <cell r="P1088">
            <v>16</v>
          </cell>
          <cell r="Q1088">
            <v>3</v>
          </cell>
          <cell r="T1088">
            <v>3900</v>
          </cell>
          <cell r="U1088">
            <v>0</v>
          </cell>
          <cell r="V1088">
            <v>6400</v>
          </cell>
          <cell r="W1088">
            <v>180</v>
          </cell>
          <cell r="X1088">
            <v>5120</v>
          </cell>
          <cell r="Y1088">
            <v>102544</v>
          </cell>
          <cell r="Z1088">
            <v>7814.6</v>
          </cell>
          <cell r="AA1088">
            <v>3705.3999999999996</v>
          </cell>
          <cell r="AB1088">
            <v>212.56533333333334</v>
          </cell>
          <cell r="AC1088">
            <v>6400</v>
          </cell>
          <cell r="AD1088">
            <v>5584.93</v>
          </cell>
          <cell r="AE1088">
            <v>815.06999999999971</v>
          </cell>
          <cell r="AN1088" t="str">
            <v xml:space="preserve">Contrato emergencial nº </v>
          </cell>
          <cell r="AO1088" t="str">
            <v>IQ</v>
          </cell>
        </row>
        <row r="1089">
          <cell r="D1089" t="str">
            <v>2126/11</v>
          </cell>
          <cell r="E1089" t="str">
            <v>19/09/2011</v>
          </cell>
          <cell r="F1089">
            <v>40984</v>
          </cell>
          <cell r="G1089">
            <v>40877</v>
          </cell>
          <cell r="H1089" t="str">
            <v>2011-0.224.724-0</v>
          </cell>
          <cell r="I1089">
            <v>38915.58</v>
          </cell>
          <cell r="J1089" t="str">
            <v xml:space="preserve">              123611122                  2848                    33903600</v>
          </cell>
          <cell r="K1089" t="str">
            <v>19/09/2011</v>
          </cell>
          <cell r="L1089">
            <v>73</v>
          </cell>
          <cell r="M1089">
            <v>15800</v>
          </cell>
          <cell r="N1089">
            <v>57278</v>
          </cell>
          <cell r="O1089">
            <v>31150</v>
          </cell>
          <cell r="P1089">
            <v>16</v>
          </cell>
          <cell r="Q1089">
            <v>3</v>
          </cell>
          <cell r="T1089">
            <v>3950</v>
          </cell>
          <cell r="U1089">
            <v>0</v>
          </cell>
          <cell r="V1089">
            <v>6500</v>
          </cell>
          <cell r="W1089">
            <v>180</v>
          </cell>
          <cell r="X1089">
            <v>5200</v>
          </cell>
          <cell r="Y1089">
            <v>102578</v>
          </cell>
          <cell r="Z1089">
            <v>7399.56</v>
          </cell>
          <cell r="AA1089">
            <v>4300.4399999999996</v>
          </cell>
          <cell r="AB1089">
            <v>216.19766666666666</v>
          </cell>
          <cell r="AC1089">
            <v>6500</v>
          </cell>
          <cell r="AD1089">
            <v>6028.7299999999987</v>
          </cell>
          <cell r="AE1089">
            <v>471.27000000000135</v>
          </cell>
          <cell r="AN1089" t="str">
            <v xml:space="preserve">Contrato emergencial nº </v>
          </cell>
          <cell r="AO1089" t="str">
            <v>SM</v>
          </cell>
        </row>
        <row r="1090">
          <cell r="D1090" t="str">
            <v>2127/11</v>
          </cell>
          <cell r="E1090" t="str">
            <v>19/09/2011</v>
          </cell>
          <cell r="F1090">
            <v>40984</v>
          </cell>
          <cell r="G1090">
            <v>40877</v>
          </cell>
          <cell r="H1090" t="str">
            <v>2011-0.224.731-2</v>
          </cell>
          <cell r="I1090">
            <v>31012.38</v>
          </cell>
          <cell r="J1090" t="str">
            <v xml:space="preserve">              123611122                  2848                    33903600</v>
          </cell>
          <cell r="K1090" t="str">
            <v>19/09/2011</v>
          </cell>
          <cell r="L1090">
            <v>73</v>
          </cell>
          <cell r="M1090">
            <v>12600</v>
          </cell>
          <cell r="N1090">
            <v>57278</v>
          </cell>
          <cell r="O1090">
            <v>31153</v>
          </cell>
          <cell r="P1090">
            <v>16</v>
          </cell>
          <cell r="Q1090">
            <v>3</v>
          </cell>
          <cell r="T1090">
            <v>3150</v>
          </cell>
          <cell r="U1090">
            <v>0</v>
          </cell>
          <cell r="V1090">
            <v>7000</v>
          </cell>
          <cell r="W1090">
            <v>180</v>
          </cell>
          <cell r="X1090">
            <v>5600</v>
          </cell>
          <cell r="Y1090">
            <v>102222</v>
          </cell>
          <cell r="Z1090">
            <v>2982.09</v>
          </cell>
          <cell r="AA1090">
            <v>9617.91</v>
          </cell>
          <cell r="AB1090">
            <v>172.291</v>
          </cell>
          <cell r="AC1090">
            <v>5200</v>
          </cell>
          <cell r="AD1090">
            <v>6988.05</v>
          </cell>
          <cell r="AE1090">
            <v>-1788.0500000000002</v>
          </cell>
          <cell r="AN1090" t="str">
            <v xml:space="preserve">Contrato emergencial nº </v>
          </cell>
          <cell r="AO1090" t="str">
            <v>PJ</v>
          </cell>
        </row>
        <row r="1091">
          <cell r="D1091" t="str">
            <v>2128/11</v>
          </cell>
          <cell r="E1091" t="str">
            <v>19/09/2011</v>
          </cell>
          <cell r="F1091">
            <v>40984</v>
          </cell>
          <cell r="G1091">
            <v>40877</v>
          </cell>
          <cell r="H1091" t="str">
            <v>2011-0.224.736-3</v>
          </cell>
          <cell r="I1091">
            <v>38261.760000000002</v>
          </cell>
          <cell r="J1091" t="str">
            <v xml:space="preserve">              123611122                  2848                    33903600</v>
          </cell>
          <cell r="K1091" t="str">
            <v>19/09/2011</v>
          </cell>
          <cell r="L1091">
            <v>73</v>
          </cell>
          <cell r="M1091">
            <v>15600</v>
          </cell>
          <cell r="N1091">
            <v>57278</v>
          </cell>
          <cell r="O1091">
            <v>31154</v>
          </cell>
          <cell r="P1091">
            <v>16</v>
          </cell>
          <cell r="Q1091">
            <v>3</v>
          </cell>
          <cell r="T1091">
            <v>3900</v>
          </cell>
          <cell r="U1091">
            <v>0</v>
          </cell>
          <cell r="V1091">
            <v>6700</v>
          </cell>
          <cell r="W1091">
            <v>180</v>
          </cell>
          <cell r="X1091">
            <v>5360</v>
          </cell>
          <cell r="Y1091">
            <v>102378</v>
          </cell>
          <cell r="Z1091">
            <v>12890.8</v>
          </cell>
          <cell r="AA1091">
            <v>-830.79999999999927</v>
          </cell>
          <cell r="AB1091">
            <v>212.56533333333334</v>
          </cell>
          <cell r="AC1091">
            <v>6400</v>
          </cell>
          <cell r="AD1091">
            <v>6656.75</v>
          </cell>
          <cell r="AE1091">
            <v>-256.75</v>
          </cell>
          <cell r="AN1091" t="str">
            <v xml:space="preserve">Contrato emergencial nº </v>
          </cell>
          <cell r="AO1091" t="str">
            <v>CL</v>
          </cell>
        </row>
        <row r="1092">
          <cell r="D1092" t="str">
            <v>2129/11</v>
          </cell>
          <cell r="E1092" t="str">
            <v>19/09/2011</v>
          </cell>
          <cell r="F1092">
            <v>40984</v>
          </cell>
          <cell r="G1092">
            <v>40877</v>
          </cell>
          <cell r="H1092" t="str">
            <v>2011-0.224.741-0</v>
          </cell>
          <cell r="I1092">
            <v>30150.54</v>
          </cell>
          <cell r="J1092" t="str">
            <v xml:space="preserve">              123611122                  2848                    33903600</v>
          </cell>
          <cell r="K1092" t="str">
            <v>19/09/2011</v>
          </cell>
          <cell r="L1092">
            <v>73</v>
          </cell>
          <cell r="M1092">
            <v>12300</v>
          </cell>
          <cell r="N1092">
            <v>57278</v>
          </cell>
          <cell r="O1092">
            <v>31156</v>
          </cell>
          <cell r="P1092">
            <v>16</v>
          </cell>
          <cell r="Q1092">
            <v>3</v>
          </cell>
          <cell r="T1092">
            <v>3075</v>
          </cell>
          <cell r="U1092">
            <v>0</v>
          </cell>
          <cell r="V1092">
            <v>5300</v>
          </cell>
          <cell r="W1092">
            <v>180</v>
          </cell>
          <cell r="X1092">
            <v>4240</v>
          </cell>
          <cell r="Y1092">
            <v>103132</v>
          </cell>
          <cell r="Z1092">
            <v>4995.38</v>
          </cell>
          <cell r="AA1092">
            <v>4544.62</v>
          </cell>
          <cell r="AB1092">
            <v>167.50300000000001</v>
          </cell>
          <cell r="AC1092">
            <v>5100</v>
          </cell>
          <cell r="AD1092">
            <v>5234.7299999999996</v>
          </cell>
          <cell r="AE1092">
            <v>-134.72999999999956</v>
          </cell>
          <cell r="AN1092" t="str">
            <v xml:space="preserve">Contrato emergencial nº </v>
          </cell>
          <cell r="AO1092" t="str">
            <v>G</v>
          </cell>
        </row>
        <row r="1093">
          <cell r="D1093" t="str">
            <v>2130/11</v>
          </cell>
          <cell r="E1093" t="str">
            <v>19/09/2011</v>
          </cell>
          <cell r="F1093">
            <v>40984</v>
          </cell>
          <cell r="G1093">
            <v>40877</v>
          </cell>
          <cell r="H1093" t="str">
            <v>2011-0.224.750-9</v>
          </cell>
          <cell r="I1093">
            <v>44978.400000000001</v>
          </cell>
          <cell r="J1093" t="str">
            <v xml:space="preserve">              123611122                  2848                    33903600</v>
          </cell>
          <cell r="K1093" t="str">
            <v>19/09/2011</v>
          </cell>
          <cell r="L1093">
            <v>73</v>
          </cell>
          <cell r="M1093">
            <v>18300</v>
          </cell>
          <cell r="N1093">
            <v>57278</v>
          </cell>
          <cell r="O1093">
            <v>31162</v>
          </cell>
          <cell r="P1093">
            <v>16</v>
          </cell>
          <cell r="Q1093">
            <v>3</v>
          </cell>
          <cell r="T1093">
            <v>4575</v>
          </cell>
          <cell r="U1093">
            <v>0</v>
          </cell>
          <cell r="V1093">
            <v>7500</v>
          </cell>
          <cell r="W1093">
            <v>180</v>
          </cell>
          <cell r="X1093">
            <v>6000</v>
          </cell>
          <cell r="Y1093">
            <v>102549</v>
          </cell>
          <cell r="Z1093">
            <v>8013.35</v>
          </cell>
          <cell r="AA1093">
            <v>5486.65</v>
          </cell>
          <cell r="AB1093">
            <v>249.88</v>
          </cell>
          <cell r="AC1093">
            <v>7500</v>
          </cell>
          <cell r="AD1093">
            <v>7361.7849999999999</v>
          </cell>
          <cell r="AE1093">
            <v>138.21500000000015</v>
          </cell>
          <cell r="AN1093" t="str">
            <v xml:space="preserve">Contrato emergencial nº </v>
          </cell>
          <cell r="AO1093" t="str">
            <v>IQ</v>
          </cell>
        </row>
        <row r="1094">
          <cell r="D1094" t="str">
            <v>2131/11</v>
          </cell>
          <cell r="E1094" t="str">
            <v>19/09/2011</v>
          </cell>
          <cell r="F1094">
            <v>40984</v>
          </cell>
          <cell r="G1094">
            <v>40877</v>
          </cell>
          <cell r="H1094" t="str">
            <v>2011-0.224.754-1</v>
          </cell>
          <cell r="I1094">
            <v>46078.02</v>
          </cell>
          <cell r="J1094" t="str">
            <v xml:space="preserve">              123611122                  2848                    33903600</v>
          </cell>
          <cell r="K1094" t="str">
            <v>19/09/2011</v>
          </cell>
          <cell r="L1094">
            <v>73</v>
          </cell>
          <cell r="M1094">
            <v>18700</v>
          </cell>
          <cell r="N1094">
            <v>57278</v>
          </cell>
          <cell r="O1094">
            <v>31166</v>
          </cell>
          <cell r="P1094">
            <v>16</v>
          </cell>
          <cell r="Q1094">
            <v>3</v>
          </cell>
          <cell r="T1094">
            <v>4675</v>
          </cell>
          <cell r="U1094">
            <v>0</v>
          </cell>
          <cell r="V1094">
            <v>7700</v>
          </cell>
          <cell r="W1094">
            <v>180</v>
          </cell>
          <cell r="X1094">
            <v>6160</v>
          </cell>
          <cell r="Y1094">
            <v>102229</v>
          </cell>
          <cell r="Z1094">
            <v>8919.9500000000007</v>
          </cell>
          <cell r="AA1094">
            <v>4940.0499999999993</v>
          </cell>
          <cell r="AB1094">
            <v>255.98899999999998</v>
          </cell>
          <cell r="AC1094">
            <v>7700</v>
          </cell>
          <cell r="AD1094">
            <v>5430.27</v>
          </cell>
          <cell r="AE1094">
            <v>2269.7299999999996</v>
          </cell>
          <cell r="AN1094" t="str">
            <v xml:space="preserve">Contrato emergencial nº </v>
          </cell>
          <cell r="AO1094" t="str">
            <v>PJ</v>
          </cell>
        </row>
        <row r="1095">
          <cell r="D1095" t="str">
            <v>2132/11</v>
          </cell>
          <cell r="E1095" t="str">
            <v>21/09/2011</v>
          </cell>
          <cell r="F1095">
            <v>40986</v>
          </cell>
          <cell r="G1095">
            <v>40877</v>
          </cell>
          <cell r="H1095" t="str">
            <v>2011-0.224.764-9</v>
          </cell>
          <cell r="I1095">
            <v>44978.400000000001</v>
          </cell>
          <cell r="J1095" t="str">
            <v xml:space="preserve">              123611122                  2848                    33903600</v>
          </cell>
          <cell r="K1095" t="str">
            <v>21/09/2011</v>
          </cell>
          <cell r="L1095">
            <v>71</v>
          </cell>
          <cell r="M1095">
            <v>17800</v>
          </cell>
          <cell r="N1095">
            <v>57278</v>
          </cell>
          <cell r="O1095">
            <v>31170</v>
          </cell>
          <cell r="P1095">
            <v>16</v>
          </cell>
          <cell r="Q1095">
            <v>3</v>
          </cell>
          <cell r="T1095">
            <v>5340</v>
          </cell>
          <cell r="U1095">
            <v>0</v>
          </cell>
          <cell r="V1095">
            <v>7500</v>
          </cell>
          <cell r="W1095">
            <v>180</v>
          </cell>
          <cell r="X1095">
            <v>6000</v>
          </cell>
          <cell r="Y1095">
            <v>103142</v>
          </cell>
          <cell r="Z1095">
            <v>2755.9000000000015</v>
          </cell>
          <cell r="AA1095">
            <v>10744.099999999999</v>
          </cell>
          <cell r="AB1095">
            <v>249.88</v>
          </cell>
          <cell r="AC1095">
            <v>7500</v>
          </cell>
          <cell r="AD1095">
            <v>6049.6399999999994</v>
          </cell>
          <cell r="AE1095">
            <v>1450.3600000000006</v>
          </cell>
          <cell r="AN1095" t="str">
            <v xml:space="preserve">Contrato emergencial nº </v>
          </cell>
          <cell r="AO1095" t="str">
            <v>G</v>
          </cell>
        </row>
        <row r="1096">
          <cell r="D1096" t="str">
            <v>2133/11</v>
          </cell>
          <cell r="E1096" t="str">
            <v>19/09/2011</v>
          </cell>
          <cell r="F1096">
            <v>40984</v>
          </cell>
          <cell r="G1096">
            <v>40877</v>
          </cell>
          <cell r="H1096" t="str">
            <v>2011-0.224.774-6</v>
          </cell>
          <cell r="I1096">
            <v>44324.52</v>
          </cell>
          <cell r="J1096" t="str">
            <v xml:space="preserve">              123611122                  2848                    33903600</v>
          </cell>
          <cell r="K1096" t="str">
            <v>19/09/2011</v>
          </cell>
          <cell r="L1096">
            <v>73</v>
          </cell>
          <cell r="M1096">
            <v>18000</v>
          </cell>
          <cell r="N1096">
            <v>57278</v>
          </cell>
          <cell r="O1096">
            <v>31176</v>
          </cell>
          <cell r="P1096">
            <v>16</v>
          </cell>
          <cell r="Q1096">
            <v>3</v>
          </cell>
          <cell r="T1096">
            <v>4500</v>
          </cell>
          <cell r="U1096">
            <v>0</v>
          </cell>
          <cell r="V1096">
            <v>7700</v>
          </cell>
          <cell r="W1096">
            <v>180</v>
          </cell>
          <cell r="X1096">
            <v>6160</v>
          </cell>
          <cell r="Y1096">
            <v>102246</v>
          </cell>
          <cell r="Z1096">
            <v>7387.69</v>
          </cell>
          <cell r="AA1096">
            <v>6472.31</v>
          </cell>
          <cell r="AB1096">
            <v>246.2473333333333</v>
          </cell>
          <cell r="AC1096">
            <v>7400</v>
          </cell>
          <cell r="AD1096">
            <v>7651.72</v>
          </cell>
          <cell r="AE1096">
            <v>-251.72000000000025</v>
          </cell>
          <cell r="AN1096" t="str">
            <v xml:space="preserve">Contrato emergencial nº </v>
          </cell>
          <cell r="AO1096" t="str">
            <v>PJ</v>
          </cell>
        </row>
        <row r="1097">
          <cell r="D1097" t="str">
            <v>2134/11</v>
          </cell>
          <cell r="E1097" t="str">
            <v>19/09/2011</v>
          </cell>
          <cell r="F1097">
            <v>40984</v>
          </cell>
          <cell r="G1097">
            <v>40877</v>
          </cell>
          <cell r="H1097" t="str">
            <v>2011-0.224.781-9</v>
          </cell>
          <cell r="I1097">
            <v>31418.52</v>
          </cell>
          <cell r="J1097" t="str">
            <v xml:space="preserve">              123611122                  2848                    33903600</v>
          </cell>
          <cell r="K1097" t="str">
            <v>19/09/2011</v>
          </cell>
          <cell r="L1097">
            <v>73</v>
          </cell>
          <cell r="M1097">
            <v>12800</v>
          </cell>
          <cell r="N1097">
            <v>57278</v>
          </cell>
          <cell r="O1097">
            <v>31178</v>
          </cell>
          <cell r="P1097">
            <v>16</v>
          </cell>
          <cell r="Q1097">
            <v>3</v>
          </cell>
          <cell r="T1097">
            <v>3200</v>
          </cell>
          <cell r="U1097">
            <v>0</v>
          </cell>
          <cell r="V1097">
            <v>5400</v>
          </cell>
          <cell r="W1097">
            <v>180</v>
          </cell>
          <cell r="X1097">
            <v>4320</v>
          </cell>
          <cell r="Y1097">
            <v>102250</v>
          </cell>
          <cell r="Z1097">
            <v>5426.86</v>
          </cell>
          <cell r="AA1097">
            <v>4293.1400000000003</v>
          </cell>
          <cell r="AB1097">
            <v>174.54733333333334</v>
          </cell>
          <cell r="AC1097">
            <v>5300</v>
          </cell>
          <cell r="AD1097">
            <v>5342.6100000000006</v>
          </cell>
          <cell r="AE1097">
            <v>-42.610000000000582</v>
          </cell>
          <cell r="AN1097" t="str">
            <v xml:space="preserve">Contrato emergencial nº </v>
          </cell>
          <cell r="AO1097" t="str">
            <v>PJ</v>
          </cell>
        </row>
        <row r="1098">
          <cell r="D1098" t="str">
            <v>2135/11</v>
          </cell>
          <cell r="E1098" t="str">
            <v>19/09/2011</v>
          </cell>
          <cell r="F1098">
            <v>40984</v>
          </cell>
          <cell r="G1098">
            <v>40877</v>
          </cell>
          <cell r="H1098" t="str">
            <v>2011-0.224.789-4</v>
          </cell>
          <cell r="I1098">
            <v>37607.879999999997</v>
          </cell>
          <cell r="J1098" t="str">
            <v xml:space="preserve">              123611122                  2848                    33903600</v>
          </cell>
          <cell r="K1098" t="str">
            <v>19/09/2011</v>
          </cell>
          <cell r="L1098">
            <v>73</v>
          </cell>
          <cell r="M1098">
            <v>15300</v>
          </cell>
          <cell r="N1098">
            <v>57278</v>
          </cell>
          <cell r="O1098">
            <v>31181</v>
          </cell>
          <cell r="P1098">
            <v>16</v>
          </cell>
          <cell r="Q1098">
            <v>3</v>
          </cell>
          <cell r="T1098">
            <v>3825</v>
          </cell>
          <cell r="U1098">
            <v>0</v>
          </cell>
          <cell r="V1098">
            <v>6300</v>
          </cell>
          <cell r="W1098">
            <v>180</v>
          </cell>
          <cell r="X1098">
            <v>5040</v>
          </cell>
          <cell r="Y1098">
            <v>103078</v>
          </cell>
          <cell r="Z1098">
            <v>7426.94</v>
          </cell>
          <cell r="AA1098">
            <v>3913.0600000000004</v>
          </cell>
          <cell r="AB1098">
            <v>208.93266666666665</v>
          </cell>
          <cell r="AC1098">
            <v>6300</v>
          </cell>
          <cell r="AD1098">
            <v>5986.81</v>
          </cell>
          <cell r="AE1098">
            <v>313.1899999999996</v>
          </cell>
          <cell r="AN1098" t="str">
            <v xml:space="preserve">Contrato emergencial nº </v>
          </cell>
          <cell r="AO1098" t="str">
            <v>JT</v>
          </cell>
        </row>
        <row r="1099">
          <cell r="D1099" t="str">
            <v>2136/11</v>
          </cell>
          <cell r="E1099" t="str">
            <v>19/09/2011</v>
          </cell>
          <cell r="F1099">
            <v>40984</v>
          </cell>
          <cell r="G1099">
            <v>40877</v>
          </cell>
          <cell r="H1099" t="str">
            <v>2011-0.224.792-4</v>
          </cell>
          <cell r="I1099">
            <v>38261.760000000002</v>
          </cell>
          <cell r="J1099" t="str">
            <v xml:space="preserve">              123611122                  2848                    33903600</v>
          </cell>
          <cell r="K1099" t="str">
            <v>19/09/2011</v>
          </cell>
          <cell r="L1099">
            <v>73</v>
          </cell>
          <cell r="M1099">
            <v>15600</v>
          </cell>
          <cell r="N1099">
            <v>57278</v>
          </cell>
          <cell r="O1099">
            <v>30621</v>
          </cell>
          <cell r="P1099">
            <v>16</v>
          </cell>
          <cell r="Q1099">
            <v>3</v>
          </cell>
          <cell r="T1099">
            <v>2243.9</v>
          </cell>
          <cell r="U1099">
            <v>0</v>
          </cell>
          <cell r="V1099">
            <v>6400</v>
          </cell>
          <cell r="W1099">
            <v>180</v>
          </cell>
          <cell r="X1099">
            <v>5120</v>
          </cell>
          <cell r="Y1099">
            <v>105581</v>
          </cell>
          <cell r="Z1099">
            <v>5822.03</v>
          </cell>
          <cell r="AA1099">
            <v>5697.97</v>
          </cell>
          <cell r="AB1099">
            <v>212.56533333333334</v>
          </cell>
          <cell r="AC1099">
            <v>6400</v>
          </cell>
          <cell r="AD1099">
            <v>5752.8964444444437</v>
          </cell>
          <cell r="AE1099">
            <v>647.10355555555634</v>
          </cell>
          <cell r="AN1099" t="str">
            <v xml:space="preserve">Contrato emergencial nº </v>
          </cell>
          <cell r="AO1099" t="str">
            <v>SM</v>
          </cell>
        </row>
        <row r="1100">
          <cell r="D1100" t="str">
            <v>2137/11</v>
          </cell>
          <cell r="E1100" t="str">
            <v>19/09/2011</v>
          </cell>
          <cell r="F1100">
            <v>40984</v>
          </cell>
          <cell r="G1100">
            <v>40877</v>
          </cell>
          <cell r="H1100" t="str">
            <v>2011-0.224.798-3</v>
          </cell>
          <cell r="I1100">
            <v>30606.240000000002</v>
          </cell>
          <cell r="J1100" t="str">
            <v xml:space="preserve">              123611122                  2848                    33903600</v>
          </cell>
          <cell r="K1100" t="str">
            <v>19/09/2011</v>
          </cell>
          <cell r="L1100">
            <v>73</v>
          </cell>
          <cell r="M1100">
            <v>12500</v>
          </cell>
          <cell r="N1100">
            <v>57278</v>
          </cell>
          <cell r="O1100">
            <v>30916</v>
          </cell>
          <cell r="P1100">
            <v>16</v>
          </cell>
          <cell r="Q1100">
            <v>3</v>
          </cell>
          <cell r="T1100">
            <v>3125</v>
          </cell>
          <cell r="U1100">
            <v>0</v>
          </cell>
          <cell r="V1100">
            <v>5200</v>
          </cell>
          <cell r="W1100">
            <v>180</v>
          </cell>
          <cell r="X1100">
            <v>4160</v>
          </cell>
          <cell r="Y1100">
            <v>102266</v>
          </cell>
          <cell r="Z1100">
            <v>5546.17</v>
          </cell>
          <cell r="AA1100">
            <v>3813.83</v>
          </cell>
          <cell r="AB1100">
            <v>170.03466666666668</v>
          </cell>
          <cell r="AC1100">
            <v>5200</v>
          </cell>
          <cell r="AD1100">
            <v>5089.3999999999996</v>
          </cell>
          <cell r="AE1100">
            <v>110.60000000000036</v>
          </cell>
          <cell r="AN1100" t="str">
            <v xml:space="preserve">Contrato emergencial nº </v>
          </cell>
          <cell r="AO1100" t="str">
            <v>PJ</v>
          </cell>
        </row>
        <row r="1101">
          <cell r="D1101" t="str">
            <v>2138/11</v>
          </cell>
          <cell r="E1101" t="str">
            <v>19/09/2011</v>
          </cell>
          <cell r="F1101">
            <v>40984</v>
          </cell>
          <cell r="G1101">
            <v>40877</v>
          </cell>
          <cell r="H1101" t="str">
            <v>2011-0.224.804-1</v>
          </cell>
          <cell r="I1101">
            <v>44324.52</v>
          </cell>
          <cell r="J1101" t="str">
            <v xml:space="preserve">              123651121                 2847                    33903600</v>
          </cell>
          <cell r="K1101" t="str">
            <v>19/09/2011</v>
          </cell>
          <cell r="L1101">
            <v>73</v>
          </cell>
          <cell r="M1101">
            <v>18000</v>
          </cell>
          <cell r="N1101">
            <v>57273</v>
          </cell>
          <cell r="O1101">
            <v>30919</v>
          </cell>
          <cell r="P1101">
            <v>16</v>
          </cell>
          <cell r="Q1101">
            <v>2</v>
          </cell>
          <cell r="T1101">
            <v>4500</v>
          </cell>
          <cell r="U1101">
            <v>0</v>
          </cell>
          <cell r="V1101">
            <v>7400</v>
          </cell>
          <cell r="W1101">
            <v>180</v>
          </cell>
          <cell r="X1101">
            <v>5920</v>
          </cell>
          <cell r="Y1101">
            <v>102190</v>
          </cell>
          <cell r="Z1101">
            <v>9545.9599999999991</v>
          </cell>
          <cell r="AA1101">
            <v>3774.0400000000009</v>
          </cell>
          <cell r="AB1101">
            <v>246.2473333333333</v>
          </cell>
          <cell r="AC1101">
            <v>7400</v>
          </cell>
          <cell r="AD1101">
            <v>6102.0300000000007</v>
          </cell>
          <cell r="AE1101">
            <v>1297.9699999999993</v>
          </cell>
          <cell r="AN1101" t="str">
            <v xml:space="preserve">Contrato emergencial nº </v>
          </cell>
          <cell r="AO1101" t="str">
            <v>CS</v>
          </cell>
        </row>
        <row r="1102">
          <cell r="D1102" t="str">
            <v>2139/11</v>
          </cell>
          <cell r="E1102" t="str">
            <v>19/09/2011</v>
          </cell>
          <cell r="F1102">
            <v>40984</v>
          </cell>
          <cell r="G1102">
            <v>40877</v>
          </cell>
          <cell r="H1102" t="str">
            <v>2011-0.224.812-2</v>
          </cell>
          <cell r="I1102">
            <v>44324.52</v>
          </cell>
          <cell r="J1102" t="str">
            <v xml:space="preserve">              123651121                 2847                    33903600</v>
          </cell>
          <cell r="K1102" t="str">
            <v>19/09/2011</v>
          </cell>
          <cell r="L1102">
            <v>73</v>
          </cell>
          <cell r="M1102">
            <v>18000</v>
          </cell>
          <cell r="N1102">
            <v>57273</v>
          </cell>
          <cell r="O1102">
            <v>30921</v>
          </cell>
          <cell r="P1102">
            <v>16</v>
          </cell>
          <cell r="Q1102">
            <v>2</v>
          </cell>
          <cell r="T1102">
            <v>4500</v>
          </cell>
          <cell r="U1102">
            <v>0</v>
          </cell>
          <cell r="V1102">
            <v>7400</v>
          </cell>
          <cell r="W1102">
            <v>180</v>
          </cell>
          <cell r="X1102">
            <v>5920</v>
          </cell>
          <cell r="Y1102">
            <v>102214</v>
          </cell>
          <cell r="Z1102">
            <v>8969.369999999999</v>
          </cell>
          <cell r="AA1102">
            <v>4350.630000000001</v>
          </cell>
          <cell r="AB1102">
            <v>246.2473333333333</v>
          </cell>
          <cell r="AC1102">
            <v>7400</v>
          </cell>
          <cell r="AD1102">
            <v>6005.04</v>
          </cell>
          <cell r="AE1102">
            <v>1394.96</v>
          </cell>
          <cell r="AN1102" t="str">
            <v xml:space="preserve">Contrato emergencial nº </v>
          </cell>
          <cell r="AO1102" t="str">
            <v>CS</v>
          </cell>
        </row>
        <row r="1103">
          <cell r="D1103" t="str">
            <v>2140/11</v>
          </cell>
          <cell r="E1103" t="str">
            <v>19/09/2011</v>
          </cell>
          <cell r="F1103">
            <v>40984</v>
          </cell>
          <cell r="G1103">
            <v>40877</v>
          </cell>
          <cell r="H1103" t="str">
            <v>2011-0.226.168-4</v>
          </cell>
          <cell r="I1103">
            <v>29744.400000000001</v>
          </cell>
          <cell r="J1103" t="str">
            <v xml:space="preserve">              123611122                  2848                    33903600</v>
          </cell>
          <cell r="K1103" t="str">
            <v>19/09/2011</v>
          </cell>
          <cell r="L1103">
            <v>73</v>
          </cell>
          <cell r="M1103">
            <v>12100</v>
          </cell>
          <cell r="N1103">
            <v>57278</v>
          </cell>
          <cell r="O1103">
            <v>30940</v>
          </cell>
          <cell r="P1103">
            <v>16</v>
          </cell>
          <cell r="Q1103">
            <v>3</v>
          </cell>
          <cell r="T1103">
            <v>3025</v>
          </cell>
          <cell r="U1103">
            <v>0</v>
          </cell>
          <cell r="V1103">
            <v>5000</v>
          </cell>
          <cell r="W1103">
            <v>180</v>
          </cell>
          <cell r="X1103">
            <v>4000</v>
          </cell>
          <cell r="Y1103">
            <v>102581</v>
          </cell>
          <cell r="Z1103">
            <v>6574.65</v>
          </cell>
          <cell r="AA1103">
            <v>2425.3500000000004</v>
          </cell>
          <cell r="AB1103">
            <v>165.24666666666667</v>
          </cell>
          <cell r="AC1103">
            <v>5000</v>
          </cell>
          <cell r="AD1103">
            <v>3971.7799999999997</v>
          </cell>
          <cell r="AE1103">
            <v>1028.2200000000003</v>
          </cell>
          <cell r="AN1103" t="str">
            <v xml:space="preserve">Contrato emergencial nº </v>
          </cell>
          <cell r="AO1103" t="str">
            <v>IQ</v>
          </cell>
        </row>
        <row r="1104">
          <cell r="D1104" t="str">
            <v>2141/11</v>
          </cell>
          <cell r="E1104" t="str">
            <v>19/09/2011</v>
          </cell>
          <cell r="F1104">
            <v>40984</v>
          </cell>
          <cell r="G1104">
            <v>40877</v>
          </cell>
          <cell r="H1104" t="str">
            <v>2011-0.226.176-5</v>
          </cell>
          <cell r="I1104">
            <v>44324.52</v>
          </cell>
          <cell r="J1104" t="str">
            <v xml:space="preserve">              123611122                  2848                    33903600</v>
          </cell>
          <cell r="K1104" t="str">
            <v>19/09/2011</v>
          </cell>
          <cell r="L1104">
            <v>73</v>
          </cell>
          <cell r="M1104">
            <v>18000</v>
          </cell>
          <cell r="N1104">
            <v>57278</v>
          </cell>
          <cell r="O1104">
            <v>30941</v>
          </cell>
          <cell r="P1104">
            <v>16</v>
          </cell>
          <cell r="Q1104">
            <v>3</v>
          </cell>
          <cell r="T1104">
            <v>4500</v>
          </cell>
          <cell r="U1104">
            <v>0</v>
          </cell>
          <cell r="V1104">
            <v>7400</v>
          </cell>
          <cell r="W1104">
            <v>180</v>
          </cell>
          <cell r="X1104">
            <v>5920</v>
          </cell>
          <cell r="Y1104">
            <v>105379</v>
          </cell>
          <cell r="Z1104">
            <v>1721.12</v>
          </cell>
          <cell r="AA1104">
            <v>11598.880000000001</v>
          </cell>
          <cell r="AB1104">
            <v>246.2473333333333</v>
          </cell>
          <cell r="AC1104">
            <v>7400</v>
          </cell>
          <cell r="AD1104">
            <v>6490.46</v>
          </cell>
          <cell r="AE1104">
            <v>909.54</v>
          </cell>
          <cell r="AN1104" t="str">
            <v xml:space="preserve">Contrato emergencial nº </v>
          </cell>
          <cell r="AO1104" t="str">
            <v>MP</v>
          </cell>
        </row>
        <row r="1105">
          <cell r="D1105" t="str">
            <v>2142/11</v>
          </cell>
          <cell r="E1105" t="str">
            <v>19/09/2011</v>
          </cell>
          <cell r="F1105">
            <v>40984</v>
          </cell>
          <cell r="G1105">
            <v>40877</v>
          </cell>
          <cell r="H1105" t="str">
            <v>2011-0.226.178-1</v>
          </cell>
          <cell r="I1105">
            <v>44324.52</v>
          </cell>
          <cell r="J1105" t="str">
            <v xml:space="preserve">              123651121                 2847                    33903600</v>
          </cell>
          <cell r="K1105" t="str">
            <v>19/09/2011</v>
          </cell>
          <cell r="L1105">
            <v>73</v>
          </cell>
          <cell r="M1105">
            <v>18000</v>
          </cell>
          <cell r="N1105">
            <v>57273</v>
          </cell>
          <cell r="O1105">
            <v>30944</v>
          </cell>
          <cell r="P1105">
            <v>16</v>
          </cell>
          <cell r="Q1105">
            <v>2</v>
          </cell>
          <cell r="T1105">
            <v>4500</v>
          </cell>
          <cell r="U1105">
            <v>0</v>
          </cell>
          <cell r="V1105">
            <v>7400</v>
          </cell>
          <cell r="W1105">
            <v>180</v>
          </cell>
          <cell r="X1105">
            <v>5920</v>
          </cell>
          <cell r="Y1105">
            <v>48884</v>
          </cell>
          <cell r="Z1105">
            <v>8044.02</v>
          </cell>
          <cell r="AA1105">
            <v>5275.98</v>
          </cell>
          <cell r="AB1105">
            <v>246.2473333333333</v>
          </cell>
          <cell r="AC1105">
            <v>7400</v>
          </cell>
          <cell r="AD1105">
            <v>7246.04</v>
          </cell>
          <cell r="AE1105">
            <v>153.96000000000004</v>
          </cell>
          <cell r="AN1105" t="str">
            <v xml:space="preserve">Contrato emergencial nº </v>
          </cell>
          <cell r="AO1105" t="str">
            <v>G</v>
          </cell>
        </row>
        <row r="1106">
          <cell r="D1106" t="str">
            <v>2143/11</v>
          </cell>
          <cell r="E1106" t="str">
            <v>19/09/2011</v>
          </cell>
          <cell r="F1106">
            <v>40984</v>
          </cell>
          <cell r="G1106">
            <v>40877</v>
          </cell>
          <cell r="H1106" t="str">
            <v>2011-0.226.180-3</v>
          </cell>
          <cell r="I1106">
            <v>26950.799999999999</v>
          </cell>
          <cell r="J1106" t="str">
            <v xml:space="preserve">              123611122                  2848                    33903600</v>
          </cell>
          <cell r="K1106" t="str">
            <v>19/09/2011</v>
          </cell>
          <cell r="L1106">
            <v>73</v>
          </cell>
          <cell r="M1106">
            <v>11000</v>
          </cell>
          <cell r="N1106">
            <v>57278</v>
          </cell>
          <cell r="O1106">
            <v>30971</v>
          </cell>
          <cell r="P1106">
            <v>16</v>
          </cell>
          <cell r="Q1106">
            <v>3</v>
          </cell>
          <cell r="T1106">
            <v>2750</v>
          </cell>
          <cell r="U1106">
            <v>0</v>
          </cell>
          <cell r="V1106">
            <v>4700</v>
          </cell>
          <cell r="W1106">
            <v>180</v>
          </cell>
          <cell r="X1106">
            <v>3760</v>
          </cell>
          <cell r="Y1106">
            <v>102372</v>
          </cell>
          <cell r="Z1106">
            <v>9096.14</v>
          </cell>
          <cell r="AA1106">
            <v>-636.13999999999942</v>
          </cell>
          <cell r="AB1106">
            <v>149.72666666666666</v>
          </cell>
          <cell r="AC1106">
            <v>4500</v>
          </cell>
          <cell r="AD1106">
            <v>4675.78</v>
          </cell>
          <cell r="AE1106">
            <v>-175.77999999999975</v>
          </cell>
          <cell r="AN1106" t="str">
            <v xml:space="preserve">Contrato emergencial nº </v>
          </cell>
          <cell r="AO1106" t="str">
            <v>CL</v>
          </cell>
        </row>
        <row r="1107">
          <cell r="D1107" t="str">
            <v>2144/11</v>
          </cell>
          <cell r="E1107" t="str">
            <v>19/09/2011</v>
          </cell>
          <cell r="F1107">
            <v>40984</v>
          </cell>
          <cell r="G1107">
            <v>40877</v>
          </cell>
          <cell r="H1107" t="str">
            <v>2011-0.226.195-1</v>
          </cell>
          <cell r="I1107">
            <v>38053.74</v>
          </cell>
          <cell r="J1107" t="str">
            <v xml:space="preserve">              123611122                  2848                    33903600</v>
          </cell>
          <cell r="K1107" t="str">
            <v>19/09/2011</v>
          </cell>
          <cell r="L1107">
            <v>73</v>
          </cell>
          <cell r="M1107">
            <v>15500</v>
          </cell>
          <cell r="N1107">
            <v>57278</v>
          </cell>
          <cell r="O1107">
            <v>30973</v>
          </cell>
          <cell r="P1107">
            <v>16</v>
          </cell>
          <cell r="Q1107">
            <v>3</v>
          </cell>
          <cell r="T1107">
            <v>3875</v>
          </cell>
          <cell r="U1107">
            <v>0</v>
          </cell>
          <cell r="V1107">
            <v>6400</v>
          </cell>
          <cell r="W1107">
            <v>180</v>
          </cell>
          <cell r="X1107">
            <v>5120</v>
          </cell>
          <cell r="Y1107">
            <v>102550</v>
          </cell>
          <cell r="Z1107">
            <v>13078.14</v>
          </cell>
          <cell r="AA1107">
            <v>-1558.1399999999994</v>
          </cell>
          <cell r="AB1107">
            <v>211.40966666666665</v>
          </cell>
          <cell r="AC1107">
            <v>6400</v>
          </cell>
          <cell r="AD1107">
            <v>5895.8499999999985</v>
          </cell>
          <cell r="AE1107">
            <v>504.15000000000146</v>
          </cell>
          <cell r="AN1107" t="str">
            <v xml:space="preserve">Contrato emergencial nº </v>
          </cell>
          <cell r="AO1107" t="str">
            <v>CL</v>
          </cell>
        </row>
        <row r="1108">
          <cell r="D1108" t="str">
            <v>2145/11</v>
          </cell>
          <cell r="E1108" t="str">
            <v>19/09/2011</v>
          </cell>
          <cell r="F1108">
            <v>40984</v>
          </cell>
          <cell r="G1108">
            <v>40877</v>
          </cell>
          <cell r="H1108" t="str">
            <v>2011-0.226.196-0</v>
          </cell>
          <cell r="I1108">
            <v>44324.52</v>
          </cell>
          <cell r="J1108" t="str">
            <v xml:space="preserve">              123611122                  2848                    33903600</v>
          </cell>
          <cell r="K1108" t="str">
            <v>19/09/2011</v>
          </cell>
          <cell r="L1108">
            <v>73</v>
          </cell>
          <cell r="M1108">
            <v>18000</v>
          </cell>
          <cell r="N1108">
            <v>57278</v>
          </cell>
          <cell r="O1108">
            <v>30974</v>
          </cell>
          <cell r="P1108">
            <v>16</v>
          </cell>
          <cell r="Q1108">
            <v>3</v>
          </cell>
          <cell r="T1108">
            <v>4500</v>
          </cell>
          <cell r="U1108">
            <v>0</v>
          </cell>
          <cell r="V1108">
            <v>7400</v>
          </cell>
          <cell r="W1108">
            <v>180</v>
          </cell>
          <cell r="X1108">
            <v>5920</v>
          </cell>
          <cell r="Y1108">
            <v>102508</v>
          </cell>
          <cell r="Z1108">
            <v>10106.23</v>
          </cell>
          <cell r="AA1108">
            <v>3213.7700000000004</v>
          </cell>
          <cell r="AB1108">
            <v>246.2473333333333</v>
          </cell>
          <cell r="AC1108">
            <v>7400</v>
          </cell>
          <cell r="AD1108">
            <v>5630.46</v>
          </cell>
          <cell r="AE1108">
            <v>1769.54</v>
          </cell>
          <cell r="AN1108" t="str">
            <v xml:space="preserve">Contrato emergencial nº </v>
          </cell>
          <cell r="AO1108" t="str">
            <v>IQ</v>
          </cell>
        </row>
        <row r="1109">
          <cell r="D1109" t="str">
            <v>2146/11</v>
          </cell>
          <cell r="E1109" t="str">
            <v>19/09/2011</v>
          </cell>
          <cell r="F1109">
            <v>40984</v>
          </cell>
          <cell r="G1109">
            <v>40877</v>
          </cell>
          <cell r="H1109" t="str">
            <v>2011-0.226.205-2</v>
          </cell>
          <cell r="I1109">
            <v>31012.38</v>
          </cell>
          <cell r="J1109" t="str">
            <v xml:space="preserve">              123611122                  2848                    33903600</v>
          </cell>
          <cell r="K1109" t="str">
            <v>19/09/2011</v>
          </cell>
          <cell r="L1109">
            <v>73</v>
          </cell>
          <cell r="M1109">
            <v>12600</v>
          </cell>
          <cell r="N1109">
            <v>57278</v>
          </cell>
          <cell r="O1109">
            <v>30976</v>
          </cell>
          <cell r="P1109">
            <v>16</v>
          </cell>
          <cell r="Q1109">
            <v>3</v>
          </cell>
          <cell r="T1109">
            <v>3150</v>
          </cell>
          <cell r="U1109">
            <v>0</v>
          </cell>
          <cell r="V1109">
            <v>5200</v>
          </cell>
          <cell r="W1109">
            <v>180</v>
          </cell>
          <cell r="X1109">
            <v>4160</v>
          </cell>
          <cell r="Y1109">
            <v>102379</v>
          </cell>
          <cell r="Z1109">
            <v>10505.75</v>
          </cell>
          <cell r="AA1109">
            <v>-1145.75</v>
          </cell>
          <cell r="AB1109">
            <v>172.291</v>
          </cell>
          <cell r="AC1109">
            <v>5200</v>
          </cell>
          <cell r="AD1109">
            <v>5050.1400000000003</v>
          </cell>
          <cell r="AE1109">
            <v>149.85999999999967</v>
          </cell>
          <cell r="AN1109" t="str">
            <v xml:space="preserve">Contrato emergencial nº </v>
          </cell>
          <cell r="AO1109" t="str">
            <v>CL</v>
          </cell>
        </row>
        <row r="1110">
          <cell r="D1110" t="str">
            <v>2147/11</v>
          </cell>
          <cell r="E1110" t="str">
            <v>19/09/2011</v>
          </cell>
          <cell r="F1110">
            <v>40984</v>
          </cell>
          <cell r="G1110">
            <v>40877</v>
          </cell>
          <cell r="H1110" t="str">
            <v>2011-0.226.214-1</v>
          </cell>
          <cell r="I1110">
            <v>36954.120000000003</v>
          </cell>
          <cell r="J1110" t="str">
            <v xml:space="preserve">              123611122                  2848                    33903600</v>
          </cell>
          <cell r="K1110" t="str">
            <v>19/09/2011</v>
          </cell>
          <cell r="L1110">
            <v>73</v>
          </cell>
          <cell r="M1110">
            <v>15000</v>
          </cell>
          <cell r="N1110">
            <v>57278</v>
          </cell>
          <cell r="O1110">
            <v>30979</v>
          </cell>
          <cell r="P1110">
            <v>16</v>
          </cell>
          <cell r="Q1110">
            <v>3</v>
          </cell>
          <cell r="T1110">
            <v>3750</v>
          </cell>
          <cell r="U1110">
            <v>0</v>
          </cell>
          <cell r="V1110">
            <v>6200</v>
          </cell>
          <cell r="W1110">
            <v>180</v>
          </cell>
          <cell r="X1110">
            <v>4960</v>
          </cell>
          <cell r="Y1110">
            <v>102238</v>
          </cell>
          <cell r="Z1110">
            <v>7477.02</v>
          </cell>
          <cell r="AA1110">
            <v>3682.9799999999996</v>
          </cell>
          <cell r="AB1110">
            <v>205.30066666666667</v>
          </cell>
          <cell r="AC1110">
            <v>6200</v>
          </cell>
          <cell r="AD1110">
            <v>5406.56</v>
          </cell>
          <cell r="AE1110">
            <v>793.4399999999996</v>
          </cell>
          <cell r="AN1110" t="str">
            <v xml:space="preserve">Contrato emergencial nº </v>
          </cell>
          <cell r="AO1110" t="str">
            <v>PJ</v>
          </cell>
        </row>
        <row r="1111">
          <cell r="D1111" t="str">
            <v>2148/11</v>
          </cell>
          <cell r="E1111" t="str">
            <v>19/09/2011</v>
          </cell>
          <cell r="F1111">
            <v>40984</v>
          </cell>
          <cell r="G1111">
            <v>40877</v>
          </cell>
          <cell r="H1111" t="str">
            <v>2011-0.226.218-4</v>
          </cell>
          <cell r="I1111">
            <v>33694.26</v>
          </cell>
          <cell r="J1111" t="str">
            <v xml:space="preserve">              123651121                 2847                    33903600</v>
          </cell>
          <cell r="K1111" t="str">
            <v>19/09/2011</v>
          </cell>
          <cell r="L1111">
            <v>73</v>
          </cell>
          <cell r="M1111">
            <v>13700</v>
          </cell>
          <cell r="N1111">
            <v>57273</v>
          </cell>
          <cell r="O1111">
            <v>30980</v>
          </cell>
          <cell r="P1111">
            <v>16</v>
          </cell>
          <cell r="Q1111">
            <v>2</v>
          </cell>
          <cell r="T1111">
            <v>3425</v>
          </cell>
          <cell r="U1111">
            <v>0</v>
          </cell>
          <cell r="V1111">
            <v>5700</v>
          </cell>
          <cell r="W1111">
            <v>180</v>
          </cell>
          <cell r="X1111">
            <v>4560</v>
          </cell>
          <cell r="Y1111">
            <v>102263</v>
          </cell>
          <cell r="Z1111">
            <v>6379.5</v>
          </cell>
          <cell r="AA1111">
            <v>3880.5</v>
          </cell>
          <cell r="AB1111">
            <v>187.19033333333334</v>
          </cell>
          <cell r="AC1111">
            <v>5700</v>
          </cell>
          <cell r="AD1111">
            <v>5239.8049999999994</v>
          </cell>
          <cell r="AE1111">
            <v>460.19500000000062</v>
          </cell>
          <cell r="AN1111" t="str">
            <v xml:space="preserve">Contrato emergencial nº </v>
          </cell>
          <cell r="AO1111" t="str">
            <v>SA</v>
          </cell>
        </row>
        <row r="1112">
          <cell r="D1112" t="str">
            <v>2149/11</v>
          </cell>
          <cell r="E1112" t="str">
            <v>19/09/2011</v>
          </cell>
          <cell r="F1112">
            <v>40984</v>
          </cell>
          <cell r="G1112">
            <v>40877</v>
          </cell>
          <cell r="H1112" t="str">
            <v>2011-0.226.221-4</v>
          </cell>
          <cell r="I1112">
            <v>31418.52</v>
          </cell>
          <cell r="J1112" t="str">
            <v xml:space="preserve">              123651121                 2847                    33903600</v>
          </cell>
          <cell r="K1112" t="str">
            <v>19/09/2011</v>
          </cell>
          <cell r="L1112">
            <v>73</v>
          </cell>
          <cell r="M1112">
            <v>12800</v>
          </cell>
          <cell r="N1112">
            <v>57273</v>
          </cell>
          <cell r="O1112">
            <v>30983</v>
          </cell>
          <cell r="P1112">
            <v>16</v>
          </cell>
          <cell r="Q1112">
            <v>2</v>
          </cell>
          <cell r="T1112">
            <v>3200</v>
          </cell>
          <cell r="U1112">
            <v>0</v>
          </cell>
          <cell r="V1112">
            <v>5300</v>
          </cell>
          <cell r="W1112">
            <v>180</v>
          </cell>
          <cell r="X1112">
            <v>4240</v>
          </cell>
          <cell r="Y1112">
            <v>102493</v>
          </cell>
          <cell r="Z1112">
            <v>5785.35</v>
          </cell>
          <cell r="AA1112">
            <v>3754.6499999999996</v>
          </cell>
          <cell r="AB1112">
            <v>174.54733333333334</v>
          </cell>
          <cell r="AC1112">
            <v>5300</v>
          </cell>
          <cell r="AD1112">
            <v>5047.04</v>
          </cell>
          <cell r="AE1112">
            <v>252.96000000000004</v>
          </cell>
          <cell r="AN1112" t="str">
            <v xml:space="preserve">Contrato emergencial nº </v>
          </cell>
          <cell r="AO1112" t="str">
            <v>IQ</v>
          </cell>
        </row>
        <row r="1113">
          <cell r="D1113" t="str">
            <v>2150/11</v>
          </cell>
          <cell r="E1113" t="str">
            <v>19/09/2011</v>
          </cell>
          <cell r="F1113">
            <v>40984</v>
          </cell>
          <cell r="G1113">
            <v>40877</v>
          </cell>
          <cell r="H1113" t="str">
            <v>2011-0.224.757-6</v>
          </cell>
          <cell r="I1113">
            <v>31012.38</v>
          </cell>
          <cell r="J1113" t="str">
            <v xml:space="preserve">              123611122                  2848                    33903600</v>
          </cell>
          <cell r="K1113" t="str">
            <v>19/09/2011</v>
          </cell>
          <cell r="L1113">
            <v>73</v>
          </cell>
          <cell r="M1113">
            <v>12600</v>
          </cell>
          <cell r="N1113">
            <v>57278</v>
          </cell>
          <cell r="O1113">
            <v>30986</v>
          </cell>
          <cell r="P1113">
            <v>16</v>
          </cell>
          <cell r="Q1113">
            <v>3</v>
          </cell>
          <cell r="T1113">
            <v>3150</v>
          </cell>
          <cell r="U1113">
            <v>0</v>
          </cell>
          <cell r="V1113">
            <v>5200</v>
          </cell>
          <cell r="W1113">
            <v>180</v>
          </cell>
          <cell r="X1113">
            <v>4160</v>
          </cell>
          <cell r="Y1113">
            <v>102588</v>
          </cell>
          <cell r="Z1113">
            <v>6946.29</v>
          </cell>
          <cell r="AA1113">
            <v>2413.71</v>
          </cell>
          <cell r="AB1113">
            <v>172.291</v>
          </cell>
          <cell r="AC1113">
            <v>5200</v>
          </cell>
          <cell r="AD1113">
            <v>4053.1400000000008</v>
          </cell>
          <cell r="AE1113">
            <v>1146.8599999999992</v>
          </cell>
          <cell r="AN1113" t="str">
            <v xml:space="preserve">Contrato emergencial nº </v>
          </cell>
          <cell r="AO1113" t="str">
            <v>IQ</v>
          </cell>
        </row>
        <row r="1114">
          <cell r="D1114" t="str">
            <v>2151/11</v>
          </cell>
          <cell r="E1114" t="str">
            <v>19/09/2011</v>
          </cell>
          <cell r="F1114">
            <v>40984</v>
          </cell>
          <cell r="G1114">
            <v>40877</v>
          </cell>
          <cell r="H1114" t="str">
            <v>2011-0.224.759-2</v>
          </cell>
          <cell r="I1114">
            <v>38261.760000000002</v>
          </cell>
          <cell r="J1114" t="str">
            <v xml:space="preserve">              123651121                 2847                    33903600</v>
          </cell>
          <cell r="K1114" t="str">
            <v>19/09/2011</v>
          </cell>
          <cell r="L1114">
            <v>73</v>
          </cell>
          <cell r="M1114">
            <v>15600</v>
          </cell>
          <cell r="N1114">
            <v>57273</v>
          </cell>
          <cell r="O1114">
            <v>30989</v>
          </cell>
          <cell r="P1114">
            <v>16</v>
          </cell>
          <cell r="Q1114">
            <v>2</v>
          </cell>
          <cell r="T1114">
            <v>3900</v>
          </cell>
          <cell r="U1114">
            <v>0</v>
          </cell>
          <cell r="V1114">
            <v>6400</v>
          </cell>
          <cell r="W1114">
            <v>180</v>
          </cell>
          <cell r="X1114">
            <v>5120</v>
          </cell>
          <cell r="Y1114">
            <v>102224</v>
          </cell>
          <cell r="Z1114">
            <v>6814.8600000000006</v>
          </cell>
          <cell r="AA1114">
            <v>4705.1399999999994</v>
          </cell>
          <cell r="AB1114">
            <v>212.56533333333334</v>
          </cell>
          <cell r="AC1114">
            <v>6400</v>
          </cell>
          <cell r="AD1114">
            <v>6319.4599999999991</v>
          </cell>
          <cell r="AE1114">
            <v>80.540000000000873</v>
          </cell>
          <cell r="AN1114" t="str">
            <v xml:space="preserve">Contrato emergencial nº </v>
          </cell>
          <cell r="AO1114" t="str">
            <v>CS</v>
          </cell>
        </row>
        <row r="1115">
          <cell r="D1115" t="str">
            <v>2152/11</v>
          </cell>
          <cell r="E1115" t="str">
            <v>19/09/2011</v>
          </cell>
          <cell r="F1115">
            <v>40984</v>
          </cell>
          <cell r="G1115">
            <v>40877</v>
          </cell>
          <cell r="H1115" t="str">
            <v>2011-0.224.763-0</v>
          </cell>
          <cell r="I1115">
            <v>26901.3</v>
          </cell>
          <cell r="J1115" t="str">
            <v xml:space="preserve">              123651121                 2847                    33903600</v>
          </cell>
          <cell r="K1115" t="str">
            <v>19/09/2011</v>
          </cell>
          <cell r="L1115">
            <v>73</v>
          </cell>
          <cell r="M1115">
            <v>11000</v>
          </cell>
          <cell r="N1115">
            <v>57273</v>
          </cell>
          <cell r="O1115">
            <v>30991</v>
          </cell>
          <cell r="P1115">
            <v>16</v>
          </cell>
          <cell r="Q1115">
            <v>2</v>
          </cell>
          <cell r="T1115">
            <v>2750</v>
          </cell>
          <cell r="U1115">
            <v>0</v>
          </cell>
          <cell r="V1115">
            <v>4800</v>
          </cell>
          <cell r="W1115">
            <v>180</v>
          </cell>
          <cell r="X1115">
            <v>3840</v>
          </cell>
          <cell r="Y1115">
            <v>103050</v>
          </cell>
          <cell r="Z1115">
            <v>4421.6899999999996</v>
          </cell>
          <cell r="AA1115">
            <v>4218.3100000000004</v>
          </cell>
          <cell r="AB1115">
            <v>149.45166666666665</v>
          </cell>
          <cell r="AC1115">
            <v>4500</v>
          </cell>
          <cell r="AD1115">
            <v>4730.41</v>
          </cell>
          <cell r="AE1115">
            <v>-230.40999999999985</v>
          </cell>
          <cell r="AN1115" t="str">
            <v xml:space="preserve">Contrato emergencial nº </v>
          </cell>
          <cell r="AO1115" t="str">
            <v>JT</v>
          </cell>
        </row>
        <row r="1116">
          <cell r="D1116" t="str">
            <v>2153/11</v>
          </cell>
          <cell r="E1116" t="str">
            <v>19/09/2011</v>
          </cell>
          <cell r="F1116">
            <v>40984</v>
          </cell>
          <cell r="G1116">
            <v>40877</v>
          </cell>
          <cell r="H1116" t="str">
            <v>2011-0.224.765-7</v>
          </cell>
          <cell r="I1116">
            <v>34338.839999999997</v>
          </cell>
          <cell r="J1116" t="str">
            <v xml:space="preserve">              123611122                  2848                    33903600</v>
          </cell>
          <cell r="K1116" t="str">
            <v>19/09/2011</v>
          </cell>
          <cell r="L1116">
            <v>73</v>
          </cell>
          <cell r="M1116">
            <v>14000</v>
          </cell>
          <cell r="N1116">
            <v>57278</v>
          </cell>
          <cell r="O1116">
            <v>30995</v>
          </cell>
          <cell r="P1116">
            <v>16</v>
          </cell>
          <cell r="Q1116">
            <v>3</v>
          </cell>
          <cell r="T1116">
            <v>3500</v>
          </cell>
          <cell r="U1116">
            <v>0</v>
          </cell>
          <cell r="V1116">
            <v>5800</v>
          </cell>
          <cell r="W1116">
            <v>180</v>
          </cell>
          <cell r="X1116">
            <v>4640</v>
          </cell>
          <cell r="Y1116">
            <v>102272</v>
          </cell>
          <cell r="Z1116">
            <v>6840.76</v>
          </cell>
          <cell r="AA1116">
            <v>3599.24</v>
          </cell>
          <cell r="AB1116">
            <v>190.7713333333333</v>
          </cell>
          <cell r="AC1116">
            <v>5800</v>
          </cell>
          <cell r="AD1116">
            <v>5147.1400000000003</v>
          </cell>
          <cell r="AE1116">
            <v>652.85999999999967</v>
          </cell>
          <cell r="AN1116" t="str">
            <v xml:space="preserve">Contrato emergencial nº </v>
          </cell>
          <cell r="AO1116" t="str">
            <v>PJ</v>
          </cell>
        </row>
        <row r="1117">
          <cell r="D1117" t="str">
            <v>2154/11</v>
          </cell>
          <cell r="E1117" t="str">
            <v>19/09/2011</v>
          </cell>
          <cell r="F1117">
            <v>40984</v>
          </cell>
          <cell r="G1117">
            <v>40877</v>
          </cell>
          <cell r="H1117" t="str">
            <v>2011-0.224.803-3</v>
          </cell>
          <cell r="I1117">
            <v>44324.52</v>
          </cell>
          <cell r="J1117" t="str">
            <v xml:space="preserve">              123651121                 2847                    33903600</v>
          </cell>
          <cell r="K1117" t="str">
            <v>19/09/2011</v>
          </cell>
          <cell r="L1117">
            <v>73</v>
          </cell>
          <cell r="M1117">
            <v>18000</v>
          </cell>
          <cell r="N1117">
            <v>57273</v>
          </cell>
          <cell r="O1117">
            <v>30997</v>
          </cell>
          <cell r="P1117">
            <v>16</v>
          </cell>
          <cell r="Q1117">
            <v>2</v>
          </cell>
          <cell r="T1117">
            <v>4500</v>
          </cell>
          <cell r="U1117">
            <v>0</v>
          </cell>
          <cell r="V1117">
            <v>7400</v>
          </cell>
          <cell r="W1117">
            <v>180</v>
          </cell>
          <cell r="X1117">
            <v>5920</v>
          </cell>
          <cell r="Y1117">
            <v>102020</v>
          </cell>
          <cell r="Z1117">
            <v>7560.63</v>
          </cell>
          <cell r="AA1117">
            <v>5759.37</v>
          </cell>
          <cell r="AB1117">
            <v>246.2473333333333</v>
          </cell>
          <cell r="AC1117">
            <v>7400</v>
          </cell>
          <cell r="AD1117">
            <v>7211.7806666666665</v>
          </cell>
          <cell r="AE1117">
            <v>188.21933333333345</v>
          </cell>
          <cell r="AN1117" t="str">
            <v xml:space="preserve">Contrato emergencial nº </v>
          </cell>
          <cell r="AO1117" t="str">
            <v>PJ</v>
          </cell>
        </row>
        <row r="1118">
          <cell r="D1118" t="str">
            <v>2155/11</v>
          </cell>
          <cell r="E1118" t="str">
            <v>19/09/2011</v>
          </cell>
          <cell r="F1118">
            <v>40984</v>
          </cell>
          <cell r="G1118">
            <v>40877</v>
          </cell>
          <cell r="H1118" t="str">
            <v>2011-0.224.807-6</v>
          </cell>
          <cell r="I1118">
            <v>44978.400000000001</v>
          </cell>
          <cell r="J1118" t="str">
            <v xml:space="preserve">              123651121                 2847                    33903600</v>
          </cell>
          <cell r="K1118" t="str">
            <v>19/09/2011</v>
          </cell>
          <cell r="L1118">
            <v>73</v>
          </cell>
          <cell r="M1118">
            <v>18300</v>
          </cell>
          <cell r="N1118">
            <v>57273</v>
          </cell>
          <cell r="O1118">
            <v>30999</v>
          </cell>
          <cell r="P1118">
            <v>16</v>
          </cell>
          <cell r="Q1118">
            <v>2</v>
          </cell>
          <cell r="T1118">
            <v>4575</v>
          </cell>
          <cell r="U1118">
            <v>0</v>
          </cell>
          <cell r="V1118">
            <v>7500</v>
          </cell>
          <cell r="W1118">
            <v>180</v>
          </cell>
          <cell r="X1118">
            <v>6000</v>
          </cell>
          <cell r="Y1118">
            <v>102232</v>
          </cell>
          <cell r="Z1118">
            <v>8900.52</v>
          </cell>
          <cell r="AA1118">
            <v>4599.4799999999996</v>
          </cell>
          <cell r="AB1118">
            <v>249.88</v>
          </cell>
          <cell r="AC1118">
            <v>7500</v>
          </cell>
          <cell r="AD1118">
            <v>6031.5300000000007</v>
          </cell>
          <cell r="AE1118">
            <v>1468.4699999999993</v>
          </cell>
          <cell r="AN1118" t="str">
            <v xml:space="preserve">Contrato emergencial nº </v>
          </cell>
          <cell r="AO1118" t="str">
            <v>SA</v>
          </cell>
        </row>
        <row r="1119">
          <cell r="D1119" t="str">
            <v>2156/11</v>
          </cell>
          <cell r="E1119" t="str">
            <v>19/09/2011</v>
          </cell>
          <cell r="F1119">
            <v>40984</v>
          </cell>
          <cell r="G1119">
            <v>40877</v>
          </cell>
          <cell r="H1119" t="str">
            <v>2011-0.225.340-1</v>
          </cell>
          <cell r="I1119">
            <v>44324.52</v>
          </cell>
          <cell r="J1119" t="str">
            <v xml:space="preserve">              123651121                 2847                    33903600</v>
          </cell>
          <cell r="K1119" t="str">
            <v>19/09/2011</v>
          </cell>
          <cell r="L1119">
            <v>73</v>
          </cell>
          <cell r="M1119">
            <v>18000</v>
          </cell>
          <cell r="N1119">
            <v>57273</v>
          </cell>
          <cell r="O1119">
            <v>31001</v>
          </cell>
          <cell r="P1119">
            <v>16</v>
          </cell>
          <cell r="Q1119">
            <v>2</v>
          </cell>
          <cell r="T1119">
            <v>4500</v>
          </cell>
          <cell r="U1119">
            <v>0</v>
          </cell>
          <cell r="V1119">
            <v>7400</v>
          </cell>
          <cell r="W1119">
            <v>180</v>
          </cell>
          <cell r="X1119">
            <v>5920</v>
          </cell>
          <cell r="Y1119">
            <v>101969</v>
          </cell>
          <cell r="Z1119">
            <v>8386.64</v>
          </cell>
          <cell r="AA1119">
            <v>4933.3600000000006</v>
          </cell>
          <cell r="AB1119">
            <v>246.2473333333333</v>
          </cell>
          <cell r="AC1119">
            <v>7400</v>
          </cell>
          <cell r="AD1119">
            <v>6896.54</v>
          </cell>
          <cell r="AE1119">
            <v>503.46000000000004</v>
          </cell>
          <cell r="AN1119" t="str">
            <v xml:space="preserve">Contrato emergencial nº </v>
          </cell>
          <cell r="AO1119" t="str">
            <v>CS</v>
          </cell>
        </row>
        <row r="1120">
          <cell r="D1120" t="str">
            <v>2157/11</v>
          </cell>
          <cell r="E1120" t="str">
            <v>19/09/2011</v>
          </cell>
          <cell r="F1120">
            <v>40984</v>
          </cell>
          <cell r="G1120">
            <v>40877</v>
          </cell>
          <cell r="H1120" t="str">
            <v>2011-0.225.341-0</v>
          </cell>
          <cell r="I1120">
            <v>44324.52</v>
          </cell>
          <cell r="J1120" t="str">
            <v xml:space="preserve">              123651121                 2847                    33903600</v>
          </cell>
          <cell r="K1120" t="str">
            <v>19/09/2011</v>
          </cell>
          <cell r="L1120">
            <v>73</v>
          </cell>
          <cell r="M1120">
            <v>18000</v>
          </cell>
          <cell r="N1120">
            <v>57273</v>
          </cell>
          <cell r="O1120">
            <v>31018</v>
          </cell>
          <cell r="P1120">
            <v>16</v>
          </cell>
          <cell r="Q1120">
            <v>2</v>
          </cell>
          <cell r="T1120">
            <v>4500</v>
          </cell>
          <cell r="U1120">
            <v>0</v>
          </cell>
          <cell r="V1120">
            <v>7400</v>
          </cell>
          <cell r="W1120">
            <v>180</v>
          </cell>
          <cell r="X1120">
            <v>5920</v>
          </cell>
          <cell r="Y1120">
            <v>102182</v>
          </cell>
          <cell r="Z1120">
            <v>8919.07</v>
          </cell>
          <cell r="AA1120">
            <v>4400.93</v>
          </cell>
          <cell r="AB1120">
            <v>246.2473333333333</v>
          </cell>
          <cell r="AC1120">
            <v>7400</v>
          </cell>
          <cell r="AD1120">
            <v>6529.7600000000011</v>
          </cell>
          <cell r="AE1120">
            <v>870.23999999999887</v>
          </cell>
          <cell r="AN1120" t="str">
            <v xml:space="preserve">Contrato emergencial nº </v>
          </cell>
          <cell r="AO1120" t="str">
            <v>CS</v>
          </cell>
        </row>
        <row r="1121">
          <cell r="D1121" t="str">
            <v>2158/11</v>
          </cell>
          <cell r="E1121" t="str">
            <v>19/09/2011</v>
          </cell>
          <cell r="F1121">
            <v>40984</v>
          </cell>
          <cell r="G1121">
            <v>40877</v>
          </cell>
          <cell r="H1121" t="str">
            <v>2011-0.225.342-8</v>
          </cell>
          <cell r="I1121">
            <v>44324.52</v>
          </cell>
          <cell r="J1121" t="str">
            <v xml:space="preserve">              123651121                 2847                    33903600</v>
          </cell>
          <cell r="K1121" t="str">
            <v>19/09/2011</v>
          </cell>
          <cell r="L1121">
            <v>73</v>
          </cell>
          <cell r="M1121">
            <v>18000</v>
          </cell>
          <cell r="N1121">
            <v>57273</v>
          </cell>
          <cell r="O1121">
            <v>31019</v>
          </cell>
          <cell r="P1121">
            <v>16</v>
          </cell>
          <cell r="Q1121">
            <v>2</v>
          </cell>
          <cell r="T1121">
            <v>4500</v>
          </cell>
          <cell r="U1121">
            <v>0</v>
          </cell>
          <cell r="V1121">
            <v>7400</v>
          </cell>
          <cell r="W1121">
            <v>180</v>
          </cell>
          <cell r="X1121">
            <v>5920</v>
          </cell>
          <cell r="Y1121">
            <v>102942</v>
          </cell>
          <cell r="Z1121">
            <v>9652.91</v>
          </cell>
          <cell r="AA1121">
            <v>3667.09</v>
          </cell>
          <cell r="AB1121">
            <v>246.2473333333333</v>
          </cell>
          <cell r="AC1121">
            <v>7400</v>
          </cell>
          <cell r="AD1121">
            <v>6209.1239999999998</v>
          </cell>
          <cell r="AE1121">
            <v>1190.8760000000002</v>
          </cell>
          <cell r="AN1121" t="str">
            <v xml:space="preserve">Contrato emergencial nº </v>
          </cell>
          <cell r="AO1121" t="str">
            <v>G</v>
          </cell>
        </row>
        <row r="1122">
          <cell r="D1122" t="str">
            <v>2159/11</v>
          </cell>
          <cell r="E1122" t="str">
            <v>19/09/2011</v>
          </cell>
          <cell r="F1122">
            <v>40984</v>
          </cell>
          <cell r="G1122">
            <v>40877</v>
          </cell>
          <cell r="H1122" t="str">
            <v>2011-0.225.343-6</v>
          </cell>
          <cell r="I1122">
            <v>44324.52</v>
          </cell>
          <cell r="J1122" t="str">
            <v xml:space="preserve">              123651121                 2847                    33903600</v>
          </cell>
          <cell r="K1122" t="str">
            <v>19/09/2011</v>
          </cell>
          <cell r="L1122">
            <v>73</v>
          </cell>
          <cell r="M1122">
            <v>18000</v>
          </cell>
          <cell r="N1122">
            <v>57273</v>
          </cell>
          <cell r="O1122">
            <v>31021</v>
          </cell>
          <cell r="P1122">
            <v>16</v>
          </cell>
          <cell r="Q1122">
            <v>2</v>
          </cell>
          <cell r="T1122">
            <v>4500</v>
          </cell>
          <cell r="U1122">
            <v>0</v>
          </cell>
          <cell r="V1122">
            <v>7400</v>
          </cell>
          <cell r="W1122">
            <v>180</v>
          </cell>
          <cell r="X1122">
            <v>5920</v>
          </cell>
          <cell r="Y1122">
            <v>102185</v>
          </cell>
          <cell r="Z1122">
            <v>10353</v>
          </cell>
          <cell r="AA1122">
            <v>2967</v>
          </cell>
          <cell r="AB1122">
            <v>246.2473333333333</v>
          </cell>
          <cell r="AC1122">
            <v>7400</v>
          </cell>
          <cell r="AD1122">
            <v>5478.25</v>
          </cell>
          <cell r="AE1122">
            <v>1921.75</v>
          </cell>
          <cell r="AN1122" t="str">
            <v xml:space="preserve">Contrato emergencial nº </v>
          </cell>
          <cell r="AO1122" t="str">
            <v>CS</v>
          </cell>
        </row>
        <row r="1123">
          <cell r="D1123" t="str">
            <v>2160/11</v>
          </cell>
          <cell r="E1123" t="str">
            <v>19/09/2011</v>
          </cell>
          <cell r="F1123">
            <v>40984</v>
          </cell>
          <cell r="G1123">
            <v>40877</v>
          </cell>
          <cell r="H1123" t="str">
            <v>2011-0.225.344-4</v>
          </cell>
          <cell r="I1123">
            <v>44324.52</v>
          </cell>
          <cell r="J1123" t="str">
            <v xml:space="preserve">              123651121                 2847                    33903600</v>
          </cell>
          <cell r="K1123" t="str">
            <v>19/09/2011</v>
          </cell>
          <cell r="L1123">
            <v>73</v>
          </cell>
          <cell r="M1123">
            <v>18000</v>
          </cell>
          <cell r="N1123">
            <v>57273</v>
          </cell>
          <cell r="O1123">
            <v>31022</v>
          </cell>
          <cell r="P1123">
            <v>16</v>
          </cell>
          <cell r="Q1123">
            <v>2</v>
          </cell>
          <cell r="T1123">
            <v>4500</v>
          </cell>
          <cell r="U1123">
            <v>0</v>
          </cell>
          <cell r="V1123">
            <v>7400</v>
          </cell>
          <cell r="W1123">
            <v>180</v>
          </cell>
          <cell r="X1123">
            <v>5920</v>
          </cell>
          <cell r="Y1123">
            <v>102188</v>
          </cell>
          <cell r="Z1123">
            <v>8365.41</v>
          </cell>
          <cell r="AA1123">
            <v>4954.59</v>
          </cell>
          <cell r="AB1123">
            <v>246.2473333333333</v>
          </cell>
          <cell r="AC1123">
            <v>7400</v>
          </cell>
          <cell r="AD1123">
            <v>6946.7800000000007</v>
          </cell>
          <cell r="AE1123">
            <v>453.21999999999935</v>
          </cell>
          <cell r="AN1123" t="str">
            <v xml:space="preserve">Contrato emergencial nº </v>
          </cell>
          <cell r="AO1123" t="str">
            <v>CS</v>
          </cell>
        </row>
        <row r="1124">
          <cell r="D1124" t="str">
            <v>2161/11</v>
          </cell>
          <cell r="E1124" t="str">
            <v>19/09/2011</v>
          </cell>
          <cell r="F1124">
            <v>40984</v>
          </cell>
          <cell r="G1124">
            <v>40877</v>
          </cell>
          <cell r="H1124" t="str">
            <v>2011-0.225.345-2</v>
          </cell>
          <cell r="I1124">
            <v>38915.58</v>
          </cell>
          <cell r="J1124" t="str">
            <v xml:space="preserve">              123651121                 2847                    33903600</v>
          </cell>
          <cell r="K1124" t="str">
            <v>19/09/2011</v>
          </cell>
          <cell r="L1124">
            <v>73</v>
          </cell>
          <cell r="M1124">
            <v>15800</v>
          </cell>
          <cell r="N1124">
            <v>57273</v>
          </cell>
          <cell r="O1124">
            <v>31023</v>
          </cell>
          <cell r="P1124">
            <v>16</v>
          </cell>
          <cell r="Q1124">
            <v>2</v>
          </cell>
          <cell r="T1124">
            <v>3950</v>
          </cell>
          <cell r="U1124">
            <v>0</v>
          </cell>
          <cell r="V1124">
            <v>6500</v>
          </cell>
          <cell r="W1124">
            <v>180</v>
          </cell>
          <cell r="X1124">
            <v>5200</v>
          </cell>
          <cell r="Y1124">
            <v>102518</v>
          </cell>
          <cell r="Z1124">
            <v>7124.06</v>
          </cell>
          <cell r="AA1124">
            <v>4575.9399999999996</v>
          </cell>
          <cell r="AB1124">
            <v>216.19766666666666</v>
          </cell>
          <cell r="AC1124">
            <v>6500</v>
          </cell>
          <cell r="AD1124">
            <v>6214.17</v>
          </cell>
          <cell r="AE1124">
            <v>285.82999999999993</v>
          </cell>
          <cell r="AN1124" t="str">
            <v xml:space="preserve">Contrato emergencial nº </v>
          </cell>
          <cell r="AO1124" t="str">
            <v>SM</v>
          </cell>
        </row>
        <row r="1125">
          <cell r="D1125" t="str">
            <v>2162/11</v>
          </cell>
          <cell r="E1125" t="str">
            <v>19/09/2011</v>
          </cell>
          <cell r="F1125">
            <v>40984</v>
          </cell>
          <cell r="G1125">
            <v>40877</v>
          </cell>
          <cell r="H1125" t="str">
            <v>2011-0.225.346-0</v>
          </cell>
          <cell r="I1125">
            <v>44324.52</v>
          </cell>
          <cell r="J1125" t="str">
            <v xml:space="preserve">              123651121                 2847                    33903600</v>
          </cell>
          <cell r="K1125" t="str">
            <v>19/09/2011</v>
          </cell>
          <cell r="L1125">
            <v>73</v>
          </cell>
          <cell r="M1125">
            <v>18000</v>
          </cell>
          <cell r="N1125">
            <v>57273</v>
          </cell>
          <cell r="O1125">
            <v>31024</v>
          </cell>
          <cell r="P1125">
            <v>16</v>
          </cell>
          <cell r="Q1125">
            <v>2</v>
          </cell>
          <cell r="T1125">
            <v>4500</v>
          </cell>
          <cell r="U1125">
            <v>0</v>
          </cell>
          <cell r="V1125">
            <v>7400</v>
          </cell>
          <cell r="W1125">
            <v>180</v>
          </cell>
          <cell r="X1125">
            <v>5920</v>
          </cell>
          <cell r="Y1125">
            <v>102947</v>
          </cell>
          <cell r="Z1125">
            <v>8249.77</v>
          </cell>
          <cell r="AA1125">
            <v>5070.2299999999996</v>
          </cell>
          <cell r="AB1125">
            <v>246.2473333333333</v>
          </cell>
          <cell r="AC1125">
            <v>7400</v>
          </cell>
          <cell r="AD1125">
            <v>6952.2800000000007</v>
          </cell>
          <cell r="AE1125">
            <v>447.71999999999935</v>
          </cell>
          <cell r="AN1125" t="str">
            <v xml:space="preserve">Contrato emergencial nº </v>
          </cell>
          <cell r="AO1125" t="str">
            <v>G</v>
          </cell>
        </row>
        <row r="1126">
          <cell r="D1126" t="str">
            <v>2163/11</v>
          </cell>
          <cell r="E1126" t="str">
            <v>19/09/2011</v>
          </cell>
          <cell r="F1126">
            <v>40984</v>
          </cell>
          <cell r="G1126">
            <v>40877</v>
          </cell>
          <cell r="H1126" t="str">
            <v>2011-0.225.347-9</v>
          </cell>
          <cell r="I1126">
            <v>29942.46</v>
          </cell>
          <cell r="J1126" t="str">
            <v xml:space="preserve">              123651121                 2847                    33903600</v>
          </cell>
          <cell r="K1126" t="str">
            <v>19/09/2011</v>
          </cell>
          <cell r="L1126">
            <v>73</v>
          </cell>
          <cell r="M1126">
            <v>12200</v>
          </cell>
          <cell r="N1126">
            <v>57273</v>
          </cell>
          <cell r="O1126">
            <v>31026</v>
          </cell>
          <cell r="P1126">
            <v>16</v>
          </cell>
          <cell r="Q1126">
            <v>2</v>
          </cell>
          <cell r="T1126">
            <v>3050</v>
          </cell>
          <cell r="U1126">
            <v>0</v>
          </cell>
          <cell r="V1126">
            <v>5000</v>
          </cell>
          <cell r="W1126">
            <v>180</v>
          </cell>
          <cell r="X1126">
            <v>4000</v>
          </cell>
          <cell r="Y1126">
            <v>102042</v>
          </cell>
          <cell r="Z1126">
            <v>5568.08</v>
          </cell>
          <cell r="AA1126">
            <v>3431.92</v>
          </cell>
          <cell r="AB1126">
            <v>166.34700000000001</v>
          </cell>
          <cell r="AC1126">
            <v>5000</v>
          </cell>
          <cell r="AD1126">
            <v>4835.2500000000009</v>
          </cell>
          <cell r="AE1126">
            <v>164.74999999999909</v>
          </cell>
          <cell r="AN1126" t="str">
            <v xml:space="preserve">Contrato emergencial nº </v>
          </cell>
          <cell r="AO1126" t="str">
            <v>PJ</v>
          </cell>
        </row>
        <row r="1127">
          <cell r="D1127" t="str">
            <v>2165/11</v>
          </cell>
          <cell r="E1127" t="str">
            <v>19/09/2011</v>
          </cell>
          <cell r="F1127">
            <v>40984</v>
          </cell>
          <cell r="G1127">
            <v>40877</v>
          </cell>
          <cell r="H1127" t="str">
            <v>2011-0.225.354-1</v>
          </cell>
          <cell r="I1127">
            <v>44324.52</v>
          </cell>
          <cell r="J1127" t="str">
            <v xml:space="preserve">              123651121                 2847                    33903600</v>
          </cell>
          <cell r="K1127" t="str">
            <v>19/09/2011</v>
          </cell>
          <cell r="L1127">
            <v>73</v>
          </cell>
          <cell r="M1127">
            <v>18000</v>
          </cell>
          <cell r="N1127">
            <v>57273</v>
          </cell>
          <cell r="O1127">
            <v>31027</v>
          </cell>
          <cell r="P1127">
            <v>16</v>
          </cell>
          <cell r="Q1127">
            <v>2</v>
          </cell>
          <cell r="T1127">
            <v>4500</v>
          </cell>
          <cell r="U1127">
            <v>0</v>
          </cell>
          <cell r="V1127">
            <v>7400</v>
          </cell>
          <cell r="W1127">
            <v>180</v>
          </cell>
          <cell r="X1127">
            <v>5920</v>
          </cell>
          <cell r="Y1127">
            <v>105955</v>
          </cell>
          <cell r="Z1127">
            <v>8439.14</v>
          </cell>
          <cell r="AA1127">
            <v>4880.8600000000006</v>
          </cell>
          <cell r="AB1127">
            <v>246.2473333333333</v>
          </cell>
          <cell r="AC1127">
            <v>7400</v>
          </cell>
          <cell r="AD1127">
            <v>6802.16</v>
          </cell>
          <cell r="AE1127">
            <v>597.84000000000015</v>
          </cell>
          <cell r="AN1127" t="str">
            <v xml:space="preserve">Contrato emergencial nº </v>
          </cell>
          <cell r="AO1127" t="str">
            <v>G</v>
          </cell>
        </row>
        <row r="1128">
          <cell r="D1128" t="str">
            <v>2166/11</v>
          </cell>
          <cell r="E1128" t="str">
            <v>19/09/2011</v>
          </cell>
          <cell r="F1128">
            <v>40984</v>
          </cell>
          <cell r="G1128">
            <v>40877</v>
          </cell>
          <cell r="H1128" t="str">
            <v>2011-0.225.358-4</v>
          </cell>
          <cell r="I1128">
            <v>38261.760000000002</v>
          </cell>
          <cell r="J1128" t="str">
            <v xml:space="preserve">              123651121                 2847                    33903600</v>
          </cell>
          <cell r="K1128" t="str">
            <v>19/09/2011</v>
          </cell>
          <cell r="L1128">
            <v>73</v>
          </cell>
          <cell r="M1128">
            <v>15600</v>
          </cell>
          <cell r="N1128">
            <v>57273</v>
          </cell>
          <cell r="O1128">
            <v>31031</v>
          </cell>
          <cell r="P1128">
            <v>16</v>
          </cell>
          <cell r="Q1128">
            <v>2</v>
          </cell>
          <cell r="T1128">
            <v>3900</v>
          </cell>
          <cell r="U1128">
            <v>0</v>
          </cell>
          <cell r="V1128">
            <v>6500</v>
          </cell>
          <cell r="W1128">
            <v>180</v>
          </cell>
          <cell r="X1128">
            <v>5200</v>
          </cell>
          <cell r="Y1128">
            <v>102453</v>
          </cell>
          <cell r="Z1128">
            <v>6677.36</v>
          </cell>
          <cell r="AA1128">
            <v>5022.6400000000003</v>
          </cell>
          <cell r="AB1128">
            <v>212.56533333333334</v>
          </cell>
          <cell r="AC1128">
            <v>6400</v>
          </cell>
          <cell r="AD1128">
            <v>6407.71</v>
          </cell>
          <cell r="AE1128">
            <v>-7.7100000000000364</v>
          </cell>
          <cell r="AN1128" t="str">
            <v xml:space="preserve">Contrato emergencial nº </v>
          </cell>
          <cell r="AO1128" t="str">
            <v>IP</v>
          </cell>
        </row>
        <row r="1129">
          <cell r="D1129" t="str">
            <v>2167/11</v>
          </cell>
          <cell r="E1129" t="str">
            <v>19/09/2011</v>
          </cell>
          <cell r="F1129">
            <v>40984</v>
          </cell>
          <cell r="G1129">
            <v>40877</v>
          </cell>
          <cell r="H1129" t="str">
            <v>2011-0.225.360-6</v>
          </cell>
          <cell r="I1129">
            <v>44324.52</v>
          </cell>
          <cell r="J1129" t="str">
            <v xml:space="preserve">              123651121                 2847                    33903600</v>
          </cell>
          <cell r="K1129" t="str">
            <v>19/09/2011</v>
          </cell>
          <cell r="L1129">
            <v>73</v>
          </cell>
          <cell r="M1129">
            <v>18000</v>
          </cell>
          <cell r="N1129">
            <v>57273</v>
          </cell>
          <cell r="O1129">
            <v>31034</v>
          </cell>
          <cell r="P1129">
            <v>16</v>
          </cell>
          <cell r="Q1129">
            <v>2</v>
          </cell>
          <cell r="T1129">
            <v>4500</v>
          </cell>
          <cell r="U1129">
            <v>0</v>
          </cell>
          <cell r="V1129">
            <v>7400</v>
          </cell>
          <cell r="W1129">
            <v>180</v>
          </cell>
          <cell r="X1129">
            <v>5920</v>
          </cell>
          <cell r="Y1129">
            <v>102254</v>
          </cell>
          <cell r="Z1129">
            <v>9724.4599999999991</v>
          </cell>
          <cell r="AA1129">
            <v>3595.5400000000009</v>
          </cell>
          <cell r="AB1129">
            <v>246.2473333333333</v>
          </cell>
          <cell r="AC1129">
            <v>7400</v>
          </cell>
          <cell r="AD1129">
            <v>5943.9050000000007</v>
          </cell>
          <cell r="AE1129">
            <v>1456.0949999999993</v>
          </cell>
          <cell r="AN1129" t="str">
            <v xml:space="preserve">Contrato emergencial nº </v>
          </cell>
          <cell r="AO1129" t="str">
            <v>SA</v>
          </cell>
        </row>
        <row r="1130">
          <cell r="D1130" t="str">
            <v>2168/11</v>
          </cell>
          <cell r="E1130" t="str">
            <v>19/09/2011</v>
          </cell>
          <cell r="F1130">
            <v>40984</v>
          </cell>
          <cell r="G1130">
            <v>40877</v>
          </cell>
          <cell r="H1130" t="str">
            <v>2011-0.225.361-4</v>
          </cell>
          <cell r="I1130">
            <v>31012.38</v>
          </cell>
          <cell r="J1130" t="str">
            <v xml:space="preserve">              123651121                 2847                    33903600</v>
          </cell>
          <cell r="K1130" t="str">
            <v>19/09/2011</v>
          </cell>
          <cell r="L1130">
            <v>73</v>
          </cell>
          <cell r="M1130">
            <v>12600</v>
          </cell>
          <cell r="N1130">
            <v>57273</v>
          </cell>
          <cell r="O1130">
            <v>31037</v>
          </cell>
          <cell r="P1130">
            <v>16</v>
          </cell>
          <cell r="Q1130">
            <v>2</v>
          </cell>
          <cell r="T1130">
            <v>3150</v>
          </cell>
          <cell r="U1130">
            <v>0</v>
          </cell>
          <cell r="V1130">
            <v>5600</v>
          </cell>
          <cell r="W1130">
            <v>180</v>
          </cell>
          <cell r="X1130">
            <v>4480</v>
          </cell>
          <cell r="Y1130">
            <v>103058</v>
          </cell>
          <cell r="Z1130">
            <v>4908.24</v>
          </cell>
          <cell r="AA1130">
            <v>5171.76</v>
          </cell>
          <cell r="AB1130">
            <v>172.291</v>
          </cell>
          <cell r="AC1130">
            <v>5200</v>
          </cell>
          <cell r="AD1130">
            <v>5551.8</v>
          </cell>
          <cell r="AE1130">
            <v>-351.80000000000018</v>
          </cell>
          <cell r="AN1130" t="str">
            <v xml:space="preserve">Contrato emergencial nº </v>
          </cell>
          <cell r="AO1130" t="str">
            <v>JT</v>
          </cell>
        </row>
        <row r="1131">
          <cell r="D1131" t="str">
            <v>2169/11</v>
          </cell>
          <cell r="E1131" t="str">
            <v>19/09/2011</v>
          </cell>
          <cell r="F1131">
            <v>40984</v>
          </cell>
          <cell r="G1131">
            <v>40877</v>
          </cell>
          <cell r="H1131" t="str">
            <v>2011-0.225.363-0</v>
          </cell>
          <cell r="I1131">
            <v>36954.120000000003</v>
          </cell>
          <cell r="J1131" t="str">
            <v xml:space="preserve">              123651121                 2847                    33903600</v>
          </cell>
          <cell r="K1131" t="str">
            <v>19/09/2011</v>
          </cell>
          <cell r="L1131">
            <v>73</v>
          </cell>
          <cell r="M1131">
            <v>15000</v>
          </cell>
          <cell r="N1131">
            <v>57273</v>
          </cell>
          <cell r="O1131">
            <v>31039</v>
          </cell>
          <cell r="P1131">
            <v>16</v>
          </cell>
          <cell r="Q1131">
            <v>2</v>
          </cell>
          <cell r="T1131">
            <v>3750</v>
          </cell>
          <cell r="U1131">
            <v>0</v>
          </cell>
          <cell r="V1131">
            <v>6200</v>
          </cell>
          <cell r="W1131">
            <v>180</v>
          </cell>
          <cell r="X1131">
            <v>4960</v>
          </cell>
          <cell r="Y1131">
            <v>102473</v>
          </cell>
          <cell r="Z1131">
            <v>8548.4599999999991</v>
          </cell>
          <cell r="AA1131">
            <v>2611.5400000000009</v>
          </cell>
          <cell r="AB1131">
            <v>205.30066666666667</v>
          </cell>
          <cell r="AC1131">
            <v>6200</v>
          </cell>
          <cell r="AD1131">
            <v>4632.3600000000006</v>
          </cell>
          <cell r="AE1131">
            <v>1567.6399999999994</v>
          </cell>
          <cell r="AN1131" t="str">
            <v xml:space="preserve">Contrato emergencial nº </v>
          </cell>
          <cell r="AO1131" t="str">
            <v>IP</v>
          </cell>
        </row>
        <row r="1132">
          <cell r="D1132" t="str">
            <v>2170/11</v>
          </cell>
          <cell r="E1132" t="str">
            <v>19/09/2011</v>
          </cell>
          <cell r="F1132">
            <v>40984</v>
          </cell>
          <cell r="G1132">
            <v>40877</v>
          </cell>
          <cell r="H1132" t="str">
            <v>2011-0.225.366-5</v>
          </cell>
          <cell r="I1132">
            <v>44978.400000000001</v>
          </cell>
          <cell r="J1132" t="str">
            <v xml:space="preserve">              123651121                 2847                    33903600</v>
          </cell>
          <cell r="K1132" t="str">
            <v>19/09/2011</v>
          </cell>
          <cell r="L1132">
            <v>73</v>
          </cell>
          <cell r="M1132">
            <v>18300</v>
          </cell>
          <cell r="N1132">
            <v>57273</v>
          </cell>
          <cell r="O1132">
            <v>31042</v>
          </cell>
          <cell r="P1132">
            <v>16</v>
          </cell>
          <cell r="Q1132">
            <v>2</v>
          </cell>
          <cell r="T1132">
            <v>4575</v>
          </cell>
          <cell r="U1132">
            <v>0</v>
          </cell>
          <cell r="V1132">
            <v>7500</v>
          </cell>
          <cell r="W1132">
            <v>180</v>
          </cell>
          <cell r="X1132">
            <v>6000</v>
          </cell>
          <cell r="Y1132">
            <v>102963</v>
          </cell>
          <cell r="Z1132">
            <v>9896.1299999999992</v>
          </cell>
          <cell r="AA1132">
            <v>3603.8700000000008</v>
          </cell>
          <cell r="AB1132">
            <v>249.88</v>
          </cell>
          <cell r="AC1132">
            <v>7500</v>
          </cell>
          <cell r="AD1132">
            <v>6018.26</v>
          </cell>
          <cell r="AE1132">
            <v>1481.7399999999998</v>
          </cell>
          <cell r="AN1132" t="str">
            <v xml:space="preserve">Contrato emergencial nº </v>
          </cell>
          <cell r="AO1132" t="str">
            <v>G</v>
          </cell>
        </row>
        <row r="1133">
          <cell r="D1133" t="str">
            <v>2171/11</v>
          </cell>
          <cell r="E1133" t="str">
            <v>19/09/2011</v>
          </cell>
          <cell r="F1133">
            <v>40984</v>
          </cell>
          <cell r="G1133">
            <v>40877</v>
          </cell>
          <cell r="H1133" t="str">
            <v>2011-0.225.367-3</v>
          </cell>
          <cell r="I1133">
            <v>37607.879999999997</v>
          </cell>
          <cell r="J1133" t="str">
            <v xml:space="preserve">              123651121                 2847                    33903600</v>
          </cell>
          <cell r="K1133" t="str">
            <v>19/09/2011</v>
          </cell>
          <cell r="L1133">
            <v>73</v>
          </cell>
          <cell r="M1133">
            <v>15300</v>
          </cell>
          <cell r="N1133">
            <v>57273</v>
          </cell>
          <cell r="O1133">
            <v>31044</v>
          </cell>
          <cell r="P1133">
            <v>16</v>
          </cell>
          <cell r="Q1133">
            <v>2</v>
          </cell>
          <cell r="T1133">
            <v>3825</v>
          </cell>
          <cell r="U1133">
            <v>0</v>
          </cell>
          <cell r="V1133">
            <v>6300</v>
          </cell>
          <cell r="W1133">
            <v>180</v>
          </cell>
          <cell r="X1133">
            <v>5040</v>
          </cell>
          <cell r="Y1133">
            <v>103100</v>
          </cell>
          <cell r="Z1133">
            <v>6857.32</v>
          </cell>
          <cell r="AA1133">
            <v>4482.68</v>
          </cell>
          <cell r="AB1133">
            <v>208.93266666666665</v>
          </cell>
          <cell r="AC1133">
            <v>6300</v>
          </cell>
          <cell r="AD1133">
            <v>5973.58</v>
          </cell>
          <cell r="AE1133">
            <v>326.42000000000007</v>
          </cell>
          <cell r="AN1133" t="str">
            <v xml:space="preserve">Contrato emergencial nº </v>
          </cell>
          <cell r="AO1133" t="str">
            <v>G</v>
          </cell>
        </row>
        <row r="1134">
          <cell r="D1134" t="str">
            <v>2172/11</v>
          </cell>
          <cell r="E1134" t="str">
            <v>19/09/2011</v>
          </cell>
          <cell r="F1134">
            <v>40984</v>
          </cell>
          <cell r="G1134">
            <v>40877</v>
          </cell>
          <cell r="H1134" t="str">
            <v>2011-0.225.369-0</v>
          </cell>
          <cell r="I1134">
            <v>44978.400000000001</v>
          </cell>
          <cell r="J1134" t="str">
            <v xml:space="preserve">              123651121                 2847                    33903600</v>
          </cell>
          <cell r="K1134" t="str">
            <v>19/09/2011</v>
          </cell>
          <cell r="L1134">
            <v>73</v>
          </cell>
          <cell r="M1134">
            <v>18300</v>
          </cell>
          <cell r="N1134">
            <v>57273</v>
          </cell>
          <cell r="O1134">
            <v>31045</v>
          </cell>
          <cell r="P1134">
            <v>16</v>
          </cell>
          <cell r="Q1134">
            <v>2</v>
          </cell>
          <cell r="T1134">
            <v>4575</v>
          </cell>
          <cell r="U1134">
            <v>0</v>
          </cell>
          <cell r="V1134">
            <v>7500</v>
          </cell>
          <cell r="W1134">
            <v>180</v>
          </cell>
          <cell r="X1134">
            <v>6000</v>
          </cell>
          <cell r="Y1134">
            <v>102908</v>
          </cell>
          <cell r="Z1134">
            <v>9980.89</v>
          </cell>
          <cell r="AA1134">
            <v>3519.1100000000006</v>
          </cell>
          <cell r="AB1134">
            <v>249.88</v>
          </cell>
          <cell r="AC1134">
            <v>7500</v>
          </cell>
          <cell r="AD1134">
            <v>6043.16</v>
          </cell>
          <cell r="AE1134">
            <v>1456.8400000000001</v>
          </cell>
          <cell r="AN1134" t="str">
            <v xml:space="preserve">Contrato emergencial nº </v>
          </cell>
          <cell r="AO1134" t="str">
            <v>PE</v>
          </cell>
        </row>
        <row r="1135">
          <cell r="D1135" t="str">
            <v>2173/11</v>
          </cell>
          <cell r="E1135" t="str">
            <v>19/09/2011</v>
          </cell>
          <cell r="F1135">
            <v>40984</v>
          </cell>
          <cell r="G1135">
            <v>40877</v>
          </cell>
          <cell r="H1135" t="str">
            <v>2011-0.225.370-3</v>
          </cell>
          <cell r="I1135">
            <v>42749.22</v>
          </cell>
          <cell r="J1135" t="str">
            <v xml:space="preserve">              123651121                 2847                    33903600</v>
          </cell>
          <cell r="K1135" t="str">
            <v>19/09/2011</v>
          </cell>
          <cell r="L1135">
            <v>73</v>
          </cell>
          <cell r="M1135">
            <v>17400</v>
          </cell>
          <cell r="N1135">
            <v>57273</v>
          </cell>
          <cell r="O1135">
            <v>31049</v>
          </cell>
          <cell r="P1135">
            <v>16</v>
          </cell>
          <cell r="Q1135">
            <v>2</v>
          </cell>
          <cell r="T1135">
            <v>4350</v>
          </cell>
          <cell r="U1135">
            <v>0</v>
          </cell>
          <cell r="V1135">
            <v>7200</v>
          </cell>
          <cell r="W1135">
            <v>180</v>
          </cell>
          <cell r="X1135">
            <v>5760</v>
          </cell>
          <cell r="Y1135">
            <v>102097</v>
          </cell>
          <cell r="Z1135">
            <v>10024.700000000001</v>
          </cell>
          <cell r="AA1135">
            <v>2935.2999999999993</v>
          </cell>
          <cell r="AB1135">
            <v>237.49566666666666</v>
          </cell>
          <cell r="AC1135">
            <v>7200</v>
          </cell>
          <cell r="AD1135">
            <v>5317.07</v>
          </cell>
          <cell r="AE1135">
            <v>1882.9300000000003</v>
          </cell>
          <cell r="AN1135" t="str">
            <v xml:space="preserve">Contrato emergencial nº </v>
          </cell>
          <cell r="AO1135" t="str">
            <v>PJ</v>
          </cell>
        </row>
        <row r="1136">
          <cell r="D1136" t="str">
            <v>2174/11</v>
          </cell>
          <cell r="E1136" t="str">
            <v>19/09/2011</v>
          </cell>
          <cell r="F1136">
            <v>40984</v>
          </cell>
          <cell r="G1136">
            <v>40877</v>
          </cell>
          <cell r="H1136" t="str">
            <v>2011-0.225.371-1</v>
          </cell>
          <cell r="I1136">
            <v>18381.900000000001</v>
          </cell>
          <cell r="J1136" t="str">
            <v xml:space="preserve">              123651121                 2847                    33903600</v>
          </cell>
          <cell r="K1136" t="str">
            <v>19/09/2011</v>
          </cell>
          <cell r="L1136">
            <v>73</v>
          </cell>
          <cell r="M1136">
            <v>7500</v>
          </cell>
          <cell r="N1136">
            <v>57273</v>
          </cell>
          <cell r="O1136">
            <v>31051</v>
          </cell>
          <cell r="P1136">
            <v>16</v>
          </cell>
          <cell r="Q1136">
            <v>2</v>
          </cell>
          <cell r="T1136">
            <v>1875</v>
          </cell>
          <cell r="U1136">
            <v>0</v>
          </cell>
          <cell r="V1136">
            <v>4000</v>
          </cell>
          <cell r="W1136">
            <v>180</v>
          </cell>
          <cell r="X1136">
            <v>3200</v>
          </cell>
          <cell r="Y1136">
            <v>103062</v>
          </cell>
          <cell r="Z1136">
            <v>2011.42</v>
          </cell>
          <cell r="AA1136">
            <v>5188.58</v>
          </cell>
          <cell r="AB1136">
            <v>102.12166666666667</v>
          </cell>
          <cell r="AC1136">
            <v>3100</v>
          </cell>
          <cell r="AD1136">
            <v>3930.5300000000011</v>
          </cell>
          <cell r="AE1136">
            <v>-830.53000000000111</v>
          </cell>
          <cell r="AN1136" t="str">
            <v xml:space="preserve">Contrato emergencial nº </v>
          </cell>
          <cell r="AO1136" t="str">
            <v>JT</v>
          </cell>
        </row>
        <row r="1137">
          <cell r="D1137" t="str">
            <v>2175/11</v>
          </cell>
          <cell r="E1137" t="str">
            <v>19/09/2011</v>
          </cell>
          <cell r="F1137">
            <v>40984</v>
          </cell>
          <cell r="G1137">
            <v>40877</v>
          </cell>
          <cell r="H1137" t="str">
            <v>2011-0.225.373-8</v>
          </cell>
          <cell r="I1137">
            <v>42838.74</v>
          </cell>
          <cell r="J1137" t="str">
            <v xml:space="preserve">             123671125                  2863                   33903600</v>
          </cell>
          <cell r="K1137" t="str">
            <v>19/09/2011</v>
          </cell>
          <cell r="L1137">
            <v>73</v>
          </cell>
          <cell r="M1137">
            <v>17400</v>
          </cell>
          <cell r="N1137">
            <v>57287</v>
          </cell>
          <cell r="O1137">
            <v>31053</v>
          </cell>
          <cell r="P1137">
            <v>16</v>
          </cell>
          <cell r="Q1137">
            <v>4</v>
          </cell>
          <cell r="T1137">
            <v>4350</v>
          </cell>
          <cell r="U1137">
            <v>0</v>
          </cell>
          <cell r="V1137">
            <v>7200</v>
          </cell>
          <cell r="W1137">
            <v>180</v>
          </cell>
          <cell r="X1137">
            <v>5760</v>
          </cell>
          <cell r="Y1137">
            <v>102296</v>
          </cell>
          <cell r="Z1137">
            <v>14464.46</v>
          </cell>
          <cell r="AA1137">
            <v>-1504.4599999999991</v>
          </cell>
          <cell r="AB1137">
            <v>237.99299999999999</v>
          </cell>
          <cell r="AC1137">
            <v>7200</v>
          </cell>
          <cell r="AD1137">
            <v>6712.5053333333335</v>
          </cell>
          <cell r="AE1137">
            <v>487.49466666666649</v>
          </cell>
          <cell r="AN1137" t="str">
            <v xml:space="preserve">Contrato emergencial nº </v>
          </cell>
          <cell r="AO1137" t="str">
            <v>CL</v>
          </cell>
        </row>
        <row r="1138">
          <cell r="D1138" t="str">
            <v>2177/11</v>
          </cell>
          <cell r="E1138" t="str">
            <v>19/09/2011</v>
          </cell>
          <cell r="F1138">
            <v>40984</v>
          </cell>
          <cell r="G1138">
            <v>40877</v>
          </cell>
          <cell r="H1138" t="str">
            <v>2011-0.226.025-4</v>
          </cell>
          <cell r="I1138">
            <v>40223.339999999997</v>
          </cell>
          <cell r="J1138" t="str">
            <v xml:space="preserve">              123611122                  2848                    33903600</v>
          </cell>
          <cell r="K1138" t="str">
            <v>19/09/2011</v>
          </cell>
          <cell r="L1138">
            <v>73</v>
          </cell>
          <cell r="M1138">
            <v>16400</v>
          </cell>
          <cell r="N1138">
            <v>57278</v>
          </cell>
          <cell r="O1138">
            <v>31055</v>
          </cell>
          <cell r="P1138">
            <v>16</v>
          </cell>
          <cell r="Q1138">
            <v>3</v>
          </cell>
          <cell r="T1138">
            <v>4100</v>
          </cell>
          <cell r="U1138">
            <v>0</v>
          </cell>
          <cell r="V1138">
            <v>6900</v>
          </cell>
          <cell r="W1138">
            <v>180</v>
          </cell>
          <cell r="X1138">
            <v>5520</v>
          </cell>
          <cell r="Y1138">
            <v>102269</v>
          </cell>
          <cell r="Z1138">
            <v>6951.3700000000008</v>
          </cell>
          <cell r="AA1138">
            <v>5468.6299999999992</v>
          </cell>
          <cell r="AB1138">
            <v>223.46299999999999</v>
          </cell>
          <cell r="AC1138">
            <v>6800</v>
          </cell>
          <cell r="AD1138">
            <v>6863.05</v>
          </cell>
          <cell r="AE1138">
            <v>-63.050000000000182</v>
          </cell>
          <cell r="AN1138" t="str">
            <v xml:space="preserve">Contrato emergencial nº </v>
          </cell>
          <cell r="AO1138" t="str">
            <v>CS</v>
          </cell>
        </row>
        <row r="1139">
          <cell r="D1139" t="str">
            <v>2178/11</v>
          </cell>
          <cell r="E1139" t="str">
            <v>19/09/2011</v>
          </cell>
          <cell r="F1139">
            <v>40984</v>
          </cell>
          <cell r="G1139">
            <v>40877</v>
          </cell>
          <cell r="H1139" t="str">
            <v>2011-0.226.027-0</v>
          </cell>
          <cell r="I1139">
            <v>38261.760000000002</v>
          </cell>
          <cell r="J1139" t="str">
            <v xml:space="preserve">              123611122                  2848                    33903600</v>
          </cell>
          <cell r="K1139" t="str">
            <v>19/09/2011</v>
          </cell>
          <cell r="L1139">
            <v>73</v>
          </cell>
          <cell r="M1139">
            <v>15600</v>
          </cell>
          <cell r="N1139">
            <v>57278</v>
          </cell>
          <cell r="O1139">
            <v>31059</v>
          </cell>
          <cell r="P1139">
            <v>16</v>
          </cell>
          <cell r="Q1139">
            <v>3</v>
          </cell>
          <cell r="T1139">
            <v>3900</v>
          </cell>
          <cell r="U1139">
            <v>0</v>
          </cell>
          <cell r="V1139">
            <v>7300</v>
          </cell>
          <cell r="W1139">
            <v>180</v>
          </cell>
          <cell r="X1139">
            <v>5840</v>
          </cell>
          <cell r="Y1139">
            <v>102551</v>
          </cell>
          <cell r="Z1139">
            <v>5519.82</v>
          </cell>
          <cell r="AA1139">
            <v>7620.18</v>
          </cell>
          <cell r="AB1139">
            <v>212.56533333333334</v>
          </cell>
          <cell r="AC1139">
            <v>6400</v>
          </cell>
          <cell r="AD1139">
            <v>7219.7</v>
          </cell>
          <cell r="AE1139">
            <v>-819.69999999999982</v>
          </cell>
          <cell r="AN1139" t="str">
            <v xml:space="preserve">Contrato emergencial nº </v>
          </cell>
          <cell r="AO1139" t="str">
            <v>SM</v>
          </cell>
        </row>
        <row r="1140">
          <cell r="D1140" t="str">
            <v>2179/11</v>
          </cell>
          <cell r="E1140" t="str">
            <v>19/09/2011</v>
          </cell>
          <cell r="F1140">
            <v>40984</v>
          </cell>
          <cell r="G1140">
            <v>40877</v>
          </cell>
          <cell r="H1140" t="str">
            <v>2011-0.226.028-9</v>
          </cell>
          <cell r="I1140">
            <v>37607.879999999997</v>
          </cell>
          <cell r="J1140" t="str">
            <v xml:space="preserve">              123611122                  2848                    33903600</v>
          </cell>
          <cell r="K1140" t="str">
            <v>19/09/2011</v>
          </cell>
          <cell r="L1140">
            <v>73</v>
          </cell>
          <cell r="M1140">
            <v>15300</v>
          </cell>
          <cell r="N1140">
            <v>57278</v>
          </cell>
          <cell r="O1140">
            <v>31060</v>
          </cell>
          <cell r="P1140">
            <v>16</v>
          </cell>
          <cell r="Q1140">
            <v>3</v>
          </cell>
          <cell r="T1140">
            <v>3825</v>
          </cell>
          <cell r="U1140">
            <v>0</v>
          </cell>
          <cell r="V1140">
            <v>6300</v>
          </cell>
          <cell r="W1140">
            <v>180</v>
          </cell>
          <cell r="X1140">
            <v>5040</v>
          </cell>
          <cell r="Y1140">
            <v>103124</v>
          </cell>
          <cell r="Z1140">
            <v>6726.43</v>
          </cell>
          <cell r="AA1140">
            <v>4613.57</v>
          </cell>
          <cell r="AB1140">
            <v>208.93266666666665</v>
          </cell>
          <cell r="AC1140">
            <v>6300</v>
          </cell>
          <cell r="AD1140">
            <v>6140.38</v>
          </cell>
          <cell r="AE1140">
            <v>159.61999999999989</v>
          </cell>
          <cell r="AN1140" t="str">
            <v xml:space="preserve">Contrato emergencial nº </v>
          </cell>
          <cell r="AO1140" t="str">
            <v>G</v>
          </cell>
        </row>
        <row r="1141">
          <cell r="D1141" t="str">
            <v>2180/11</v>
          </cell>
          <cell r="E1141" t="str">
            <v>19/09/2011</v>
          </cell>
          <cell r="F1141">
            <v>40984</v>
          </cell>
          <cell r="G1141">
            <v>40877</v>
          </cell>
          <cell r="H1141" t="str">
            <v>2011-0.226.029-7</v>
          </cell>
          <cell r="I1141">
            <v>38261.760000000002</v>
          </cell>
          <cell r="J1141" t="str">
            <v xml:space="preserve">              123611122                  2848                    33903600</v>
          </cell>
          <cell r="K1141" t="str">
            <v>19/09/2011</v>
          </cell>
          <cell r="L1141">
            <v>73</v>
          </cell>
          <cell r="M1141">
            <v>15600</v>
          </cell>
          <cell r="N1141">
            <v>57278</v>
          </cell>
          <cell r="O1141">
            <v>31061</v>
          </cell>
          <cell r="P1141">
            <v>16</v>
          </cell>
          <cell r="Q1141">
            <v>3</v>
          </cell>
          <cell r="T1141">
            <v>3900</v>
          </cell>
          <cell r="U1141">
            <v>0</v>
          </cell>
          <cell r="V1141">
            <v>6400</v>
          </cell>
          <cell r="W1141">
            <v>180</v>
          </cell>
          <cell r="X1141">
            <v>5120</v>
          </cell>
          <cell r="Y1141">
            <v>102562</v>
          </cell>
          <cell r="Z1141">
            <v>6870.66</v>
          </cell>
          <cell r="AA1141">
            <v>4649.34</v>
          </cell>
          <cell r="AB1141">
            <v>212.56533333333334</v>
          </cell>
          <cell r="AC1141">
            <v>6400</v>
          </cell>
          <cell r="AD1141">
            <v>6273.5599999999995</v>
          </cell>
          <cell r="AE1141">
            <v>126.44000000000051</v>
          </cell>
          <cell r="AN1141" t="str">
            <v xml:space="preserve">Contrato emergencial nº </v>
          </cell>
          <cell r="AO1141" t="str">
            <v>SM</v>
          </cell>
        </row>
        <row r="1142">
          <cell r="D1142" t="str">
            <v>2181/11</v>
          </cell>
          <cell r="E1142" t="str">
            <v>19/09/2011</v>
          </cell>
          <cell r="F1142">
            <v>40984</v>
          </cell>
          <cell r="G1142">
            <v>40877</v>
          </cell>
          <cell r="H1142" t="str">
            <v>2011-0.226.034-3</v>
          </cell>
          <cell r="I1142">
            <v>27158.880000000001</v>
          </cell>
          <cell r="J1142" t="str">
            <v xml:space="preserve">              123611122                  2848                    33903600</v>
          </cell>
          <cell r="K1142" t="str">
            <v>19/09/2011</v>
          </cell>
          <cell r="L1142">
            <v>73</v>
          </cell>
          <cell r="M1142">
            <v>11100</v>
          </cell>
          <cell r="N1142">
            <v>57278</v>
          </cell>
          <cell r="O1142">
            <v>31064</v>
          </cell>
          <cell r="P1142">
            <v>16</v>
          </cell>
          <cell r="Q1142">
            <v>3</v>
          </cell>
          <cell r="T1142">
            <v>2775</v>
          </cell>
          <cell r="U1142">
            <v>0</v>
          </cell>
          <cell r="V1142">
            <v>4600</v>
          </cell>
          <cell r="W1142">
            <v>180</v>
          </cell>
          <cell r="X1142">
            <v>3680</v>
          </cell>
          <cell r="Y1142">
            <v>102482</v>
          </cell>
          <cell r="Z1142">
            <v>5859.1</v>
          </cell>
          <cell r="AA1142">
            <v>2420.8999999999996</v>
          </cell>
          <cell r="AB1142">
            <v>150.88266666666667</v>
          </cell>
          <cell r="AC1142">
            <v>4600</v>
          </cell>
          <cell r="AD1142">
            <v>3752.6400000000003</v>
          </cell>
          <cell r="AE1142">
            <v>847.35999999999967</v>
          </cell>
          <cell r="AN1142" t="str">
            <v xml:space="preserve">Contrato emergencial nº </v>
          </cell>
          <cell r="AO1142" t="str">
            <v>IP</v>
          </cell>
        </row>
        <row r="1143">
          <cell r="D1143" t="str">
            <v>2182/11</v>
          </cell>
          <cell r="E1143" t="str">
            <v>19/09/2011</v>
          </cell>
          <cell r="F1143">
            <v>40984</v>
          </cell>
          <cell r="G1143">
            <v>40877</v>
          </cell>
          <cell r="H1143" t="str">
            <v>2011-0.226.037-8</v>
          </cell>
          <cell r="I1143">
            <v>31012.38</v>
          </cell>
          <cell r="J1143" t="str">
            <v xml:space="preserve">              123611122                  2848                    33903600</v>
          </cell>
          <cell r="K1143" t="str">
            <v>19/09/2011</v>
          </cell>
          <cell r="L1143">
            <v>73</v>
          </cell>
          <cell r="M1143">
            <v>12600</v>
          </cell>
          <cell r="N1143">
            <v>57278</v>
          </cell>
          <cell r="O1143">
            <v>31065</v>
          </cell>
          <cell r="P1143">
            <v>16</v>
          </cell>
          <cell r="Q1143">
            <v>3</v>
          </cell>
          <cell r="T1143">
            <v>3150</v>
          </cell>
          <cell r="U1143">
            <v>0</v>
          </cell>
          <cell r="V1143">
            <v>5200</v>
          </cell>
          <cell r="W1143">
            <v>180</v>
          </cell>
          <cell r="X1143">
            <v>4160</v>
          </cell>
          <cell r="Y1143">
            <v>102227</v>
          </cell>
          <cell r="Z1143">
            <v>5920.54</v>
          </cell>
          <cell r="AA1143">
            <v>3439.46</v>
          </cell>
          <cell r="AB1143">
            <v>172.291</v>
          </cell>
          <cell r="AC1143">
            <v>5200</v>
          </cell>
          <cell r="AD1143">
            <v>4820.83</v>
          </cell>
          <cell r="AE1143">
            <v>379.17000000000007</v>
          </cell>
          <cell r="AN1143" t="str">
            <v xml:space="preserve">Contrato emergencial nº </v>
          </cell>
          <cell r="AO1143" t="str">
            <v>PJ</v>
          </cell>
        </row>
        <row r="1144">
          <cell r="D1144" t="str">
            <v>2183/11</v>
          </cell>
          <cell r="E1144" t="str">
            <v>19/09/2011</v>
          </cell>
          <cell r="F1144">
            <v>40984</v>
          </cell>
          <cell r="G1144">
            <v>40877</v>
          </cell>
          <cell r="H1144" t="str">
            <v>2011-0.226.038-6</v>
          </cell>
          <cell r="I1144">
            <v>44324.52</v>
          </cell>
          <cell r="J1144" t="str">
            <v xml:space="preserve">              123611122                  2848                    33903600</v>
          </cell>
          <cell r="K1144" t="str">
            <v>19/09/2011</v>
          </cell>
          <cell r="L1144">
            <v>73</v>
          </cell>
          <cell r="M1144">
            <v>18000</v>
          </cell>
          <cell r="N1144">
            <v>57278</v>
          </cell>
          <cell r="O1144">
            <v>31068</v>
          </cell>
          <cell r="P1144">
            <v>16</v>
          </cell>
          <cell r="Q1144">
            <v>3</v>
          </cell>
          <cell r="T1144">
            <v>4500</v>
          </cell>
          <cell r="U1144">
            <v>0</v>
          </cell>
          <cell r="V1144">
            <v>7400</v>
          </cell>
          <cell r="W1144">
            <v>180</v>
          </cell>
          <cell r="X1144">
            <v>5920</v>
          </cell>
          <cell r="Y1144">
            <v>102305</v>
          </cell>
          <cell r="Z1144">
            <v>5855.99</v>
          </cell>
          <cell r="AA1144">
            <v>7464.01</v>
          </cell>
          <cell r="AB1144">
            <v>246.2473333333333</v>
          </cell>
          <cell r="AC1144">
            <v>7400</v>
          </cell>
          <cell r="AD1144">
            <v>7210.833333333333</v>
          </cell>
          <cell r="AE1144">
            <v>189.16666666666697</v>
          </cell>
          <cell r="AN1144" t="str">
            <v xml:space="preserve">Contrato emergencial nº </v>
          </cell>
          <cell r="AO1144" t="str">
            <v>CS</v>
          </cell>
        </row>
        <row r="1145">
          <cell r="D1145" t="str">
            <v>2184/11</v>
          </cell>
          <cell r="E1145" t="str">
            <v>19/09/2011</v>
          </cell>
          <cell r="F1145">
            <v>40984</v>
          </cell>
          <cell r="G1145">
            <v>40877</v>
          </cell>
          <cell r="H1145" t="str">
            <v>2011-0.226.129-3</v>
          </cell>
          <cell r="I1145">
            <v>24820.92</v>
          </cell>
          <cell r="J1145" t="str">
            <v xml:space="preserve">              123611122                  2848                    33903600</v>
          </cell>
          <cell r="K1145" t="str">
            <v>19/09/2011</v>
          </cell>
          <cell r="L1145">
            <v>73</v>
          </cell>
          <cell r="M1145">
            <v>10100</v>
          </cell>
          <cell r="N1145">
            <v>57278</v>
          </cell>
          <cell r="O1145">
            <v>31098</v>
          </cell>
          <cell r="P1145">
            <v>16</v>
          </cell>
          <cell r="Q1145">
            <v>3</v>
          </cell>
          <cell r="T1145">
            <v>2525</v>
          </cell>
          <cell r="U1145">
            <v>0</v>
          </cell>
          <cell r="V1145">
            <v>4200</v>
          </cell>
          <cell r="W1145">
            <v>180</v>
          </cell>
          <cell r="X1145">
            <v>3360</v>
          </cell>
          <cell r="Y1145">
            <v>102231</v>
          </cell>
          <cell r="Z1145">
            <v>5519.96</v>
          </cell>
          <cell r="AA1145">
            <v>2040.04</v>
          </cell>
          <cell r="AB1145">
            <v>137.89399999999998</v>
          </cell>
          <cell r="AC1145">
            <v>4200</v>
          </cell>
          <cell r="AD1145">
            <v>3287.1400000000003</v>
          </cell>
          <cell r="AE1145">
            <v>912.85999999999967</v>
          </cell>
          <cell r="AN1145" t="str">
            <v xml:space="preserve">Contrato emergencial nº </v>
          </cell>
          <cell r="AO1145" t="str">
            <v>PJ</v>
          </cell>
        </row>
        <row r="1146">
          <cell r="D1146" t="str">
            <v>2185/11</v>
          </cell>
          <cell r="E1146" t="str">
            <v>19/09/2011</v>
          </cell>
          <cell r="F1146">
            <v>40984</v>
          </cell>
          <cell r="G1146">
            <v>40877</v>
          </cell>
          <cell r="H1146" t="str">
            <v>2011-0.226.133-1</v>
          </cell>
          <cell r="I1146">
            <v>37607.879999999997</v>
          </cell>
          <cell r="J1146" t="str">
            <v xml:space="preserve">              123611122                  2848                    33903600</v>
          </cell>
          <cell r="K1146" t="str">
            <v>19/09/2011</v>
          </cell>
          <cell r="L1146">
            <v>73</v>
          </cell>
          <cell r="M1146">
            <v>15300</v>
          </cell>
          <cell r="N1146">
            <v>57278</v>
          </cell>
          <cell r="O1146">
            <v>31099</v>
          </cell>
          <cell r="P1146">
            <v>16</v>
          </cell>
          <cell r="Q1146">
            <v>3</v>
          </cell>
          <cell r="T1146">
            <v>3825</v>
          </cell>
          <cell r="U1146">
            <v>0</v>
          </cell>
          <cell r="V1146">
            <v>6300</v>
          </cell>
          <cell r="W1146">
            <v>180</v>
          </cell>
          <cell r="X1146">
            <v>5040</v>
          </cell>
          <cell r="Y1146">
            <v>102575</v>
          </cell>
          <cell r="Z1146">
            <v>8363.8799999999992</v>
          </cell>
          <cell r="AA1146">
            <v>2976.1200000000008</v>
          </cell>
          <cell r="AB1146">
            <v>208.93266666666665</v>
          </cell>
          <cell r="AC1146">
            <v>6300</v>
          </cell>
          <cell r="AD1146">
            <v>4972.59</v>
          </cell>
          <cell r="AE1146">
            <v>1327.4099999999999</v>
          </cell>
          <cell r="AN1146" t="str">
            <v xml:space="preserve">Contrato emergencial nº </v>
          </cell>
          <cell r="AO1146" t="str">
            <v>IQ</v>
          </cell>
        </row>
        <row r="1147">
          <cell r="D1147" t="str">
            <v>2186/11</v>
          </cell>
          <cell r="E1147" t="str">
            <v>19/09/2011</v>
          </cell>
          <cell r="F1147">
            <v>40984</v>
          </cell>
          <cell r="G1147">
            <v>40877</v>
          </cell>
          <cell r="H1147" t="str">
            <v>2011-0.226.136-6</v>
          </cell>
          <cell r="I1147">
            <v>37607.879999999997</v>
          </cell>
          <cell r="J1147" t="str">
            <v xml:space="preserve">              123611122                  2848                    33903600</v>
          </cell>
          <cell r="K1147" t="str">
            <v>19/09/2011</v>
          </cell>
          <cell r="L1147">
            <v>73</v>
          </cell>
          <cell r="M1147">
            <v>15300</v>
          </cell>
          <cell r="N1147">
            <v>57278</v>
          </cell>
          <cell r="O1147">
            <v>31101</v>
          </cell>
          <cell r="P1147">
            <v>16</v>
          </cell>
          <cell r="Q1147">
            <v>3</v>
          </cell>
          <cell r="T1147">
            <v>3825</v>
          </cell>
          <cell r="U1147">
            <v>0</v>
          </cell>
          <cell r="V1147">
            <v>6300</v>
          </cell>
          <cell r="W1147">
            <v>180</v>
          </cell>
          <cell r="X1147">
            <v>5040</v>
          </cell>
          <cell r="Y1147">
            <v>102348</v>
          </cell>
          <cell r="Z1147">
            <v>6252.38</v>
          </cell>
          <cell r="AA1147">
            <v>5087.62</v>
          </cell>
          <cell r="AB1147">
            <v>208.93266666666665</v>
          </cell>
          <cell r="AC1147">
            <v>6300</v>
          </cell>
          <cell r="AD1147">
            <v>5846.3600000000006</v>
          </cell>
          <cell r="AE1147">
            <v>453.63999999999942</v>
          </cell>
          <cell r="AN1147" t="str">
            <v xml:space="preserve">Contrato emergencial nº </v>
          </cell>
          <cell r="AO1147" t="str">
            <v>SA</v>
          </cell>
        </row>
        <row r="1148">
          <cell r="D1148" t="str">
            <v>2187/11</v>
          </cell>
          <cell r="E1148" t="str">
            <v>19/09/2011</v>
          </cell>
          <cell r="F1148">
            <v>40984</v>
          </cell>
          <cell r="G1148">
            <v>40877</v>
          </cell>
          <cell r="H1148" t="str">
            <v>2011-0.226.140-4</v>
          </cell>
          <cell r="I1148">
            <v>36954.120000000003</v>
          </cell>
          <cell r="J1148" t="str">
            <v xml:space="preserve">              123611122                  2848                    33903600</v>
          </cell>
          <cell r="K1148" t="str">
            <v>19/09/2011</v>
          </cell>
          <cell r="L1148">
            <v>73</v>
          </cell>
          <cell r="M1148">
            <v>15000</v>
          </cell>
          <cell r="N1148">
            <v>57278</v>
          </cell>
          <cell r="O1148">
            <v>31102</v>
          </cell>
          <cell r="P1148">
            <v>16</v>
          </cell>
          <cell r="Q1148">
            <v>3</v>
          </cell>
          <cell r="T1148">
            <v>3750</v>
          </cell>
          <cell r="U1148">
            <v>0</v>
          </cell>
          <cell r="V1148">
            <v>6200</v>
          </cell>
          <cell r="W1148">
            <v>180</v>
          </cell>
          <cell r="X1148">
            <v>4960</v>
          </cell>
          <cell r="Y1148">
            <v>102480</v>
          </cell>
          <cell r="Z1148">
            <v>13016.79</v>
          </cell>
          <cell r="AA1148">
            <v>-1856.7900000000009</v>
          </cell>
          <cell r="AB1148">
            <v>205.30066666666667</v>
          </cell>
          <cell r="AC1148">
            <v>6200</v>
          </cell>
          <cell r="AD1148">
            <v>4932.43</v>
          </cell>
          <cell r="AE1148">
            <v>1267.5699999999997</v>
          </cell>
          <cell r="AN1148" t="str">
            <v xml:space="preserve">Contrato emergencial nº </v>
          </cell>
          <cell r="AO1148" t="str">
            <v>CL</v>
          </cell>
        </row>
        <row r="1149">
          <cell r="D1149" t="str">
            <v>2188/11</v>
          </cell>
          <cell r="E1149" t="str">
            <v>19/09/2011</v>
          </cell>
          <cell r="F1149">
            <v>40984</v>
          </cell>
          <cell r="G1149">
            <v>40877</v>
          </cell>
          <cell r="H1149" t="str">
            <v>2011-0.226.145-5</v>
          </cell>
          <cell r="I1149">
            <v>37607.879999999997</v>
          </cell>
          <cell r="J1149" t="str">
            <v xml:space="preserve">              123611122                  2848                    33903600</v>
          </cell>
          <cell r="K1149" t="str">
            <v>19/09/2011</v>
          </cell>
          <cell r="L1149">
            <v>73</v>
          </cell>
          <cell r="M1149">
            <v>15300</v>
          </cell>
          <cell r="N1149">
            <v>57278</v>
          </cell>
          <cell r="O1149">
            <v>31103</v>
          </cell>
          <cell r="P1149">
            <v>16</v>
          </cell>
          <cell r="Q1149">
            <v>3</v>
          </cell>
          <cell r="T1149">
            <v>3825</v>
          </cell>
          <cell r="U1149">
            <v>0</v>
          </cell>
          <cell r="V1149">
            <v>6300</v>
          </cell>
          <cell r="W1149">
            <v>180</v>
          </cell>
          <cell r="X1149">
            <v>5040</v>
          </cell>
          <cell r="Y1149">
            <v>102496</v>
          </cell>
          <cell r="Z1149">
            <v>12790.41</v>
          </cell>
          <cell r="AA1149">
            <v>-1450.4099999999999</v>
          </cell>
          <cell r="AB1149">
            <v>208.93266666666665</v>
          </cell>
          <cell r="AC1149">
            <v>6300</v>
          </cell>
          <cell r="AD1149">
            <v>6256.48</v>
          </cell>
          <cell r="AE1149">
            <v>43.520000000000437</v>
          </cell>
          <cell r="AN1149" t="str">
            <v xml:space="preserve">Contrato emergencial nº </v>
          </cell>
          <cell r="AO1149" t="str">
            <v>CL</v>
          </cell>
        </row>
        <row r="1150">
          <cell r="D1150" t="str">
            <v>2189/11</v>
          </cell>
          <cell r="E1150" t="str">
            <v>19/09/2011</v>
          </cell>
          <cell r="F1150">
            <v>40984</v>
          </cell>
          <cell r="G1150">
            <v>40877</v>
          </cell>
          <cell r="H1150" t="str">
            <v>2011-0.226.147-1</v>
          </cell>
          <cell r="I1150">
            <v>25633.26</v>
          </cell>
          <cell r="J1150" t="str">
            <v xml:space="preserve">              123611122                  2848                    33903600</v>
          </cell>
          <cell r="K1150" t="str">
            <v>19/09/2011</v>
          </cell>
          <cell r="L1150">
            <v>73</v>
          </cell>
          <cell r="M1150">
            <v>10400</v>
          </cell>
          <cell r="N1150">
            <v>57278</v>
          </cell>
          <cell r="O1150">
            <v>31105</v>
          </cell>
          <cell r="P1150">
            <v>16</v>
          </cell>
          <cell r="Q1150">
            <v>3</v>
          </cell>
          <cell r="T1150">
            <v>2600</v>
          </cell>
          <cell r="U1150">
            <v>0</v>
          </cell>
          <cell r="V1150">
            <v>4300</v>
          </cell>
          <cell r="W1150">
            <v>180</v>
          </cell>
          <cell r="X1150">
            <v>3440</v>
          </cell>
          <cell r="Y1150">
            <v>102383</v>
          </cell>
          <cell r="Z1150">
            <v>4612.43</v>
          </cell>
          <cell r="AA1150">
            <v>3127.5699999999997</v>
          </cell>
          <cell r="AB1150">
            <v>142.40699999999998</v>
          </cell>
          <cell r="AC1150">
            <v>4300</v>
          </cell>
          <cell r="AD1150">
            <v>3827.6000000000004</v>
          </cell>
          <cell r="AE1150">
            <v>472.39999999999964</v>
          </cell>
          <cell r="AN1150" t="str">
            <v xml:space="preserve">Contrato emergencial nº </v>
          </cell>
          <cell r="AO1150" t="str">
            <v>SA</v>
          </cell>
        </row>
        <row r="1151">
          <cell r="D1151" t="str">
            <v>2190/11</v>
          </cell>
          <cell r="E1151" t="str">
            <v>19/09/2011</v>
          </cell>
          <cell r="F1151">
            <v>40984</v>
          </cell>
          <cell r="G1151">
            <v>40877</v>
          </cell>
          <cell r="H1151" t="str">
            <v>2011-0.226.148-0</v>
          </cell>
          <cell r="I1151">
            <v>42184.92</v>
          </cell>
          <cell r="J1151" t="str">
            <v xml:space="preserve">             123671125                  2863                   33903600</v>
          </cell>
          <cell r="K1151" t="str">
            <v>19/09/2011</v>
          </cell>
          <cell r="L1151">
            <v>73</v>
          </cell>
          <cell r="M1151">
            <v>17200</v>
          </cell>
          <cell r="N1151">
            <v>57287</v>
          </cell>
          <cell r="O1151">
            <v>31106</v>
          </cell>
          <cell r="P1151">
            <v>16</v>
          </cell>
          <cell r="Q1151">
            <v>4</v>
          </cell>
          <cell r="T1151">
            <v>4300</v>
          </cell>
          <cell r="U1151">
            <v>0</v>
          </cell>
          <cell r="V1151">
            <v>7300</v>
          </cell>
          <cell r="W1151">
            <v>180</v>
          </cell>
          <cell r="X1151">
            <v>5840</v>
          </cell>
          <cell r="Y1151">
            <v>102384</v>
          </cell>
          <cell r="Z1151">
            <v>6952.97</v>
          </cell>
          <cell r="AA1151">
            <v>6187.03</v>
          </cell>
          <cell r="AB1151">
            <v>234.36066666666665</v>
          </cell>
          <cell r="AC1151">
            <v>7100</v>
          </cell>
          <cell r="AD1151">
            <v>7200.67</v>
          </cell>
          <cell r="AE1151">
            <v>-100.67000000000007</v>
          </cell>
          <cell r="AN1151" t="str">
            <v xml:space="preserve">Contrato emergencial nº </v>
          </cell>
          <cell r="AO1151" t="str">
            <v>SA</v>
          </cell>
        </row>
        <row r="1152">
          <cell r="D1152" t="str">
            <v>2191/11</v>
          </cell>
          <cell r="E1152" t="str">
            <v>19/09/2011</v>
          </cell>
          <cell r="F1152">
            <v>40984</v>
          </cell>
          <cell r="G1152">
            <v>40877</v>
          </cell>
          <cell r="H1152" t="str">
            <v>2011-0.226.149-8</v>
          </cell>
          <cell r="I1152">
            <v>28377.3</v>
          </cell>
          <cell r="J1152" t="str">
            <v xml:space="preserve">              123611122                  2848                    33903600</v>
          </cell>
          <cell r="K1152" t="str">
            <v>19/09/2011</v>
          </cell>
          <cell r="L1152">
            <v>73</v>
          </cell>
          <cell r="M1152">
            <v>11600</v>
          </cell>
          <cell r="N1152">
            <v>57278</v>
          </cell>
          <cell r="O1152">
            <v>31107</v>
          </cell>
          <cell r="P1152">
            <v>16</v>
          </cell>
          <cell r="Q1152">
            <v>3</v>
          </cell>
          <cell r="T1152">
            <v>2900</v>
          </cell>
          <cell r="U1152">
            <v>0</v>
          </cell>
          <cell r="V1152">
            <v>4800</v>
          </cell>
          <cell r="W1152">
            <v>180</v>
          </cell>
          <cell r="X1152">
            <v>3840</v>
          </cell>
          <cell r="Y1152">
            <v>105382</v>
          </cell>
          <cell r="Z1152">
            <v>99.640000000000327</v>
          </cell>
          <cell r="AA1152">
            <v>8540.36</v>
          </cell>
          <cell r="AB1152">
            <v>157.65166666666667</v>
          </cell>
          <cell r="AC1152">
            <v>4800</v>
          </cell>
          <cell r="AD1152">
            <v>4050.42</v>
          </cell>
          <cell r="AE1152">
            <v>749.57999999999993</v>
          </cell>
          <cell r="AN1152" t="str">
            <v xml:space="preserve">Contrato emergencial nº </v>
          </cell>
          <cell r="AO1152" t="str">
            <v>FO</v>
          </cell>
        </row>
        <row r="1153">
          <cell r="D1153" t="str">
            <v>2192/11</v>
          </cell>
          <cell r="E1153" t="str">
            <v>19/09/2011</v>
          </cell>
          <cell r="F1153">
            <v>40984</v>
          </cell>
          <cell r="G1153">
            <v>40877</v>
          </cell>
          <cell r="H1153" t="str">
            <v>2011-0.226.154-4</v>
          </cell>
          <cell r="I1153">
            <v>37607.879999999997</v>
          </cell>
          <cell r="J1153" t="str">
            <v xml:space="preserve">              123611122                  2848                    33903600</v>
          </cell>
          <cell r="K1153" t="str">
            <v>19/09/2011</v>
          </cell>
          <cell r="L1153">
            <v>73</v>
          </cell>
          <cell r="M1153">
            <v>15300</v>
          </cell>
          <cell r="N1153">
            <v>57278</v>
          </cell>
          <cell r="O1153">
            <v>31109</v>
          </cell>
          <cell r="P1153">
            <v>16</v>
          </cell>
          <cell r="Q1153">
            <v>3</v>
          </cell>
          <cell r="T1153">
            <v>3825</v>
          </cell>
          <cell r="U1153">
            <v>0</v>
          </cell>
          <cell r="V1153">
            <v>6300</v>
          </cell>
          <cell r="W1153">
            <v>180</v>
          </cell>
          <cell r="X1153">
            <v>5040</v>
          </cell>
          <cell r="Y1153">
            <v>102257</v>
          </cell>
          <cell r="Z1153">
            <v>8117.12</v>
          </cell>
          <cell r="AA1153">
            <v>3222.88</v>
          </cell>
          <cell r="AB1153">
            <v>208.93266666666665</v>
          </cell>
          <cell r="AC1153">
            <v>6300</v>
          </cell>
          <cell r="AD1153">
            <v>5196.6050000000005</v>
          </cell>
          <cell r="AE1153">
            <v>1103.3949999999995</v>
          </cell>
          <cell r="AN1153" t="str">
            <v xml:space="preserve">Contrato emergencial nº </v>
          </cell>
          <cell r="AO1153" t="str">
            <v>PJ</v>
          </cell>
        </row>
        <row r="1154">
          <cell r="D1154" t="str">
            <v>2193/11</v>
          </cell>
          <cell r="E1154" t="str">
            <v>19/09/2011</v>
          </cell>
          <cell r="F1154">
            <v>40984</v>
          </cell>
          <cell r="G1154">
            <v>40877</v>
          </cell>
          <cell r="H1154" t="str">
            <v>2011-0.226.157-9</v>
          </cell>
          <cell r="I1154">
            <v>30606.240000000002</v>
          </cell>
          <cell r="J1154" t="str">
            <v xml:space="preserve">              123611122                  2848                    33903600</v>
          </cell>
          <cell r="K1154" t="str">
            <v>19/09/2011</v>
          </cell>
          <cell r="L1154">
            <v>73</v>
          </cell>
          <cell r="M1154">
            <v>12500</v>
          </cell>
          <cell r="N1154">
            <v>57278</v>
          </cell>
          <cell r="O1154">
            <v>31110</v>
          </cell>
          <cell r="P1154">
            <v>16</v>
          </cell>
          <cell r="Q1154">
            <v>3</v>
          </cell>
          <cell r="T1154">
            <v>3125</v>
          </cell>
          <cell r="U1154">
            <v>0</v>
          </cell>
          <cell r="V1154">
            <v>5600</v>
          </cell>
          <cell r="W1154">
            <v>180</v>
          </cell>
          <cell r="X1154">
            <v>4480</v>
          </cell>
          <cell r="Y1154">
            <v>102213</v>
          </cell>
          <cell r="Z1154">
            <v>4853.91</v>
          </cell>
          <cell r="AA1154">
            <v>5226.09</v>
          </cell>
          <cell r="AB1154">
            <v>170.03466666666668</v>
          </cell>
          <cell r="AC1154">
            <v>5200</v>
          </cell>
          <cell r="AD1154">
            <v>5531.66</v>
          </cell>
          <cell r="AE1154">
            <v>-331.65999999999985</v>
          </cell>
          <cell r="AN1154" t="str">
            <v xml:space="preserve">Contrato emergencial nº </v>
          </cell>
          <cell r="AO1154" t="str">
            <v>PJ</v>
          </cell>
        </row>
        <row r="1155">
          <cell r="D1155" t="str">
            <v>2194/11</v>
          </cell>
          <cell r="E1155" t="str">
            <v>19/09/2011</v>
          </cell>
          <cell r="F1155">
            <v>40984</v>
          </cell>
          <cell r="G1155">
            <v>40877</v>
          </cell>
          <cell r="H1155" t="str">
            <v>2011-0.226.159-5</v>
          </cell>
          <cell r="I1155">
            <v>44324.52</v>
          </cell>
          <cell r="J1155" t="str">
            <v xml:space="preserve">              123611122                  2848                    33903600</v>
          </cell>
          <cell r="K1155" t="str">
            <v>19/09/2011</v>
          </cell>
          <cell r="L1155">
            <v>73</v>
          </cell>
          <cell r="M1155">
            <v>18000</v>
          </cell>
          <cell r="N1155">
            <v>57278</v>
          </cell>
          <cell r="O1155">
            <v>31111</v>
          </cell>
          <cell r="P1155">
            <v>16</v>
          </cell>
          <cell r="Q1155">
            <v>3</v>
          </cell>
          <cell r="T1155">
            <v>4500</v>
          </cell>
          <cell r="U1155">
            <v>0</v>
          </cell>
          <cell r="V1155">
            <v>7400</v>
          </cell>
          <cell r="W1155">
            <v>180</v>
          </cell>
          <cell r="X1155">
            <v>5920</v>
          </cell>
          <cell r="Y1155">
            <v>102353</v>
          </cell>
          <cell r="Z1155">
            <v>15537.99</v>
          </cell>
          <cell r="AA1155">
            <v>-2217.9899999999998</v>
          </cell>
          <cell r="AB1155">
            <v>246.2473333333333</v>
          </cell>
          <cell r="AC1155">
            <v>7400</v>
          </cell>
          <cell r="AD1155">
            <v>6102.6849999999995</v>
          </cell>
          <cell r="AE1155">
            <v>1297.3150000000005</v>
          </cell>
          <cell r="AN1155" t="str">
            <v xml:space="preserve">Contrato emergencial nº </v>
          </cell>
          <cell r="AO1155" t="str">
            <v>CL</v>
          </cell>
        </row>
        <row r="1156">
          <cell r="D1156" t="str">
            <v>2195/11</v>
          </cell>
          <cell r="E1156" t="str">
            <v>19/09/2011</v>
          </cell>
          <cell r="F1156">
            <v>40984</v>
          </cell>
          <cell r="G1156">
            <v>40877</v>
          </cell>
          <cell r="H1156" t="str">
            <v>2011-0.226.160-9</v>
          </cell>
          <cell r="I1156">
            <v>44324.52</v>
          </cell>
          <cell r="J1156" t="str">
            <v xml:space="preserve">              123611122                  2848                    33903600</v>
          </cell>
          <cell r="K1156" t="str">
            <v>19/09/2011</v>
          </cell>
          <cell r="L1156">
            <v>73</v>
          </cell>
          <cell r="M1156">
            <v>18000</v>
          </cell>
          <cell r="N1156">
            <v>57278</v>
          </cell>
          <cell r="O1156">
            <v>31112</v>
          </cell>
          <cell r="P1156">
            <v>16</v>
          </cell>
          <cell r="Q1156">
            <v>3</v>
          </cell>
          <cell r="T1156">
            <v>4500</v>
          </cell>
          <cell r="U1156">
            <v>0</v>
          </cell>
          <cell r="V1156">
            <v>7400</v>
          </cell>
          <cell r="W1156">
            <v>180</v>
          </cell>
          <cell r="X1156">
            <v>5920</v>
          </cell>
          <cell r="Y1156">
            <v>103064</v>
          </cell>
          <cell r="Z1156">
            <v>9531.89</v>
          </cell>
          <cell r="AA1156">
            <v>3788.1100000000006</v>
          </cell>
          <cell r="AB1156">
            <v>246.2473333333333</v>
          </cell>
          <cell r="AC1156">
            <v>7400</v>
          </cell>
          <cell r="AD1156">
            <v>5996.869999999999</v>
          </cell>
          <cell r="AE1156">
            <v>1403.130000000001</v>
          </cell>
          <cell r="AN1156" t="str">
            <v xml:space="preserve">Contrato emergencial nº </v>
          </cell>
          <cell r="AO1156" t="str">
            <v>JT</v>
          </cell>
        </row>
        <row r="1157">
          <cell r="D1157" t="str">
            <v>2196/11</v>
          </cell>
          <cell r="E1157" t="str">
            <v>19/09/2011</v>
          </cell>
          <cell r="F1157">
            <v>40984</v>
          </cell>
          <cell r="G1157">
            <v>40877</v>
          </cell>
          <cell r="H1157" t="str">
            <v>2011-0.226.163-3</v>
          </cell>
          <cell r="I1157">
            <v>37607.879999999997</v>
          </cell>
          <cell r="J1157" t="str">
            <v xml:space="preserve">              123651121                 2847                    33903600</v>
          </cell>
          <cell r="K1157" t="str">
            <v>19/09/2011</v>
          </cell>
          <cell r="L1157">
            <v>73</v>
          </cell>
          <cell r="M1157">
            <v>15300</v>
          </cell>
          <cell r="N1157">
            <v>57273</v>
          </cell>
          <cell r="O1157">
            <v>31113</v>
          </cell>
          <cell r="P1157">
            <v>16</v>
          </cell>
          <cell r="Q1157">
            <v>2</v>
          </cell>
          <cell r="T1157">
            <v>3825</v>
          </cell>
          <cell r="U1157">
            <v>0</v>
          </cell>
          <cell r="V1157">
            <v>6300</v>
          </cell>
          <cell r="W1157">
            <v>180</v>
          </cell>
          <cell r="X1157">
            <v>5040</v>
          </cell>
          <cell r="Y1157">
            <v>103105</v>
          </cell>
          <cell r="Z1157">
            <v>8246.34</v>
          </cell>
          <cell r="AA1157">
            <v>3093.66</v>
          </cell>
          <cell r="AB1157">
            <v>208.93266666666665</v>
          </cell>
          <cell r="AC1157">
            <v>6300</v>
          </cell>
          <cell r="AD1157">
            <v>5089.74</v>
          </cell>
          <cell r="AE1157">
            <v>1210.2600000000002</v>
          </cell>
          <cell r="AN1157" t="str">
            <v xml:space="preserve">Contrato emergencial nº </v>
          </cell>
          <cell r="AO1157" t="str">
            <v>G</v>
          </cell>
        </row>
        <row r="1158">
          <cell r="D1158" t="str">
            <v>2197/11</v>
          </cell>
          <cell r="E1158" t="str">
            <v>19/09/2011</v>
          </cell>
          <cell r="F1158">
            <v>40984</v>
          </cell>
          <cell r="G1158">
            <v>40877</v>
          </cell>
          <cell r="H1158" t="str">
            <v>2011-0.226.227-3</v>
          </cell>
          <cell r="I1158">
            <v>44978.400000000001</v>
          </cell>
          <cell r="J1158" t="str">
            <v xml:space="preserve">              123651121                 2847                    33903600</v>
          </cell>
          <cell r="K1158" t="str">
            <v>19/09/2011</v>
          </cell>
          <cell r="L1158">
            <v>73</v>
          </cell>
          <cell r="M1158">
            <v>18300</v>
          </cell>
          <cell r="N1158">
            <v>57273</v>
          </cell>
          <cell r="O1158">
            <v>31115</v>
          </cell>
          <cell r="P1158">
            <v>16</v>
          </cell>
          <cell r="Q1158">
            <v>2</v>
          </cell>
          <cell r="T1158">
            <v>4575</v>
          </cell>
          <cell r="U1158">
            <v>0</v>
          </cell>
          <cell r="V1158">
            <v>7500</v>
          </cell>
          <cell r="W1158">
            <v>180</v>
          </cell>
          <cell r="X1158">
            <v>6000</v>
          </cell>
          <cell r="Y1158">
            <v>102541</v>
          </cell>
          <cell r="Z1158">
            <v>9935</v>
          </cell>
          <cell r="AA1158">
            <v>3565</v>
          </cell>
          <cell r="AB1158">
            <v>249.88</v>
          </cell>
          <cell r="AC1158">
            <v>7500</v>
          </cell>
          <cell r="AD1158">
            <v>5984.74</v>
          </cell>
          <cell r="AE1158">
            <v>1515.2600000000002</v>
          </cell>
          <cell r="AN1158" t="str">
            <v xml:space="preserve">Contrato emergencial nº </v>
          </cell>
          <cell r="AO1158" t="str">
            <v>SM</v>
          </cell>
        </row>
        <row r="1159">
          <cell r="D1159" t="str">
            <v>2198/11</v>
          </cell>
          <cell r="E1159" t="str">
            <v>19/09/2011</v>
          </cell>
          <cell r="F1159">
            <v>40984</v>
          </cell>
          <cell r="G1159">
            <v>40877</v>
          </cell>
          <cell r="H1159" t="str">
            <v>2011-0.226.231-1</v>
          </cell>
          <cell r="I1159">
            <v>27158.880000000001</v>
          </cell>
          <cell r="J1159" t="str">
            <v xml:space="preserve">              123651121                 2847                    33903600</v>
          </cell>
          <cell r="K1159" t="str">
            <v>19/09/2011</v>
          </cell>
          <cell r="L1159">
            <v>73</v>
          </cell>
          <cell r="M1159">
            <v>11100</v>
          </cell>
          <cell r="N1159">
            <v>57273</v>
          </cell>
          <cell r="O1159">
            <v>31118</v>
          </cell>
          <cell r="P1159">
            <v>16</v>
          </cell>
          <cell r="Q1159">
            <v>2</v>
          </cell>
          <cell r="T1159">
            <v>2775</v>
          </cell>
          <cell r="U1159">
            <v>0</v>
          </cell>
          <cell r="V1159">
            <v>4700</v>
          </cell>
          <cell r="W1159">
            <v>180</v>
          </cell>
          <cell r="X1159">
            <v>3760</v>
          </cell>
          <cell r="Y1159">
            <v>102010</v>
          </cell>
          <cell r="Z1159">
            <v>4642.71</v>
          </cell>
          <cell r="AA1159">
            <v>3817.29</v>
          </cell>
          <cell r="AB1159">
            <v>150.88266666666667</v>
          </cell>
          <cell r="AC1159">
            <v>4600</v>
          </cell>
          <cell r="AD1159">
            <v>4683.87</v>
          </cell>
          <cell r="AE1159">
            <v>-83.869999999999891</v>
          </cell>
          <cell r="AN1159" t="str">
            <v xml:space="preserve">Contrato emergencial nº </v>
          </cell>
          <cell r="AO1159" t="str">
            <v>PJ</v>
          </cell>
        </row>
        <row r="1160">
          <cell r="D1160" t="str">
            <v>2199/11</v>
          </cell>
          <cell r="E1160" t="str">
            <v>19/09/2011</v>
          </cell>
          <cell r="F1160">
            <v>40984</v>
          </cell>
          <cell r="G1160">
            <v>40877</v>
          </cell>
          <cell r="H1160" t="str">
            <v>2011-0.226.242-7</v>
          </cell>
          <cell r="I1160">
            <v>37607.879999999997</v>
          </cell>
          <cell r="J1160" t="str">
            <v xml:space="preserve">              123651121                 2847                    33903600</v>
          </cell>
          <cell r="K1160" t="str">
            <v>19/09/2011</v>
          </cell>
          <cell r="L1160">
            <v>73</v>
          </cell>
          <cell r="M1160">
            <v>15300</v>
          </cell>
          <cell r="N1160">
            <v>57273</v>
          </cell>
          <cell r="O1160">
            <v>31121</v>
          </cell>
          <cell r="P1160">
            <v>16</v>
          </cell>
          <cell r="Q1160">
            <v>2</v>
          </cell>
          <cell r="T1160">
            <v>3825</v>
          </cell>
          <cell r="U1160">
            <v>0</v>
          </cell>
          <cell r="V1160">
            <v>6700</v>
          </cell>
          <cell r="W1160">
            <v>180</v>
          </cell>
          <cell r="X1160">
            <v>5360</v>
          </cell>
          <cell r="Y1160">
            <v>102512</v>
          </cell>
          <cell r="Z1160">
            <v>3116.77</v>
          </cell>
          <cell r="AA1160">
            <v>8943.23</v>
          </cell>
          <cell r="AB1160">
            <v>208.93266666666665</v>
          </cell>
          <cell r="AC1160">
            <v>6300</v>
          </cell>
          <cell r="AD1160">
            <v>6648.45</v>
          </cell>
          <cell r="AE1160">
            <v>-348.44999999999982</v>
          </cell>
          <cell r="AN1160" t="str">
            <v xml:space="preserve">Contrato emergencial nº </v>
          </cell>
          <cell r="AO1160" t="str">
            <v>SM</v>
          </cell>
        </row>
        <row r="1161">
          <cell r="D1161" t="str">
            <v>2200/11</v>
          </cell>
          <cell r="E1161" t="str">
            <v>19/09/2011</v>
          </cell>
          <cell r="F1161">
            <v>40984</v>
          </cell>
          <cell r="G1161">
            <v>40877</v>
          </cell>
          <cell r="H1161" t="str">
            <v>2011-0.226.246-0</v>
          </cell>
          <cell r="I1161">
            <v>26544.6</v>
          </cell>
          <cell r="J1161" t="str">
            <v xml:space="preserve">              123651121                 2847                    33903600</v>
          </cell>
          <cell r="K1161" t="str">
            <v>19/09/2011</v>
          </cell>
          <cell r="L1161">
            <v>73</v>
          </cell>
          <cell r="M1161">
            <v>10800</v>
          </cell>
          <cell r="N1161">
            <v>57273</v>
          </cell>
          <cell r="O1161">
            <v>31122</v>
          </cell>
          <cell r="P1161">
            <v>16</v>
          </cell>
          <cell r="Q1161">
            <v>2</v>
          </cell>
          <cell r="T1161">
            <v>2700</v>
          </cell>
          <cell r="U1161">
            <v>0</v>
          </cell>
          <cell r="V1161">
            <v>4900</v>
          </cell>
          <cell r="W1161">
            <v>180</v>
          </cell>
          <cell r="X1161">
            <v>3920</v>
          </cell>
          <cell r="Y1161">
            <v>101952</v>
          </cell>
          <cell r="Z1161">
            <v>4133.17</v>
          </cell>
          <cell r="AA1161">
            <v>4686.83</v>
          </cell>
          <cell r="AB1161">
            <v>147.47</v>
          </cell>
          <cell r="AC1161">
            <v>4500</v>
          </cell>
          <cell r="AD1161">
            <v>4822.0200000000004</v>
          </cell>
          <cell r="AE1161">
            <v>-322.02000000000044</v>
          </cell>
          <cell r="AN1161" t="str">
            <v xml:space="preserve">Contrato emergencial nº </v>
          </cell>
          <cell r="AO1161" t="str">
            <v>CS</v>
          </cell>
        </row>
        <row r="1162">
          <cell r="D1162" t="str">
            <v>2201/11</v>
          </cell>
          <cell r="E1162" t="str">
            <v>19/09/2011</v>
          </cell>
          <cell r="F1162">
            <v>40984</v>
          </cell>
          <cell r="G1162">
            <v>40877</v>
          </cell>
          <cell r="H1162" t="str">
            <v>2011-0.227.171-0</v>
          </cell>
          <cell r="I1162">
            <v>31418.52</v>
          </cell>
          <cell r="J1162" t="str">
            <v xml:space="preserve">              123651121                 2847                    33903600</v>
          </cell>
          <cell r="K1162" t="str">
            <v>19/09/2011</v>
          </cell>
          <cell r="L1162">
            <v>73</v>
          </cell>
          <cell r="M1162">
            <v>12800</v>
          </cell>
          <cell r="N1162">
            <v>57273</v>
          </cell>
          <cell r="O1162">
            <v>31124</v>
          </cell>
          <cell r="P1162">
            <v>16</v>
          </cell>
          <cell r="Q1162">
            <v>2</v>
          </cell>
          <cell r="T1162">
            <v>3200</v>
          </cell>
          <cell r="U1162">
            <v>0</v>
          </cell>
          <cell r="V1162">
            <v>5300</v>
          </cell>
          <cell r="W1162">
            <v>180</v>
          </cell>
          <cell r="X1162">
            <v>4240</v>
          </cell>
          <cell r="Y1162">
            <v>102925</v>
          </cell>
          <cell r="Z1162">
            <v>5503.01</v>
          </cell>
          <cell r="AA1162">
            <v>4036.99</v>
          </cell>
          <cell r="AB1162">
            <v>174.54733333333334</v>
          </cell>
          <cell r="AC1162">
            <v>5300</v>
          </cell>
          <cell r="AD1162">
            <v>5219.7700000000004</v>
          </cell>
          <cell r="AE1162">
            <v>80.229999999999563</v>
          </cell>
          <cell r="AN1162" t="str">
            <v xml:space="preserve">Contrato emergencial nº </v>
          </cell>
          <cell r="AO1162" t="str">
            <v>G</v>
          </cell>
        </row>
        <row r="1163">
          <cell r="D1163" t="str">
            <v>2202/11</v>
          </cell>
          <cell r="E1163" t="str">
            <v>19/09/2011</v>
          </cell>
          <cell r="F1163">
            <v>40984</v>
          </cell>
          <cell r="G1163">
            <v>40877</v>
          </cell>
          <cell r="H1163" t="str">
            <v>2011-0.227.173-6</v>
          </cell>
          <cell r="I1163">
            <v>44978.400000000001</v>
          </cell>
          <cell r="J1163" t="str">
            <v xml:space="preserve">              123651121                 2847                    33903600</v>
          </cell>
          <cell r="K1163" t="str">
            <v>19/09/2011</v>
          </cell>
          <cell r="L1163">
            <v>73</v>
          </cell>
          <cell r="M1163">
            <v>18300</v>
          </cell>
          <cell r="N1163">
            <v>57273</v>
          </cell>
          <cell r="O1163">
            <v>31125</v>
          </cell>
          <cell r="P1163">
            <v>16</v>
          </cell>
          <cell r="Q1163">
            <v>2</v>
          </cell>
          <cell r="T1163">
            <v>4575</v>
          </cell>
          <cell r="U1163">
            <v>0</v>
          </cell>
          <cell r="V1163">
            <v>7500</v>
          </cell>
          <cell r="W1163">
            <v>180</v>
          </cell>
          <cell r="X1163">
            <v>6000</v>
          </cell>
          <cell r="Y1163">
            <v>102186</v>
          </cell>
          <cell r="Z1163">
            <v>8800.75</v>
          </cell>
          <cell r="AA1163">
            <v>4699.25</v>
          </cell>
          <cell r="AB1163">
            <v>249.88</v>
          </cell>
          <cell r="AC1163">
            <v>7500</v>
          </cell>
          <cell r="AD1163">
            <v>6801.3899999999994</v>
          </cell>
          <cell r="AE1163">
            <v>698.61000000000058</v>
          </cell>
          <cell r="AN1163" t="str">
            <v xml:space="preserve">Contrato emergencial nº </v>
          </cell>
          <cell r="AO1163" t="str">
            <v>CS</v>
          </cell>
        </row>
        <row r="1164">
          <cell r="D1164" t="str">
            <v>2203/11</v>
          </cell>
          <cell r="E1164" t="str">
            <v>19/09/2011</v>
          </cell>
          <cell r="F1164">
            <v>40984</v>
          </cell>
          <cell r="G1164">
            <v>40877</v>
          </cell>
          <cell r="H1164" t="str">
            <v>2011-0.227.176-0</v>
          </cell>
          <cell r="I1164">
            <v>44324.52</v>
          </cell>
          <cell r="J1164" t="str">
            <v xml:space="preserve">              123651121                 2847                    33903600</v>
          </cell>
          <cell r="K1164" t="str">
            <v>19/09/2011</v>
          </cell>
          <cell r="L1164">
            <v>73</v>
          </cell>
          <cell r="M1164">
            <v>18000</v>
          </cell>
          <cell r="N1164">
            <v>57273</v>
          </cell>
          <cell r="O1164">
            <v>31127</v>
          </cell>
          <cell r="P1164">
            <v>16</v>
          </cell>
          <cell r="Q1164">
            <v>2</v>
          </cell>
          <cell r="T1164">
            <v>4500</v>
          </cell>
          <cell r="U1164">
            <v>0</v>
          </cell>
          <cell r="V1164">
            <v>7400</v>
          </cell>
          <cell r="W1164">
            <v>180</v>
          </cell>
          <cell r="X1164">
            <v>5920</v>
          </cell>
          <cell r="Y1164">
            <v>102192</v>
          </cell>
          <cell r="Z1164">
            <v>8850.3499999999985</v>
          </cell>
          <cell r="AA1164">
            <v>4469.6500000000015</v>
          </cell>
          <cell r="AB1164">
            <v>246.2473333333333</v>
          </cell>
          <cell r="AC1164">
            <v>7400</v>
          </cell>
          <cell r="AD1164">
            <v>6552.61</v>
          </cell>
          <cell r="AE1164">
            <v>847.39000000000033</v>
          </cell>
          <cell r="AN1164" t="str">
            <v xml:space="preserve">Contrato emergencial nº </v>
          </cell>
          <cell r="AO1164" t="str">
            <v>CS</v>
          </cell>
        </row>
        <row r="1165">
          <cell r="D1165" t="str">
            <v>2204/11</v>
          </cell>
          <cell r="E1165" t="str">
            <v>19/09/2011</v>
          </cell>
          <cell r="F1165">
            <v>40984</v>
          </cell>
          <cell r="G1165">
            <v>40877</v>
          </cell>
          <cell r="H1165" t="str">
            <v>2011-0.226.295-8</v>
          </cell>
          <cell r="I1165">
            <v>44978.400000000001</v>
          </cell>
          <cell r="J1165" t="str">
            <v xml:space="preserve">              123651121                 2847                    33903600</v>
          </cell>
          <cell r="K1165" t="str">
            <v>19/09/2011</v>
          </cell>
          <cell r="L1165">
            <v>73</v>
          </cell>
          <cell r="M1165">
            <v>18300</v>
          </cell>
          <cell r="N1165">
            <v>57273</v>
          </cell>
          <cell r="O1165">
            <v>31129</v>
          </cell>
          <cell r="P1165">
            <v>16</v>
          </cell>
          <cell r="Q1165">
            <v>2</v>
          </cell>
          <cell r="T1165">
            <v>4575</v>
          </cell>
          <cell r="U1165">
            <v>0</v>
          </cell>
          <cell r="V1165">
            <v>7500</v>
          </cell>
          <cell r="W1165">
            <v>180</v>
          </cell>
          <cell r="X1165">
            <v>6000</v>
          </cell>
          <cell r="Y1165">
            <v>102895</v>
          </cell>
          <cell r="Z1165">
            <v>10617.02</v>
          </cell>
          <cell r="AA1165">
            <v>2882.9799999999996</v>
          </cell>
          <cell r="AB1165">
            <v>249.88</v>
          </cell>
          <cell r="AC1165">
            <v>7500</v>
          </cell>
          <cell r="AD1165">
            <v>5512.5399999999991</v>
          </cell>
          <cell r="AE1165">
            <v>1987.4600000000009</v>
          </cell>
          <cell r="AN1165" t="str">
            <v xml:space="preserve">Contrato emergencial nº </v>
          </cell>
          <cell r="AO1165" t="str">
            <v>PE</v>
          </cell>
        </row>
        <row r="1166">
          <cell r="D1166" t="str">
            <v>2205/11</v>
          </cell>
          <cell r="E1166" t="str">
            <v>19/09/2011</v>
          </cell>
          <cell r="F1166">
            <v>40984</v>
          </cell>
          <cell r="G1166">
            <v>40877</v>
          </cell>
          <cell r="H1166" t="str">
            <v>2011-0.226.307-5</v>
          </cell>
          <cell r="I1166">
            <v>38261.760000000002</v>
          </cell>
          <cell r="J1166" t="str">
            <v xml:space="preserve">              123651121                 2847                    33903600</v>
          </cell>
          <cell r="K1166" t="str">
            <v>19/09/2011</v>
          </cell>
          <cell r="L1166">
            <v>73</v>
          </cell>
          <cell r="M1166">
            <v>15600</v>
          </cell>
          <cell r="N1166">
            <v>57273</v>
          </cell>
          <cell r="O1166">
            <v>31130</v>
          </cell>
          <cell r="P1166">
            <v>16</v>
          </cell>
          <cell r="Q1166">
            <v>2</v>
          </cell>
          <cell r="T1166">
            <v>3900</v>
          </cell>
          <cell r="U1166">
            <v>0</v>
          </cell>
          <cell r="V1166">
            <v>6400</v>
          </cell>
          <cell r="W1166">
            <v>180</v>
          </cell>
          <cell r="X1166">
            <v>5120</v>
          </cell>
          <cell r="Y1166">
            <v>102965</v>
          </cell>
          <cell r="Z1166">
            <v>7290.62</v>
          </cell>
          <cell r="AA1166">
            <v>4229.38</v>
          </cell>
          <cell r="AB1166">
            <v>212.56533333333334</v>
          </cell>
          <cell r="AC1166">
            <v>6400</v>
          </cell>
          <cell r="AD1166">
            <v>5945.7</v>
          </cell>
          <cell r="AE1166">
            <v>454.30000000000018</v>
          </cell>
          <cell r="AN1166" t="str">
            <v xml:space="preserve">Contrato emergencial nº </v>
          </cell>
          <cell r="AO1166" t="str">
            <v>G</v>
          </cell>
        </row>
        <row r="1167">
          <cell r="D1167" t="str">
            <v>2206/11</v>
          </cell>
          <cell r="E1167" t="str">
            <v>19/09/2011</v>
          </cell>
          <cell r="F1167">
            <v>40984</v>
          </cell>
          <cell r="G1167">
            <v>40877</v>
          </cell>
          <cell r="H1167" t="str">
            <v>2011-0.226.834-4</v>
          </cell>
          <cell r="I1167">
            <v>37607.879999999997</v>
          </cell>
          <cell r="J1167" t="str">
            <v xml:space="preserve">              123651121                 2847                    33903600</v>
          </cell>
          <cell r="K1167" t="str">
            <v>19/09/2011</v>
          </cell>
          <cell r="L1167">
            <v>73</v>
          </cell>
          <cell r="M1167">
            <v>15300</v>
          </cell>
          <cell r="N1167">
            <v>57273</v>
          </cell>
          <cell r="O1167">
            <v>31132</v>
          </cell>
          <cell r="P1167">
            <v>16</v>
          </cell>
          <cell r="Q1167">
            <v>2</v>
          </cell>
          <cell r="T1167">
            <v>3825</v>
          </cell>
          <cell r="U1167">
            <v>0</v>
          </cell>
          <cell r="V1167">
            <v>6300</v>
          </cell>
          <cell r="W1167">
            <v>180</v>
          </cell>
          <cell r="X1167">
            <v>5040</v>
          </cell>
          <cell r="Y1167">
            <v>102271</v>
          </cell>
          <cell r="Z1167">
            <v>7974.56</v>
          </cell>
          <cell r="AA1167">
            <v>3365.4399999999996</v>
          </cell>
          <cell r="AB1167">
            <v>208.93266666666665</v>
          </cell>
          <cell r="AC1167">
            <v>6300</v>
          </cell>
          <cell r="AD1167">
            <v>5275.4150000000009</v>
          </cell>
          <cell r="AE1167">
            <v>1024.5849999999991</v>
          </cell>
          <cell r="AN1167" t="str">
            <v xml:space="preserve">Contrato emergencial nº </v>
          </cell>
          <cell r="AO1167" t="str">
            <v>SA</v>
          </cell>
        </row>
        <row r="1168">
          <cell r="D1168" t="str">
            <v>2207/11</v>
          </cell>
          <cell r="E1168" t="str">
            <v>19/09/2011</v>
          </cell>
          <cell r="F1168">
            <v>40984</v>
          </cell>
          <cell r="G1168">
            <v>40877</v>
          </cell>
          <cell r="H1168" t="str">
            <v>2011-0.226.835-2</v>
          </cell>
          <cell r="I1168">
            <v>38261.760000000002</v>
          </cell>
          <cell r="J1168" t="str">
            <v xml:space="preserve">              123651121                 2847                    33903600</v>
          </cell>
          <cell r="K1168" t="str">
            <v>19/09/2011</v>
          </cell>
          <cell r="L1168">
            <v>73</v>
          </cell>
          <cell r="M1168">
            <v>15600</v>
          </cell>
          <cell r="N1168">
            <v>57273</v>
          </cell>
          <cell r="O1168">
            <v>31134</v>
          </cell>
          <cell r="P1168">
            <v>16</v>
          </cell>
          <cell r="Q1168">
            <v>2</v>
          </cell>
          <cell r="T1168">
            <v>3900</v>
          </cell>
          <cell r="U1168">
            <v>0</v>
          </cell>
          <cell r="V1168">
            <v>6400</v>
          </cell>
          <cell r="W1168">
            <v>180</v>
          </cell>
          <cell r="X1168">
            <v>5120</v>
          </cell>
          <cell r="Y1168">
            <v>102277</v>
          </cell>
          <cell r="Z1168">
            <v>8339.99</v>
          </cell>
          <cell r="AA1168">
            <v>3180.01</v>
          </cell>
          <cell r="AB1168">
            <v>212.56533333333334</v>
          </cell>
          <cell r="AC1168">
            <v>6400</v>
          </cell>
          <cell r="AD1168">
            <v>5216.3799999999992</v>
          </cell>
          <cell r="AE1168">
            <v>1183.6200000000008</v>
          </cell>
          <cell r="AN1168" t="str">
            <v xml:space="preserve">Contrato emergencial nº </v>
          </cell>
          <cell r="AO1168" t="str">
            <v>SA</v>
          </cell>
        </row>
        <row r="1169">
          <cell r="D1169" t="str">
            <v>2208/11</v>
          </cell>
          <cell r="E1169" t="str">
            <v>19/09/2011</v>
          </cell>
          <cell r="F1169">
            <v>40984</v>
          </cell>
          <cell r="G1169">
            <v>40877</v>
          </cell>
          <cell r="H1169" t="str">
            <v>2011-0.226.838-7</v>
          </cell>
          <cell r="I1169">
            <v>44978.400000000001</v>
          </cell>
          <cell r="J1169" t="str">
            <v xml:space="preserve">              123651121                 2847                    33903600</v>
          </cell>
          <cell r="K1169" t="str">
            <v>19/09/2011</v>
          </cell>
          <cell r="L1169">
            <v>73</v>
          </cell>
          <cell r="M1169">
            <v>18300</v>
          </cell>
          <cell r="N1169">
            <v>57273</v>
          </cell>
          <cell r="O1169">
            <v>31138</v>
          </cell>
          <cell r="P1169">
            <v>16</v>
          </cell>
          <cell r="Q1169">
            <v>2</v>
          </cell>
          <cell r="T1169">
            <v>4575</v>
          </cell>
          <cell r="U1169">
            <v>0</v>
          </cell>
          <cell r="V1169">
            <v>7500</v>
          </cell>
          <cell r="W1169">
            <v>180</v>
          </cell>
          <cell r="X1169">
            <v>6000</v>
          </cell>
          <cell r="Y1169">
            <v>102912</v>
          </cell>
          <cell r="Z1169">
            <v>9606.9500000000007</v>
          </cell>
          <cell r="AA1169">
            <v>3893.0499999999993</v>
          </cell>
          <cell r="AB1169">
            <v>249.88</v>
          </cell>
          <cell r="AC1169">
            <v>7500</v>
          </cell>
          <cell r="AD1169">
            <v>6275.49</v>
          </cell>
          <cell r="AE1169">
            <v>1224.5100000000002</v>
          </cell>
          <cell r="AN1169" t="str">
            <v xml:space="preserve">Contrato emergencial nº </v>
          </cell>
          <cell r="AO1169" t="str">
            <v>PE</v>
          </cell>
        </row>
        <row r="1170">
          <cell r="D1170" t="str">
            <v>2209/11</v>
          </cell>
          <cell r="E1170" t="str">
            <v>19/09/2011</v>
          </cell>
          <cell r="F1170">
            <v>40984</v>
          </cell>
          <cell r="G1170">
            <v>40877</v>
          </cell>
          <cell r="H1170" t="str">
            <v>2011-0.226.841-7</v>
          </cell>
          <cell r="I1170">
            <v>27971.16</v>
          </cell>
          <cell r="J1170" t="str">
            <v xml:space="preserve">              123651121                 2847                    33903600</v>
          </cell>
          <cell r="K1170" t="str">
            <v>19/09/2011</v>
          </cell>
          <cell r="L1170">
            <v>73</v>
          </cell>
          <cell r="M1170">
            <v>11400</v>
          </cell>
          <cell r="N1170">
            <v>57273</v>
          </cell>
          <cell r="O1170">
            <v>31140</v>
          </cell>
          <cell r="P1170">
            <v>16</v>
          </cell>
          <cell r="Q1170">
            <v>2</v>
          </cell>
          <cell r="T1170">
            <v>2850</v>
          </cell>
          <cell r="U1170">
            <v>0</v>
          </cell>
          <cell r="V1170">
            <v>4700</v>
          </cell>
          <cell r="W1170">
            <v>180</v>
          </cell>
          <cell r="X1170">
            <v>3760</v>
          </cell>
          <cell r="Y1170">
            <v>102108</v>
          </cell>
          <cell r="Z1170">
            <v>5317.4</v>
          </cell>
          <cell r="AA1170">
            <v>3142.6000000000004</v>
          </cell>
          <cell r="AB1170">
            <v>155.39533333333333</v>
          </cell>
          <cell r="AC1170">
            <v>4700</v>
          </cell>
          <cell r="AD1170">
            <v>4408.5600000000004</v>
          </cell>
          <cell r="AE1170">
            <v>291.4399999999996</v>
          </cell>
          <cell r="AN1170" t="str">
            <v xml:space="preserve">Contrato emergencial nº </v>
          </cell>
          <cell r="AO1170" t="str">
            <v>PJ</v>
          </cell>
        </row>
        <row r="1171">
          <cell r="D1171" t="str">
            <v>2210/11</v>
          </cell>
          <cell r="E1171" t="str">
            <v>19/09/2011</v>
          </cell>
          <cell r="F1171">
            <v>40984</v>
          </cell>
          <cell r="G1171">
            <v>40877</v>
          </cell>
          <cell r="H1171" t="str">
            <v>2011-0.226.842-5</v>
          </cell>
          <cell r="I1171">
            <v>44978.400000000001</v>
          </cell>
          <cell r="J1171" t="str">
            <v xml:space="preserve">              123651121                 2847                    33903600</v>
          </cell>
          <cell r="K1171" t="str">
            <v>19/09/2011</v>
          </cell>
          <cell r="L1171">
            <v>73</v>
          </cell>
          <cell r="M1171">
            <v>18300</v>
          </cell>
          <cell r="N1171">
            <v>57273</v>
          </cell>
          <cell r="O1171">
            <v>31142</v>
          </cell>
          <cell r="P1171">
            <v>16</v>
          </cell>
          <cell r="Q1171">
            <v>2</v>
          </cell>
          <cell r="T1171">
            <v>4575</v>
          </cell>
          <cell r="U1171">
            <v>0</v>
          </cell>
          <cell r="V1171">
            <v>7500</v>
          </cell>
          <cell r="W1171">
            <v>180</v>
          </cell>
          <cell r="X1171">
            <v>6000</v>
          </cell>
          <cell r="Y1171">
            <v>105366</v>
          </cell>
          <cell r="Z1171">
            <v>1047.7200000000003</v>
          </cell>
          <cell r="AA1171">
            <v>12452.279999999999</v>
          </cell>
          <cell r="AB1171">
            <v>249.88</v>
          </cell>
          <cell r="AC1171">
            <v>7500</v>
          </cell>
          <cell r="AD1171">
            <v>7415.7400000000007</v>
          </cell>
          <cell r="AE1171">
            <v>84.259999999999309</v>
          </cell>
          <cell r="AN1171" t="str">
            <v xml:space="preserve">Contrato emergencial nº </v>
          </cell>
          <cell r="AO1171" t="str">
            <v>MP</v>
          </cell>
        </row>
        <row r="1172">
          <cell r="D1172" t="str">
            <v>2211/11</v>
          </cell>
          <cell r="E1172" t="str">
            <v>19/09/2011</v>
          </cell>
          <cell r="F1172">
            <v>40984</v>
          </cell>
          <cell r="G1172">
            <v>40877</v>
          </cell>
          <cell r="H1172" t="str">
            <v>2011-0.226.843-3</v>
          </cell>
          <cell r="I1172">
            <v>44978.400000000001</v>
          </cell>
          <cell r="J1172" t="str">
            <v xml:space="preserve">              123651121                 2847                    33903600</v>
          </cell>
          <cell r="K1172" t="str">
            <v>19/09/2011</v>
          </cell>
          <cell r="L1172">
            <v>73</v>
          </cell>
          <cell r="M1172">
            <v>18300</v>
          </cell>
          <cell r="N1172">
            <v>57273</v>
          </cell>
          <cell r="O1172">
            <v>31144</v>
          </cell>
          <cell r="P1172">
            <v>16</v>
          </cell>
          <cell r="Q1172">
            <v>2</v>
          </cell>
          <cell r="T1172">
            <v>4575</v>
          </cell>
          <cell r="U1172">
            <v>0</v>
          </cell>
          <cell r="V1172">
            <v>7500</v>
          </cell>
          <cell r="W1172">
            <v>180</v>
          </cell>
          <cell r="X1172">
            <v>6000</v>
          </cell>
          <cell r="Y1172">
            <v>105367</v>
          </cell>
          <cell r="Z1172">
            <v>2475</v>
          </cell>
          <cell r="AA1172">
            <v>11025</v>
          </cell>
          <cell r="AB1172">
            <v>249.88</v>
          </cell>
          <cell r="AC1172">
            <v>7500</v>
          </cell>
          <cell r="AD1172">
            <v>5967.29</v>
          </cell>
          <cell r="AE1172">
            <v>1532.71</v>
          </cell>
          <cell r="AN1172" t="str">
            <v xml:space="preserve">Contrato emergencial nº </v>
          </cell>
          <cell r="AO1172" t="str">
            <v>MP</v>
          </cell>
        </row>
        <row r="1173">
          <cell r="D1173" t="str">
            <v>2212/11</v>
          </cell>
          <cell r="E1173" t="str">
            <v>19/09/2011</v>
          </cell>
          <cell r="F1173">
            <v>40984</v>
          </cell>
          <cell r="G1173">
            <v>40877</v>
          </cell>
          <cell r="H1173" t="str">
            <v>2011-0.226.848-4</v>
          </cell>
          <cell r="I1173">
            <v>47355.96</v>
          </cell>
          <cell r="J1173" t="str">
            <v xml:space="preserve">              123651121                 2847                    33903600</v>
          </cell>
          <cell r="K1173" t="str">
            <v>19/09/2011</v>
          </cell>
          <cell r="L1173">
            <v>73</v>
          </cell>
          <cell r="M1173">
            <v>19300</v>
          </cell>
          <cell r="N1173">
            <v>57273</v>
          </cell>
          <cell r="O1173">
            <v>31146</v>
          </cell>
          <cell r="P1173">
            <v>16</v>
          </cell>
          <cell r="Q1173">
            <v>2</v>
          </cell>
          <cell r="T1173">
            <v>4825</v>
          </cell>
          <cell r="U1173">
            <v>0</v>
          </cell>
          <cell r="V1173">
            <v>7900</v>
          </cell>
          <cell r="W1173">
            <v>180</v>
          </cell>
          <cell r="X1173">
            <v>6320</v>
          </cell>
          <cell r="Y1173">
            <v>102301</v>
          </cell>
          <cell r="Z1173">
            <v>16710.8</v>
          </cell>
          <cell r="AA1173">
            <v>-2490.7999999999993</v>
          </cell>
          <cell r="AB1173">
            <v>263.08866666666665</v>
          </cell>
          <cell r="AC1173">
            <v>7900</v>
          </cell>
          <cell r="AD1173">
            <v>6386.9000000000005</v>
          </cell>
          <cell r="AE1173">
            <v>1513.0999999999995</v>
          </cell>
          <cell r="AN1173" t="str">
            <v xml:space="preserve">Contrato emergencial nº </v>
          </cell>
          <cell r="AO1173" t="str">
            <v>CL</v>
          </cell>
        </row>
        <row r="1174">
          <cell r="D1174" t="str">
            <v>2213/11</v>
          </cell>
          <cell r="E1174" t="str">
            <v>19/09/2011</v>
          </cell>
          <cell r="F1174">
            <v>40984</v>
          </cell>
          <cell r="G1174">
            <v>40877</v>
          </cell>
          <cell r="H1174" t="str">
            <v>2011-0.226.849-2</v>
          </cell>
          <cell r="I1174">
            <v>27565.02</v>
          </cell>
          <cell r="J1174" t="str">
            <v xml:space="preserve">              123651121                 2847                    33903600</v>
          </cell>
          <cell r="K1174" t="str">
            <v>19/09/2011</v>
          </cell>
          <cell r="L1174">
            <v>73</v>
          </cell>
          <cell r="M1174">
            <v>11200</v>
          </cell>
          <cell r="N1174">
            <v>57273</v>
          </cell>
          <cell r="O1174">
            <v>31165</v>
          </cell>
          <cell r="P1174">
            <v>16</v>
          </cell>
          <cell r="Q1174">
            <v>2</v>
          </cell>
          <cell r="T1174">
            <v>2800</v>
          </cell>
          <cell r="U1174">
            <v>0</v>
          </cell>
          <cell r="V1174">
            <v>4600</v>
          </cell>
          <cell r="W1174">
            <v>180</v>
          </cell>
          <cell r="X1174">
            <v>3680</v>
          </cell>
          <cell r="Y1174">
            <v>102267</v>
          </cell>
          <cell r="Z1174">
            <v>4840.9599999999991</v>
          </cell>
          <cell r="AA1174">
            <v>3439.0400000000009</v>
          </cell>
          <cell r="AB1174">
            <v>153.13900000000001</v>
          </cell>
          <cell r="AC1174">
            <v>4600</v>
          </cell>
          <cell r="AD1174">
            <v>4583.17</v>
          </cell>
          <cell r="AE1174">
            <v>16.829999999999927</v>
          </cell>
          <cell r="AN1174" t="str">
            <v xml:space="preserve">Contrato emergencial nº </v>
          </cell>
          <cell r="AO1174" t="str">
            <v>CS</v>
          </cell>
        </row>
        <row r="1175">
          <cell r="D1175" t="str">
            <v>2214/11</v>
          </cell>
          <cell r="E1175" t="str">
            <v>19/09/2011</v>
          </cell>
          <cell r="F1175">
            <v>40984</v>
          </cell>
          <cell r="G1175">
            <v>40877</v>
          </cell>
          <cell r="H1175" t="str">
            <v>2011-0.226.851-4</v>
          </cell>
          <cell r="I1175">
            <v>44978.400000000001</v>
          </cell>
          <cell r="J1175" t="str">
            <v xml:space="preserve">              123611122                  2848                    33903600</v>
          </cell>
          <cell r="K1175" t="str">
            <v>19/09/2011</v>
          </cell>
          <cell r="L1175">
            <v>73</v>
          </cell>
          <cell r="M1175">
            <v>18300</v>
          </cell>
          <cell r="N1175">
            <v>57278</v>
          </cell>
          <cell r="O1175">
            <v>31169</v>
          </cell>
          <cell r="P1175">
            <v>16</v>
          </cell>
          <cell r="Q1175">
            <v>3</v>
          </cell>
          <cell r="T1175">
            <v>4575</v>
          </cell>
          <cell r="U1175">
            <v>0</v>
          </cell>
          <cell r="V1175">
            <v>7600</v>
          </cell>
          <cell r="W1175">
            <v>180</v>
          </cell>
          <cell r="X1175">
            <v>6080</v>
          </cell>
          <cell r="Y1175">
            <v>103121</v>
          </cell>
          <cell r="Z1175">
            <v>8152.44</v>
          </cell>
          <cell r="AA1175">
            <v>5527.56</v>
          </cell>
          <cell r="AB1175">
            <v>249.88</v>
          </cell>
          <cell r="AC1175">
            <v>7500</v>
          </cell>
          <cell r="AD1175">
            <v>7566.04</v>
          </cell>
          <cell r="AE1175">
            <v>-66.039999999999964</v>
          </cell>
          <cell r="AN1175" t="str">
            <v xml:space="preserve">Contrato emergencial nº </v>
          </cell>
          <cell r="AO1175" t="str">
            <v>G</v>
          </cell>
        </row>
        <row r="1176">
          <cell r="D1176" t="str">
            <v>1959/11</v>
          </cell>
          <cell r="E1176" t="str">
            <v>27/09/2011</v>
          </cell>
          <cell r="F1176">
            <v>40992</v>
          </cell>
          <cell r="G1176">
            <v>40877</v>
          </cell>
          <cell r="H1176" t="str">
            <v>2011-0.222.276-0</v>
          </cell>
          <cell r="I1176">
            <v>44324.52</v>
          </cell>
          <cell r="J1176" t="str">
            <v xml:space="preserve">              123611122                  2848                    33903600</v>
          </cell>
          <cell r="K1176" t="str">
            <v>27/09/2011</v>
          </cell>
          <cell r="L1176">
            <v>65</v>
          </cell>
          <cell r="M1176">
            <v>16100</v>
          </cell>
          <cell r="N1176">
            <v>57278</v>
          </cell>
          <cell r="O1176">
            <v>31256</v>
          </cell>
          <cell r="P1176">
            <v>16</v>
          </cell>
          <cell r="Q1176">
            <v>3</v>
          </cell>
          <cell r="T1176">
            <v>813.421333333333</v>
          </cell>
          <cell r="U1176">
            <v>0</v>
          </cell>
          <cell r="V1176">
            <v>7400</v>
          </cell>
          <cell r="W1176">
            <v>180</v>
          </cell>
          <cell r="X1176">
            <v>5920</v>
          </cell>
          <cell r="Y1176">
            <v>105089</v>
          </cell>
          <cell r="Z1176">
            <v>9792.6299999999992</v>
          </cell>
          <cell r="AA1176">
            <v>3527.3700000000008</v>
          </cell>
          <cell r="AB1176">
            <v>246.2473333333333</v>
          </cell>
          <cell r="AC1176">
            <v>7400</v>
          </cell>
          <cell r="AD1176">
            <v>5960.66</v>
          </cell>
          <cell r="AE1176">
            <v>1439.3400000000001</v>
          </cell>
          <cell r="AN1176" t="str">
            <v xml:space="preserve">Contrato emergencial nº </v>
          </cell>
          <cell r="AO1176" t="str">
            <v>IP</v>
          </cell>
        </row>
        <row r="1177">
          <cell r="D1177" t="str">
            <v>2164/11</v>
          </cell>
          <cell r="E1177" t="str">
            <v>28/09/2011</v>
          </cell>
          <cell r="F1177">
            <v>40993</v>
          </cell>
          <cell r="G1177">
            <v>40877</v>
          </cell>
          <cell r="H1177" t="str">
            <v>2011-0.225.348-7</v>
          </cell>
          <cell r="I1177">
            <v>31012.38</v>
          </cell>
          <cell r="J1177" t="str">
            <v xml:space="preserve">              123651121                 2847                    33903600</v>
          </cell>
          <cell r="K1177" t="str">
            <v>28/09/2011</v>
          </cell>
          <cell r="L1177">
            <v>64</v>
          </cell>
          <cell r="M1177">
            <v>11100</v>
          </cell>
          <cell r="N1177">
            <v>57273</v>
          </cell>
          <cell r="O1177">
            <v>31262</v>
          </cell>
          <cell r="P1177">
            <v>16</v>
          </cell>
          <cell r="Q1177">
            <v>2</v>
          </cell>
          <cell r="T1177">
            <v>560.61400000000003</v>
          </cell>
          <cell r="U1177">
            <v>0</v>
          </cell>
          <cell r="V1177">
            <v>5900</v>
          </cell>
          <cell r="W1177">
            <v>180</v>
          </cell>
          <cell r="X1177">
            <v>4720</v>
          </cell>
          <cell r="Y1177">
            <v>105583</v>
          </cell>
          <cell r="Z1177">
            <v>5191</v>
          </cell>
          <cell r="AA1177">
            <v>5429</v>
          </cell>
          <cell r="AB1177">
            <v>172.291</v>
          </cell>
          <cell r="AC1177">
            <v>5200</v>
          </cell>
          <cell r="AD1177">
            <v>5870.3784444444436</v>
          </cell>
          <cell r="AE1177">
            <v>-670.37844444444363</v>
          </cell>
          <cell r="AN1177" t="str">
            <v xml:space="preserve">Contrato emergencial nº </v>
          </cell>
          <cell r="AO1177" t="str">
            <v>SM</v>
          </cell>
        </row>
        <row r="1178">
          <cell r="D1178" t="str">
            <v>2215/11</v>
          </cell>
          <cell r="E1178" t="str">
            <v>19/09/2011</v>
          </cell>
          <cell r="F1178">
            <v>40984</v>
          </cell>
          <cell r="G1178">
            <v>40877</v>
          </cell>
          <cell r="H1178" t="str">
            <v>2011-0.226.857-3</v>
          </cell>
          <cell r="I1178">
            <v>39123.599999999999</v>
          </cell>
          <cell r="J1178" t="str">
            <v xml:space="preserve">              123611122                  2848                    33903600</v>
          </cell>
          <cell r="K1178" t="str">
            <v>19/09/2011</v>
          </cell>
          <cell r="L1178">
            <v>73</v>
          </cell>
          <cell r="M1178">
            <v>15900</v>
          </cell>
          <cell r="N1178">
            <v>57278</v>
          </cell>
          <cell r="O1178">
            <v>31265</v>
          </cell>
          <cell r="P1178">
            <v>16</v>
          </cell>
          <cell r="Q1178">
            <v>3</v>
          </cell>
          <cell r="T1178">
            <v>2112.3919999999998</v>
          </cell>
          <cell r="U1178">
            <v>0</v>
          </cell>
          <cell r="V1178">
            <v>6600</v>
          </cell>
          <cell r="W1178">
            <v>180</v>
          </cell>
          <cell r="X1178">
            <v>5280</v>
          </cell>
          <cell r="Y1178">
            <v>104761</v>
          </cell>
          <cell r="Z1178">
            <v>13787.61</v>
          </cell>
          <cell r="AA1178">
            <v>-1907.6100000000006</v>
          </cell>
          <cell r="AB1178">
            <v>217.35333333333332</v>
          </cell>
          <cell r="AC1178">
            <v>6600</v>
          </cell>
          <cell r="AD1178">
            <v>5228.4799999999996</v>
          </cell>
          <cell r="AE1178">
            <v>1371.5200000000004</v>
          </cell>
          <cell r="AN1178" t="str">
            <v xml:space="preserve">Contrato emergencial nº </v>
          </cell>
          <cell r="AO1178" t="str">
            <v>CL</v>
          </cell>
        </row>
        <row r="1179">
          <cell r="D1179" t="str">
            <v>2216/11</v>
          </cell>
          <cell r="E1179" t="str">
            <v>19/09/2011</v>
          </cell>
          <cell r="F1179">
            <v>40984</v>
          </cell>
          <cell r="G1179">
            <v>40877</v>
          </cell>
          <cell r="H1179" t="str">
            <v>2011-0.226.859-0</v>
          </cell>
          <cell r="I1179">
            <v>42184.92</v>
          </cell>
          <cell r="J1179" t="str">
            <v xml:space="preserve">             123671125                  2863                   33903600</v>
          </cell>
          <cell r="K1179" t="str">
            <v>19/09/2011</v>
          </cell>
          <cell r="L1179">
            <v>73</v>
          </cell>
          <cell r="M1179">
            <v>17200</v>
          </cell>
          <cell r="N1179">
            <v>57287</v>
          </cell>
          <cell r="O1179">
            <v>31267</v>
          </cell>
          <cell r="P1179">
            <v>16</v>
          </cell>
          <cell r="Q1179">
            <v>4</v>
          </cell>
          <cell r="T1179">
            <v>3060.232</v>
          </cell>
          <cell r="U1179">
            <v>0</v>
          </cell>
          <cell r="V1179">
            <v>7300</v>
          </cell>
          <cell r="W1179">
            <v>180</v>
          </cell>
          <cell r="X1179">
            <v>5840</v>
          </cell>
          <cell r="Y1179">
            <v>105647</v>
          </cell>
          <cell r="Z1179">
            <v>6643.31</v>
          </cell>
          <cell r="AA1179">
            <v>6496.69</v>
          </cell>
          <cell r="AB1179">
            <v>234.36066666666665</v>
          </cell>
          <cell r="AC1179">
            <v>7100</v>
          </cell>
          <cell r="AD1179">
            <v>7279.07</v>
          </cell>
          <cell r="AE1179">
            <v>-179.06999999999971</v>
          </cell>
          <cell r="AN1179" t="str">
            <v xml:space="preserve">Contrato emergencial nº </v>
          </cell>
          <cell r="AO1179" t="str">
            <v>SM</v>
          </cell>
        </row>
        <row r="1180">
          <cell r="D1180" t="str">
            <v>2217/11</v>
          </cell>
          <cell r="E1180" t="str">
            <v>19/09/2011</v>
          </cell>
          <cell r="F1180">
            <v>40984</v>
          </cell>
          <cell r="G1180">
            <v>40877</v>
          </cell>
          <cell r="H1180" t="str">
            <v>2011-0.226.863-8</v>
          </cell>
          <cell r="I1180">
            <v>38261.760000000002</v>
          </cell>
          <cell r="J1180" t="str">
            <v xml:space="preserve">              123611122                  2848                    33903600</v>
          </cell>
          <cell r="K1180" t="str">
            <v>19/09/2011</v>
          </cell>
          <cell r="L1180">
            <v>73</v>
          </cell>
          <cell r="M1180">
            <v>15600</v>
          </cell>
          <cell r="N1180">
            <v>57278</v>
          </cell>
          <cell r="O1180">
            <v>31269</v>
          </cell>
          <cell r="P1180">
            <v>16</v>
          </cell>
          <cell r="Q1180">
            <v>3</v>
          </cell>
          <cell r="T1180">
            <v>2634.6840000000002</v>
          </cell>
          <cell r="U1180">
            <v>0</v>
          </cell>
          <cell r="V1180">
            <v>6500</v>
          </cell>
          <cell r="W1180">
            <v>180</v>
          </cell>
          <cell r="X1180">
            <v>5200</v>
          </cell>
          <cell r="Y1180">
            <v>105116</v>
          </cell>
          <cell r="Z1180">
            <v>6582.36</v>
          </cell>
          <cell r="AA1180">
            <v>5117.6400000000003</v>
          </cell>
          <cell r="AB1180">
            <v>212.56533333333334</v>
          </cell>
          <cell r="AC1180">
            <v>6400</v>
          </cell>
          <cell r="AD1180">
            <v>6445.96</v>
          </cell>
          <cell r="AE1180">
            <v>-45.960000000000036</v>
          </cell>
          <cell r="AN1180" t="str">
            <v xml:space="preserve">Contrato emergencial nº </v>
          </cell>
          <cell r="AO1180" t="str">
            <v>IP</v>
          </cell>
        </row>
        <row r="1181">
          <cell r="D1181" t="str">
            <v>2218/11</v>
          </cell>
          <cell r="E1181" t="str">
            <v>19/09/2011</v>
          </cell>
          <cell r="F1181">
            <v>40984</v>
          </cell>
          <cell r="G1181">
            <v>40877</v>
          </cell>
          <cell r="H1181" t="str">
            <v>2011-0.226.866-2</v>
          </cell>
          <cell r="I1181">
            <v>31418.52</v>
          </cell>
          <cell r="J1181" t="str">
            <v xml:space="preserve">              123611122                  2848                    33903600</v>
          </cell>
          <cell r="K1181" t="str">
            <v>19/09/2011</v>
          </cell>
          <cell r="L1181">
            <v>73</v>
          </cell>
          <cell r="M1181">
            <v>12800</v>
          </cell>
          <cell r="N1181">
            <v>57278</v>
          </cell>
          <cell r="O1181">
            <v>31272</v>
          </cell>
          <cell r="P1181">
            <v>16</v>
          </cell>
          <cell r="Q1181">
            <v>3</v>
          </cell>
          <cell r="T1181">
            <v>2111.92</v>
          </cell>
          <cell r="U1181">
            <v>0</v>
          </cell>
          <cell r="V1181">
            <v>5300</v>
          </cell>
          <cell r="W1181">
            <v>180</v>
          </cell>
          <cell r="X1181">
            <v>4240</v>
          </cell>
          <cell r="Y1181">
            <v>108535</v>
          </cell>
          <cell r="Z1181">
            <v>1155.71</v>
          </cell>
          <cell r="AA1181">
            <v>8384.2900000000009</v>
          </cell>
          <cell r="AB1181">
            <v>174.54733333333334</v>
          </cell>
          <cell r="AC1181">
            <v>5300</v>
          </cell>
          <cell r="AD1181">
            <v>3401.58</v>
          </cell>
          <cell r="AE1181">
            <v>1898.42</v>
          </cell>
          <cell r="AN1181" t="str">
            <v xml:space="preserve">Contrato emergencial nº </v>
          </cell>
          <cell r="AO1181" t="str">
            <v>FO</v>
          </cell>
        </row>
        <row r="1182">
          <cell r="D1182" t="str">
            <v>2219/11</v>
          </cell>
          <cell r="E1182" t="str">
            <v>19/09/2011</v>
          </cell>
          <cell r="F1182">
            <v>40984</v>
          </cell>
          <cell r="G1182">
            <v>40877</v>
          </cell>
          <cell r="H1182" t="str">
            <v>2011-0.226.890-5</v>
          </cell>
          <cell r="I1182">
            <v>44324.52</v>
          </cell>
          <cell r="J1182" t="str">
            <v xml:space="preserve">              123611122                  2848                    33903600</v>
          </cell>
          <cell r="K1182" t="str">
            <v>19/09/2011</v>
          </cell>
          <cell r="L1182">
            <v>73</v>
          </cell>
          <cell r="M1182">
            <v>18000</v>
          </cell>
          <cell r="N1182">
            <v>57278</v>
          </cell>
          <cell r="O1182">
            <v>31275</v>
          </cell>
          <cell r="P1182">
            <v>16</v>
          </cell>
          <cell r="Q1182">
            <v>3</v>
          </cell>
          <cell r="T1182">
            <v>1369.39</v>
          </cell>
          <cell r="U1182">
            <v>0</v>
          </cell>
          <cell r="V1182">
            <v>7400</v>
          </cell>
          <cell r="W1182">
            <v>180</v>
          </cell>
          <cell r="X1182">
            <v>5920</v>
          </cell>
          <cell r="Y1182">
            <v>108536</v>
          </cell>
          <cell r="Z1182">
            <v>9097.5299999999988</v>
          </cell>
          <cell r="AA1182">
            <v>4222.4700000000012</v>
          </cell>
          <cell r="AB1182">
            <v>246.2473333333333</v>
          </cell>
          <cell r="AC1182">
            <v>7400</v>
          </cell>
          <cell r="AD1182">
            <v>6364.34</v>
          </cell>
          <cell r="AE1182">
            <v>1035.6599999999999</v>
          </cell>
          <cell r="AN1182" t="str">
            <v xml:space="preserve">Contrato emergencial nº </v>
          </cell>
          <cell r="AO1182" t="str">
            <v>FO</v>
          </cell>
        </row>
        <row r="1183">
          <cell r="D1183" t="str">
            <v>2220/11</v>
          </cell>
          <cell r="E1183" t="str">
            <v>19/09/2011</v>
          </cell>
          <cell r="F1183">
            <v>40984</v>
          </cell>
          <cell r="G1183">
            <v>40877</v>
          </cell>
          <cell r="H1183" t="str">
            <v>2011-0.226.894-8</v>
          </cell>
          <cell r="I1183">
            <v>44324.52</v>
          </cell>
          <cell r="J1183" t="str">
            <v xml:space="preserve">              123611122                  2848                    33903600</v>
          </cell>
          <cell r="K1183" t="str">
            <v>19/09/2011</v>
          </cell>
          <cell r="L1183">
            <v>73</v>
          </cell>
          <cell r="M1183">
            <v>18000</v>
          </cell>
          <cell r="N1183">
            <v>57278</v>
          </cell>
          <cell r="O1183">
            <v>31277</v>
          </cell>
          <cell r="P1183">
            <v>16</v>
          </cell>
          <cell r="Q1183">
            <v>3</v>
          </cell>
          <cell r="T1183">
            <v>2749.0439999999999</v>
          </cell>
          <cell r="U1183">
            <v>0</v>
          </cell>
          <cell r="V1183">
            <v>7400</v>
          </cell>
          <cell r="W1183">
            <v>180</v>
          </cell>
          <cell r="X1183">
            <v>5920</v>
          </cell>
          <cell r="Y1183">
            <v>104774</v>
          </cell>
          <cell r="Z1183">
            <v>15250.96</v>
          </cell>
          <cell r="AA1183">
            <v>-1930.9599999999991</v>
          </cell>
          <cell r="AB1183">
            <v>246.2473333333333</v>
          </cell>
          <cell r="AC1183">
            <v>7400</v>
          </cell>
          <cell r="AD1183">
            <v>6807.11</v>
          </cell>
          <cell r="AE1183">
            <v>592.89000000000033</v>
          </cell>
          <cell r="AN1183" t="str">
            <v xml:space="preserve">Contrato emergencial nº </v>
          </cell>
          <cell r="AO1183" t="str">
            <v>CL</v>
          </cell>
        </row>
        <row r="1184">
          <cell r="D1184" t="str">
            <v>2221/11</v>
          </cell>
          <cell r="E1184" t="str">
            <v>19/09/2011</v>
          </cell>
          <cell r="F1184">
            <v>40984</v>
          </cell>
          <cell r="G1184">
            <v>40877</v>
          </cell>
          <cell r="H1184" t="str">
            <v>2011-0.226.896-4</v>
          </cell>
          <cell r="I1184">
            <v>37607.879999999997</v>
          </cell>
          <cell r="J1184" t="str">
            <v xml:space="preserve">              123611122                  2848                    33903600</v>
          </cell>
          <cell r="K1184" t="str">
            <v>19/09/2011</v>
          </cell>
          <cell r="L1184">
            <v>73</v>
          </cell>
          <cell r="M1184">
            <v>15300</v>
          </cell>
          <cell r="N1184">
            <v>57278</v>
          </cell>
          <cell r="O1184">
            <v>31278</v>
          </cell>
          <cell r="P1184">
            <v>16</v>
          </cell>
          <cell r="Q1184">
            <v>3</v>
          </cell>
          <cell r="T1184">
            <v>2600</v>
          </cell>
          <cell r="U1184">
            <v>0</v>
          </cell>
          <cell r="V1184">
            <v>6300</v>
          </cell>
          <cell r="W1184">
            <v>180</v>
          </cell>
          <cell r="X1184">
            <v>5040</v>
          </cell>
          <cell r="Y1184">
            <v>106806</v>
          </cell>
          <cell r="Z1184">
            <v>6783.19</v>
          </cell>
          <cell r="AA1184">
            <v>4556.8100000000004</v>
          </cell>
          <cell r="AB1184">
            <v>208.93266666666665</v>
          </cell>
          <cell r="AC1184">
            <v>6300</v>
          </cell>
          <cell r="AD1184">
            <v>6153.97</v>
          </cell>
          <cell r="AE1184">
            <v>146.02999999999975</v>
          </cell>
          <cell r="AN1184" t="str">
            <v xml:space="preserve">Contrato emergencial nº </v>
          </cell>
          <cell r="AO1184" t="str">
            <v>SA</v>
          </cell>
        </row>
        <row r="1185">
          <cell r="D1185" t="str">
            <v>2222/11</v>
          </cell>
          <cell r="E1185" t="str">
            <v>19/09/2011</v>
          </cell>
          <cell r="F1185">
            <v>40984</v>
          </cell>
          <cell r="G1185">
            <v>40877</v>
          </cell>
          <cell r="H1185" t="str">
            <v>2011-0.226.898-0</v>
          </cell>
          <cell r="I1185">
            <v>44324.52</v>
          </cell>
          <cell r="J1185" t="str">
            <v xml:space="preserve">              123611122                  2848                    33903600</v>
          </cell>
          <cell r="K1185" t="str">
            <v>19/09/2011</v>
          </cell>
          <cell r="L1185">
            <v>73</v>
          </cell>
          <cell r="M1185">
            <v>18000</v>
          </cell>
          <cell r="N1185">
            <v>57278</v>
          </cell>
          <cell r="O1185">
            <v>31286</v>
          </cell>
          <cell r="P1185">
            <v>16</v>
          </cell>
          <cell r="Q1185">
            <v>3</v>
          </cell>
          <cell r="T1185">
            <v>2794.0639999999999</v>
          </cell>
          <cell r="U1185">
            <v>0</v>
          </cell>
          <cell r="V1185">
            <v>7400</v>
          </cell>
          <cell r="W1185">
            <v>180</v>
          </cell>
          <cell r="X1185">
            <v>5920</v>
          </cell>
          <cell r="Y1185">
            <v>105587</v>
          </cell>
          <cell r="Z1185">
            <v>8333.2800000000007</v>
          </cell>
          <cell r="AA1185">
            <v>4986.7199999999993</v>
          </cell>
          <cell r="AB1185">
            <v>246.2473333333333</v>
          </cell>
          <cell r="AC1185">
            <v>7400</v>
          </cell>
          <cell r="AD1185">
            <v>7002.42</v>
          </cell>
          <cell r="AE1185">
            <v>397.57999999999993</v>
          </cell>
          <cell r="AN1185" t="str">
            <v xml:space="preserve">Contrato emergencial nº </v>
          </cell>
          <cell r="AO1185" t="str">
            <v>SM</v>
          </cell>
        </row>
        <row r="1186">
          <cell r="D1186" t="str">
            <v>2223/11</v>
          </cell>
          <cell r="E1186" t="str">
            <v>19/09/2011</v>
          </cell>
          <cell r="F1186">
            <v>40984</v>
          </cell>
          <cell r="G1186">
            <v>40877</v>
          </cell>
          <cell r="H1186" t="str">
            <v>2011-0.226.900-6</v>
          </cell>
          <cell r="I1186">
            <v>27565.02</v>
          </cell>
          <cell r="J1186" t="str">
            <v xml:space="preserve">              123611122                  2848                    33903600</v>
          </cell>
          <cell r="K1186" t="str">
            <v>19/09/2011</v>
          </cell>
          <cell r="L1186">
            <v>73</v>
          </cell>
          <cell r="M1186">
            <v>11200</v>
          </cell>
          <cell r="N1186">
            <v>57278</v>
          </cell>
          <cell r="O1186">
            <v>31288</v>
          </cell>
          <cell r="P1186">
            <v>16</v>
          </cell>
          <cell r="Q1186">
            <v>3</v>
          </cell>
          <cell r="T1186">
            <v>1900</v>
          </cell>
          <cell r="U1186">
            <v>0</v>
          </cell>
          <cell r="V1186">
            <v>5200</v>
          </cell>
          <cell r="W1186">
            <v>180</v>
          </cell>
          <cell r="X1186">
            <v>4160</v>
          </cell>
          <cell r="Y1186">
            <v>105709</v>
          </cell>
          <cell r="Z1186">
            <v>4066.57</v>
          </cell>
          <cell r="AA1186">
            <v>5293.43</v>
          </cell>
          <cell r="AB1186">
            <v>153.13900000000001</v>
          </cell>
          <cell r="AC1186">
            <v>4600</v>
          </cell>
          <cell r="AD1186">
            <v>5116.8500000000004</v>
          </cell>
          <cell r="AE1186">
            <v>-516.85000000000036</v>
          </cell>
          <cell r="AN1186" t="str">
            <v xml:space="preserve">Contrato emergencial nº </v>
          </cell>
          <cell r="AO1186" t="str">
            <v>IQ</v>
          </cell>
        </row>
        <row r="1187">
          <cell r="D1187" t="str">
            <v>2224/11</v>
          </cell>
          <cell r="E1187" t="str">
            <v>19/09/2011</v>
          </cell>
          <cell r="F1187">
            <v>40984</v>
          </cell>
          <cell r="G1187">
            <v>40877</v>
          </cell>
          <cell r="H1187" t="str">
            <v>2011-0.226.915-4</v>
          </cell>
          <cell r="I1187">
            <v>31418.52</v>
          </cell>
          <cell r="J1187" t="str">
            <v xml:space="preserve">              123611122                  2848                    33903600</v>
          </cell>
          <cell r="K1187" t="str">
            <v>19/09/2011</v>
          </cell>
          <cell r="L1187">
            <v>73</v>
          </cell>
          <cell r="M1187">
            <v>12800</v>
          </cell>
          <cell r="N1187">
            <v>57278</v>
          </cell>
          <cell r="O1187">
            <v>31291</v>
          </cell>
          <cell r="P1187">
            <v>16</v>
          </cell>
          <cell r="Q1187">
            <v>3</v>
          </cell>
          <cell r="T1187">
            <v>2100</v>
          </cell>
          <cell r="U1187">
            <v>0</v>
          </cell>
          <cell r="V1187">
            <v>5700</v>
          </cell>
          <cell r="W1187">
            <v>180</v>
          </cell>
          <cell r="X1187">
            <v>4560</v>
          </cell>
          <cell r="Y1187">
            <v>104857</v>
          </cell>
          <cell r="Z1187">
            <v>4946.72</v>
          </cell>
          <cell r="AA1187">
            <v>5313.28</v>
          </cell>
          <cell r="AB1187">
            <v>174.54733333333334</v>
          </cell>
          <cell r="AC1187">
            <v>5300</v>
          </cell>
          <cell r="AD1187">
            <v>5621.42</v>
          </cell>
          <cell r="AE1187">
            <v>-321.42000000000007</v>
          </cell>
          <cell r="AN1187" t="str">
            <v xml:space="preserve">Contrato emergencial nº </v>
          </cell>
          <cell r="AO1187" t="str">
            <v>PJ</v>
          </cell>
        </row>
        <row r="1188">
          <cell r="D1188" t="str">
            <v>2225/11</v>
          </cell>
          <cell r="E1188" t="str">
            <v>19/09/2011</v>
          </cell>
          <cell r="F1188">
            <v>40984</v>
          </cell>
          <cell r="G1188">
            <v>40877</v>
          </cell>
          <cell r="H1188" t="str">
            <v>2011-0.226.916-2</v>
          </cell>
          <cell r="I1188">
            <v>44978.400000000001</v>
          </cell>
          <cell r="J1188" t="str">
            <v xml:space="preserve">              123611122                  2848                    33903600</v>
          </cell>
          <cell r="K1188" t="str">
            <v>19/09/2011</v>
          </cell>
          <cell r="L1188">
            <v>73</v>
          </cell>
          <cell r="M1188">
            <v>18300</v>
          </cell>
          <cell r="N1188">
            <v>57278</v>
          </cell>
          <cell r="O1188">
            <v>31294</v>
          </cell>
          <cell r="P1188">
            <v>16</v>
          </cell>
          <cell r="Q1188">
            <v>3</v>
          </cell>
          <cell r="T1188">
            <v>3000</v>
          </cell>
          <cell r="U1188">
            <v>0</v>
          </cell>
          <cell r="V1188">
            <v>7500</v>
          </cell>
          <cell r="W1188">
            <v>180</v>
          </cell>
          <cell r="X1188">
            <v>6000</v>
          </cell>
          <cell r="Y1188">
            <v>105333</v>
          </cell>
          <cell r="Z1188">
            <v>2007.2699999999995</v>
          </cell>
          <cell r="AA1188">
            <v>11492.73</v>
          </cell>
          <cell r="AB1188">
            <v>249.88</v>
          </cell>
          <cell r="AC1188">
            <v>7500</v>
          </cell>
          <cell r="AD1188">
            <v>7500</v>
          </cell>
          <cell r="AE1188">
            <v>0</v>
          </cell>
          <cell r="AN1188" t="str">
            <v xml:space="preserve">Contrato emergencial nº </v>
          </cell>
          <cell r="AO1188" t="str">
            <v>MP</v>
          </cell>
        </row>
        <row r="1189">
          <cell r="D1189" t="str">
            <v>2226/11</v>
          </cell>
          <cell r="E1189" t="str">
            <v>19/09/2011</v>
          </cell>
          <cell r="F1189">
            <v>40984</v>
          </cell>
          <cell r="G1189">
            <v>40877</v>
          </cell>
          <cell r="H1189" t="str">
            <v>2011-0.226.919-7</v>
          </cell>
          <cell r="I1189">
            <v>44324.52</v>
          </cell>
          <cell r="J1189" t="str">
            <v xml:space="preserve">              123611122                  2848                    33903600</v>
          </cell>
          <cell r="K1189" t="str">
            <v>19/09/2011</v>
          </cell>
          <cell r="L1189">
            <v>73</v>
          </cell>
          <cell r="M1189">
            <v>18000</v>
          </cell>
          <cell r="N1189">
            <v>57278</v>
          </cell>
          <cell r="O1189">
            <v>31299</v>
          </cell>
          <cell r="P1189">
            <v>16</v>
          </cell>
          <cell r="Q1189">
            <v>3</v>
          </cell>
          <cell r="T1189">
            <v>2764.3119999999999</v>
          </cell>
          <cell r="U1189">
            <v>0</v>
          </cell>
          <cell r="V1189">
            <v>7400</v>
          </cell>
          <cell r="W1189">
            <v>180</v>
          </cell>
          <cell r="X1189">
            <v>5920</v>
          </cell>
          <cell r="Y1189">
            <v>104904</v>
          </cell>
          <cell r="Z1189">
            <v>8450.91</v>
          </cell>
          <cell r="AA1189">
            <v>4869.09</v>
          </cell>
          <cell r="AB1189">
            <v>246.2473333333333</v>
          </cell>
          <cell r="AC1189">
            <v>7400</v>
          </cell>
          <cell r="AD1189">
            <v>6847.7800000000007</v>
          </cell>
          <cell r="AE1189">
            <v>552.21999999999935</v>
          </cell>
          <cell r="AN1189" t="str">
            <v xml:space="preserve">Contrato emergencial nº </v>
          </cell>
          <cell r="AO1189" t="str">
            <v>CS</v>
          </cell>
        </row>
        <row r="1190">
          <cell r="D1190" t="str">
            <v>2227/11</v>
          </cell>
          <cell r="E1190" t="str">
            <v>19/09/2011</v>
          </cell>
          <cell r="F1190">
            <v>40984</v>
          </cell>
          <cell r="G1190">
            <v>40877</v>
          </cell>
          <cell r="H1190" t="str">
            <v>2011-0.226.922-7</v>
          </cell>
          <cell r="I1190">
            <v>45424.26</v>
          </cell>
          <cell r="J1190" t="str">
            <v xml:space="preserve">              123611122                  2848                    33903600</v>
          </cell>
          <cell r="K1190" t="str">
            <v>19/09/2011</v>
          </cell>
          <cell r="L1190">
            <v>73</v>
          </cell>
          <cell r="M1190">
            <v>18500</v>
          </cell>
          <cell r="N1190">
            <v>57278</v>
          </cell>
          <cell r="O1190">
            <v>31301</v>
          </cell>
          <cell r="P1190">
            <v>16</v>
          </cell>
          <cell r="Q1190">
            <v>3</v>
          </cell>
          <cell r="T1190">
            <v>2676.2420000000002</v>
          </cell>
          <cell r="U1190">
            <v>0</v>
          </cell>
          <cell r="V1190">
            <v>7600</v>
          </cell>
          <cell r="W1190">
            <v>180</v>
          </cell>
          <cell r="X1190">
            <v>6080</v>
          </cell>
          <cell r="Y1190">
            <v>104786</v>
          </cell>
          <cell r="Z1190">
            <v>15823.76</v>
          </cell>
          <cell r="AA1190">
            <v>-2143.7600000000002</v>
          </cell>
          <cell r="AB1190">
            <v>252.357</v>
          </cell>
          <cell r="AC1190">
            <v>7600</v>
          </cell>
          <cell r="AD1190">
            <v>6551.880000000001</v>
          </cell>
          <cell r="AE1190">
            <v>1048.119999999999</v>
          </cell>
          <cell r="AN1190" t="str">
            <v xml:space="preserve">Contrato emergencial nº </v>
          </cell>
          <cell r="AO1190" t="str">
            <v>CL</v>
          </cell>
        </row>
        <row r="1191">
          <cell r="D1191" t="str">
            <v>2228/11</v>
          </cell>
          <cell r="E1191" t="str">
            <v>19/09/2011</v>
          </cell>
          <cell r="F1191">
            <v>40984</v>
          </cell>
          <cell r="G1191">
            <v>40877</v>
          </cell>
          <cell r="H1191" t="str">
            <v>2011-0.226.926-0</v>
          </cell>
          <cell r="I1191">
            <v>44978.400000000001</v>
          </cell>
          <cell r="J1191" t="str">
            <v xml:space="preserve">              123611122                  2848                    33903600</v>
          </cell>
          <cell r="K1191" t="str">
            <v>19/09/2011</v>
          </cell>
          <cell r="L1191">
            <v>73</v>
          </cell>
          <cell r="M1191">
            <v>18300</v>
          </cell>
          <cell r="N1191">
            <v>57278</v>
          </cell>
          <cell r="O1191">
            <v>31303</v>
          </cell>
          <cell r="P1191">
            <v>16</v>
          </cell>
          <cell r="Q1191">
            <v>3</v>
          </cell>
          <cell r="T1191">
            <v>3000</v>
          </cell>
          <cell r="U1191">
            <v>0</v>
          </cell>
          <cell r="V1191">
            <v>7500</v>
          </cell>
          <cell r="W1191">
            <v>180</v>
          </cell>
          <cell r="X1191">
            <v>6000</v>
          </cell>
          <cell r="Y1191">
            <v>105726</v>
          </cell>
          <cell r="Z1191">
            <v>9821.5300000000007</v>
          </cell>
          <cell r="AA1191">
            <v>3678.4699999999993</v>
          </cell>
          <cell r="AB1191">
            <v>249.88</v>
          </cell>
          <cell r="AC1191">
            <v>7500</v>
          </cell>
          <cell r="AD1191">
            <v>6030.84</v>
          </cell>
          <cell r="AE1191">
            <v>1469.1599999999999</v>
          </cell>
          <cell r="AN1191" t="str">
            <v xml:space="preserve">Contrato emergencial nº </v>
          </cell>
          <cell r="AO1191" t="str">
            <v>PE</v>
          </cell>
        </row>
        <row r="1192">
          <cell r="D1192" t="str">
            <v>2229/11</v>
          </cell>
          <cell r="E1192" t="str">
            <v>19/09/2011</v>
          </cell>
          <cell r="F1192">
            <v>40984</v>
          </cell>
          <cell r="G1192">
            <v>40877</v>
          </cell>
          <cell r="H1192" t="str">
            <v>2011-0.226.927-8</v>
          </cell>
          <cell r="I1192">
            <v>27971.16</v>
          </cell>
          <cell r="J1192" t="str">
            <v xml:space="preserve">              123611122                  2848                    33903600</v>
          </cell>
          <cell r="K1192" t="str">
            <v>19/09/2011</v>
          </cell>
          <cell r="L1192">
            <v>73</v>
          </cell>
          <cell r="M1192">
            <v>11400</v>
          </cell>
          <cell r="N1192">
            <v>57278</v>
          </cell>
          <cell r="O1192">
            <v>31305</v>
          </cell>
          <cell r="P1192">
            <v>16</v>
          </cell>
          <cell r="Q1192">
            <v>3</v>
          </cell>
          <cell r="T1192">
            <v>1900</v>
          </cell>
          <cell r="U1192">
            <v>0</v>
          </cell>
          <cell r="V1192">
            <v>5400</v>
          </cell>
          <cell r="W1192">
            <v>180</v>
          </cell>
          <cell r="X1192">
            <v>4320</v>
          </cell>
          <cell r="Y1192">
            <v>104859</v>
          </cell>
          <cell r="Z1192">
            <v>4119.29</v>
          </cell>
          <cell r="AA1192">
            <v>5600.71</v>
          </cell>
          <cell r="AB1192">
            <v>155.39533333333333</v>
          </cell>
          <cell r="AC1192">
            <v>4700</v>
          </cell>
          <cell r="AD1192">
            <v>5368.9999999999991</v>
          </cell>
          <cell r="AE1192">
            <v>-668.99999999999909</v>
          </cell>
          <cell r="AN1192" t="str">
            <v xml:space="preserve">Contrato emergencial nº </v>
          </cell>
          <cell r="AO1192" t="str">
            <v>PJ</v>
          </cell>
        </row>
        <row r="1193">
          <cell r="D1193" t="str">
            <v>2230/11</v>
          </cell>
          <cell r="E1193" t="str">
            <v>19/09/2011</v>
          </cell>
          <cell r="F1193">
            <v>40984</v>
          </cell>
          <cell r="G1193">
            <v>40877</v>
          </cell>
          <cell r="H1193" t="str">
            <v>2011-0.226.930-8</v>
          </cell>
          <cell r="I1193">
            <v>25227.119999999999</v>
          </cell>
          <cell r="J1193" t="str">
            <v xml:space="preserve">              123611122                  2848                    33903600</v>
          </cell>
          <cell r="K1193" t="str">
            <v>19/09/2011</v>
          </cell>
          <cell r="L1193">
            <v>73</v>
          </cell>
          <cell r="M1193">
            <v>10300</v>
          </cell>
          <cell r="N1193">
            <v>57278</v>
          </cell>
          <cell r="O1193">
            <v>31309</v>
          </cell>
          <cell r="P1193">
            <v>16</v>
          </cell>
          <cell r="Q1193">
            <v>3</v>
          </cell>
          <cell r="T1193">
            <v>1700</v>
          </cell>
          <cell r="U1193">
            <v>0</v>
          </cell>
          <cell r="V1193">
            <v>4300</v>
          </cell>
          <cell r="W1193">
            <v>180</v>
          </cell>
          <cell r="X1193">
            <v>3440</v>
          </cell>
          <cell r="Y1193">
            <v>105730</v>
          </cell>
          <cell r="Z1193">
            <v>4672.46</v>
          </cell>
          <cell r="AA1193">
            <v>3067.54</v>
          </cell>
          <cell r="AB1193">
            <v>140.15066666666667</v>
          </cell>
          <cell r="AC1193">
            <v>4300</v>
          </cell>
          <cell r="AD1193">
            <v>4275.9574999999995</v>
          </cell>
          <cell r="AE1193">
            <v>24.042500000000473</v>
          </cell>
          <cell r="AN1193" t="str">
            <v xml:space="preserve">Contrato emergencial nº </v>
          </cell>
          <cell r="AO1193" t="str">
            <v>PE</v>
          </cell>
        </row>
        <row r="1194">
          <cell r="D1194" t="str">
            <v>2232/11</v>
          </cell>
          <cell r="E1194" t="str">
            <v>19/09/2011</v>
          </cell>
          <cell r="F1194">
            <v>40984</v>
          </cell>
          <cell r="G1194">
            <v>40877</v>
          </cell>
          <cell r="H1194" t="str">
            <v>2011-0.226.934-0</v>
          </cell>
          <cell r="I1194">
            <v>31012.38</v>
          </cell>
          <cell r="J1194" t="str">
            <v xml:space="preserve">              123611122                  2848                    33903600</v>
          </cell>
          <cell r="K1194" t="str">
            <v>19/09/2011</v>
          </cell>
          <cell r="L1194">
            <v>73</v>
          </cell>
          <cell r="M1194">
            <v>12600</v>
          </cell>
          <cell r="N1194">
            <v>57278</v>
          </cell>
          <cell r="O1194">
            <v>31311</v>
          </cell>
          <cell r="P1194">
            <v>16</v>
          </cell>
          <cell r="Q1194">
            <v>3</v>
          </cell>
          <cell r="T1194">
            <v>2115.7080000000001</v>
          </cell>
          <cell r="U1194">
            <v>0</v>
          </cell>
          <cell r="V1194">
            <v>5200</v>
          </cell>
          <cell r="W1194">
            <v>180</v>
          </cell>
          <cell r="X1194">
            <v>4160</v>
          </cell>
          <cell r="Y1194">
            <v>104789</v>
          </cell>
          <cell r="Z1194">
            <v>10484.290000000001</v>
          </cell>
          <cell r="AA1194">
            <v>-1124.2900000000009</v>
          </cell>
          <cell r="AB1194">
            <v>172.291</v>
          </cell>
          <cell r="AC1194">
            <v>5200</v>
          </cell>
          <cell r="AD1194">
            <v>5100.5200000000004</v>
          </cell>
          <cell r="AE1194">
            <v>99.479999999999563</v>
          </cell>
          <cell r="AN1194" t="str">
            <v xml:space="preserve">Contrato emergencial nº </v>
          </cell>
          <cell r="AO1194" t="str">
            <v>CL</v>
          </cell>
        </row>
        <row r="1195">
          <cell r="D1195" t="str">
            <v>2234/11</v>
          </cell>
          <cell r="E1195" t="str">
            <v>19/09/2011</v>
          </cell>
          <cell r="F1195">
            <v>40984</v>
          </cell>
          <cell r="G1195">
            <v>40877</v>
          </cell>
          <cell r="H1195" t="str">
            <v>2011-0.226.938-3</v>
          </cell>
          <cell r="I1195">
            <v>44978.400000000001</v>
          </cell>
          <cell r="J1195" t="str">
            <v xml:space="preserve">              123611122                  2848                    33903600</v>
          </cell>
          <cell r="K1195" t="str">
            <v>19/09/2011</v>
          </cell>
          <cell r="L1195">
            <v>73</v>
          </cell>
          <cell r="M1195">
            <v>18300</v>
          </cell>
          <cell r="N1195">
            <v>57278</v>
          </cell>
          <cell r="O1195">
            <v>31313</v>
          </cell>
          <cell r="P1195">
            <v>16</v>
          </cell>
          <cell r="Q1195">
            <v>3</v>
          </cell>
          <cell r="T1195">
            <v>3192.636</v>
          </cell>
          <cell r="U1195">
            <v>0</v>
          </cell>
          <cell r="V1195">
            <v>7900</v>
          </cell>
          <cell r="W1195">
            <v>180</v>
          </cell>
          <cell r="X1195">
            <v>6320</v>
          </cell>
          <cell r="Y1195">
            <v>104909</v>
          </cell>
          <cell r="Z1195">
            <v>7489.52</v>
          </cell>
          <cell r="AA1195">
            <v>6730.48</v>
          </cell>
          <cell r="AB1195">
            <v>249.88</v>
          </cell>
          <cell r="AC1195">
            <v>7500</v>
          </cell>
          <cell r="AD1195">
            <v>7841.8399999999992</v>
          </cell>
          <cell r="AE1195">
            <v>-341.83999999999924</v>
          </cell>
          <cell r="AN1195" t="str">
            <v xml:space="preserve">Contrato emergencial nº </v>
          </cell>
          <cell r="AO1195" t="str">
            <v>CS</v>
          </cell>
        </row>
        <row r="1196">
          <cell r="D1196" t="str">
            <v>2235/11</v>
          </cell>
          <cell r="E1196" t="str">
            <v>19/09/2011</v>
          </cell>
          <cell r="F1196">
            <v>40984</v>
          </cell>
          <cell r="G1196">
            <v>40877</v>
          </cell>
          <cell r="H1196" t="str">
            <v>2011-0.226.939-1</v>
          </cell>
          <cell r="I1196">
            <v>46702.080000000002</v>
          </cell>
          <cell r="J1196" t="str">
            <v xml:space="preserve">              123611122                  2848                    33903600</v>
          </cell>
          <cell r="K1196" t="str">
            <v>19/09/2011</v>
          </cell>
          <cell r="L1196">
            <v>73</v>
          </cell>
          <cell r="M1196">
            <v>19000</v>
          </cell>
          <cell r="N1196">
            <v>57278</v>
          </cell>
          <cell r="O1196">
            <v>31315</v>
          </cell>
          <cell r="P1196">
            <v>16</v>
          </cell>
          <cell r="Q1196">
            <v>3</v>
          </cell>
          <cell r="T1196">
            <v>3200</v>
          </cell>
          <cell r="U1196">
            <v>0</v>
          </cell>
          <cell r="V1196">
            <v>7800</v>
          </cell>
          <cell r="W1196">
            <v>180</v>
          </cell>
          <cell r="X1196">
            <v>6240</v>
          </cell>
          <cell r="Y1196">
            <v>104861</v>
          </cell>
          <cell r="Z1196">
            <v>8619.5</v>
          </cell>
          <cell r="AA1196">
            <v>5420.5</v>
          </cell>
          <cell r="AB1196">
            <v>259.45600000000002</v>
          </cell>
          <cell r="AC1196">
            <v>7800</v>
          </cell>
          <cell r="AD1196">
            <v>7341.31</v>
          </cell>
          <cell r="AE1196">
            <v>458.6899999999996</v>
          </cell>
          <cell r="AN1196" t="str">
            <v xml:space="preserve">Contrato emergencial nº </v>
          </cell>
          <cell r="AO1196" t="str">
            <v>PJ</v>
          </cell>
        </row>
        <row r="1197">
          <cell r="D1197" t="str">
            <v>2238/11</v>
          </cell>
          <cell r="E1197" t="str">
            <v>19/09/2011</v>
          </cell>
          <cell r="F1197">
            <v>40984</v>
          </cell>
          <cell r="G1197">
            <v>40877</v>
          </cell>
          <cell r="H1197" t="str">
            <v>2011-0.226.958-8</v>
          </cell>
          <cell r="I1197">
            <v>44324.52</v>
          </cell>
          <cell r="J1197" t="str">
            <v xml:space="preserve">              123611122                  2848                    33903600</v>
          </cell>
          <cell r="K1197" t="str">
            <v>19/09/2011</v>
          </cell>
          <cell r="L1197">
            <v>73</v>
          </cell>
          <cell r="M1197">
            <v>18000</v>
          </cell>
          <cell r="N1197">
            <v>57278</v>
          </cell>
          <cell r="O1197">
            <v>31316</v>
          </cell>
          <cell r="P1197">
            <v>16</v>
          </cell>
          <cell r="Q1197">
            <v>3</v>
          </cell>
          <cell r="T1197">
            <v>2734.0439999999999</v>
          </cell>
          <cell r="U1197">
            <v>0</v>
          </cell>
          <cell r="V1197">
            <v>7400</v>
          </cell>
          <cell r="W1197">
            <v>180</v>
          </cell>
          <cell r="X1197">
            <v>5920</v>
          </cell>
          <cell r="Y1197">
            <v>104911</v>
          </cell>
          <cell r="Z1197">
            <v>8587.0999999999985</v>
          </cell>
          <cell r="AA1197">
            <v>4732.9000000000015</v>
          </cell>
          <cell r="AB1197">
            <v>246.2473333333333</v>
          </cell>
          <cell r="AC1197">
            <v>7400</v>
          </cell>
          <cell r="AD1197">
            <v>6772.61</v>
          </cell>
          <cell r="AE1197">
            <v>627.39000000000033</v>
          </cell>
          <cell r="AN1197" t="str">
            <v xml:space="preserve">Contrato emergencial nº </v>
          </cell>
          <cell r="AO1197" t="str">
            <v>CS</v>
          </cell>
        </row>
        <row r="1198">
          <cell r="D1198" t="str">
            <v>2239/11</v>
          </cell>
          <cell r="E1198" t="str">
            <v>19/09/2011</v>
          </cell>
          <cell r="F1198">
            <v>40984</v>
          </cell>
          <cell r="G1198">
            <v>40877</v>
          </cell>
          <cell r="H1198" t="str">
            <v>2011-0.226.963-4</v>
          </cell>
          <cell r="I1198">
            <v>27565.02</v>
          </cell>
          <cell r="J1198" t="str">
            <v xml:space="preserve">              123611122                  2848                    33903600</v>
          </cell>
          <cell r="K1198" t="str">
            <v>19/09/2011</v>
          </cell>
          <cell r="L1198">
            <v>73</v>
          </cell>
          <cell r="M1198">
            <v>11200</v>
          </cell>
          <cell r="N1198">
            <v>57278</v>
          </cell>
          <cell r="O1198">
            <v>31322</v>
          </cell>
          <cell r="P1198">
            <v>16</v>
          </cell>
          <cell r="Q1198">
            <v>3</v>
          </cell>
          <cell r="T1198">
            <v>1900</v>
          </cell>
          <cell r="U1198">
            <v>0</v>
          </cell>
          <cell r="V1198">
            <v>5300</v>
          </cell>
          <cell r="W1198">
            <v>180</v>
          </cell>
          <cell r="X1198">
            <v>4240</v>
          </cell>
          <cell r="Y1198">
            <v>105033</v>
          </cell>
          <cell r="Z1198">
            <v>4050.01</v>
          </cell>
          <cell r="AA1198">
            <v>5489.99</v>
          </cell>
          <cell r="AB1198">
            <v>153.13900000000001</v>
          </cell>
          <cell r="AC1198">
            <v>4600</v>
          </cell>
          <cell r="AD1198">
            <v>5228.83</v>
          </cell>
          <cell r="AE1198">
            <v>-628.82999999999993</v>
          </cell>
          <cell r="AN1198" t="str">
            <v xml:space="preserve">Contrato emergencial nº </v>
          </cell>
          <cell r="AO1198" t="str">
            <v>PJ</v>
          </cell>
        </row>
        <row r="1199">
          <cell r="D1199" t="str">
            <v>2240/11</v>
          </cell>
          <cell r="E1199" t="str">
            <v>19/09/2011</v>
          </cell>
          <cell r="F1199">
            <v>40984</v>
          </cell>
          <cell r="G1199">
            <v>40877</v>
          </cell>
          <cell r="H1199" t="str">
            <v>2011-0.226.967-7</v>
          </cell>
          <cell r="I1199">
            <v>26039.46</v>
          </cell>
          <cell r="J1199" t="str">
            <v xml:space="preserve">              123611122                  2848                    33903600</v>
          </cell>
          <cell r="K1199" t="str">
            <v>19/09/2011</v>
          </cell>
          <cell r="L1199">
            <v>73</v>
          </cell>
          <cell r="M1199">
            <v>10600</v>
          </cell>
          <cell r="N1199">
            <v>57278</v>
          </cell>
          <cell r="O1199">
            <v>31327</v>
          </cell>
          <cell r="P1199">
            <v>16</v>
          </cell>
          <cell r="Q1199">
            <v>3</v>
          </cell>
          <cell r="T1199">
            <v>1800</v>
          </cell>
          <cell r="U1199">
            <v>0</v>
          </cell>
          <cell r="V1199">
            <v>4800</v>
          </cell>
          <cell r="W1199">
            <v>180</v>
          </cell>
          <cell r="X1199">
            <v>3840</v>
          </cell>
          <cell r="Y1199">
            <v>105167</v>
          </cell>
          <cell r="Z1199">
            <v>3998.23</v>
          </cell>
          <cell r="AA1199">
            <v>4641.7700000000004</v>
          </cell>
          <cell r="AB1199">
            <v>144.66366666666667</v>
          </cell>
          <cell r="AC1199">
            <v>4400</v>
          </cell>
          <cell r="AD1199">
            <v>4774.1099999999997</v>
          </cell>
          <cell r="AE1199">
            <v>-374.10999999999967</v>
          </cell>
          <cell r="AN1199" t="str">
            <v xml:space="preserve">Contrato emergencial nº </v>
          </cell>
          <cell r="AO1199" t="str">
            <v>JT</v>
          </cell>
        </row>
        <row r="1200">
          <cell r="D1200" t="str">
            <v>2241/11</v>
          </cell>
          <cell r="E1200" t="str">
            <v>19/09/2011</v>
          </cell>
          <cell r="F1200">
            <v>40984</v>
          </cell>
          <cell r="G1200">
            <v>40877</v>
          </cell>
          <cell r="H1200" t="str">
            <v>2011-0.226.972-3</v>
          </cell>
          <cell r="I1200">
            <v>38261.760000000002</v>
          </cell>
          <cell r="J1200" t="str">
            <v xml:space="preserve">              123611122                  2848                    33903600</v>
          </cell>
          <cell r="K1200" t="str">
            <v>19/09/2011</v>
          </cell>
          <cell r="L1200">
            <v>73</v>
          </cell>
          <cell r="M1200">
            <v>15600</v>
          </cell>
          <cell r="N1200">
            <v>57278</v>
          </cell>
          <cell r="O1200">
            <v>31328</v>
          </cell>
          <cell r="P1200">
            <v>16</v>
          </cell>
          <cell r="Q1200">
            <v>3</v>
          </cell>
          <cell r="T1200">
            <v>2383.9340000000002</v>
          </cell>
          <cell r="U1200">
            <v>0</v>
          </cell>
          <cell r="V1200">
            <v>6400</v>
          </cell>
          <cell r="W1200">
            <v>180</v>
          </cell>
          <cell r="X1200">
            <v>5120</v>
          </cell>
          <cell r="Y1200">
            <v>105589</v>
          </cell>
          <cell r="Z1200">
            <v>7338.29</v>
          </cell>
          <cell r="AA1200">
            <v>4181.71</v>
          </cell>
          <cell r="AB1200">
            <v>212.56533333333334</v>
          </cell>
          <cell r="AC1200">
            <v>6400</v>
          </cell>
          <cell r="AD1200">
            <v>5904.9249999999993</v>
          </cell>
          <cell r="AE1200">
            <v>495.07500000000073</v>
          </cell>
          <cell r="AN1200" t="str">
            <v xml:space="preserve">Contrato emergencial nº </v>
          </cell>
          <cell r="AO1200" t="str">
            <v>SM</v>
          </cell>
        </row>
        <row r="1201">
          <cell r="D1201" t="str">
            <v>2242/11</v>
          </cell>
          <cell r="E1201" t="str">
            <v>19/09/2011</v>
          </cell>
          <cell r="F1201">
            <v>40984</v>
          </cell>
          <cell r="G1201">
            <v>40877</v>
          </cell>
          <cell r="H1201" t="str">
            <v>2011-0.226.974-0</v>
          </cell>
          <cell r="I1201">
            <v>46910.04</v>
          </cell>
          <cell r="J1201" t="str">
            <v xml:space="preserve">              123611122                  2848                    33903600</v>
          </cell>
          <cell r="K1201" t="str">
            <v>19/09/2011</v>
          </cell>
          <cell r="L1201">
            <v>73</v>
          </cell>
          <cell r="M1201">
            <v>19100</v>
          </cell>
          <cell r="N1201">
            <v>57278</v>
          </cell>
          <cell r="O1201">
            <v>31329</v>
          </cell>
          <cell r="P1201">
            <v>16</v>
          </cell>
          <cell r="Q1201">
            <v>3</v>
          </cell>
          <cell r="T1201">
            <v>2816.5439999999999</v>
          </cell>
          <cell r="U1201">
            <v>0</v>
          </cell>
          <cell r="V1201">
            <v>7900</v>
          </cell>
          <cell r="W1201">
            <v>180</v>
          </cell>
          <cell r="X1201">
            <v>6320</v>
          </cell>
          <cell r="Y1201">
            <v>104914</v>
          </cell>
          <cell r="Z1201">
            <v>9479.0999999999985</v>
          </cell>
          <cell r="AA1201">
            <v>4740.9000000000015</v>
          </cell>
          <cell r="AB1201">
            <v>260.61133333333333</v>
          </cell>
          <cell r="AC1201">
            <v>7900</v>
          </cell>
          <cell r="AD1201">
            <v>6922.8600000000006</v>
          </cell>
          <cell r="AE1201">
            <v>977.13999999999942</v>
          </cell>
          <cell r="AN1201" t="str">
            <v xml:space="preserve">Contrato emergencial nº </v>
          </cell>
          <cell r="AO1201" t="str">
            <v>CS</v>
          </cell>
        </row>
        <row r="1202">
          <cell r="D1202" t="str">
            <v>2243/11</v>
          </cell>
          <cell r="E1202" t="str">
            <v>19/09/2011</v>
          </cell>
          <cell r="F1202">
            <v>40984</v>
          </cell>
          <cell r="G1202">
            <v>40877</v>
          </cell>
          <cell r="H1202" t="str">
            <v>2011-0.226.978-2</v>
          </cell>
          <cell r="I1202">
            <v>44324.52</v>
          </cell>
          <cell r="J1202" t="str">
            <v xml:space="preserve">              123611122                  2848                    33903600</v>
          </cell>
          <cell r="K1202" t="str">
            <v>19/09/2011</v>
          </cell>
          <cell r="L1202">
            <v>73</v>
          </cell>
          <cell r="M1202">
            <v>18000</v>
          </cell>
          <cell r="N1202">
            <v>57278</v>
          </cell>
          <cell r="O1202">
            <v>31331</v>
          </cell>
          <cell r="P1202">
            <v>16</v>
          </cell>
          <cell r="Q1202">
            <v>3</v>
          </cell>
          <cell r="T1202">
            <v>3000</v>
          </cell>
          <cell r="U1202">
            <v>0</v>
          </cell>
          <cell r="V1202">
            <v>7400</v>
          </cell>
          <cell r="W1202">
            <v>180</v>
          </cell>
          <cell r="X1202">
            <v>5920</v>
          </cell>
          <cell r="Y1202">
            <v>104945</v>
          </cell>
          <cell r="Z1202">
            <v>9485.64</v>
          </cell>
          <cell r="AA1202">
            <v>3834.3600000000006</v>
          </cell>
          <cell r="AB1202">
            <v>246.2473333333333</v>
          </cell>
          <cell r="AC1202">
            <v>7400</v>
          </cell>
          <cell r="AD1202">
            <v>6096.5599999999995</v>
          </cell>
          <cell r="AE1202">
            <v>1303.4400000000005</v>
          </cell>
          <cell r="AN1202" t="str">
            <v xml:space="preserve">Contrato emergencial nº </v>
          </cell>
          <cell r="AO1202" t="str">
            <v>PJ</v>
          </cell>
        </row>
        <row r="1203">
          <cell r="D1203" t="str">
            <v>2244/11</v>
          </cell>
          <cell r="E1203" t="str">
            <v>19/09/2011</v>
          </cell>
          <cell r="F1203">
            <v>40984</v>
          </cell>
          <cell r="G1203">
            <v>40877</v>
          </cell>
          <cell r="H1203" t="str">
            <v>2011-0.226.988-0</v>
          </cell>
          <cell r="I1203">
            <v>38261.760000000002</v>
          </cell>
          <cell r="J1203" t="str">
            <v xml:space="preserve">              123611122                  2848                    33903600</v>
          </cell>
          <cell r="K1203" t="str">
            <v>19/09/2011</v>
          </cell>
          <cell r="L1203">
            <v>73</v>
          </cell>
          <cell r="M1203">
            <v>15600</v>
          </cell>
          <cell r="N1203">
            <v>57278</v>
          </cell>
          <cell r="O1203">
            <v>31332</v>
          </cell>
          <cell r="P1203">
            <v>16</v>
          </cell>
          <cell r="Q1203">
            <v>3</v>
          </cell>
          <cell r="T1203">
            <v>2600</v>
          </cell>
          <cell r="U1203">
            <v>0</v>
          </cell>
          <cell r="V1203">
            <v>6500</v>
          </cell>
          <cell r="W1203">
            <v>180</v>
          </cell>
          <cell r="X1203">
            <v>5200</v>
          </cell>
          <cell r="Y1203">
            <v>105241</v>
          </cell>
          <cell r="Z1203">
            <v>8201.15</v>
          </cell>
          <cell r="AA1203">
            <v>3498.8500000000004</v>
          </cell>
          <cell r="AB1203">
            <v>212.56533333333334</v>
          </cell>
          <cell r="AC1203">
            <v>6400</v>
          </cell>
          <cell r="AD1203">
            <v>6428.08</v>
          </cell>
          <cell r="AE1203">
            <v>-28.079999999999927</v>
          </cell>
          <cell r="AN1203" t="str">
            <v xml:space="preserve">Contrato emergencial nº </v>
          </cell>
          <cell r="AO1203" t="str">
            <v>G</v>
          </cell>
        </row>
        <row r="1204">
          <cell r="D1204" t="str">
            <v>2245/11</v>
          </cell>
          <cell r="E1204" t="str">
            <v>19/09/2011</v>
          </cell>
          <cell r="F1204">
            <v>40984</v>
          </cell>
          <cell r="G1204">
            <v>40877</v>
          </cell>
          <cell r="H1204" t="str">
            <v>2011-0.226.991-0</v>
          </cell>
          <cell r="I1204">
            <v>37607.879999999997</v>
          </cell>
          <cell r="J1204" t="str">
            <v xml:space="preserve">              123611122                  2848                    33903600</v>
          </cell>
          <cell r="K1204" t="str">
            <v>19/09/2011</v>
          </cell>
          <cell r="L1204">
            <v>73</v>
          </cell>
          <cell r="M1204">
            <v>15300</v>
          </cell>
          <cell r="N1204">
            <v>57278</v>
          </cell>
          <cell r="O1204">
            <v>31335</v>
          </cell>
          <cell r="P1204">
            <v>16</v>
          </cell>
          <cell r="Q1204">
            <v>3</v>
          </cell>
          <cell r="T1204">
            <v>2600</v>
          </cell>
          <cell r="U1204">
            <v>0</v>
          </cell>
          <cell r="V1204">
            <v>6300</v>
          </cell>
          <cell r="W1204">
            <v>180</v>
          </cell>
          <cell r="X1204">
            <v>5040</v>
          </cell>
          <cell r="Y1204">
            <v>104929</v>
          </cell>
          <cell r="Z1204">
            <v>4747.96</v>
          </cell>
          <cell r="AA1204">
            <v>6592.04</v>
          </cell>
          <cell r="AB1204">
            <v>208.93266666666665</v>
          </cell>
          <cell r="AC1204">
            <v>6300</v>
          </cell>
          <cell r="AD1204">
            <v>5871.5940000000001</v>
          </cell>
          <cell r="AE1204">
            <v>428.40599999999995</v>
          </cell>
          <cell r="AN1204" t="str">
            <v xml:space="preserve">Contrato emergencial nº </v>
          </cell>
          <cell r="AO1204" t="str">
            <v>PJ</v>
          </cell>
        </row>
        <row r="1205">
          <cell r="D1205" t="str">
            <v>2246/11</v>
          </cell>
          <cell r="E1205" t="str">
            <v>19/09/2011</v>
          </cell>
          <cell r="F1205">
            <v>40984</v>
          </cell>
          <cell r="G1205">
            <v>40877</v>
          </cell>
          <cell r="H1205" t="str">
            <v>2011-0.226.996-0</v>
          </cell>
          <cell r="I1205">
            <v>23097.24</v>
          </cell>
          <cell r="J1205" t="str">
            <v xml:space="preserve">              123651121                 2847                    33903600</v>
          </cell>
          <cell r="K1205" t="str">
            <v>19/09/2011</v>
          </cell>
          <cell r="L1205">
            <v>73</v>
          </cell>
          <cell r="M1205">
            <v>9400</v>
          </cell>
          <cell r="N1205">
            <v>57273</v>
          </cell>
          <cell r="O1205">
            <v>31336</v>
          </cell>
          <cell r="P1205">
            <v>16</v>
          </cell>
          <cell r="Q1205">
            <v>2</v>
          </cell>
          <cell r="T1205">
            <v>1600</v>
          </cell>
          <cell r="U1205">
            <v>0</v>
          </cell>
          <cell r="V1205">
            <v>3900</v>
          </cell>
          <cell r="W1205">
            <v>180</v>
          </cell>
          <cell r="X1205">
            <v>3120</v>
          </cell>
          <cell r="Y1205">
            <v>104867</v>
          </cell>
          <cell r="Z1205">
            <v>4507.87</v>
          </cell>
          <cell r="AA1205">
            <v>2512.13</v>
          </cell>
          <cell r="AB1205">
            <v>128.31800000000001</v>
          </cell>
          <cell r="AC1205">
            <v>3900</v>
          </cell>
          <cell r="AD1205">
            <v>3464.2</v>
          </cell>
          <cell r="AE1205">
            <v>435.80000000000018</v>
          </cell>
          <cell r="AN1205" t="str">
            <v xml:space="preserve">Contrato emergencial nº </v>
          </cell>
          <cell r="AO1205" t="str">
            <v>PJ</v>
          </cell>
        </row>
        <row r="1206">
          <cell r="D1206" t="str">
            <v>2247/11</v>
          </cell>
          <cell r="E1206" t="str">
            <v>19/09/2011</v>
          </cell>
          <cell r="F1206">
            <v>40984</v>
          </cell>
          <cell r="G1206">
            <v>40877</v>
          </cell>
          <cell r="H1206" t="str">
            <v>2011-0.227.000-4</v>
          </cell>
          <cell r="I1206">
            <v>44978.400000000001</v>
          </cell>
          <cell r="J1206" t="str">
            <v xml:space="preserve">              123611122                  2848                    33903600</v>
          </cell>
          <cell r="K1206" t="str">
            <v>19/09/2011</v>
          </cell>
          <cell r="L1206">
            <v>73</v>
          </cell>
          <cell r="M1206">
            <v>18300</v>
          </cell>
          <cell r="N1206">
            <v>57278</v>
          </cell>
          <cell r="O1206">
            <v>31337</v>
          </cell>
          <cell r="P1206">
            <v>16</v>
          </cell>
          <cell r="Q1206">
            <v>3</v>
          </cell>
          <cell r="T1206">
            <v>3000</v>
          </cell>
          <cell r="U1206">
            <v>0</v>
          </cell>
          <cell r="V1206">
            <v>7500</v>
          </cell>
          <cell r="W1206">
            <v>180</v>
          </cell>
          <cell r="X1206">
            <v>6000</v>
          </cell>
          <cell r="Y1206">
            <v>105731</v>
          </cell>
          <cell r="Z1206">
            <v>10168.59</v>
          </cell>
          <cell r="AA1206">
            <v>3331.41</v>
          </cell>
          <cell r="AB1206">
            <v>249.88</v>
          </cell>
          <cell r="AC1206">
            <v>7500</v>
          </cell>
          <cell r="AD1206">
            <v>7500</v>
          </cell>
          <cell r="AE1206">
            <v>0</v>
          </cell>
          <cell r="AN1206" t="str">
            <v xml:space="preserve">Contrato emergencial nº </v>
          </cell>
          <cell r="AO1206" t="str">
            <v>PE</v>
          </cell>
        </row>
        <row r="1207">
          <cell r="D1207" t="str">
            <v>2248/11</v>
          </cell>
          <cell r="E1207" t="str">
            <v>19/09/2011</v>
          </cell>
          <cell r="F1207">
            <v>40984</v>
          </cell>
          <cell r="G1207">
            <v>40877</v>
          </cell>
          <cell r="H1207" t="str">
            <v>2011-0.227.007-1</v>
          </cell>
          <cell r="I1207">
            <v>18381.900000000001</v>
          </cell>
          <cell r="J1207" t="str">
            <v xml:space="preserve">              123651121                 2847                    33903600</v>
          </cell>
          <cell r="K1207" t="str">
            <v>19/09/2011</v>
          </cell>
          <cell r="L1207">
            <v>73</v>
          </cell>
          <cell r="M1207">
            <v>7500</v>
          </cell>
          <cell r="N1207">
            <v>57273</v>
          </cell>
          <cell r="O1207">
            <v>31338</v>
          </cell>
          <cell r="P1207">
            <v>16</v>
          </cell>
          <cell r="Q1207">
            <v>2</v>
          </cell>
          <cell r="T1207">
            <v>1300</v>
          </cell>
          <cell r="U1207">
            <v>0</v>
          </cell>
          <cell r="V1207">
            <v>3300</v>
          </cell>
          <cell r="W1207">
            <v>180</v>
          </cell>
          <cell r="X1207">
            <v>2640</v>
          </cell>
          <cell r="Y1207">
            <v>105176</v>
          </cell>
          <cell r="Z1207">
            <v>2415.04</v>
          </cell>
          <cell r="AA1207">
            <v>3524.96</v>
          </cell>
          <cell r="AB1207">
            <v>102.12166666666667</v>
          </cell>
          <cell r="AC1207">
            <v>3100</v>
          </cell>
          <cell r="AD1207">
            <v>3279.2799999999997</v>
          </cell>
          <cell r="AE1207">
            <v>-179.27999999999975</v>
          </cell>
          <cell r="AN1207" t="str">
            <v xml:space="preserve">Contrato emergencial nº </v>
          </cell>
          <cell r="AO1207" t="str">
            <v>JT</v>
          </cell>
        </row>
        <row r="1208">
          <cell r="D1208" t="str">
            <v>2250/11</v>
          </cell>
          <cell r="E1208" t="str">
            <v>20/09/2011</v>
          </cell>
          <cell r="F1208">
            <v>40985</v>
          </cell>
          <cell r="G1208">
            <v>40877</v>
          </cell>
          <cell r="H1208" t="str">
            <v>2011-0.227.020-9</v>
          </cell>
          <cell r="I1208">
            <v>41531.040000000001</v>
          </cell>
          <cell r="J1208" t="str">
            <v xml:space="preserve">              123651121                 2847                    33903600</v>
          </cell>
          <cell r="K1208" t="str">
            <v>20/09/2011</v>
          </cell>
          <cell r="L1208">
            <v>72</v>
          </cell>
          <cell r="M1208">
            <v>16700</v>
          </cell>
          <cell r="N1208">
            <v>57273</v>
          </cell>
          <cell r="O1208">
            <v>31339</v>
          </cell>
          <cell r="P1208">
            <v>16</v>
          </cell>
          <cell r="Q1208">
            <v>2</v>
          </cell>
          <cell r="T1208">
            <v>3035.4</v>
          </cell>
          <cell r="U1208">
            <v>0</v>
          </cell>
          <cell r="V1208">
            <v>7400</v>
          </cell>
          <cell r="W1208">
            <v>180</v>
          </cell>
          <cell r="X1208">
            <v>5920</v>
          </cell>
          <cell r="Y1208">
            <v>108391</v>
          </cell>
          <cell r="Z1208">
            <v>5892.46</v>
          </cell>
          <cell r="AA1208">
            <v>7427.54</v>
          </cell>
          <cell r="AB1208">
            <v>230.72800000000001</v>
          </cell>
          <cell r="AC1208">
            <v>7000</v>
          </cell>
          <cell r="AD1208">
            <v>7357.24</v>
          </cell>
          <cell r="AE1208">
            <v>-357.23999999999978</v>
          </cell>
          <cell r="AN1208" t="str">
            <v xml:space="preserve">Contrato emergencial nº </v>
          </cell>
          <cell r="AO1208" t="str">
            <v>G</v>
          </cell>
        </row>
        <row r="1209">
          <cell r="D1209" t="str">
            <v>2251/11</v>
          </cell>
          <cell r="E1209" t="str">
            <v>21/09/2011</v>
          </cell>
          <cell r="F1209">
            <v>40986</v>
          </cell>
          <cell r="G1209">
            <v>40877</v>
          </cell>
          <cell r="H1209" t="str">
            <v>2011-0.227.024-1</v>
          </cell>
          <cell r="I1209">
            <v>20967.419999999998</v>
          </cell>
          <cell r="J1209" t="str">
            <v xml:space="preserve">              123611122                  2848                    33903600</v>
          </cell>
          <cell r="K1209" t="str">
            <v>21/09/2011</v>
          </cell>
          <cell r="L1209">
            <v>71</v>
          </cell>
          <cell r="M1209">
            <v>8300</v>
          </cell>
          <cell r="N1209">
            <v>57278</v>
          </cell>
          <cell r="O1209">
            <v>31342</v>
          </cell>
          <cell r="P1209">
            <v>16</v>
          </cell>
          <cell r="Q1209">
            <v>3</v>
          </cell>
          <cell r="T1209">
            <v>1062.03</v>
          </cell>
          <cell r="U1209">
            <v>0</v>
          </cell>
          <cell r="V1209">
            <v>3500</v>
          </cell>
          <cell r="W1209">
            <v>180</v>
          </cell>
          <cell r="X1209">
            <v>2800</v>
          </cell>
          <cell r="Y1209">
            <v>108383</v>
          </cell>
          <cell r="Z1209">
            <v>4089.08</v>
          </cell>
          <cell r="AA1209">
            <v>2210.92</v>
          </cell>
          <cell r="AB1209">
            <v>116.48566666666666</v>
          </cell>
          <cell r="AC1209">
            <v>3500</v>
          </cell>
          <cell r="AD1209">
            <v>3065.41</v>
          </cell>
          <cell r="AE1209">
            <v>434.59000000000015</v>
          </cell>
          <cell r="AN1209" t="str">
            <v xml:space="preserve">Contrato emergencial nº </v>
          </cell>
          <cell r="AO1209" t="str">
            <v>PE</v>
          </cell>
        </row>
        <row r="1210">
          <cell r="D1210" t="str">
            <v>2252/11</v>
          </cell>
          <cell r="E1210" t="str">
            <v>21/09/2011</v>
          </cell>
          <cell r="F1210">
            <v>40986</v>
          </cell>
          <cell r="G1210">
            <v>40877</v>
          </cell>
          <cell r="H1210" t="str">
            <v>2011-0.227.025-0</v>
          </cell>
          <cell r="I1210">
            <v>42838.74</v>
          </cell>
          <cell r="J1210" t="str">
            <v xml:space="preserve">              123651121                 2847                    33903600</v>
          </cell>
          <cell r="K1210" t="str">
            <v>21/09/2011</v>
          </cell>
          <cell r="L1210">
            <v>71</v>
          </cell>
          <cell r="M1210">
            <v>16900</v>
          </cell>
          <cell r="N1210">
            <v>918</v>
          </cell>
          <cell r="O1210">
            <v>31343</v>
          </cell>
          <cell r="P1210">
            <v>16</v>
          </cell>
          <cell r="Q1210">
            <v>4</v>
          </cell>
          <cell r="T1210">
            <v>2567.29</v>
          </cell>
          <cell r="U1210">
            <v>0</v>
          </cell>
          <cell r="V1210">
            <v>7200</v>
          </cell>
          <cell r="W1210">
            <v>180</v>
          </cell>
          <cell r="X1210">
            <v>5760</v>
          </cell>
          <cell r="Y1210">
            <v>108541</v>
          </cell>
          <cell r="Z1210">
            <v>837.89000000000033</v>
          </cell>
          <cell r="AA1210">
            <v>12122.11</v>
          </cell>
          <cell r="AB1210">
            <v>237.99299999999999</v>
          </cell>
          <cell r="AC1210">
            <v>7200</v>
          </cell>
          <cell r="AD1210">
            <v>6328.34</v>
          </cell>
          <cell r="AE1210">
            <v>871.65999999999985</v>
          </cell>
          <cell r="AN1210" t="str">
            <v xml:space="preserve">Contrato emergencial nº </v>
          </cell>
          <cell r="AO1210" t="str">
            <v>FO</v>
          </cell>
        </row>
        <row r="1211">
          <cell r="D1211" t="str">
            <v>2253/11</v>
          </cell>
          <cell r="E1211" t="str">
            <v>21/09/2011</v>
          </cell>
          <cell r="F1211">
            <v>40986</v>
          </cell>
          <cell r="G1211">
            <v>40877</v>
          </cell>
          <cell r="H1211" t="str">
            <v>2011-0.227.031-4</v>
          </cell>
          <cell r="I1211">
            <v>31012.38</v>
          </cell>
          <cell r="J1211" t="str">
            <v xml:space="preserve">              123651121                 2847                    33903600</v>
          </cell>
          <cell r="K1211" t="str">
            <v>21/09/2011</v>
          </cell>
          <cell r="L1211">
            <v>71</v>
          </cell>
          <cell r="M1211">
            <v>12300</v>
          </cell>
          <cell r="N1211">
            <v>57273</v>
          </cell>
          <cell r="O1211">
            <v>31344</v>
          </cell>
          <cell r="P1211">
            <v>16</v>
          </cell>
          <cell r="Q1211">
            <v>2</v>
          </cell>
          <cell r="T1211">
            <v>1800</v>
          </cell>
          <cell r="U1211">
            <v>0</v>
          </cell>
          <cell r="V1211">
            <v>5200</v>
          </cell>
          <cell r="W1211">
            <v>180</v>
          </cell>
          <cell r="X1211">
            <v>4160</v>
          </cell>
          <cell r="Y1211">
            <v>108384</v>
          </cell>
          <cell r="Z1211">
            <v>6275.48</v>
          </cell>
          <cell r="AA1211">
            <v>3084.5200000000004</v>
          </cell>
          <cell r="AB1211">
            <v>172.291</v>
          </cell>
          <cell r="AC1211">
            <v>5200</v>
          </cell>
          <cell r="AD1211">
            <v>4570.8900000000003</v>
          </cell>
          <cell r="AE1211">
            <v>629.10999999999967</v>
          </cell>
          <cell r="AN1211" t="str">
            <v xml:space="preserve">Contrato emergencial nº </v>
          </cell>
          <cell r="AO1211" t="str">
            <v>PE</v>
          </cell>
        </row>
        <row r="1212">
          <cell r="D1212" t="str">
            <v>2254/11</v>
          </cell>
          <cell r="E1212" t="str">
            <v>21/09/2011</v>
          </cell>
          <cell r="F1212">
            <v>40986</v>
          </cell>
          <cell r="G1212">
            <v>40877</v>
          </cell>
          <cell r="H1212" t="str">
            <v>2011-0.227.034-9</v>
          </cell>
          <cell r="I1212">
            <v>29387.759999999998</v>
          </cell>
          <cell r="J1212" t="str">
            <v xml:space="preserve">              123611122                  2848                    33903600</v>
          </cell>
          <cell r="K1212" t="str">
            <v>21/09/2011</v>
          </cell>
          <cell r="L1212">
            <v>71</v>
          </cell>
          <cell r="M1212">
            <v>11600</v>
          </cell>
          <cell r="N1212">
            <v>57278</v>
          </cell>
          <cell r="O1212">
            <v>31346</v>
          </cell>
          <cell r="P1212">
            <v>16</v>
          </cell>
          <cell r="Q1212">
            <v>3</v>
          </cell>
          <cell r="T1212">
            <v>1700</v>
          </cell>
          <cell r="U1212">
            <v>0</v>
          </cell>
          <cell r="V1212">
            <v>4900</v>
          </cell>
          <cell r="W1212">
            <v>180</v>
          </cell>
          <cell r="X1212">
            <v>3920</v>
          </cell>
          <cell r="Y1212">
            <v>108386</v>
          </cell>
          <cell r="Z1212">
            <v>5849.28</v>
          </cell>
          <cell r="AA1212">
            <v>2970.7200000000003</v>
          </cell>
          <cell r="AB1212">
            <v>163.26533333333333</v>
          </cell>
          <cell r="AC1212">
            <v>4900</v>
          </cell>
          <cell r="AD1212">
            <v>4419.51</v>
          </cell>
          <cell r="AE1212">
            <v>480.48999999999978</v>
          </cell>
          <cell r="AN1212" t="str">
            <v xml:space="preserve">Contrato emergencial nº </v>
          </cell>
          <cell r="AO1212" t="str">
            <v>PE</v>
          </cell>
        </row>
        <row r="1213">
          <cell r="D1213" t="str">
            <v>2255/11</v>
          </cell>
          <cell r="E1213" t="str">
            <v>26/09/2011</v>
          </cell>
          <cell r="F1213">
            <v>40991</v>
          </cell>
          <cell r="G1213">
            <v>40877</v>
          </cell>
          <cell r="H1213" t="str">
            <v>2011-0.227.043-8</v>
          </cell>
          <cell r="I1213">
            <v>23047.74</v>
          </cell>
          <cell r="J1213" t="str">
            <v xml:space="preserve">              123651121                 2847                    33903600</v>
          </cell>
          <cell r="K1213" t="str">
            <v>26/09/2011</v>
          </cell>
          <cell r="L1213">
            <v>66</v>
          </cell>
          <cell r="M1213">
            <v>8500</v>
          </cell>
          <cell r="N1213">
            <v>57273</v>
          </cell>
          <cell r="O1213">
            <v>31347</v>
          </cell>
          <cell r="P1213">
            <v>16</v>
          </cell>
          <cell r="Q1213">
            <v>2</v>
          </cell>
          <cell r="T1213">
            <v>700</v>
          </cell>
          <cell r="U1213">
            <v>0</v>
          </cell>
          <cell r="V1213">
            <v>3900</v>
          </cell>
          <cell r="W1213">
            <v>180</v>
          </cell>
          <cell r="X1213">
            <v>3120</v>
          </cell>
          <cell r="Y1213">
            <v>105179</v>
          </cell>
          <cell r="Z1213">
            <v>4380.8500000000004</v>
          </cell>
          <cell r="AA1213">
            <v>2639.1499999999996</v>
          </cell>
          <cell r="AB1213">
            <v>128.04300000000001</v>
          </cell>
          <cell r="AC1213">
            <v>3900</v>
          </cell>
          <cell r="AD1213">
            <v>3589.71</v>
          </cell>
          <cell r="AE1213">
            <v>310.28999999999996</v>
          </cell>
          <cell r="AN1213" t="str">
            <v xml:space="preserve">Contrato emergencial nº </v>
          </cell>
          <cell r="AO1213" t="str">
            <v>JT</v>
          </cell>
        </row>
        <row r="1214">
          <cell r="D1214" t="str">
            <v>2257/11</v>
          </cell>
          <cell r="E1214" t="str">
            <v>26/09/2011</v>
          </cell>
          <cell r="F1214">
            <v>40991</v>
          </cell>
          <cell r="G1214">
            <v>40877</v>
          </cell>
          <cell r="H1214" t="str">
            <v>2011-0.227.049-7</v>
          </cell>
          <cell r="I1214">
            <v>41531.040000000001</v>
          </cell>
          <cell r="J1214" t="str">
            <v xml:space="preserve">             123671125                  2863                   33903600</v>
          </cell>
          <cell r="K1214" t="str">
            <v>26/09/2011</v>
          </cell>
          <cell r="L1214">
            <v>66</v>
          </cell>
          <cell r="M1214">
            <v>15300</v>
          </cell>
          <cell r="N1214">
            <v>57287</v>
          </cell>
          <cell r="O1214">
            <v>31467</v>
          </cell>
          <cell r="P1214">
            <v>16</v>
          </cell>
          <cell r="Q1214">
            <v>4</v>
          </cell>
          <cell r="T1214">
            <v>1200</v>
          </cell>
          <cell r="U1214">
            <v>0</v>
          </cell>
          <cell r="V1214">
            <v>7000</v>
          </cell>
          <cell r="W1214">
            <v>180</v>
          </cell>
          <cell r="X1214">
            <v>5600</v>
          </cell>
          <cell r="Y1214">
            <v>106809</v>
          </cell>
          <cell r="Z1214">
            <v>7542.88</v>
          </cell>
          <cell r="AA1214">
            <v>5057.12</v>
          </cell>
          <cell r="AB1214">
            <v>230.72800000000001</v>
          </cell>
          <cell r="AC1214">
            <v>7000</v>
          </cell>
          <cell r="AD1214">
            <v>6625.62</v>
          </cell>
          <cell r="AE1214">
            <v>374.38000000000011</v>
          </cell>
          <cell r="AN1214" t="str">
            <v xml:space="preserve">Contrato emergencial nº </v>
          </cell>
          <cell r="AO1214" t="str">
            <v>SA</v>
          </cell>
        </row>
        <row r="1215">
          <cell r="D1215" t="str">
            <v>2260/11</v>
          </cell>
          <cell r="E1215" t="str">
            <v>26/09/2011</v>
          </cell>
          <cell r="F1215">
            <v>40991</v>
          </cell>
          <cell r="G1215">
            <v>40877</v>
          </cell>
          <cell r="H1215" t="str">
            <v>2011-0.227.080-2</v>
          </cell>
          <cell r="I1215">
            <v>31418.52</v>
          </cell>
          <cell r="J1215" t="str">
            <v xml:space="preserve">              123651121                 2847                    33903600</v>
          </cell>
          <cell r="K1215" t="str">
            <v>26/09/2011</v>
          </cell>
          <cell r="L1215">
            <v>66</v>
          </cell>
          <cell r="M1215">
            <v>11600</v>
          </cell>
          <cell r="N1215">
            <v>57273</v>
          </cell>
          <cell r="O1215">
            <v>31469</v>
          </cell>
          <cell r="P1215">
            <v>16</v>
          </cell>
          <cell r="Q1215">
            <v>2</v>
          </cell>
          <cell r="T1215">
            <v>900</v>
          </cell>
          <cell r="U1215">
            <v>0</v>
          </cell>
          <cell r="V1215">
            <v>5300</v>
          </cell>
          <cell r="W1215">
            <v>180</v>
          </cell>
          <cell r="X1215">
            <v>4240</v>
          </cell>
          <cell r="Y1215">
            <v>105715</v>
          </cell>
          <cell r="Z1215">
            <v>6301.78</v>
          </cell>
          <cell r="AA1215">
            <v>3238.2200000000003</v>
          </cell>
          <cell r="AB1215">
            <v>174.54733333333334</v>
          </cell>
          <cell r="AC1215">
            <v>5300</v>
          </cell>
          <cell r="AD1215">
            <v>4550.7500000000009</v>
          </cell>
          <cell r="AE1215">
            <v>749.24999999999909</v>
          </cell>
          <cell r="AN1215" t="str">
            <v xml:space="preserve">Contrato emergencial nº </v>
          </cell>
          <cell r="AO1215" t="str">
            <v>IQ</v>
          </cell>
        </row>
        <row r="1216">
          <cell r="D1216" t="str">
            <v>2261/11</v>
          </cell>
          <cell r="E1216" t="str">
            <v>26/09/2011</v>
          </cell>
          <cell r="F1216">
            <v>40991</v>
          </cell>
          <cell r="G1216">
            <v>40877</v>
          </cell>
          <cell r="H1216" t="str">
            <v>2011-0.227.085-3</v>
          </cell>
          <cell r="I1216">
            <v>31012.38</v>
          </cell>
          <cell r="J1216" t="str">
            <v xml:space="preserve">              123651121                 2847                    33903600</v>
          </cell>
          <cell r="K1216" t="str">
            <v>26/09/2011</v>
          </cell>
          <cell r="L1216">
            <v>66</v>
          </cell>
          <cell r="M1216">
            <v>11400</v>
          </cell>
          <cell r="N1216">
            <v>57273</v>
          </cell>
          <cell r="O1216">
            <v>31472</v>
          </cell>
          <cell r="P1216">
            <v>16</v>
          </cell>
          <cell r="Q1216">
            <v>2</v>
          </cell>
          <cell r="T1216">
            <v>900</v>
          </cell>
          <cell r="U1216">
            <v>0</v>
          </cell>
          <cell r="V1216">
            <v>5200</v>
          </cell>
          <cell r="W1216">
            <v>180</v>
          </cell>
          <cell r="X1216">
            <v>4160</v>
          </cell>
          <cell r="Y1216">
            <v>105336</v>
          </cell>
          <cell r="Z1216">
            <v>634.09033333333355</v>
          </cell>
          <cell r="AA1216">
            <v>8725.9096666666665</v>
          </cell>
          <cell r="AB1216">
            <v>172.291</v>
          </cell>
          <cell r="AC1216">
            <v>5200</v>
          </cell>
          <cell r="AD1216">
            <v>4735.72</v>
          </cell>
          <cell r="AE1216">
            <v>464.27999999999975</v>
          </cell>
          <cell r="AN1216" t="str">
            <v xml:space="preserve">Contrato emergencial nº </v>
          </cell>
          <cell r="AO1216" t="str">
            <v>MP</v>
          </cell>
        </row>
        <row r="1217">
          <cell r="D1217" t="str">
            <v>2262/11</v>
          </cell>
          <cell r="E1217" t="str">
            <v>26/09/2011</v>
          </cell>
          <cell r="F1217">
            <v>40991</v>
          </cell>
          <cell r="G1217">
            <v>40877</v>
          </cell>
          <cell r="H1217" t="str">
            <v>2011-0.227.093-4</v>
          </cell>
          <cell r="I1217">
            <v>45186.36</v>
          </cell>
          <cell r="J1217" t="str">
            <v xml:space="preserve">              123651121                 2847                    33903600</v>
          </cell>
          <cell r="K1217" t="str">
            <v>26/09/2011</v>
          </cell>
          <cell r="L1217">
            <v>66</v>
          </cell>
          <cell r="M1217">
            <v>16600</v>
          </cell>
          <cell r="N1217">
            <v>57273</v>
          </cell>
          <cell r="O1217">
            <v>31476</v>
          </cell>
          <cell r="P1217">
            <v>16</v>
          </cell>
          <cell r="Q1217">
            <v>2</v>
          </cell>
          <cell r="T1217">
            <v>951.88</v>
          </cell>
          <cell r="U1217">
            <v>0</v>
          </cell>
          <cell r="V1217">
            <v>7600</v>
          </cell>
          <cell r="W1217">
            <v>180</v>
          </cell>
          <cell r="X1217">
            <v>6080</v>
          </cell>
          <cell r="Y1217">
            <v>104915</v>
          </cell>
          <cell r="Z1217">
            <v>10115.767666666667</v>
          </cell>
          <cell r="AA1217">
            <v>3564.2323333333334</v>
          </cell>
          <cell r="AB1217">
            <v>251.03533333333334</v>
          </cell>
          <cell r="AC1217">
            <v>7600</v>
          </cell>
          <cell r="AD1217">
            <v>5645.2800000000007</v>
          </cell>
          <cell r="AE1217">
            <v>1954.7199999999993</v>
          </cell>
          <cell r="AN1217" t="str">
            <v xml:space="preserve">Contrato emergencial nº </v>
          </cell>
          <cell r="AO1217" t="str">
            <v>CS</v>
          </cell>
        </row>
        <row r="1218">
          <cell r="D1218" t="str">
            <v>2263/11</v>
          </cell>
          <cell r="E1218" t="str">
            <v>26/09/2011</v>
          </cell>
          <cell r="F1218">
            <v>40991</v>
          </cell>
          <cell r="G1218">
            <v>40877</v>
          </cell>
          <cell r="H1218" t="str">
            <v>2011-0.227.099-3</v>
          </cell>
          <cell r="I1218">
            <v>44324.52</v>
          </cell>
          <cell r="J1218" t="str">
            <v xml:space="preserve">              123651121                 2847                    33903600</v>
          </cell>
          <cell r="K1218" t="str">
            <v>26/09/2011</v>
          </cell>
          <cell r="L1218">
            <v>66</v>
          </cell>
          <cell r="M1218">
            <v>16300</v>
          </cell>
          <cell r="N1218">
            <v>57273</v>
          </cell>
          <cell r="O1218">
            <v>31478</v>
          </cell>
          <cell r="P1218">
            <v>16</v>
          </cell>
          <cell r="Q1218">
            <v>2</v>
          </cell>
          <cell r="T1218">
            <v>1161.5899999999999</v>
          </cell>
          <cell r="U1218">
            <v>0</v>
          </cell>
          <cell r="V1218">
            <v>7400</v>
          </cell>
          <cell r="W1218">
            <v>180</v>
          </cell>
          <cell r="X1218">
            <v>5920</v>
          </cell>
          <cell r="Y1218">
            <v>104916</v>
          </cell>
          <cell r="Z1218">
            <v>8355.869999999999</v>
          </cell>
          <cell r="AA1218">
            <v>4964.130000000001</v>
          </cell>
          <cell r="AB1218">
            <v>246.2473333333333</v>
          </cell>
          <cell r="AC1218">
            <v>7400</v>
          </cell>
          <cell r="AD1218">
            <v>6833.54</v>
          </cell>
          <cell r="AE1218">
            <v>566.46</v>
          </cell>
          <cell r="AN1218" t="str">
            <v xml:space="preserve">Contrato emergencial nº </v>
          </cell>
          <cell r="AO1218" t="str">
            <v>CS</v>
          </cell>
        </row>
        <row r="1219">
          <cell r="D1219" t="str">
            <v>2264/11</v>
          </cell>
          <cell r="E1219" t="str">
            <v>26/09/2011</v>
          </cell>
          <cell r="F1219">
            <v>40991</v>
          </cell>
          <cell r="G1219">
            <v>40877</v>
          </cell>
          <cell r="H1219" t="str">
            <v>2011-0.227.101-9</v>
          </cell>
          <cell r="I1219">
            <v>30606.240000000002</v>
          </cell>
          <cell r="J1219" t="str">
            <v xml:space="preserve">              123651121                 2847                    33903600</v>
          </cell>
          <cell r="K1219" t="str">
            <v>26/09/2011</v>
          </cell>
          <cell r="L1219">
            <v>66</v>
          </cell>
          <cell r="M1219">
            <v>11300</v>
          </cell>
          <cell r="N1219">
            <v>57273</v>
          </cell>
          <cell r="O1219">
            <v>31481</v>
          </cell>
          <cell r="P1219">
            <v>16</v>
          </cell>
          <cell r="Q1219">
            <v>2</v>
          </cell>
          <cell r="T1219">
            <v>2100</v>
          </cell>
          <cell r="U1219">
            <v>0</v>
          </cell>
          <cell r="V1219">
            <v>5200</v>
          </cell>
          <cell r="W1219">
            <v>180</v>
          </cell>
          <cell r="X1219">
            <v>4160</v>
          </cell>
          <cell r="Y1219">
            <v>105732</v>
          </cell>
          <cell r="Z1219">
            <v>6064.72</v>
          </cell>
          <cell r="AA1219">
            <v>3295.2799999999997</v>
          </cell>
          <cell r="AB1219">
            <v>170.03466666666668</v>
          </cell>
          <cell r="AC1219">
            <v>5200</v>
          </cell>
          <cell r="AD1219">
            <v>4572.1399999999994</v>
          </cell>
          <cell r="AE1219">
            <v>627.86000000000058</v>
          </cell>
          <cell r="AN1219" t="str">
            <v xml:space="preserve">Contrato emergencial nº </v>
          </cell>
          <cell r="AO1219" t="str">
            <v>PE</v>
          </cell>
        </row>
        <row r="1220">
          <cell r="D1220" t="str">
            <v>2265/11</v>
          </cell>
          <cell r="E1220" t="str">
            <v>26/09/2011</v>
          </cell>
          <cell r="F1220">
            <v>40991</v>
          </cell>
          <cell r="G1220">
            <v>40877</v>
          </cell>
          <cell r="H1220" t="str">
            <v>2011-0.227.105-1</v>
          </cell>
          <cell r="I1220">
            <v>28377.3</v>
          </cell>
          <cell r="J1220" t="str">
            <v xml:space="preserve">              123651121                 2847                    33903600</v>
          </cell>
          <cell r="K1220" t="str">
            <v>26/09/2011</v>
          </cell>
          <cell r="L1220">
            <v>66</v>
          </cell>
          <cell r="M1220">
            <v>10500</v>
          </cell>
          <cell r="N1220">
            <v>57273</v>
          </cell>
          <cell r="O1220">
            <v>31483</v>
          </cell>
          <cell r="P1220">
            <v>16</v>
          </cell>
          <cell r="Q1220">
            <v>2</v>
          </cell>
          <cell r="T1220">
            <v>800</v>
          </cell>
          <cell r="U1220">
            <v>0</v>
          </cell>
          <cell r="V1220">
            <v>4800</v>
          </cell>
          <cell r="W1220">
            <v>180</v>
          </cell>
          <cell r="X1220">
            <v>3840</v>
          </cell>
          <cell r="Y1220">
            <v>105725</v>
          </cell>
          <cell r="Z1220">
            <v>5265.95</v>
          </cell>
          <cell r="AA1220">
            <v>3374.05</v>
          </cell>
          <cell r="AB1220">
            <v>157.65166666666667</v>
          </cell>
          <cell r="AC1220">
            <v>4800</v>
          </cell>
          <cell r="AD1220">
            <v>4519.1849999999995</v>
          </cell>
          <cell r="AE1220">
            <v>280.81500000000051</v>
          </cell>
          <cell r="AN1220" t="str">
            <v xml:space="preserve">Contrato emergencial nº </v>
          </cell>
          <cell r="AO1220" t="str">
            <v>IQ</v>
          </cell>
        </row>
        <row r="1221">
          <cell r="D1221" t="str">
            <v>2266/11</v>
          </cell>
          <cell r="E1221" t="str">
            <v>26/09/2011</v>
          </cell>
          <cell r="F1221">
            <v>40991</v>
          </cell>
          <cell r="G1221">
            <v>40877</v>
          </cell>
          <cell r="H1221" t="str">
            <v>2011-0.227.107-8</v>
          </cell>
          <cell r="I1221">
            <v>26950.799999999999</v>
          </cell>
          <cell r="J1221" t="str">
            <v xml:space="preserve">              123651121                 2847                    33903600</v>
          </cell>
          <cell r="K1221" t="str">
            <v>26/09/2011</v>
          </cell>
          <cell r="L1221">
            <v>66</v>
          </cell>
          <cell r="M1221">
            <v>9900</v>
          </cell>
          <cell r="N1221">
            <v>57273</v>
          </cell>
          <cell r="O1221">
            <v>31488</v>
          </cell>
          <cell r="P1221">
            <v>16</v>
          </cell>
          <cell r="Q1221">
            <v>2</v>
          </cell>
          <cell r="T1221">
            <v>703.79166666666697</v>
          </cell>
          <cell r="U1221">
            <v>0</v>
          </cell>
          <cell r="V1221">
            <v>4500</v>
          </cell>
          <cell r="W1221">
            <v>180</v>
          </cell>
          <cell r="X1221">
            <v>3600</v>
          </cell>
          <cell r="Y1221">
            <v>104943</v>
          </cell>
          <cell r="Z1221">
            <v>5130.9599999999991</v>
          </cell>
          <cell r="AA1221">
            <v>2969.0400000000009</v>
          </cell>
          <cell r="AB1221">
            <v>149.72666666666666</v>
          </cell>
          <cell r="AC1221">
            <v>4500</v>
          </cell>
          <cell r="AD1221">
            <v>4133.63</v>
          </cell>
          <cell r="AE1221">
            <v>366.36999999999989</v>
          </cell>
          <cell r="AN1221" t="str">
            <v xml:space="preserve">Contrato emergencial nº </v>
          </cell>
          <cell r="AO1221" t="str">
            <v>CS</v>
          </cell>
        </row>
        <row r="1222">
          <cell r="D1222" t="str">
            <v>2267/11</v>
          </cell>
          <cell r="E1222" t="str">
            <v>26/09/2011</v>
          </cell>
          <cell r="F1222">
            <v>40991</v>
          </cell>
          <cell r="G1222">
            <v>40877</v>
          </cell>
          <cell r="H1222" t="str">
            <v>2011-0.227.113-2</v>
          </cell>
          <cell r="I1222">
            <v>45632.28</v>
          </cell>
          <cell r="J1222" t="str">
            <v xml:space="preserve">              123651121                 2847                    33903600</v>
          </cell>
          <cell r="K1222" t="str">
            <v>26/09/2011</v>
          </cell>
          <cell r="L1222">
            <v>66</v>
          </cell>
          <cell r="M1222">
            <v>16800</v>
          </cell>
          <cell r="N1222">
            <v>57273</v>
          </cell>
          <cell r="O1222">
            <v>31491</v>
          </cell>
          <cell r="P1222">
            <v>16</v>
          </cell>
          <cell r="Q1222">
            <v>2</v>
          </cell>
          <cell r="T1222">
            <v>1300</v>
          </cell>
          <cell r="U1222">
            <v>0</v>
          </cell>
          <cell r="V1222">
            <v>8200</v>
          </cell>
          <cell r="W1222">
            <v>180</v>
          </cell>
          <cell r="X1222">
            <v>6560</v>
          </cell>
          <cell r="Y1222">
            <v>104881</v>
          </cell>
          <cell r="Z1222">
            <v>7222.18</v>
          </cell>
          <cell r="AA1222">
            <v>7537.82</v>
          </cell>
          <cell r="AB1222">
            <v>253.51266666666666</v>
          </cell>
          <cell r="AC1222">
            <v>7700</v>
          </cell>
          <cell r="AD1222">
            <v>8118.12</v>
          </cell>
          <cell r="AE1222">
            <v>-418.11999999999989</v>
          </cell>
          <cell r="AN1222" t="str">
            <v xml:space="preserve">Contrato emergencial nº </v>
          </cell>
          <cell r="AO1222" t="str">
            <v>PJ</v>
          </cell>
        </row>
        <row r="1223">
          <cell r="D1223" t="str">
            <v>2268/11</v>
          </cell>
          <cell r="E1223" t="str">
            <v>26/09/2011</v>
          </cell>
          <cell r="F1223">
            <v>40991</v>
          </cell>
          <cell r="G1223">
            <v>40877</v>
          </cell>
          <cell r="H1223" t="str">
            <v>2011-0.227.115-9</v>
          </cell>
          <cell r="I1223">
            <v>44978.400000000001</v>
          </cell>
          <cell r="J1223" t="str">
            <v xml:space="preserve">              123651121                 2847                    33903600</v>
          </cell>
          <cell r="K1223" t="str">
            <v>26/09/2011</v>
          </cell>
          <cell r="L1223">
            <v>66</v>
          </cell>
          <cell r="M1223">
            <v>16500</v>
          </cell>
          <cell r="N1223">
            <v>57273</v>
          </cell>
          <cell r="O1223">
            <v>31494</v>
          </cell>
          <cell r="P1223">
            <v>16</v>
          </cell>
          <cell r="Q1223">
            <v>2</v>
          </cell>
          <cell r="T1223">
            <v>1398.5233333333299</v>
          </cell>
          <cell r="U1223">
            <v>0</v>
          </cell>
          <cell r="V1223">
            <v>8200</v>
          </cell>
          <cell r="W1223">
            <v>180</v>
          </cell>
          <cell r="X1223">
            <v>6560</v>
          </cell>
          <cell r="Y1223">
            <v>104947</v>
          </cell>
          <cell r="Z1223">
            <v>7022.8399999999992</v>
          </cell>
          <cell r="AA1223">
            <v>7737.1600000000008</v>
          </cell>
          <cell r="AB1223">
            <v>249.88</v>
          </cell>
          <cell r="AC1223">
            <v>7500</v>
          </cell>
          <cell r="AD1223">
            <v>8153.8900000000012</v>
          </cell>
          <cell r="AE1223">
            <v>-653.89000000000124</v>
          </cell>
          <cell r="AN1223" t="str">
            <v xml:space="preserve">Contrato emergencial nº </v>
          </cell>
          <cell r="AO1223" t="str">
            <v>CS</v>
          </cell>
        </row>
        <row r="1224">
          <cell r="D1224" t="str">
            <v>2269/11</v>
          </cell>
          <cell r="E1224" t="str">
            <v>26/09/2011</v>
          </cell>
          <cell r="F1224">
            <v>40991</v>
          </cell>
          <cell r="G1224">
            <v>40877</v>
          </cell>
          <cell r="H1224" t="str">
            <v>2011-0.227.119-1</v>
          </cell>
          <cell r="I1224">
            <v>44324.52</v>
          </cell>
          <cell r="J1224" t="str">
            <v xml:space="preserve">              123651121                 2847                    33903600</v>
          </cell>
          <cell r="K1224" t="str">
            <v>26/09/2011</v>
          </cell>
          <cell r="L1224">
            <v>66</v>
          </cell>
          <cell r="M1224">
            <v>16300</v>
          </cell>
          <cell r="N1224">
            <v>57273</v>
          </cell>
          <cell r="O1224">
            <v>31498</v>
          </cell>
          <cell r="P1224">
            <v>16</v>
          </cell>
          <cell r="Q1224">
            <v>2</v>
          </cell>
          <cell r="T1224">
            <v>1300</v>
          </cell>
          <cell r="U1224">
            <v>0</v>
          </cell>
          <cell r="V1224">
            <v>7400</v>
          </cell>
          <cell r="W1224">
            <v>180</v>
          </cell>
          <cell r="X1224">
            <v>5920</v>
          </cell>
          <cell r="Y1224">
            <v>105339</v>
          </cell>
          <cell r="Z1224">
            <v>1803.0599999999995</v>
          </cell>
          <cell r="AA1224">
            <v>11516.94</v>
          </cell>
          <cell r="AB1224">
            <v>246.2473333333333</v>
          </cell>
          <cell r="AC1224">
            <v>7400</v>
          </cell>
          <cell r="AD1224">
            <v>5922.619999999999</v>
          </cell>
          <cell r="AE1224">
            <v>1477.380000000001</v>
          </cell>
          <cell r="AN1224" t="str">
            <v xml:space="preserve">Contrato emergencial nº </v>
          </cell>
          <cell r="AO1224" t="str">
            <v>MP</v>
          </cell>
        </row>
        <row r="1225">
          <cell r="D1225" t="str">
            <v>2270/11</v>
          </cell>
          <cell r="E1225" t="str">
            <v>26/09/2011</v>
          </cell>
          <cell r="F1225">
            <v>40991</v>
          </cell>
          <cell r="G1225">
            <v>40877</v>
          </cell>
          <cell r="H1225" t="str">
            <v>2011-0.227.125-6</v>
          </cell>
          <cell r="I1225">
            <v>42570.96</v>
          </cell>
          <cell r="J1225" t="str">
            <v xml:space="preserve">              123651121                 2847                    33903600</v>
          </cell>
          <cell r="K1225" t="str">
            <v>26/09/2011</v>
          </cell>
          <cell r="L1225">
            <v>66</v>
          </cell>
          <cell r="M1225">
            <v>15700</v>
          </cell>
          <cell r="N1225">
            <v>57273</v>
          </cell>
          <cell r="O1225">
            <v>31500</v>
          </cell>
          <cell r="P1225">
            <v>16</v>
          </cell>
          <cell r="Q1225">
            <v>2</v>
          </cell>
          <cell r="T1225">
            <v>913.10500000000002</v>
          </cell>
          <cell r="U1225">
            <v>0</v>
          </cell>
          <cell r="V1225">
            <v>7100</v>
          </cell>
          <cell r="W1225">
            <v>180</v>
          </cell>
          <cell r="X1225">
            <v>5680</v>
          </cell>
          <cell r="Y1225">
            <v>104865</v>
          </cell>
          <cell r="Z1225">
            <v>14786.89</v>
          </cell>
          <cell r="AA1225">
            <v>-2006.8899999999994</v>
          </cell>
          <cell r="AB1225">
            <v>236.50533333333334</v>
          </cell>
          <cell r="AC1225">
            <v>7100</v>
          </cell>
          <cell r="AD1225">
            <v>5358.43</v>
          </cell>
          <cell r="AE1225">
            <v>1741.5699999999997</v>
          </cell>
          <cell r="AN1225" t="str">
            <v xml:space="preserve">Contrato emergencial nº </v>
          </cell>
          <cell r="AO1225" t="str">
            <v>CL</v>
          </cell>
        </row>
        <row r="1226">
          <cell r="D1226" t="str">
            <v>2271/11</v>
          </cell>
          <cell r="E1226" t="str">
            <v>26/09/2011</v>
          </cell>
          <cell r="F1226">
            <v>40991</v>
          </cell>
          <cell r="G1226">
            <v>40877</v>
          </cell>
          <cell r="H1226" t="str">
            <v>2011-0.227.131-0</v>
          </cell>
          <cell r="I1226">
            <v>31012.38</v>
          </cell>
          <cell r="J1226" t="str">
            <v xml:space="preserve">              123651121                 2847                    33903600</v>
          </cell>
          <cell r="K1226" t="str">
            <v>26/09/2011</v>
          </cell>
          <cell r="L1226">
            <v>66</v>
          </cell>
          <cell r="M1226">
            <v>11400</v>
          </cell>
          <cell r="N1226">
            <v>57273</v>
          </cell>
          <cell r="O1226">
            <v>31503</v>
          </cell>
          <cell r="P1226">
            <v>16</v>
          </cell>
          <cell r="Q1226">
            <v>2</v>
          </cell>
          <cell r="T1226">
            <v>900</v>
          </cell>
          <cell r="V1226">
            <v>5200</v>
          </cell>
          <cell r="W1226">
            <v>180</v>
          </cell>
          <cell r="X1226">
            <v>4160</v>
          </cell>
          <cell r="Z1226">
            <v>6391.24</v>
          </cell>
          <cell r="AA1226">
            <v>2968.76</v>
          </cell>
          <cell r="AB1226">
            <v>172.291</v>
          </cell>
          <cell r="AC1226">
            <v>5200</v>
          </cell>
          <cell r="AD1226">
            <v>4252.93</v>
          </cell>
          <cell r="AE1226">
            <v>947.06999999999971</v>
          </cell>
          <cell r="AN1226" t="str">
            <v xml:space="preserve">Contrato emergencial nº </v>
          </cell>
          <cell r="AO1226" t="str">
            <v>PE</v>
          </cell>
        </row>
        <row r="1227">
          <cell r="D1227" t="str">
            <v>2272/11</v>
          </cell>
          <cell r="E1227" t="str">
            <v>26/09/2011</v>
          </cell>
          <cell r="F1227">
            <v>40991</v>
          </cell>
          <cell r="G1227">
            <v>40877</v>
          </cell>
          <cell r="H1227" t="str">
            <v>2011-0.227.136-1</v>
          </cell>
          <cell r="I1227">
            <v>44978.400000000001</v>
          </cell>
          <cell r="J1227" t="str">
            <v xml:space="preserve">              123651121                 2847                    33903600</v>
          </cell>
          <cell r="K1227" t="str">
            <v>26/09/2011</v>
          </cell>
          <cell r="L1227">
            <v>66</v>
          </cell>
          <cell r="M1227">
            <v>16500</v>
          </cell>
          <cell r="N1227">
            <v>57273</v>
          </cell>
          <cell r="O1227">
            <v>31504</v>
          </cell>
          <cell r="P1227">
            <v>16</v>
          </cell>
          <cell r="Q1227">
            <v>2</v>
          </cell>
          <cell r="T1227">
            <v>1300</v>
          </cell>
          <cell r="U1227">
            <v>0</v>
          </cell>
          <cell r="V1227">
            <v>7500</v>
          </cell>
          <cell r="W1227">
            <v>180</v>
          </cell>
          <cell r="X1227">
            <v>6000</v>
          </cell>
          <cell r="Y1227">
            <v>105342</v>
          </cell>
          <cell r="Z1227">
            <v>667.42000000000007</v>
          </cell>
          <cell r="AA1227">
            <v>12832.58</v>
          </cell>
          <cell r="AB1227">
            <v>249.88</v>
          </cell>
          <cell r="AC1227">
            <v>7500</v>
          </cell>
          <cell r="AD1227">
            <v>6986.4250000000002</v>
          </cell>
          <cell r="AE1227">
            <v>513.57499999999982</v>
          </cell>
          <cell r="AN1227" t="str">
            <v xml:space="preserve">Contrato emergencial nº </v>
          </cell>
          <cell r="AO1227" t="str">
            <v>MP</v>
          </cell>
        </row>
        <row r="1228">
          <cell r="D1228" t="str">
            <v>2273/11</v>
          </cell>
          <cell r="E1228" t="str">
            <v>26/09/2011</v>
          </cell>
          <cell r="F1228">
            <v>40991</v>
          </cell>
          <cell r="G1228">
            <v>40877</v>
          </cell>
          <cell r="H1228" t="str">
            <v>2011-0.227.141-8</v>
          </cell>
          <cell r="I1228">
            <v>38261.760000000002</v>
          </cell>
          <cell r="J1228" t="str">
            <v xml:space="preserve">              123651121                 2847                    33903600</v>
          </cell>
          <cell r="K1228" t="str">
            <v>26/09/2011</v>
          </cell>
          <cell r="L1228">
            <v>66</v>
          </cell>
          <cell r="M1228">
            <v>14100</v>
          </cell>
          <cell r="N1228">
            <v>57273</v>
          </cell>
          <cell r="O1228">
            <v>31505</v>
          </cell>
          <cell r="P1228">
            <v>16</v>
          </cell>
          <cell r="Q1228">
            <v>2</v>
          </cell>
          <cell r="T1228">
            <v>1100</v>
          </cell>
          <cell r="U1228">
            <v>0</v>
          </cell>
          <cell r="V1228">
            <v>6400</v>
          </cell>
          <cell r="W1228">
            <v>180</v>
          </cell>
          <cell r="X1228">
            <v>5120</v>
          </cell>
          <cell r="Y1228">
            <v>105727</v>
          </cell>
          <cell r="Z1228">
            <v>8290.0499999999993</v>
          </cell>
          <cell r="AA1228">
            <v>3229.9500000000007</v>
          </cell>
          <cell r="AB1228">
            <v>212.56533333333334</v>
          </cell>
          <cell r="AC1228">
            <v>6400</v>
          </cell>
          <cell r="AD1228">
            <v>4994.5599999999995</v>
          </cell>
          <cell r="AE1228">
            <v>1405.4400000000005</v>
          </cell>
          <cell r="AN1228" t="str">
            <v xml:space="preserve">Contrato emergencial nº </v>
          </cell>
          <cell r="AO1228" t="str">
            <v>IQ</v>
          </cell>
        </row>
        <row r="1229">
          <cell r="D1229" t="str">
            <v>2274/11</v>
          </cell>
          <cell r="E1229" t="str">
            <v>26/09/2011</v>
          </cell>
          <cell r="F1229">
            <v>40991</v>
          </cell>
          <cell r="G1229">
            <v>40877</v>
          </cell>
          <cell r="H1229" t="str">
            <v>2011-0.227.147-7</v>
          </cell>
          <cell r="I1229">
            <v>31418.52</v>
          </cell>
          <cell r="J1229" t="str">
            <v xml:space="preserve">              123651121                 2847                    33903600</v>
          </cell>
          <cell r="K1229" t="str">
            <v>26/09/2011</v>
          </cell>
          <cell r="L1229">
            <v>66</v>
          </cell>
          <cell r="M1229">
            <v>11600</v>
          </cell>
          <cell r="N1229">
            <v>57273</v>
          </cell>
          <cell r="O1229">
            <v>31508</v>
          </cell>
          <cell r="P1229">
            <v>16</v>
          </cell>
          <cell r="Q1229">
            <v>2</v>
          </cell>
          <cell r="T1229">
            <v>709.55333333333294</v>
          </cell>
          <cell r="U1229">
            <v>0</v>
          </cell>
          <cell r="V1229">
            <v>5300</v>
          </cell>
          <cell r="W1229">
            <v>180</v>
          </cell>
          <cell r="X1229">
            <v>4240</v>
          </cell>
          <cell r="Y1229">
            <v>104949</v>
          </cell>
          <cell r="Z1229">
            <v>6750.630000000001</v>
          </cell>
          <cell r="AA1229">
            <v>2789.369999999999</v>
          </cell>
          <cell r="AB1229">
            <v>174.54733333333334</v>
          </cell>
          <cell r="AC1229">
            <v>5300</v>
          </cell>
          <cell r="AD1229">
            <v>4103.6900000000005</v>
          </cell>
          <cell r="AE1229">
            <v>1196.3099999999995</v>
          </cell>
          <cell r="AN1229" t="str">
            <v xml:space="preserve">Contrato emergencial nº </v>
          </cell>
          <cell r="AO1229" t="str">
            <v>CS</v>
          </cell>
        </row>
        <row r="1230">
          <cell r="D1230" t="str">
            <v>2275/11</v>
          </cell>
          <cell r="E1230" t="str">
            <v>26/09/2011</v>
          </cell>
          <cell r="F1230">
            <v>40991</v>
          </cell>
          <cell r="G1230">
            <v>40877</v>
          </cell>
          <cell r="H1230" t="str">
            <v>2011-0.227.202-3</v>
          </cell>
          <cell r="I1230">
            <v>31418.52</v>
          </cell>
          <cell r="J1230" t="str">
            <v xml:space="preserve">              123651121                 2847                    33903600</v>
          </cell>
          <cell r="K1230" t="str">
            <v>26/09/2011</v>
          </cell>
          <cell r="L1230">
            <v>66</v>
          </cell>
          <cell r="M1230">
            <v>11600</v>
          </cell>
          <cell r="N1230">
            <v>57273</v>
          </cell>
          <cell r="O1230">
            <v>31510</v>
          </cell>
          <cell r="P1230">
            <v>16</v>
          </cell>
          <cell r="Q1230">
            <v>2</v>
          </cell>
          <cell r="T1230">
            <v>900</v>
          </cell>
          <cell r="U1230">
            <v>0</v>
          </cell>
          <cell r="V1230">
            <v>5300</v>
          </cell>
          <cell r="W1230">
            <v>180</v>
          </cell>
          <cell r="X1230">
            <v>4240</v>
          </cell>
          <cell r="Y1230">
            <v>105343</v>
          </cell>
          <cell r="Z1230">
            <v>617.4399999999996</v>
          </cell>
          <cell r="AA1230">
            <v>8922.5600000000013</v>
          </cell>
          <cell r="AB1230">
            <v>174.54733333333334</v>
          </cell>
          <cell r="AC1230">
            <v>5300</v>
          </cell>
          <cell r="AD1230">
            <v>4744.0650000000005</v>
          </cell>
          <cell r="AE1230">
            <v>555.93499999999949</v>
          </cell>
          <cell r="AN1230" t="str">
            <v xml:space="preserve">Contrato emergencial nº </v>
          </cell>
          <cell r="AO1230" t="str">
            <v>MP</v>
          </cell>
        </row>
        <row r="1231">
          <cell r="D1231" t="str">
            <v>2276/11</v>
          </cell>
          <cell r="E1231" t="str">
            <v>26/09/2011</v>
          </cell>
          <cell r="F1231">
            <v>40991</v>
          </cell>
          <cell r="G1231">
            <v>40877</v>
          </cell>
          <cell r="H1231" t="str">
            <v>2011-0.227.207-4</v>
          </cell>
          <cell r="I1231">
            <v>44978.400000000001</v>
          </cell>
          <cell r="J1231" t="str">
            <v xml:space="preserve">              123651121                 2847                    33903600</v>
          </cell>
          <cell r="K1231" t="str">
            <v>26/09/2011</v>
          </cell>
          <cell r="L1231">
            <v>66</v>
          </cell>
          <cell r="M1231">
            <v>16500</v>
          </cell>
          <cell r="N1231">
            <v>57273</v>
          </cell>
          <cell r="O1231">
            <v>31512</v>
          </cell>
          <cell r="P1231">
            <v>16</v>
          </cell>
          <cell r="Q1231">
            <v>2</v>
          </cell>
          <cell r="T1231">
            <v>1300</v>
          </cell>
          <cell r="U1231">
            <v>0</v>
          </cell>
          <cell r="V1231">
            <v>7500</v>
          </cell>
          <cell r="W1231">
            <v>180</v>
          </cell>
          <cell r="X1231">
            <v>6000</v>
          </cell>
          <cell r="Y1231">
            <v>105385</v>
          </cell>
          <cell r="Z1231">
            <v>1811.0299999999997</v>
          </cell>
          <cell r="AA1231">
            <v>11688.970000000001</v>
          </cell>
          <cell r="AB1231">
            <v>249.88</v>
          </cell>
          <cell r="AC1231">
            <v>7500</v>
          </cell>
          <cell r="AD1231">
            <v>5944.5919999999996</v>
          </cell>
          <cell r="AE1231">
            <v>1555.4080000000004</v>
          </cell>
          <cell r="AN1231" t="str">
            <v xml:space="preserve">Contrato emergencial nº </v>
          </cell>
          <cell r="AO1231" t="str">
            <v>FO</v>
          </cell>
        </row>
        <row r="1232">
          <cell r="D1232" t="str">
            <v>2277/11</v>
          </cell>
          <cell r="E1232">
            <v>40812</v>
          </cell>
          <cell r="F1232">
            <v>40991</v>
          </cell>
          <cell r="G1232">
            <v>40877</v>
          </cell>
          <cell r="H1232" t="str">
            <v>2011-0.227.215-5</v>
          </cell>
          <cell r="I1232">
            <v>37607.879999999997</v>
          </cell>
          <cell r="J1232" t="str">
            <v xml:space="preserve">              123611122                  2848                    33903600</v>
          </cell>
          <cell r="K1232">
            <v>40812</v>
          </cell>
          <cell r="L1232">
            <v>66</v>
          </cell>
          <cell r="M1232">
            <v>13800</v>
          </cell>
          <cell r="N1232">
            <v>57278</v>
          </cell>
          <cell r="O1232">
            <v>31516</v>
          </cell>
          <cell r="P1232">
            <v>16</v>
          </cell>
          <cell r="Q1232">
            <v>3</v>
          </cell>
          <cell r="T1232">
            <v>829.02</v>
          </cell>
          <cell r="U1232">
            <v>0</v>
          </cell>
          <cell r="V1232">
            <v>6300</v>
          </cell>
          <cell r="W1232">
            <v>180</v>
          </cell>
          <cell r="X1232">
            <v>5040</v>
          </cell>
          <cell r="Y1232">
            <v>106899</v>
          </cell>
          <cell r="Z1232">
            <v>8125.29</v>
          </cell>
          <cell r="AA1232">
            <v>3214.71</v>
          </cell>
          <cell r="AB1232">
            <v>208.93266666666665</v>
          </cell>
          <cell r="AC1232">
            <v>6300</v>
          </cell>
          <cell r="AD1232">
            <v>4869.71</v>
          </cell>
          <cell r="AE1232">
            <v>1430.29</v>
          </cell>
          <cell r="AN1232" t="str">
            <v xml:space="preserve">Contrato emergencial nº </v>
          </cell>
          <cell r="AO1232" t="str">
            <v>IQ</v>
          </cell>
        </row>
        <row r="1233">
          <cell r="D1233" t="str">
            <v>2278/11</v>
          </cell>
          <cell r="E1233" t="str">
            <v>26/09/2011</v>
          </cell>
          <cell r="F1233">
            <v>40991</v>
          </cell>
          <cell r="G1233">
            <v>40877</v>
          </cell>
          <cell r="H1233" t="str">
            <v>2011-0.227.219-8</v>
          </cell>
          <cell r="I1233">
            <v>30606.240000000002</v>
          </cell>
          <cell r="J1233" t="str">
            <v xml:space="preserve">              123611122                  2848                    33903600</v>
          </cell>
          <cell r="K1233" t="str">
            <v>26/09/2011</v>
          </cell>
          <cell r="L1233">
            <v>66</v>
          </cell>
          <cell r="M1233">
            <v>11300</v>
          </cell>
          <cell r="N1233">
            <v>57278</v>
          </cell>
          <cell r="O1233">
            <v>31518</v>
          </cell>
          <cell r="P1233">
            <v>16</v>
          </cell>
          <cell r="Q1233">
            <v>3</v>
          </cell>
          <cell r="T1233">
            <v>900</v>
          </cell>
          <cell r="U1233">
            <v>0</v>
          </cell>
          <cell r="V1233">
            <v>5900</v>
          </cell>
          <cell r="W1233">
            <v>180</v>
          </cell>
          <cell r="X1233">
            <v>4720</v>
          </cell>
          <cell r="Y1233">
            <v>105738</v>
          </cell>
          <cell r="Z1233">
            <v>4545.75</v>
          </cell>
          <cell r="AA1233">
            <v>6074.25</v>
          </cell>
          <cell r="AB1233">
            <v>170.03466666666668</v>
          </cell>
          <cell r="AC1233">
            <v>5200</v>
          </cell>
          <cell r="AD1233">
            <v>5855.3599999999988</v>
          </cell>
          <cell r="AE1233">
            <v>-655.35999999999876</v>
          </cell>
          <cell r="AN1233" t="str">
            <v xml:space="preserve">Contrato emergencial nº </v>
          </cell>
          <cell r="AO1233" t="str">
            <v>PE</v>
          </cell>
        </row>
        <row r="1234">
          <cell r="D1234" t="str">
            <v>2279/11</v>
          </cell>
          <cell r="E1234" t="str">
            <v>26/09/2011</v>
          </cell>
          <cell r="F1234">
            <v>40991</v>
          </cell>
          <cell r="G1234">
            <v>40877</v>
          </cell>
          <cell r="H1234" t="str">
            <v>2011-0.227.224-4</v>
          </cell>
          <cell r="I1234">
            <v>31012.38</v>
          </cell>
          <cell r="J1234" t="str">
            <v xml:space="preserve">              123611122                  2848                    33903600</v>
          </cell>
          <cell r="K1234" t="str">
            <v>26/09/2011</v>
          </cell>
          <cell r="L1234">
            <v>66</v>
          </cell>
          <cell r="M1234">
            <v>11400</v>
          </cell>
          <cell r="N1234">
            <v>57278</v>
          </cell>
          <cell r="O1234">
            <v>31521</v>
          </cell>
          <cell r="P1234">
            <v>16</v>
          </cell>
          <cell r="Q1234">
            <v>3</v>
          </cell>
          <cell r="T1234">
            <v>900</v>
          </cell>
          <cell r="U1234">
            <v>0</v>
          </cell>
          <cell r="V1234">
            <v>5500</v>
          </cell>
          <cell r="W1234">
            <v>180</v>
          </cell>
          <cell r="X1234">
            <v>4400</v>
          </cell>
          <cell r="Y1234">
            <v>106811</v>
          </cell>
          <cell r="Z1234">
            <v>5071.78</v>
          </cell>
          <cell r="AA1234">
            <v>4828.22</v>
          </cell>
          <cell r="AB1234">
            <v>172.291</v>
          </cell>
          <cell r="AC1234">
            <v>5200</v>
          </cell>
          <cell r="AD1234">
            <v>5463.32</v>
          </cell>
          <cell r="AE1234">
            <v>-263.31999999999971</v>
          </cell>
          <cell r="AN1234" t="str">
            <v xml:space="preserve">Contrato emergencial nº </v>
          </cell>
          <cell r="AO1234" t="str">
            <v>SA</v>
          </cell>
        </row>
        <row r="1235">
          <cell r="D1235" t="str">
            <v>2280/11</v>
          </cell>
          <cell r="E1235" t="str">
            <v>26/09/2011</v>
          </cell>
          <cell r="F1235">
            <v>40991</v>
          </cell>
          <cell r="G1235">
            <v>40877</v>
          </cell>
          <cell r="H1235" t="str">
            <v>2011-0.227.228-7</v>
          </cell>
          <cell r="I1235">
            <v>37607.879999999997</v>
          </cell>
          <cell r="J1235" t="str">
            <v xml:space="preserve">              123611122                  2848                    33903600</v>
          </cell>
          <cell r="K1235" t="str">
            <v>26/09/2011</v>
          </cell>
          <cell r="L1235">
            <v>66</v>
          </cell>
          <cell r="M1235">
            <v>13800</v>
          </cell>
          <cell r="N1235">
            <v>57278</v>
          </cell>
          <cell r="O1235">
            <v>31523</v>
          </cell>
          <cell r="P1235">
            <v>16</v>
          </cell>
          <cell r="Q1235">
            <v>3</v>
          </cell>
          <cell r="T1235">
            <v>979.91333333333296</v>
          </cell>
          <cell r="U1235">
            <v>0</v>
          </cell>
          <cell r="V1235">
            <v>6300</v>
          </cell>
          <cell r="W1235">
            <v>180</v>
          </cell>
          <cell r="X1235">
            <v>5040</v>
          </cell>
          <cell r="Y1235">
            <v>104917</v>
          </cell>
          <cell r="Z1235">
            <v>12820.09</v>
          </cell>
          <cell r="AA1235">
            <v>-1480.0900000000001</v>
          </cell>
          <cell r="AB1235">
            <v>208.93266666666665</v>
          </cell>
          <cell r="AC1235">
            <v>6300</v>
          </cell>
          <cell r="AD1235">
            <v>5792.7425000000003</v>
          </cell>
          <cell r="AE1235">
            <v>507.25749999999971</v>
          </cell>
          <cell r="AN1235" t="str">
            <v xml:space="preserve">Contrato emergencial nº </v>
          </cell>
          <cell r="AO1235" t="str">
            <v>CL</v>
          </cell>
        </row>
        <row r="1236">
          <cell r="D1236" t="str">
            <v>2281/11</v>
          </cell>
          <cell r="E1236" t="str">
            <v>26/09/2011</v>
          </cell>
          <cell r="F1236">
            <v>40991</v>
          </cell>
          <cell r="G1236">
            <v>40877</v>
          </cell>
          <cell r="H1236" t="str">
            <v>2011-0.227.231-7</v>
          </cell>
          <cell r="I1236">
            <v>37607.879999999997</v>
          </cell>
          <cell r="J1236" t="str">
            <v xml:space="preserve">              123611122                  2848                    33903600</v>
          </cell>
          <cell r="K1236" t="str">
            <v>26/09/2011</v>
          </cell>
          <cell r="L1236">
            <v>66</v>
          </cell>
          <cell r="M1236">
            <v>13800</v>
          </cell>
          <cell r="N1236">
            <v>57278</v>
          </cell>
          <cell r="O1236">
            <v>31525</v>
          </cell>
          <cell r="P1236">
            <v>16</v>
          </cell>
          <cell r="Q1236">
            <v>3</v>
          </cell>
          <cell r="T1236">
            <v>1100</v>
          </cell>
          <cell r="U1236">
            <v>0</v>
          </cell>
          <cell r="V1236">
            <v>6300</v>
          </cell>
          <cell r="W1236">
            <v>180</v>
          </cell>
          <cell r="X1236">
            <v>5040</v>
          </cell>
          <cell r="Y1236">
            <v>106812</v>
          </cell>
          <cell r="Z1236">
            <v>7338.63</v>
          </cell>
          <cell r="AA1236">
            <v>4001.37</v>
          </cell>
          <cell r="AB1236">
            <v>208.93266666666665</v>
          </cell>
          <cell r="AC1236">
            <v>6300</v>
          </cell>
          <cell r="AD1236">
            <v>5583.84</v>
          </cell>
          <cell r="AE1236">
            <v>716.15999999999985</v>
          </cell>
          <cell r="AN1236" t="str">
            <v xml:space="preserve">Contrato emergencial nº </v>
          </cell>
          <cell r="AO1236" t="str">
            <v>SA</v>
          </cell>
        </row>
        <row r="1237">
          <cell r="D1237" t="str">
            <v>2282/11</v>
          </cell>
          <cell r="E1237" t="str">
            <v>26/09/2011</v>
          </cell>
          <cell r="F1237">
            <v>40991</v>
          </cell>
          <cell r="G1237">
            <v>40877</v>
          </cell>
          <cell r="H1237" t="str">
            <v>2011-0.227.242-2</v>
          </cell>
          <cell r="I1237">
            <v>38261.760000000002</v>
          </cell>
          <cell r="J1237" t="str">
            <v xml:space="preserve">              123611122                  2848                    33903600</v>
          </cell>
          <cell r="K1237" t="str">
            <v>26/09/2011</v>
          </cell>
          <cell r="L1237">
            <v>66</v>
          </cell>
          <cell r="M1237">
            <v>14100</v>
          </cell>
          <cell r="N1237">
            <v>57278</v>
          </cell>
          <cell r="O1237">
            <v>31527</v>
          </cell>
          <cell r="P1237">
            <v>16</v>
          </cell>
          <cell r="Q1237">
            <v>3</v>
          </cell>
          <cell r="T1237">
            <v>1052.57666666667</v>
          </cell>
          <cell r="U1237">
            <v>0</v>
          </cell>
          <cell r="V1237">
            <v>6400</v>
          </cell>
          <cell r="W1237">
            <v>180</v>
          </cell>
          <cell r="X1237">
            <v>5120</v>
          </cell>
          <cell r="Y1237">
            <v>105592</v>
          </cell>
          <cell r="Z1237">
            <v>6964.46</v>
          </cell>
          <cell r="AA1237">
            <v>4555.54</v>
          </cell>
          <cell r="AB1237">
            <v>212.56533333333334</v>
          </cell>
          <cell r="AC1237">
            <v>6400</v>
          </cell>
          <cell r="AD1237">
            <v>6129.46</v>
          </cell>
          <cell r="AE1237">
            <v>270.53999999999996</v>
          </cell>
          <cell r="AN1237" t="str">
            <v xml:space="preserve">Contrato emergencial nº </v>
          </cell>
          <cell r="AO1237" t="str">
            <v>SM</v>
          </cell>
        </row>
        <row r="1238">
          <cell r="D1238" t="str">
            <v>2284/11</v>
          </cell>
          <cell r="E1238" t="str">
            <v>26/09/2011</v>
          </cell>
          <cell r="F1238">
            <v>40991</v>
          </cell>
          <cell r="G1238">
            <v>40877</v>
          </cell>
          <cell r="H1238" t="str">
            <v>2011-0.227.280-5</v>
          </cell>
          <cell r="I1238">
            <v>21779.759999999998</v>
          </cell>
          <cell r="J1238" t="str">
            <v xml:space="preserve">              123611122                  2848                    33903600</v>
          </cell>
          <cell r="K1238" t="str">
            <v>26/09/2011</v>
          </cell>
          <cell r="L1238">
            <v>66</v>
          </cell>
          <cell r="M1238">
            <v>8000</v>
          </cell>
          <cell r="N1238">
            <v>57278</v>
          </cell>
          <cell r="O1238">
            <v>31529</v>
          </cell>
          <cell r="P1238">
            <v>16</v>
          </cell>
          <cell r="Q1238">
            <v>3</v>
          </cell>
          <cell r="T1238">
            <v>700</v>
          </cell>
          <cell r="U1238">
            <v>0</v>
          </cell>
          <cell r="V1238">
            <v>4200</v>
          </cell>
          <cell r="W1238">
            <v>180</v>
          </cell>
          <cell r="X1238">
            <v>3360</v>
          </cell>
          <cell r="Y1238">
            <v>105186</v>
          </cell>
          <cell r="Z1238">
            <v>3192.33</v>
          </cell>
          <cell r="AA1238">
            <v>4367.67</v>
          </cell>
          <cell r="AB1238">
            <v>120.99866666666665</v>
          </cell>
          <cell r="AC1238">
            <v>3700</v>
          </cell>
          <cell r="AD1238">
            <v>4173.32</v>
          </cell>
          <cell r="AE1238">
            <v>-473.31999999999971</v>
          </cell>
          <cell r="AN1238" t="str">
            <v xml:space="preserve">Contrato emergencial nº </v>
          </cell>
          <cell r="AO1238" t="str">
            <v>JT</v>
          </cell>
        </row>
        <row r="1239">
          <cell r="D1239" t="str">
            <v>2285/11</v>
          </cell>
          <cell r="E1239" t="str">
            <v>26/09/2011</v>
          </cell>
          <cell r="F1239">
            <v>40991</v>
          </cell>
          <cell r="G1239">
            <v>40877</v>
          </cell>
          <cell r="H1239" t="str">
            <v>2011-0.227.283-0</v>
          </cell>
          <cell r="I1239">
            <v>37607.879999999997</v>
          </cell>
          <cell r="J1239" t="str">
            <v xml:space="preserve">              123611122                  2848                    33903600</v>
          </cell>
          <cell r="K1239" t="str">
            <v>26/09/2011</v>
          </cell>
          <cell r="L1239">
            <v>66</v>
          </cell>
          <cell r="M1239">
            <v>13800</v>
          </cell>
          <cell r="N1239">
            <v>57278</v>
          </cell>
          <cell r="O1239">
            <v>31532</v>
          </cell>
          <cell r="P1239">
            <v>16</v>
          </cell>
          <cell r="Q1239">
            <v>3</v>
          </cell>
          <cell r="T1239">
            <v>1100</v>
          </cell>
          <cell r="U1239">
            <v>0</v>
          </cell>
          <cell r="V1239">
            <v>6300</v>
          </cell>
          <cell r="W1239">
            <v>180</v>
          </cell>
          <cell r="X1239">
            <v>5040</v>
          </cell>
          <cell r="Y1239">
            <v>105048</v>
          </cell>
          <cell r="Z1239">
            <v>7994.53</v>
          </cell>
          <cell r="AA1239">
            <v>3345.4700000000003</v>
          </cell>
          <cell r="AB1239">
            <v>208.93266666666665</v>
          </cell>
          <cell r="AC1239">
            <v>6300</v>
          </cell>
          <cell r="AD1239">
            <v>5075.87</v>
          </cell>
          <cell r="AE1239">
            <v>1224.1300000000001</v>
          </cell>
          <cell r="AN1239" t="str">
            <v xml:space="preserve">Contrato emergencial nº </v>
          </cell>
          <cell r="AO1239" t="str">
            <v>PJ</v>
          </cell>
        </row>
        <row r="1240">
          <cell r="D1240" t="str">
            <v>2286/11</v>
          </cell>
          <cell r="E1240" t="str">
            <v>26/09/2011</v>
          </cell>
          <cell r="F1240">
            <v>40991</v>
          </cell>
          <cell r="G1240">
            <v>40877</v>
          </cell>
          <cell r="H1240" t="str">
            <v>2011-0.227.290-2</v>
          </cell>
          <cell r="I1240">
            <v>44324.52</v>
          </cell>
          <cell r="J1240" t="str">
            <v xml:space="preserve">              123611122                  2848                    33903600</v>
          </cell>
          <cell r="K1240" t="str">
            <v>26/09/2011</v>
          </cell>
          <cell r="L1240">
            <v>66</v>
          </cell>
          <cell r="M1240">
            <v>16300</v>
          </cell>
          <cell r="N1240">
            <v>57278</v>
          </cell>
          <cell r="O1240">
            <v>31533</v>
          </cell>
          <cell r="P1240">
            <v>16</v>
          </cell>
          <cell r="Q1240">
            <v>3</v>
          </cell>
          <cell r="T1240">
            <v>1300</v>
          </cell>
          <cell r="U1240">
            <v>0</v>
          </cell>
          <cell r="V1240">
            <v>7400</v>
          </cell>
          <cell r="W1240">
            <v>180</v>
          </cell>
          <cell r="X1240">
            <v>5920</v>
          </cell>
          <cell r="Y1240">
            <v>105257</v>
          </cell>
          <cell r="Z1240">
            <v>9543.6200000000008</v>
          </cell>
          <cell r="AA1240">
            <v>3776.3799999999992</v>
          </cell>
          <cell r="AB1240">
            <v>246.2473333333333</v>
          </cell>
          <cell r="AC1240">
            <v>7400</v>
          </cell>
          <cell r="AD1240">
            <v>5800.9</v>
          </cell>
          <cell r="AE1240">
            <v>1599.1000000000004</v>
          </cell>
          <cell r="AN1240" t="str">
            <v xml:space="preserve">Contrato emergencial nº </v>
          </cell>
          <cell r="AO1240" t="str">
            <v>G</v>
          </cell>
        </row>
        <row r="1241">
          <cell r="D1241" t="str">
            <v>2287/11</v>
          </cell>
          <cell r="E1241" t="str">
            <v>26/09/2011</v>
          </cell>
          <cell r="F1241">
            <v>40991</v>
          </cell>
          <cell r="G1241">
            <v>40877</v>
          </cell>
          <cell r="H1241" t="str">
            <v>2011-0.227.292-9</v>
          </cell>
          <cell r="I1241">
            <v>32379.48</v>
          </cell>
          <cell r="J1241" t="str">
            <v xml:space="preserve">              123611122                  2848                    33903600</v>
          </cell>
          <cell r="K1241" t="str">
            <v>26/09/2011</v>
          </cell>
          <cell r="L1241">
            <v>66</v>
          </cell>
          <cell r="M1241">
            <v>11900</v>
          </cell>
          <cell r="N1241">
            <v>57278</v>
          </cell>
          <cell r="O1241">
            <v>31535</v>
          </cell>
          <cell r="P1241">
            <v>16</v>
          </cell>
          <cell r="Q1241">
            <v>3</v>
          </cell>
          <cell r="T1241">
            <v>888.09333333333302</v>
          </cell>
          <cell r="U1241">
            <v>0</v>
          </cell>
          <cell r="V1241">
            <v>5400</v>
          </cell>
          <cell r="W1241">
            <v>180</v>
          </cell>
          <cell r="X1241">
            <v>4320</v>
          </cell>
          <cell r="Y1241">
            <v>105119</v>
          </cell>
          <cell r="Z1241">
            <v>5940.85</v>
          </cell>
          <cell r="AA1241">
            <v>3779.1499999999996</v>
          </cell>
          <cell r="AB1241">
            <v>179.886</v>
          </cell>
          <cell r="AC1241">
            <v>5400</v>
          </cell>
          <cell r="AD1241">
            <v>5400</v>
          </cell>
          <cell r="AE1241">
            <v>0</v>
          </cell>
          <cell r="AN1241" t="str">
            <v xml:space="preserve">Contrato emergencial nº </v>
          </cell>
          <cell r="AO1241" t="str">
            <v>IP</v>
          </cell>
        </row>
        <row r="1242">
          <cell r="D1242" t="str">
            <v>2288/11</v>
          </cell>
          <cell r="E1242" t="str">
            <v>26/09/2011</v>
          </cell>
          <cell r="F1242">
            <v>40991</v>
          </cell>
          <cell r="G1242">
            <v>40877</v>
          </cell>
          <cell r="H1242" t="str">
            <v>2011-0.227.297-0</v>
          </cell>
          <cell r="I1242">
            <v>44324.52</v>
          </cell>
          <cell r="J1242" t="str">
            <v xml:space="preserve">              123651121                 2847                    33903600</v>
          </cell>
          <cell r="K1242" t="str">
            <v>26/09/2011</v>
          </cell>
          <cell r="L1242">
            <v>66</v>
          </cell>
          <cell r="M1242">
            <v>16300</v>
          </cell>
          <cell r="N1242">
            <v>57273</v>
          </cell>
          <cell r="O1242">
            <v>31537</v>
          </cell>
          <cell r="P1242">
            <v>16</v>
          </cell>
          <cell r="Q1242">
            <v>2</v>
          </cell>
          <cell r="T1242">
            <v>1118.77</v>
          </cell>
          <cell r="U1242">
            <v>0</v>
          </cell>
          <cell r="V1242">
            <v>7400</v>
          </cell>
          <cell r="W1242">
            <v>180</v>
          </cell>
          <cell r="X1242">
            <v>5920</v>
          </cell>
          <cell r="Y1242">
            <v>104953</v>
          </cell>
          <cell r="Z1242">
            <v>8683.1099999999988</v>
          </cell>
          <cell r="AA1242">
            <v>4636.8900000000012</v>
          </cell>
          <cell r="AB1242">
            <v>246.2473333333333</v>
          </cell>
          <cell r="AC1242">
            <v>7400</v>
          </cell>
          <cell r="AD1242">
            <v>6551.1200000000008</v>
          </cell>
          <cell r="AE1242">
            <v>848.8799999999992</v>
          </cell>
          <cell r="AN1242" t="str">
            <v xml:space="preserve">Contrato emergencial nº </v>
          </cell>
          <cell r="AO1242" t="str">
            <v>CS</v>
          </cell>
        </row>
        <row r="1243">
          <cell r="D1243" t="str">
            <v>2289/11</v>
          </cell>
          <cell r="E1243" t="str">
            <v>26/09/2011</v>
          </cell>
          <cell r="F1243">
            <v>40991</v>
          </cell>
          <cell r="G1243">
            <v>40877</v>
          </cell>
          <cell r="H1243" t="str">
            <v>2011-0.227.300-3</v>
          </cell>
          <cell r="I1243">
            <v>38915.58</v>
          </cell>
          <cell r="J1243" t="str">
            <v xml:space="preserve">              123651121                 2847                    33903600</v>
          </cell>
          <cell r="K1243" t="str">
            <v>26/09/2011</v>
          </cell>
          <cell r="L1243">
            <v>66</v>
          </cell>
          <cell r="M1243">
            <v>14300</v>
          </cell>
          <cell r="N1243">
            <v>57273</v>
          </cell>
          <cell r="O1243">
            <v>31538</v>
          </cell>
          <cell r="P1243">
            <v>16</v>
          </cell>
          <cell r="Q1243">
            <v>2</v>
          </cell>
          <cell r="T1243">
            <v>1100</v>
          </cell>
          <cell r="U1243">
            <v>0</v>
          </cell>
          <cell r="V1243">
            <v>6500</v>
          </cell>
          <cell r="W1243">
            <v>180</v>
          </cell>
          <cell r="X1243">
            <v>5200</v>
          </cell>
          <cell r="Y1243">
            <v>105387</v>
          </cell>
          <cell r="Z1243">
            <v>5249.8899999999994</v>
          </cell>
          <cell r="AA1243">
            <v>6450.1100000000006</v>
          </cell>
          <cell r="AB1243">
            <v>216.19766666666666</v>
          </cell>
          <cell r="AC1243">
            <v>6500</v>
          </cell>
          <cell r="AD1243">
            <v>6500</v>
          </cell>
          <cell r="AE1243">
            <v>0</v>
          </cell>
          <cell r="AN1243" t="str">
            <v xml:space="preserve">Contrato emergencial nº </v>
          </cell>
          <cell r="AO1243" t="str">
            <v>FO</v>
          </cell>
        </row>
        <row r="1244">
          <cell r="D1244" t="str">
            <v>2290/11</v>
          </cell>
          <cell r="E1244" t="str">
            <v>26/09/2011</v>
          </cell>
          <cell r="F1244">
            <v>40991</v>
          </cell>
          <cell r="G1244">
            <v>40877</v>
          </cell>
          <cell r="H1244" t="str">
            <v>2011-0.227.303-8</v>
          </cell>
          <cell r="I1244">
            <v>40877.160000000003</v>
          </cell>
          <cell r="J1244" t="str">
            <v xml:space="preserve">              123651121                 2847                    33903600</v>
          </cell>
          <cell r="K1244" t="str">
            <v>26/09/2011</v>
          </cell>
          <cell r="L1244">
            <v>66</v>
          </cell>
          <cell r="M1244">
            <v>15000</v>
          </cell>
          <cell r="N1244">
            <v>57273</v>
          </cell>
          <cell r="O1244">
            <v>31540</v>
          </cell>
          <cell r="P1244">
            <v>16</v>
          </cell>
          <cell r="Q1244">
            <v>2</v>
          </cell>
          <cell r="T1244">
            <v>1200</v>
          </cell>
          <cell r="U1244">
            <v>0</v>
          </cell>
          <cell r="V1244">
            <v>7400</v>
          </cell>
          <cell r="W1244">
            <v>180</v>
          </cell>
          <cell r="X1244">
            <v>5920</v>
          </cell>
          <cell r="Y1244">
            <v>105345</v>
          </cell>
          <cell r="Z1244">
            <v>6478.34</v>
          </cell>
          <cell r="AA1244">
            <v>6841.66</v>
          </cell>
          <cell r="AB1244">
            <v>227.09533333333334</v>
          </cell>
          <cell r="AC1244">
            <v>6900</v>
          </cell>
          <cell r="AD1244">
            <v>7363.52</v>
          </cell>
          <cell r="AE1244">
            <v>-463.52000000000044</v>
          </cell>
          <cell r="AN1244" t="str">
            <v xml:space="preserve">Contrato emergencial nº </v>
          </cell>
          <cell r="AO1244" t="str">
            <v>MP</v>
          </cell>
        </row>
        <row r="1245">
          <cell r="D1245" t="str">
            <v>2291/11</v>
          </cell>
          <cell r="E1245" t="str">
            <v>26/09/2011</v>
          </cell>
          <cell r="F1245">
            <v>40991</v>
          </cell>
          <cell r="G1245">
            <v>40877</v>
          </cell>
          <cell r="H1245" t="str">
            <v>2011-0.227.307-0</v>
          </cell>
          <cell r="I1245">
            <v>44324.52</v>
          </cell>
          <cell r="J1245" t="str">
            <v xml:space="preserve">              123651121                 2847                    33903600</v>
          </cell>
          <cell r="K1245" t="str">
            <v>26/09/2011</v>
          </cell>
          <cell r="L1245">
            <v>66</v>
          </cell>
          <cell r="M1245">
            <v>16300</v>
          </cell>
          <cell r="N1245">
            <v>57273</v>
          </cell>
          <cell r="O1245">
            <v>31541</v>
          </cell>
          <cell r="P1245">
            <v>16</v>
          </cell>
          <cell r="Q1245">
            <v>2</v>
          </cell>
          <cell r="T1245">
            <v>1502.93333333333</v>
          </cell>
          <cell r="U1245">
            <v>0</v>
          </cell>
          <cell r="V1245">
            <v>8600</v>
          </cell>
          <cell r="W1245">
            <v>180</v>
          </cell>
          <cell r="X1245">
            <v>6880</v>
          </cell>
          <cell r="Y1245">
            <v>105594</v>
          </cell>
          <cell r="Z1245">
            <v>5920.29</v>
          </cell>
          <cell r="AA1245">
            <v>9559.7099999999991</v>
          </cell>
          <cell r="AB1245">
            <v>246.2473333333333</v>
          </cell>
          <cell r="AC1245">
            <v>7400</v>
          </cell>
          <cell r="AD1245">
            <v>8576.59</v>
          </cell>
          <cell r="AE1245">
            <v>-1176.5900000000001</v>
          </cell>
          <cell r="AN1245" t="str">
            <v xml:space="preserve">Contrato emergencial nº </v>
          </cell>
          <cell r="AO1245" t="str">
            <v>SM</v>
          </cell>
        </row>
        <row r="1246">
          <cell r="D1246" t="str">
            <v>2292/11</v>
          </cell>
          <cell r="E1246" t="str">
            <v>26/09/2011</v>
          </cell>
          <cell r="F1246">
            <v>40991</v>
          </cell>
          <cell r="G1246">
            <v>40877</v>
          </cell>
          <cell r="H1246" t="str">
            <v>2011-0.227.310-0</v>
          </cell>
          <cell r="I1246">
            <v>31418.52</v>
          </cell>
          <cell r="J1246" t="str">
            <v xml:space="preserve">              123651121                 2847                    33903600</v>
          </cell>
          <cell r="K1246" t="str">
            <v>26/09/2011</v>
          </cell>
          <cell r="L1246">
            <v>66</v>
          </cell>
          <cell r="M1246">
            <v>11600</v>
          </cell>
          <cell r="N1246">
            <v>57273</v>
          </cell>
          <cell r="O1246">
            <v>31542</v>
          </cell>
          <cell r="P1246">
            <v>16</v>
          </cell>
          <cell r="Q1246">
            <v>2</v>
          </cell>
          <cell r="T1246">
            <v>907.59</v>
          </cell>
          <cell r="U1246">
            <v>0</v>
          </cell>
          <cell r="V1246">
            <v>5300</v>
          </cell>
          <cell r="W1246">
            <v>180</v>
          </cell>
          <cell r="X1246">
            <v>4240</v>
          </cell>
          <cell r="Y1246">
            <v>104957</v>
          </cell>
          <cell r="Z1246">
            <v>5497.869999999999</v>
          </cell>
          <cell r="AA1246">
            <v>4042.130000000001</v>
          </cell>
          <cell r="AB1246">
            <v>174.54733333333334</v>
          </cell>
          <cell r="AC1246">
            <v>5300</v>
          </cell>
          <cell r="AD1246">
            <v>5221.5400000000009</v>
          </cell>
          <cell r="AE1246">
            <v>78.459999999999127</v>
          </cell>
          <cell r="AN1246" t="str">
            <v xml:space="preserve">Contrato emergencial nº </v>
          </cell>
          <cell r="AO1246" t="str">
            <v>CS</v>
          </cell>
        </row>
        <row r="1247">
          <cell r="D1247" t="str">
            <v>2293/11</v>
          </cell>
          <cell r="E1247" t="str">
            <v>26/09/2011</v>
          </cell>
          <cell r="F1247">
            <v>40991</v>
          </cell>
          <cell r="G1247">
            <v>40877</v>
          </cell>
          <cell r="H1247" t="str">
            <v>2011-0.227.313-5</v>
          </cell>
          <cell r="I1247">
            <v>44324.52</v>
          </cell>
          <cell r="J1247" t="str">
            <v xml:space="preserve">              123651121                 2847                    33903600</v>
          </cell>
          <cell r="K1247" t="str">
            <v>26/09/2011</v>
          </cell>
          <cell r="L1247">
            <v>66</v>
          </cell>
          <cell r="M1247">
            <v>16300</v>
          </cell>
          <cell r="N1247">
            <v>57273</v>
          </cell>
          <cell r="O1247">
            <v>31543</v>
          </cell>
          <cell r="P1247">
            <v>16</v>
          </cell>
          <cell r="Q1247">
            <v>2</v>
          </cell>
          <cell r="T1247">
            <v>1211.4866666666701</v>
          </cell>
          <cell r="U1247">
            <v>0</v>
          </cell>
          <cell r="V1247">
            <v>7400</v>
          </cell>
          <cell r="W1247">
            <v>180</v>
          </cell>
          <cell r="X1247">
            <v>5920</v>
          </cell>
          <cell r="Y1247">
            <v>104960</v>
          </cell>
          <cell r="Z1247">
            <v>8102.84</v>
          </cell>
          <cell r="AA1247">
            <v>5217.16</v>
          </cell>
          <cell r="AB1247">
            <v>246.2473333333333</v>
          </cell>
          <cell r="AC1247">
            <v>7400</v>
          </cell>
          <cell r="AD1247">
            <v>7062.92</v>
          </cell>
          <cell r="AE1247">
            <v>337.07999999999993</v>
          </cell>
          <cell r="AN1247" t="str">
            <v xml:space="preserve">Contrato emergencial nº </v>
          </cell>
          <cell r="AO1247" t="str">
            <v>CS</v>
          </cell>
        </row>
        <row r="1248">
          <cell r="D1248" t="str">
            <v>2294/11</v>
          </cell>
          <cell r="E1248" t="str">
            <v>26/09/2011</v>
          </cell>
          <cell r="F1248">
            <v>40991</v>
          </cell>
          <cell r="G1248">
            <v>40877</v>
          </cell>
          <cell r="H1248" t="str">
            <v>2011-0.227.316-0</v>
          </cell>
          <cell r="I1248">
            <v>44324.52</v>
          </cell>
          <cell r="J1248" t="str">
            <v xml:space="preserve">              123651121                 2847                    33903600</v>
          </cell>
          <cell r="K1248" t="str">
            <v>26/09/2011</v>
          </cell>
          <cell r="L1248">
            <v>66</v>
          </cell>
          <cell r="M1248">
            <v>16300</v>
          </cell>
          <cell r="N1248">
            <v>57273</v>
          </cell>
          <cell r="O1248">
            <v>32560</v>
          </cell>
          <cell r="P1248">
            <v>16</v>
          </cell>
          <cell r="Q1248">
            <v>2</v>
          </cell>
          <cell r="T1248">
            <v>1175.85666666667</v>
          </cell>
          <cell r="U1248">
            <v>0</v>
          </cell>
          <cell r="V1248">
            <v>7400</v>
          </cell>
          <cell r="W1248">
            <v>180</v>
          </cell>
          <cell r="X1248">
            <v>5920</v>
          </cell>
          <cell r="Y1248">
            <v>104963</v>
          </cell>
          <cell r="Z1248">
            <v>8349.25</v>
          </cell>
          <cell r="AA1248">
            <v>4970.75</v>
          </cell>
          <cell r="AB1248">
            <v>246.2473333333333</v>
          </cell>
          <cell r="AC1248">
            <v>7400</v>
          </cell>
          <cell r="AD1248">
            <v>6865.01</v>
          </cell>
          <cell r="AE1248">
            <v>534.98999999999978</v>
          </cell>
          <cell r="AN1248" t="str">
            <v xml:space="preserve">Contrato emergencial nº </v>
          </cell>
          <cell r="AO1248" t="str">
            <v>CS</v>
          </cell>
        </row>
        <row r="1249">
          <cell r="D1249" t="str">
            <v>2295/11</v>
          </cell>
          <cell r="E1249" t="str">
            <v>26/09/2011</v>
          </cell>
          <cell r="F1249">
            <v>40991</v>
          </cell>
          <cell r="G1249">
            <v>40877</v>
          </cell>
          <cell r="H1249" t="str">
            <v>2011-0.227.323-2</v>
          </cell>
          <cell r="I1249">
            <v>44324.52</v>
          </cell>
          <cell r="J1249" t="str">
            <v xml:space="preserve">              123651121                 2847                    33903600</v>
          </cell>
          <cell r="K1249" t="str">
            <v>26/09/2011</v>
          </cell>
          <cell r="L1249">
            <v>66</v>
          </cell>
          <cell r="M1249">
            <v>16300</v>
          </cell>
          <cell r="N1249">
            <v>57273</v>
          </cell>
          <cell r="O1249">
            <v>32565</v>
          </cell>
          <cell r="P1249">
            <v>16</v>
          </cell>
          <cell r="Q1249">
            <v>2</v>
          </cell>
          <cell r="T1249">
            <v>1441.3</v>
          </cell>
          <cell r="U1249">
            <v>0</v>
          </cell>
          <cell r="V1249">
            <v>8300</v>
          </cell>
          <cell r="W1249">
            <v>180</v>
          </cell>
          <cell r="X1249">
            <v>6640</v>
          </cell>
          <cell r="Y1249">
            <v>104967</v>
          </cell>
          <cell r="Z1249">
            <v>6721.9100000000017</v>
          </cell>
          <cell r="AA1249">
            <v>8218.0899999999983</v>
          </cell>
          <cell r="AB1249">
            <v>246.2473333333333</v>
          </cell>
          <cell r="AC1249">
            <v>7400</v>
          </cell>
          <cell r="AD1249">
            <v>8256.0400000000009</v>
          </cell>
          <cell r="AE1249">
            <v>-856.04000000000087</v>
          </cell>
          <cell r="AN1249" t="str">
            <v xml:space="preserve">Contrato emergencial nº </v>
          </cell>
          <cell r="AO1249" t="str">
            <v>CS</v>
          </cell>
        </row>
        <row r="1250">
          <cell r="D1250" t="str">
            <v>2296/11</v>
          </cell>
          <cell r="E1250" t="str">
            <v>26/09/2011</v>
          </cell>
          <cell r="F1250">
            <v>40991</v>
          </cell>
          <cell r="G1250">
            <v>40877</v>
          </cell>
          <cell r="H1250" t="str">
            <v>2011-0.227.324-0</v>
          </cell>
          <cell r="I1250">
            <v>44324.52</v>
          </cell>
          <cell r="J1250" t="str">
            <v xml:space="preserve">              123651121                 2847                    33903600</v>
          </cell>
          <cell r="K1250" t="str">
            <v>26/09/2011</v>
          </cell>
          <cell r="L1250">
            <v>66</v>
          </cell>
          <cell r="M1250">
            <v>16300</v>
          </cell>
          <cell r="N1250">
            <v>57273</v>
          </cell>
          <cell r="O1250">
            <v>32568</v>
          </cell>
          <cell r="P1250">
            <v>16</v>
          </cell>
          <cell r="Q1250">
            <v>2</v>
          </cell>
          <cell r="T1250">
            <v>1300</v>
          </cell>
          <cell r="U1250">
            <v>0</v>
          </cell>
          <cell r="V1250">
            <v>7400</v>
          </cell>
          <cell r="W1250">
            <v>180</v>
          </cell>
          <cell r="X1250">
            <v>5920</v>
          </cell>
          <cell r="Y1250">
            <v>104969</v>
          </cell>
          <cell r="Z1250">
            <v>8295.869999999999</v>
          </cell>
          <cell r="AA1250">
            <v>5024.130000000001</v>
          </cell>
          <cell r="AB1250">
            <v>246.2473333333333</v>
          </cell>
          <cell r="AC1250">
            <v>7400</v>
          </cell>
          <cell r="AD1250">
            <v>6888.54</v>
          </cell>
          <cell r="AE1250">
            <v>511.46000000000004</v>
          </cell>
          <cell r="AN1250" t="str">
            <v xml:space="preserve">Contrato emergencial nº </v>
          </cell>
          <cell r="AO1250" t="str">
            <v>CS</v>
          </cell>
        </row>
        <row r="1251">
          <cell r="D1251" t="str">
            <v>2297/11</v>
          </cell>
          <cell r="E1251" t="str">
            <v>26/09/2011</v>
          </cell>
          <cell r="F1251">
            <v>40991</v>
          </cell>
          <cell r="G1251">
            <v>40877</v>
          </cell>
          <cell r="H1251" t="str">
            <v>2011-0.227.327-5</v>
          </cell>
          <cell r="I1251">
            <v>37607.879999999997</v>
          </cell>
          <cell r="J1251" t="str">
            <v xml:space="preserve">              123651121                 2847                    33903600</v>
          </cell>
          <cell r="K1251" t="str">
            <v>26/09/2011</v>
          </cell>
          <cell r="L1251">
            <v>66</v>
          </cell>
          <cell r="M1251">
            <v>13800</v>
          </cell>
          <cell r="N1251">
            <v>57273</v>
          </cell>
          <cell r="O1251">
            <v>32573</v>
          </cell>
          <cell r="P1251">
            <v>16</v>
          </cell>
          <cell r="Q1251">
            <v>2</v>
          </cell>
          <cell r="T1251">
            <v>880.54</v>
          </cell>
          <cell r="U1251">
            <v>0</v>
          </cell>
          <cell r="V1251">
            <v>6300</v>
          </cell>
          <cell r="W1251">
            <v>180</v>
          </cell>
          <cell r="X1251">
            <v>5040</v>
          </cell>
          <cell r="Y1251">
            <v>104971</v>
          </cell>
          <cell r="Z1251">
            <v>7864.4699999999993</v>
          </cell>
          <cell r="AA1251">
            <v>3475.5300000000007</v>
          </cell>
          <cell r="AB1251">
            <v>208.93266666666665</v>
          </cell>
          <cell r="AC1251">
            <v>6300</v>
          </cell>
          <cell r="AD1251">
            <v>5117.24</v>
          </cell>
          <cell r="AE1251">
            <v>1182.7600000000002</v>
          </cell>
          <cell r="AN1251" t="str">
            <v xml:space="preserve">Contrato emergencial nº </v>
          </cell>
          <cell r="AO1251" t="str">
            <v>CS</v>
          </cell>
        </row>
        <row r="1252">
          <cell r="D1252" t="str">
            <v>2298/11</v>
          </cell>
          <cell r="E1252" t="str">
            <v>26/09/2011</v>
          </cell>
          <cell r="F1252">
            <v>40991</v>
          </cell>
          <cell r="G1252">
            <v>40877</v>
          </cell>
          <cell r="H1252" t="str">
            <v>2011-0.227.331-3</v>
          </cell>
          <cell r="I1252">
            <v>45840.24</v>
          </cell>
          <cell r="J1252" t="str">
            <v xml:space="preserve">              123651121                 2847                    33903600</v>
          </cell>
          <cell r="K1252" t="str">
            <v>26/09/2011</v>
          </cell>
          <cell r="L1252">
            <v>66</v>
          </cell>
          <cell r="M1252">
            <v>16900</v>
          </cell>
          <cell r="N1252">
            <v>57273</v>
          </cell>
          <cell r="O1252">
            <v>32575</v>
          </cell>
          <cell r="P1252">
            <v>16</v>
          </cell>
          <cell r="Q1252">
            <v>2</v>
          </cell>
          <cell r="T1252">
            <v>1300</v>
          </cell>
          <cell r="U1252">
            <v>0</v>
          </cell>
          <cell r="V1252">
            <v>7700</v>
          </cell>
          <cell r="W1252">
            <v>180</v>
          </cell>
          <cell r="X1252">
            <v>6160</v>
          </cell>
          <cell r="Y1252">
            <v>104920</v>
          </cell>
          <cell r="Z1252">
            <v>15782.86</v>
          </cell>
          <cell r="AA1252">
            <v>-1922.8600000000006</v>
          </cell>
          <cell r="AB1252">
            <v>254.66799999999998</v>
          </cell>
          <cell r="AC1252">
            <v>7700</v>
          </cell>
          <cell r="AD1252">
            <v>6706.0399999999991</v>
          </cell>
          <cell r="AE1252">
            <v>993.96000000000095</v>
          </cell>
          <cell r="AN1252" t="str">
            <v xml:space="preserve">Contrato emergencial nº </v>
          </cell>
          <cell r="AO1252" t="str">
            <v>CL</v>
          </cell>
        </row>
        <row r="1253">
          <cell r="D1253" t="str">
            <v>2299/11</v>
          </cell>
          <cell r="E1253" t="str">
            <v>26/09/2011</v>
          </cell>
          <cell r="F1253">
            <v>40991</v>
          </cell>
          <cell r="G1253">
            <v>40877</v>
          </cell>
          <cell r="H1253" t="str">
            <v>2011-0.227.333-0</v>
          </cell>
          <cell r="I1253">
            <v>44324.52</v>
          </cell>
          <cell r="J1253" t="str">
            <v xml:space="preserve">              123651121                 2847                    33903600</v>
          </cell>
          <cell r="K1253" t="str">
            <v>26/09/2011</v>
          </cell>
          <cell r="L1253">
            <v>66</v>
          </cell>
          <cell r="M1253">
            <v>16300</v>
          </cell>
          <cell r="N1253">
            <v>57273</v>
          </cell>
          <cell r="O1253">
            <v>32577</v>
          </cell>
          <cell r="P1253">
            <v>16</v>
          </cell>
          <cell r="Q1253">
            <v>2</v>
          </cell>
          <cell r="T1253">
            <v>1300</v>
          </cell>
          <cell r="U1253">
            <v>0</v>
          </cell>
          <cell r="V1253">
            <v>7400</v>
          </cell>
          <cell r="W1253">
            <v>180</v>
          </cell>
          <cell r="X1253">
            <v>5920</v>
          </cell>
          <cell r="Y1253">
            <v>104975</v>
          </cell>
          <cell r="Z1253">
            <v>7885.8200000000015</v>
          </cell>
          <cell r="AA1253">
            <v>5434.1799999999985</v>
          </cell>
          <cell r="AB1253">
            <v>246.2473333333333</v>
          </cell>
          <cell r="AC1253">
            <v>7400</v>
          </cell>
          <cell r="AD1253">
            <v>7292.3</v>
          </cell>
          <cell r="AE1253">
            <v>107.69999999999982</v>
          </cell>
          <cell r="AN1253" t="str">
            <v xml:space="preserve">Contrato emergencial nº </v>
          </cell>
          <cell r="AO1253" t="str">
            <v>CS</v>
          </cell>
        </row>
        <row r="1254">
          <cell r="D1254" t="str">
            <v>2300/11</v>
          </cell>
          <cell r="E1254" t="str">
            <v>26/09/2011</v>
          </cell>
          <cell r="F1254">
            <v>40991</v>
          </cell>
          <cell r="G1254">
            <v>40877</v>
          </cell>
          <cell r="H1254" t="str">
            <v>2011-0.227.339-9</v>
          </cell>
          <cell r="I1254">
            <v>44324.52</v>
          </cell>
          <cell r="J1254" t="str">
            <v xml:space="preserve">              123651121                 2847                    33903600</v>
          </cell>
          <cell r="K1254" t="str">
            <v>26/09/2011</v>
          </cell>
          <cell r="L1254">
            <v>66</v>
          </cell>
          <cell r="M1254">
            <v>16300</v>
          </cell>
          <cell r="N1254">
            <v>57273</v>
          </cell>
          <cell r="O1254">
            <v>32581</v>
          </cell>
          <cell r="P1254">
            <v>16</v>
          </cell>
          <cell r="Q1254">
            <v>2</v>
          </cell>
          <cell r="T1254">
            <v>1235.54666666667</v>
          </cell>
          <cell r="U1254">
            <v>0</v>
          </cell>
          <cell r="V1254">
            <v>7400</v>
          </cell>
          <cell r="W1254">
            <v>180</v>
          </cell>
          <cell r="X1254">
            <v>5920</v>
          </cell>
          <cell r="Y1254">
            <v>104981</v>
          </cell>
          <cell r="Z1254">
            <v>8032.67</v>
          </cell>
          <cell r="AA1254">
            <v>5287.33</v>
          </cell>
          <cell r="AB1254">
            <v>246.2473333333333</v>
          </cell>
          <cell r="AC1254">
            <v>7400</v>
          </cell>
          <cell r="AD1254">
            <v>7105.0300000000016</v>
          </cell>
          <cell r="AE1254">
            <v>294.96999999999844</v>
          </cell>
          <cell r="AN1254" t="str">
            <v xml:space="preserve">Contrato emergencial nº </v>
          </cell>
          <cell r="AO1254" t="str">
            <v>CS</v>
          </cell>
        </row>
        <row r="1255">
          <cell r="D1255" t="str">
            <v>2301/11</v>
          </cell>
          <cell r="E1255" t="str">
            <v>26/09/2011</v>
          </cell>
          <cell r="F1255">
            <v>40991</v>
          </cell>
          <cell r="G1255">
            <v>40877</v>
          </cell>
          <cell r="H1255" t="str">
            <v>2011-0.227.345-3</v>
          </cell>
          <cell r="I1255">
            <v>45632.28</v>
          </cell>
          <cell r="J1255" t="str">
            <v xml:space="preserve">              123611122                  2848                    33903600</v>
          </cell>
          <cell r="K1255" t="str">
            <v>26/09/2011</v>
          </cell>
          <cell r="L1255">
            <v>66</v>
          </cell>
          <cell r="M1255">
            <v>16800</v>
          </cell>
          <cell r="N1255">
            <v>57278</v>
          </cell>
          <cell r="O1255">
            <v>32584</v>
          </cell>
          <cell r="P1255">
            <v>16</v>
          </cell>
          <cell r="Q1255">
            <v>3</v>
          </cell>
          <cell r="T1255">
            <v>1300</v>
          </cell>
          <cell r="U1255">
            <v>0</v>
          </cell>
          <cell r="V1255">
            <v>7700</v>
          </cell>
          <cell r="W1255">
            <v>180</v>
          </cell>
          <cell r="X1255">
            <v>6160</v>
          </cell>
          <cell r="Y1255">
            <v>104922</v>
          </cell>
          <cell r="Z1255">
            <v>7807.61</v>
          </cell>
          <cell r="AA1255">
            <v>6052.39</v>
          </cell>
          <cell r="AB1255">
            <v>253.51266666666666</v>
          </cell>
          <cell r="AC1255">
            <v>7700</v>
          </cell>
          <cell r="AD1255">
            <v>7404.0260000000007</v>
          </cell>
          <cell r="AE1255">
            <v>295.97399999999925</v>
          </cell>
          <cell r="AN1255" t="str">
            <v xml:space="preserve">Contrato emergencial nº </v>
          </cell>
          <cell r="AO1255" t="str">
            <v>PJ</v>
          </cell>
        </row>
        <row r="1256">
          <cell r="D1256" t="str">
            <v>2302/11</v>
          </cell>
          <cell r="E1256" t="str">
            <v>26/09/2011</v>
          </cell>
          <cell r="F1256">
            <v>40991</v>
          </cell>
          <cell r="G1256">
            <v>40877</v>
          </cell>
          <cell r="H1256" t="str">
            <v>2011-0.227.347-0</v>
          </cell>
          <cell r="I1256">
            <v>44324.52</v>
          </cell>
          <cell r="J1256" t="str">
            <v xml:space="preserve">              123611122                  2848                    33903600</v>
          </cell>
          <cell r="K1256" t="str">
            <v>26/09/2011</v>
          </cell>
          <cell r="L1256">
            <v>66</v>
          </cell>
          <cell r="M1256">
            <v>16300</v>
          </cell>
          <cell r="N1256">
            <v>57278</v>
          </cell>
          <cell r="O1256">
            <v>32586</v>
          </cell>
          <cell r="P1256">
            <v>16</v>
          </cell>
          <cell r="Q1256">
            <v>3</v>
          </cell>
          <cell r="T1256">
            <v>1300</v>
          </cell>
          <cell r="U1256">
            <v>5886.5300000000007</v>
          </cell>
          <cell r="V1256">
            <v>7400</v>
          </cell>
          <cell r="W1256">
            <v>180</v>
          </cell>
          <cell r="X1256">
            <v>5920</v>
          </cell>
          <cell r="Y1256">
            <v>104985</v>
          </cell>
          <cell r="Z1256">
            <v>9391.59</v>
          </cell>
          <cell r="AA1256">
            <v>9814.9399999999987</v>
          </cell>
          <cell r="AB1256">
            <v>246.2473333333333</v>
          </cell>
          <cell r="AC1256">
            <v>7400</v>
          </cell>
          <cell r="AD1256">
            <v>5990.1599999999989</v>
          </cell>
          <cell r="AE1256">
            <v>1409.8400000000011</v>
          </cell>
          <cell r="AN1256" t="str">
            <v xml:space="preserve">Contrato emergencial nº </v>
          </cell>
          <cell r="AO1256" t="str">
            <v>CS</v>
          </cell>
        </row>
        <row r="1257">
          <cell r="D1257" t="str">
            <v>2303/11</v>
          </cell>
          <cell r="E1257" t="str">
            <v>26/09/2011</v>
          </cell>
          <cell r="F1257">
            <v>40991</v>
          </cell>
          <cell r="G1257">
            <v>40877</v>
          </cell>
          <cell r="H1257" t="str">
            <v>2011-0.227.349-6</v>
          </cell>
          <cell r="I1257">
            <v>48633.72</v>
          </cell>
          <cell r="J1257" t="str">
            <v xml:space="preserve">              123611122                  2848                    33903600</v>
          </cell>
          <cell r="K1257" t="str">
            <v>26/09/2011</v>
          </cell>
          <cell r="L1257">
            <v>66</v>
          </cell>
          <cell r="M1257">
            <v>17900</v>
          </cell>
          <cell r="N1257">
            <v>57278</v>
          </cell>
          <cell r="O1257">
            <v>32588</v>
          </cell>
          <cell r="P1257">
            <v>16</v>
          </cell>
          <cell r="Q1257">
            <v>3</v>
          </cell>
          <cell r="T1257">
            <v>1400</v>
          </cell>
          <cell r="U1257">
            <v>0</v>
          </cell>
          <cell r="V1257">
            <v>8200</v>
          </cell>
          <cell r="W1257">
            <v>180</v>
          </cell>
          <cell r="X1257">
            <v>6560</v>
          </cell>
          <cell r="Y1257">
            <v>104924</v>
          </cell>
          <cell r="Z1257">
            <v>10732.48</v>
          </cell>
          <cell r="AA1257">
            <v>4027.5200000000004</v>
          </cell>
          <cell r="AB1257">
            <v>270.18733333333336</v>
          </cell>
          <cell r="AC1257">
            <v>8200</v>
          </cell>
          <cell r="AD1257">
            <v>6151.2999999999993</v>
          </cell>
          <cell r="AE1257">
            <v>2048.7000000000007</v>
          </cell>
          <cell r="AN1257" t="str">
            <v xml:space="preserve">Contrato emergencial nº </v>
          </cell>
          <cell r="AO1257" t="str">
            <v>PJ</v>
          </cell>
        </row>
        <row r="1258">
          <cell r="D1258" t="str">
            <v>2304/11</v>
          </cell>
          <cell r="E1258" t="str">
            <v>26/09/2011</v>
          </cell>
          <cell r="F1258">
            <v>40991</v>
          </cell>
          <cell r="G1258">
            <v>40877</v>
          </cell>
          <cell r="H1258" t="str">
            <v>2011-0.227.351-8</v>
          </cell>
          <cell r="I1258">
            <v>31012.38</v>
          </cell>
          <cell r="J1258" t="str">
            <v xml:space="preserve">              123611122                  2848                    33903600</v>
          </cell>
          <cell r="K1258" t="str">
            <v>26/09/2011</v>
          </cell>
          <cell r="L1258">
            <v>66</v>
          </cell>
          <cell r="M1258">
            <v>11400</v>
          </cell>
          <cell r="N1258">
            <v>57278</v>
          </cell>
          <cell r="O1258">
            <v>32591</v>
          </cell>
          <cell r="P1258">
            <v>16</v>
          </cell>
          <cell r="Q1258">
            <v>3</v>
          </cell>
          <cell r="T1258">
            <v>900</v>
          </cell>
          <cell r="U1258">
            <v>0</v>
          </cell>
          <cell r="V1258">
            <v>5600</v>
          </cell>
          <cell r="W1258">
            <v>180</v>
          </cell>
          <cell r="X1258">
            <v>4480</v>
          </cell>
          <cell r="Y1258">
            <v>104925</v>
          </cell>
          <cell r="Z1258">
            <v>10413.94</v>
          </cell>
          <cell r="AA1258">
            <v>-333.94000000000051</v>
          </cell>
          <cell r="AB1258">
            <v>172.291</v>
          </cell>
          <cell r="AC1258">
            <v>5200</v>
          </cell>
          <cell r="AD1258">
            <v>5501.62</v>
          </cell>
          <cell r="AE1258">
            <v>-301.61999999999989</v>
          </cell>
          <cell r="AN1258" t="str">
            <v xml:space="preserve">Contrato emergencial nº </v>
          </cell>
          <cell r="AO1258" t="str">
            <v>CL</v>
          </cell>
        </row>
        <row r="1259">
          <cell r="D1259" t="str">
            <v>2305/11</v>
          </cell>
          <cell r="E1259" t="str">
            <v>26/09/2011</v>
          </cell>
          <cell r="F1259">
            <v>40991</v>
          </cell>
          <cell r="G1259">
            <v>40877</v>
          </cell>
          <cell r="H1259" t="str">
            <v>2011-0.227.354-2</v>
          </cell>
          <cell r="I1259">
            <v>44324.52</v>
          </cell>
          <cell r="J1259" t="str">
            <v xml:space="preserve">              123611122                  2848                    33903600</v>
          </cell>
          <cell r="K1259" t="str">
            <v>26/09/2011</v>
          </cell>
          <cell r="L1259">
            <v>66</v>
          </cell>
          <cell r="M1259">
            <v>16300</v>
          </cell>
          <cell r="N1259">
            <v>57278</v>
          </cell>
          <cell r="O1259">
            <v>32592</v>
          </cell>
          <cell r="P1259">
            <v>16</v>
          </cell>
          <cell r="Q1259">
            <v>3</v>
          </cell>
          <cell r="T1259">
            <v>1333.5733333333301</v>
          </cell>
          <cell r="U1259">
            <v>0</v>
          </cell>
          <cell r="V1259">
            <v>7700</v>
          </cell>
          <cell r="W1259">
            <v>180</v>
          </cell>
          <cell r="X1259">
            <v>6160</v>
          </cell>
          <cell r="Y1259">
            <v>104988</v>
          </cell>
          <cell r="Z1259">
            <v>7462.74</v>
          </cell>
          <cell r="AA1259">
            <v>6397.26</v>
          </cell>
          <cell r="AB1259">
            <v>246.2473333333333</v>
          </cell>
          <cell r="AC1259">
            <v>7400</v>
          </cell>
          <cell r="AD1259">
            <v>7639.4400000000005</v>
          </cell>
          <cell r="AE1259">
            <v>-239.44000000000051</v>
          </cell>
          <cell r="AN1259" t="str">
            <v xml:space="preserve">Contrato emergencial nº </v>
          </cell>
          <cell r="AO1259" t="str">
            <v>CS</v>
          </cell>
        </row>
        <row r="1260">
          <cell r="D1260" t="str">
            <v>2306/11</v>
          </cell>
          <cell r="E1260" t="str">
            <v>26/09/2011</v>
          </cell>
          <cell r="F1260">
            <v>40991</v>
          </cell>
          <cell r="G1260">
            <v>40877</v>
          </cell>
          <cell r="H1260" t="str">
            <v>2011-0.227.355-0</v>
          </cell>
          <cell r="I1260">
            <v>44978.400000000001</v>
          </cell>
          <cell r="J1260" t="str">
            <v xml:space="preserve">              123611122                  2848                    33903600</v>
          </cell>
          <cell r="K1260" t="str">
            <v>26/09/2011</v>
          </cell>
          <cell r="L1260">
            <v>66</v>
          </cell>
          <cell r="M1260">
            <v>16500</v>
          </cell>
          <cell r="N1260">
            <v>57278</v>
          </cell>
          <cell r="O1260">
            <v>32594</v>
          </cell>
          <cell r="P1260">
            <v>16</v>
          </cell>
          <cell r="Q1260">
            <v>3</v>
          </cell>
          <cell r="T1260">
            <v>1300</v>
          </cell>
          <cell r="U1260">
            <v>0</v>
          </cell>
          <cell r="V1260">
            <v>7500</v>
          </cell>
          <cell r="W1260">
            <v>180</v>
          </cell>
          <cell r="X1260">
            <v>6000</v>
          </cell>
          <cell r="Y1260">
            <v>106813</v>
          </cell>
          <cell r="Z1260">
            <v>8456.89</v>
          </cell>
          <cell r="AA1260">
            <v>5043.1100000000006</v>
          </cell>
          <cell r="AB1260">
            <v>249.88</v>
          </cell>
          <cell r="AC1260">
            <v>7500</v>
          </cell>
          <cell r="AD1260">
            <v>6789.7049999999999</v>
          </cell>
          <cell r="AE1260">
            <v>710.29500000000007</v>
          </cell>
          <cell r="AN1260" t="str">
            <v xml:space="preserve">Contrato emergencial nº </v>
          </cell>
          <cell r="AO1260" t="str">
            <v>SA</v>
          </cell>
        </row>
        <row r="1261">
          <cell r="D1261" t="str">
            <v>2307/11</v>
          </cell>
          <cell r="E1261" t="str">
            <v>26/09/2011</v>
          </cell>
          <cell r="F1261">
            <v>40991</v>
          </cell>
          <cell r="G1261">
            <v>40877</v>
          </cell>
          <cell r="H1261" t="str">
            <v>2011-0.227.359-3</v>
          </cell>
          <cell r="I1261">
            <v>31418.52</v>
          </cell>
          <cell r="J1261" t="str">
            <v xml:space="preserve">              123611122                  2848                    33903600</v>
          </cell>
          <cell r="K1261" t="str">
            <v>26/09/2011</v>
          </cell>
          <cell r="L1261">
            <v>66</v>
          </cell>
          <cell r="M1261">
            <v>11600</v>
          </cell>
          <cell r="N1261">
            <v>57278</v>
          </cell>
          <cell r="O1261">
            <v>32596</v>
          </cell>
          <cell r="P1261">
            <v>16</v>
          </cell>
          <cell r="Q1261">
            <v>3</v>
          </cell>
          <cell r="T1261">
            <v>900</v>
          </cell>
          <cell r="U1261">
            <v>0</v>
          </cell>
          <cell r="V1261">
            <v>5300</v>
          </cell>
          <cell r="W1261">
            <v>180</v>
          </cell>
          <cell r="X1261">
            <v>4240</v>
          </cell>
          <cell r="Y1261">
            <v>105261</v>
          </cell>
          <cell r="Z1261">
            <v>5698.98</v>
          </cell>
          <cell r="AA1261">
            <v>3841.0200000000004</v>
          </cell>
          <cell r="AB1261">
            <v>174.54733333333334</v>
          </cell>
          <cell r="AC1261">
            <v>5300</v>
          </cell>
          <cell r="AD1261">
            <v>5074.0200000000004</v>
          </cell>
          <cell r="AE1261">
            <v>225.97999999999956</v>
          </cell>
          <cell r="AN1261" t="str">
            <v xml:space="preserve">Contrato emergencial nº </v>
          </cell>
          <cell r="AO1261" t="str">
            <v>G</v>
          </cell>
        </row>
        <row r="1262">
          <cell r="D1262" t="str">
            <v>2308/11</v>
          </cell>
          <cell r="E1262" t="str">
            <v>26/09/2011</v>
          </cell>
          <cell r="F1262">
            <v>40991</v>
          </cell>
          <cell r="G1262">
            <v>40877</v>
          </cell>
          <cell r="H1262" t="str">
            <v>2011-0.227.360-7</v>
          </cell>
          <cell r="I1262">
            <v>44324.52</v>
          </cell>
          <cell r="J1262" t="str">
            <v xml:space="preserve">              123611122                  2848                    33903600</v>
          </cell>
          <cell r="K1262" t="str">
            <v>26/09/2011</v>
          </cell>
          <cell r="L1262">
            <v>66</v>
          </cell>
          <cell r="M1262">
            <v>16300</v>
          </cell>
          <cell r="N1262">
            <v>57278</v>
          </cell>
          <cell r="O1262">
            <v>32599</v>
          </cell>
          <cell r="P1262">
            <v>16</v>
          </cell>
          <cell r="Q1262">
            <v>3</v>
          </cell>
          <cell r="T1262">
            <v>1300</v>
          </cell>
          <cell r="U1262">
            <v>0</v>
          </cell>
          <cell r="V1262">
            <v>7400</v>
          </cell>
          <cell r="W1262">
            <v>180</v>
          </cell>
          <cell r="X1262">
            <v>5920</v>
          </cell>
          <cell r="Y1262">
            <v>105389</v>
          </cell>
          <cell r="Z1262">
            <v>1785.6900000000005</v>
          </cell>
          <cell r="AA1262">
            <v>11534.31</v>
          </cell>
          <cell r="AB1262">
            <v>246.2473333333333</v>
          </cell>
          <cell r="AC1262">
            <v>7400</v>
          </cell>
          <cell r="AD1262">
            <v>5937.91</v>
          </cell>
          <cell r="AE1262">
            <v>1462.0900000000001</v>
          </cell>
          <cell r="AN1262" t="str">
            <v xml:space="preserve">Contrato emergencial nº </v>
          </cell>
          <cell r="AO1262" t="str">
            <v>FO</v>
          </cell>
        </row>
        <row r="1263">
          <cell r="D1263" t="str">
            <v>2309/11</v>
          </cell>
          <cell r="E1263" t="str">
            <v>26/09/2011</v>
          </cell>
          <cell r="F1263">
            <v>40991</v>
          </cell>
          <cell r="G1263">
            <v>40877</v>
          </cell>
          <cell r="H1263" t="str">
            <v>2011-0.227.363-1</v>
          </cell>
          <cell r="I1263">
            <v>44978.400000000001</v>
          </cell>
          <cell r="J1263" t="str">
            <v xml:space="preserve">              123611122                  2848                    33903600</v>
          </cell>
          <cell r="K1263" t="str">
            <v>26/09/2011</v>
          </cell>
          <cell r="L1263">
            <v>66</v>
          </cell>
          <cell r="M1263">
            <v>16500</v>
          </cell>
          <cell r="N1263">
            <v>57278</v>
          </cell>
          <cell r="O1263">
            <v>32601</v>
          </cell>
          <cell r="P1263">
            <v>16</v>
          </cell>
          <cell r="Q1263">
            <v>3</v>
          </cell>
          <cell r="T1263">
            <v>1300</v>
          </cell>
          <cell r="U1263">
            <v>0</v>
          </cell>
          <cell r="V1263">
            <v>7500</v>
          </cell>
          <cell r="W1263">
            <v>180</v>
          </cell>
          <cell r="X1263">
            <v>6000</v>
          </cell>
          <cell r="Y1263">
            <v>105739</v>
          </cell>
          <cell r="Z1263">
            <v>8171.22</v>
          </cell>
          <cell r="AA1263">
            <v>5328.78</v>
          </cell>
          <cell r="AB1263">
            <v>249.88</v>
          </cell>
          <cell r="AC1263">
            <v>7500</v>
          </cell>
          <cell r="AD1263">
            <v>7206.74</v>
          </cell>
          <cell r="AE1263">
            <v>293.26000000000022</v>
          </cell>
          <cell r="AN1263" t="str">
            <v xml:space="preserve">Contrato emergencial nº </v>
          </cell>
          <cell r="AO1263" t="str">
            <v>PE</v>
          </cell>
        </row>
        <row r="1264">
          <cell r="D1264" t="str">
            <v>2310/11</v>
          </cell>
          <cell r="E1264" t="str">
            <v>26/09/2011</v>
          </cell>
          <cell r="F1264">
            <v>40991</v>
          </cell>
          <cell r="G1264">
            <v>40877</v>
          </cell>
          <cell r="H1264" t="str">
            <v>2011-0.227.365-8</v>
          </cell>
          <cell r="I1264">
            <v>37607.879999999997</v>
          </cell>
          <cell r="J1264" t="str">
            <v xml:space="preserve">              123611122                  2848                    33903600</v>
          </cell>
          <cell r="K1264" t="str">
            <v>26/09/2011</v>
          </cell>
          <cell r="L1264">
            <v>66</v>
          </cell>
          <cell r="M1264">
            <v>13800</v>
          </cell>
          <cell r="N1264">
            <v>57278</v>
          </cell>
          <cell r="O1264">
            <v>32602</v>
          </cell>
          <cell r="P1264">
            <v>16</v>
          </cell>
          <cell r="Q1264">
            <v>3</v>
          </cell>
          <cell r="T1264">
            <v>1100</v>
          </cell>
          <cell r="U1264">
            <v>0</v>
          </cell>
          <cell r="V1264">
            <v>6500</v>
          </cell>
          <cell r="W1264">
            <v>180</v>
          </cell>
          <cell r="X1264">
            <v>5200</v>
          </cell>
          <cell r="Y1264">
            <v>104954</v>
          </cell>
          <cell r="Z1264">
            <v>8959.1299999999992</v>
          </cell>
          <cell r="AA1264">
            <v>2740.8700000000008</v>
          </cell>
          <cell r="AB1264">
            <v>208.93266666666665</v>
          </cell>
          <cell r="AC1264">
            <v>6300</v>
          </cell>
          <cell r="AD1264">
            <v>6456.3450000000012</v>
          </cell>
          <cell r="AE1264">
            <v>-156.34500000000116</v>
          </cell>
          <cell r="AN1264" t="str">
            <v xml:space="preserve">Contrato emergencial nº </v>
          </cell>
          <cell r="AO1264" t="str">
            <v>PJ</v>
          </cell>
        </row>
        <row r="1265">
          <cell r="D1265" t="str">
            <v>2312/11</v>
          </cell>
          <cell r="E1265" t="str">
            <v>26/09/2011</v>
          </cell>
          <cell r="F1265">
            <v>40991</v>
          </cell>
          <cell r="G1265">
            <v>40877</v>
          </cell>
          <cell r="H1265" t="str">
            <v>2011-0.227.370-4</v>
          </cell>
          <cell r="I1265">
            <v>44324.52</v>
          </cell>
          <cell r="J1265" t="str">
            <v xml:space="preserve">              123611122                  2848                    33903600</v>
          </cell>
          <cell r="K1265" t="str">
            <v>26/09/2011</v>
          </cell>
          <cell r="L1265">
            <v>66</v>
          </cell>
          <cell r="M1265">
            <v>16300</v>
          </cell>
          <cell r="N1265">
            <v>57278</v>
          </cell>
          <cell r="O1265">
            <v>32605</v>
          </cell>
          <cell r="P1265">
            <v>16</v>
          </cell>
          <cell r="Q1265">
            <v>3</v>
          </cell>
          <cell r="T1265">
            <v>1145.44333333333</v>
          </cell>
          <cell r="U1265">
            <v>0</v>
          </cell>
          <cell r="V1265">
            <v>7400</v>
          </cell>
          <cell r="W1265">
            <v>180</v>
          </cell>
          <cell r="X1265">
            <v>5920</v>
          </cell>
          <cell r="Y1265">
            <v>104993</v>
          </cell>
          <cell r="Z1265">
            <v>8483.7799999999988</v>
          </cell>
          <cell r="AA1265">
            <v>4836.2200000000012</v>
          </cell>
          <cell r="AB1265">
            <v>246.2473333333333</v>
          </cell>
          <cell r="AC1265">
            <v>7400</v>
          </cell>
          <cell r="AD1265">
            <v>6752.6600000000008</v>
          </cell>
          <cell r="AE1265">
            <v>647.33999999999924</v>
          </cell>
          <cell r="AN1265" t="str">
            <v xml:space="preserve">Contrato emergencial nº </v>
          </cell>
          <cell r="AO1265" t="str">
            <v>CS</v>
          </cell>
        </row>
        <row r="1266">
          <cell r="D1266" t="str">
            <v>2313/11</v>
          </cell>
          <cell r="E1266" t="str">
            <v>26/09/2011</v>
          </cell>
          <cell r="F1266">
            <v>40991</v>
          </cell>
          <cell r="G1266">
            <v>40877</v>
          </cell>
          <cell r="H1266" t="str">
            <v>2011-0.227.375-5</v>
          </cell>
          <cell r="I1266">
            <v>44324.52</v>
          </cell>
          <cell r="J1266" t="str">
            <v xml:space="preserve">              123611122                  2848                    33903600</v>
          </cell>
          <cell r="K1266" t="str">
            <v>26/09/2011</v>
          </cell>
          <cell r="L1266">
            <v>66</v>
          </cell>
          <cell r="M1266">
            <v>16300</v>
          </cell>
          <cell r="N1266">
            <v>57278</v>
          </cell>
          <cell r="O1266">
            <v>32606</v>
          </cell>
          <cell r="P1266">
            <v>16</v>
          </cell>
          <cell r="Q1266">
            <v>3</v>
          </cell>
          <cell r="T1266">
            <v>1192.8399999999999</v>
          </cell>
          <cell r="U1266">
            <v>0</v>
          </cell>
          <cell r="V1266">
            <v>7400</v>
          </cell>
          <cell r="W1266">
            <v>180</v>
          </cell>
          <cell r="X1266">
            <v>5920</v>
          </cell>
          <cell r="Y1266">
            <v>104997</v>
          </cell>
          <cell r="Z1266">
            <v>8164.24</v>
          </cell>
          <cell r="AA1266">
            <v>5155.76</v>
          </cell>
          <cell r="AB1266">
            <v>246.2473333333333</v>
          </cell>
          <cell r="AC1266">
            <v>7400</v>
          </cell>
          <cell r="AD1266">
            <v>6971.0400000000009</v>
          </cell>
          <cell r="AE1266">
            <v>428.95999999999913</v>
          </cell>
          <cell r="AN1266" t="str">
            <v xml:space="preserve">Contrato emergencial nº </v>
          </cell>
          <cell r="AO1266" t="str">
            <v>CS</v>
          </cell>
        </row>
        <row r="1267">
          <cell r="D1267" t="str">
            <v>2315/11</v>
          </cell>
          <cell r="E1267" t="str">
            <v>26/09/2011</v>
          </cell>
          <cell r="F1267">
            <v>40991</v>
          </cell>
          <cell r="G1267">
            <v>40877</v>
          </cell>
          <cell r="H1267" t="str">
            <v>2011-0.227.184-1</v>
          </cell>
          <cell r="I1267">
            <v>44324.52</v>
          </cell>
          <cell r="J1267" t="str">
            <v xml:space="preserve">              123611122                  2848                    33903600</v>
          </cell>
          <cell r="K1267" t="str">
            <v>26/09/2011</v>
          </cell>
          <cell r="L1267">
            <v>66</v>
          </cell>
          <cell r="M1267">
            <v>16300</v>
          </cell>
          <cell r="N1267">
            <v>57278</v>
          </cell>
          <cell r="O1267">
            <v>32609</v>
          </cell>
          <cell r="P1267">
            <v>16</v>
          </cell>
          <cell r="Q1267">
            <v>3</v>
          </cell>
          <cell r="T1267">
            <v>1342.7266666666701</v>
          </cell>
          <cell r="U1267">
            <v>0</v>
          </cell>
          <cell r="V1267">
            <v>7600</v>
          </cell>
          <cell r="W1267">
            <v>180</v>
          </cell>
          <cell r="X1267">
            <v>6080</v>
          </cell>
          <cell r="Y1267">
            <v>105002</v>
          </cell>
          <cell r="Z1267">
            <v>7635.1600000000008</v>
          </cell>
          <cell r="AA1267">
            <v>6044.8399999999992</v>
          </cell>
          <cell r="AB1267">
            <v>246.2473333333333</v>
          </cell>
          <cell r="AC1267">
            <v>7400</v>
          </cell>
          <cell r="AD1267">
            <v>7522.36</v>
          </cell>
          <cell r="AE1267">
            <v>-122.35999999999967</v>
          </cell>
          <cell r="AN1267" t="str">
            <v xml:space="preserve">Contrato emergencial nº </v>
          </cell>
          <cell r="AO1267" t="str">
            <v>CS</v>
          </cell>
        </row>
        <row r="1268">
          <cell r="D1268" t="str">
            <v>2316/11</v>
          </cell>
          <cell r="E1268" t="str">
            <v>26/09/2011</v>
          </cell>
          <cell r="F1268">
            <v>40991</v>
          </cell>
          <cell r="G1268">
            <v>40877</v>
          </cell>
          <cell r="H1268" t="str">
            <v>2011-0.227.198-1</v>
          </cell>
          <cell r="I1268">
            <v>34338.839999999997</v>
          </cell>
          <cell r="J1268" t="str">
            <v xml:space="preserve">              123611122                  2848                    33903600</v>
          </cell>
          <cell r="K1268" t="str">
            <v>26/09/2011</v>
          </cell>
          <cell r="L1268">
            <v>66</v>
          </cell>
          <cell r="M1268">
            <v>12600</v>
          </cell>
          <cell r="N1268">
            <v>57278</v>
          </cell>
          <cell r="O1268">
            <v>32611</v>
          </cell>
          <cell r="P1268">
            <v>16</v>
          </cell>
          <cell r="Q1268">
            <v>3</v>
          </cell>
          <cell r="T1268">
            <v>1000</v>
          </cell>
          <cell r="U1268">
            <v>0</v>
          </cell>
          <cell r="V1268">
            <v>5800</v>
          </cell>
          <cell r="W1268">
            <v>180</v>
          </cell>
          <cell r="X1268">
            <v>4640</v>
          </cell>
          <cell r="Y1268">
            <v>106816</v>
          </cell>
          <cell r="Z1268">
            <v>6201.37</v>
          </cell>
          <cell r="AA1268">
            <v>4238.63</v>
          </cell>
          <cell r="AB1268">
            <v>190.7713333333333</v>
          </cell>
          <cell r="AC1268">
            <v>5800</v>
          </cell>
          <cell r="AD1268">
            <v>5529.4800000000005</v>
          </cell>
          <cell r="AE1268">
            <v>270.51999999999953</v>
          </cell>
          <cell r="AN1268" t="str">
            <v xml:space="preserve">Contrato emergencial nº </v>
          </cell>
          <cell r="AO1268" t="str">
            <v>SA</v>
          </cell>
        </row>
        <row r="1269">
          <cell r="D1269" t="str">
            <v>2317/11</v>
          </cell>
          <cell r="E1269" t="str">
            <v>26/09/2011</v>
          </cell>
          <cell r="F1269">
            <v>40991</v>
          </cell>
          <cell r="G1269">
            <v>40877</v>
          </cell>
          <cell r="H1269" t="str">
            <v>2011-0.227.205-8</v>
          </cell>
          <cell r="I1269">
            <v>45186.36</v>
          </cell>
          <cell r="J1269" t="str">
            <v xml:space="preserve">              123611122                  2848                    33903600</v>
          </cell>
          <cell r="K1269" t="str">
            <v>26/09/2011</v>
          </cell>
          <cell r="L1269">
            <v>66</v>
          </cell>
          <cell r="M1269">
            <v>16600</v>
          </cell>
          <cell r="N1269">
            <v>57278</v>
          </cell>
          <cell r="O1269">
            <v>32613</v>
          </cell>
          <cell r="P1269">
            <v>16</v>
          </cell>
          <cell r="Q1269">
            <v>3</v>
          </cell>
          <cell r="T1269">
            <v>1300</v>
          </cell>
          <cell r="U1269">
            <v>0</v>
          </cell>
          <cell r="V1269">
            <v>7600</v>
          </cell>
          <cell r="W1269">
            <v>180</v>
          </cell>
          <cell r="X1269">
            <v>6080</v>
          </cell>
          <cell r="Y1269">
            <v>106819</v>
          </cell>
          <cell r="Z1269">
            <v>8563.41</v>
          </cell>
          <cell r="AA1269">
            <v>5116.59</v>
          </cell>
          <cell r="AB1269">
            <v>251.03533333333334</v>
          </cell>
          <cell r="AC1269">
            <v>7600</v>
          </cell>
          <cell r="AD1269">
            <v>6972.1350000000002</v>
          </cell>
          <cell r="AE1269">
            <v>627.86499999999978</v>
          </cell>
          <cell r="AN1269" t="str">
            <v xml:space="preserve">Contrato emergencial nº </v>
          </cell>
          <cell r="AO1269" t="str">
            <v>SA</v>
          </cell>
        </row>
        <row r="1270">
          <cell r="D1270" t="str">
            <v>2318/11</v>
          </cell>
          <cell r="E1270" t="str">
            <v>26/09/2011</v>
          </cell>
          <cell r="F1270">
            <v>40991</v>
          </cell>
          <cell r="G1270">
            <v>40877</v>
          </cell>
          <cell r="H1270" t="str">
            <v>2011-0.227.211-2</v>
          </cell>
          <cell r="I1270">
            <v>44324.52</v>
          </cell>
          <cell r="J1270" t="str">
            <v xml:space="preserve">              123651121                 2847                    33903600</v>
          </cell>
          <cell r="K1270" t="str">
            <v>26/09/2011</v>
          </cell>
          <cell r="L1270">
            <v>66</v>
          </cell>
          <cell r="M1270">
            <v>16300</v>
          </cell>
          <cell r="N1270">
            <v>57273</v>
          </cell>
          <cell r="O1270">
            <v>32614</v>
          </cell>
          <cell r="P1270">
            <v>16</v>
          </cell>
          <cell r="Q1270">
            <v>2</v>
          </cell>
          <cell r="T1270">
            <v>1205.7266666666701</v>
          </cell>
          <cell r="U1270">
            <v>0</v>
          </cell>
          <cell r="V1270">
            <v>7400</v>
          </cell>
          <cell r="W1270">
            <v>180</v>
          </cell>
          <cell r="X1270">
            <v>5920</v>
          </cell>
          <cell r="Y1270">
            <v>105605</v>
          </cell>
          <cell r="Z1270">
            <v>8253.41</v>
          </cell>
          <cell r="AA1270">
            <v>5066.59</v>
          </cell>
          <cell r="AB1270">
            <v>246.2473333333333</v>
          </cell>
          <cell r="AC1270">
            <v>7400</v>
          </cell>
          <cell r="AD1270">
            <v>6948.21</v>
          </cell>
          <cell r="AE1270">
            <v>451.78999999999996</v>
          </cell>
          <cell r="AN1270" t="str">
            <v xml:space="preserve">Contrato emergencial nº </v>
          </cell>
          <cell r="AO1270" t="str">
            <v>SM</v>
          </cell>
        </row>
        <row r="1271">
          <cell r="D1271" t="str">
            <v>2319/11</v>
          </cell>
          <cell r="E1271" t="str">
            <v>26/09/2011</v>
          </cell>
          <cell r="F1271">
            <v>40991</v>
          </cell>
          <cell r="G1271">
            <v>40877</v>
          </cell>
          <cell r="H1271" t="str">
            <v>2011-0.227.220-1</v>
          </cell>
          <cell r="I1271">
            <v>55766.34</v>
          </cell>
          <cell r="J1271" t="str">
            <v xml:space="preserve">              123651121                 2847                    33903600</v>
          </cell>
          <cell r="K1271" t="str">
            <v>26/09/2011</v>
          </cell>
          <cell r="L1271">
            <v>66</v>
          </cell>
          <cell r="M1271">
            <v>20500</v>
          </cell>
          <cell r="N1271">
            <v>57273</v>
          </cell>
          <cell r="O1271">
            <v>32615</v>
          </cell>
          <cell r="P1271">
            <v>16</v>
          </cell>
          <cell r="Q1271">
            <v>2</v>
          </cell>
          <cell r="T1271">
            <v>1432.0650000000001</v>
          </cell>
          <cell r="U1271">
            <v>0</v>
          </cell>
          <cell r="V1271">
            <v>9300</v>
          </cell>
          <cell r="W1271">
            <v>180</v>
          </cell>
          <cell r="X1271">
            <v>7440</v>
          </cell>
          <cell r="Y1271">
            <v>105608</v>
          </cell>
          <cell r="Z1271">
            <v>10567.54</v>
          </cell>
          <cell r="AA1271">
            <v>6172.4599999999991</v>
          </cell>
          <cell r="AB1271">
            <v>309.81299999999999</v>
          </cell>
          <cell r="AC1271">
            <v>9300</v>
          </cell>
          <cell r="AD1271">
            <v>8546.39</v>
          </cell>
          <cell r="AE1271">
            <v>753.61000000000058</v>
          </cell>
          <cell r="AN1271" t="str">
            <v xml:space="preserve">Contrato emergencial nº </v>
          </cell>
          <cell r="AO1271" t="str">
            <v>SM</v>
          </cell>
        </row>
        <row r="1272">
          <cell r="D1272" t="str">
            <v>2320/11</v>
          </cell>
          <cell r="E1272" t="str">
            <v>26/09/2011</v>
          </cell>
          <cell r="F1272">
            <v>40991</v>
          </cell>
          <cell r="G1272">
            <v>40877</v>
          </cell>
          <cell r="H1272" t="str">
            <v>2011-0.227.227-9</v>
          </cell>
          <cell r="I1272">
            <v>44324.52</v>
          </cell>
          <cell r="J1272" t="str">
            <v xml:space="preserve">              123651121                 2847                    33903600</v>
          </cell>
          <cell r="K1272" t="str">
            <v>26/09/2011</v>
          </cell>
          <cell r="L1272">
            <v>66</v>
          </cell>
          <cell r="M1272">
            <v>16300</v>
          </cell>
          <cell r="N1272">
            <v>57273</v>
          </cell>
          <cell r="O1272">
            <v>32619</v>
          </cell>
          <cell r="P1272">
            <v>16</v>
          </cell>
          <cell r="Q1272">
            <v>2</v>
          </cell>
          <cell r="T1272">
            <v>1205.2266666666701</v>
          </cell>
          <cell r="U1272">
            <v>0</v>
          </cell>
          <cell r="V1272">
            <v>7400</v>
          </cell>
          <cell r="W1272">
            <v>180</v>
          </cell>
          <cell r="X1272">
            <v>5920</v>
          </cell>
          <cell r="Y1272">
            <v>105005</v>
          </cell>
          <cell r="Z1272">
            <v>8279.91</v>
          </cell>
          <cell r="AA1272">
            <v>5040.09</v>
          </cell>
          <cell r="AB1272">
            <v>246.2473333333333</v>
          </cell>
          <cell r="AC1272">
            <v>7400</v>
          </cell>
          <cell r="AD1272">
            <v>6915.3600000000006</v>
          </cell>
          <cell r="AE1272">
            <v>484.63999999999942</v>
          </cell>
          <cell r="AN1272" t="str">
            <v xml:space="preserve">Contrato emergencial nº </v>
          </cell>
          <cell r="AO1272" t="str">
            <v>CS</v>
          </cell>
        </row>
        <row r="1273">
          <cell r="D1273" t="str">
            <v>2321/11</v>
          </cell>
          <cell r="E1273" t="str">
            <v>26/09/2011</v>
          </cell>
          <cell r="F1273">
            <v>40991</v>
          </cell>
          <cell r="G1273">
            <v>40877</v>
          </cell>
          <cell r="H1273" t="str">
            <v>2011-0.227.233-3</v>
          </cell>
          <cell r="I1273">
            <v>31418.52</v>
          </cell>
          <cell r="J1273" t="str">
            <v xml:space="preserve">              123651121                 2847                    33903600</v>
          </cell>
          <cell r="K1273" t="str">
            <v>26/09/2011</v>
          </cell>
          <cell r="L1273">
            <v>66</v>
          </cell>
          <cell r="M1273">
            <v>11600</v>
          </cell>
          <cell r="N1273">
            <v>57273</v>
          </cell>
          <cell r="O1273">
            <v>32620</v>
          </cell>
          <cell r="P1273">
            <v>16</v>
          </cell>
          <cell r="Q1273">
            <v>2</v>
          </cell>
          <cell r="T1273">
            <v>1016.14333333333</v>
          </cell>
          <cell r="U1273">
            <v>0</v>
          </cell>
          <cell r="V1273">
            <v>5800</v>
          </cell>
          <cell r="W1273">
            <v>180</v>
          </cell>
          <cell r="X1273">
            <v>4640</v>
          </cell>
          <cell r="Y1273">
            <v>105017</v>
          </cell>
          <cell r="Z1273">
            <v>4844.5</v>
          </cell>
          <cell r="AA1273">
            <v>5595.5</v>
          </cell>
          <cell r="AB1273">
            <v>174.54733333333334</v>
          </cell>
          <cell r="AC1273">
            <v>5300</v>
          </cell>
          <cell r="AD1273">
            <v>5799.9800000000005</v>
          </cell>
          <cell r="AE1273">
            <v>-499.98000000000047</v>
          </cell>
          <cell r="AN1273" t="str">
            <v xml:space="preserve">Contrato emergencial nº </v>
          </cell>
          <cell r="AO1273" t="str">
            <v>CS</v>
          </cell>
        </row>
        <row r="1274">
          <cell r="D1274" t="str">
            <v>2322/11</v>
          </cell>
          <cell r="E1274" t="str">
            <v>26/09/2011</v>
          </cell>
          <cell r="F1274">
            <v>40991</v>
          </cell>
          <cell r="G1274">
            <v>40877</v>
          </cell>
          <cell r="H1274" t="str">
            <v>2011-0.227.245-7</v>
          </cell>
          <cell r="I1274">
            <v>44978.400000000001</v>
          </cell>
          <cell r="J1274" t="str">
            <v xml:space="preserve">              123651121                 2847                    33903600</v>
          </cell>
          <cell r="K1274" t="str">
            <v>26/09/2011</v>
          </cell>
          <cell r="L1274">
            <v>66</v>
          </cell>
          <cell r="M1274">
            <v>16500</v>
          </cell>
          <cell r="N1274">
            <v>57273</v>
          </cell>
          <cell r="O1274">
            <v>32623</v>
          </cell>
          <cell r="P1274">
            <v>16</v>
          </cell>
          <cell r="Q1274">
            <v>2</v>
          </cell>
          <cell r="T1274">
            <v>1426.86</v>
          </cell>
          <cell r="U1274">
            <v>0</v>
          </cell>
          <cell r="V1274">
            <v>8400</v>
          </cell>
          <cell r="W1274">
            <v>180</v>
          </cell>
          <cell r="X1274">
            <v>6720</v>
          </cell>
          <cell r="Y1274">
            <v>105611</v>
          </cell>
          <cell r="Z1274">
            <v>6831.98</v>
          </cell>
          <cell r="AA1274">
            <v>8288.02</v>
          </cell>
          <cell r="AB1274">
            <v>249.88</v>
          </cell>
          <cell r="AC1274">
            <v>7500</v>
          </cell>
          <cell r="AD1274">
            <v>8305.16</v>
          </cell>
          <cell r="AE1274">
            <v>-805.15999999999985</v>
          </cell>
          <cell r="AN1274" t="str">
            <v xml:space="preserve">Contrato emergencial nº </v>
          </cell>
          <cell r="AO1274" t="str">
            <v>SM</v>
          </cell>
        </row>
        <row r="1275">
          <cell r="D1275" t="str">
            <v>2323/11</v>
          </cell>
          <cell r="E1275" t="str">
            <v>26/09/2011</v>
          </cell>
          <cell r="F1275">
            <v>40991</v>
          </cell>
          <cell r="G1275">
            <v>40877</v>
          </cell>
          <cell r="H1275" t="str">
            <v>2011-0.227.251-1</v>
          </cell>
          <cell r="I1275">
            <v>44978.400000000001</v>
          </cell>
          <cell r="J1275" t="str">
            <v xml:space="preserve">              123651121                 2847                    33903600</v>
          </cell>
          <cell r="K1275" t="str">
            <v>26/09/2011</v>
          </cell>
          <cell r="L1275">
            <v>66</v>
          </cell>
          <cell r="M1275">
            <v>16500</v>
          </cell>
          <cell r="N1275">
            <v>57273</v>
          </cell>
          <cell r="O1275">
            <v>32625</v>
          </cell>
          <cell r="P1275">
            <v>16</v>
          </cell>
          <cell r="Q1275">
            <v>2</v>
          </cell>
          <cell r="T1275">
            <v>1300</v>
          </cell>
          <cell r="U1275">
            <v>0</v>
          </cell>
          <cell r="V1275">
            <v>7500</v>
          </cell>
          <cell r="W1275">
            <v>180</v>
          </cell>
          <cell r="X1275">
            <v>6000</v>
          </cell>
          <cell r="Y1275" t="str">
            <v>106821</v>
          </cell>
          <cell r="Z1275">
            <v>8763.77</v>
          </cell>
          <cell r="AA1275">
            <v>4736.2299999999996</v>
          </cell>
          <cell r="AB1275">
            <v>249.88</v>
          </cell>
          <cell r="AC1275">
            <v>7500</v>
          </cell>
          <cell r="AD1275">
            <v>6660.7899999999991</v>
          </cell>
          <cell r="AE1275">
            <v>839.21000000000095</v>
          </cell>
          <cell r="AN1275" t="str">
            <v xml:space="preserve">Contrato emergencial nº </v>
          </cell>
          <cell r="AO1275" t="str">
            <v>SA</v>
          </cell>
        </row>
        <row r="1276">
          <cell r="D1276" t="str">
            <v>2325/11</v>
          </cell>
          <cell r="E1276" t="str">
            <v>26/09/2011</v>
          </cell>
          <cell r="F1276">
            <v>40991</v>
          </cell>
          <cell r="G1276">
            <v>40877</v>
          </cell>
          <cell r="H1276" t="str">
            <v>2011-0.227.267-8</v>
          </cell>
          <cell r="I1276">
            <v>44324.52</v>
          </cell>
          <cell r="J1276" t="str">
            <v xml:space="preserve">              123651121                 2847                    33903600</v>
          </cell>
          <cell r="K1276" t="str">
            <v>26/09/2011</v>
          </cell>
          <cell r="L1276">
            <v>66</v>
          </cell>
          <cell r="M1276">
            <v>16300</v>
          </cell>
          <cell r="N1276">
            <v>57273</v>
          </cell>
          <cell r="O1276">
            <v>31240</v>
          </cell>
          <cell r="P1276">
            <v>16</v>
          </cell>
          <cell r="Q1276">
            <v>2</v>
          </cell>
          <cell r="T1276">
            <v>1195.2850000000001</v>
          </cell>
          <cell r="U1276">
            <v>0</v>
          </cell>
          <cell r="V1276">
            <v>9400</v>
          </cell>
          <cell r="W1276">
            <v>180</v>
          </cell>
          <cell r="X1276">
            <v>7520</v>
          </cell>
          <cell r="Y1276">
            <v>105613</v>
          </cell>
          <cell r="Z1276">
            <v>7942.11</v>
          </cell>
          <cell r="AA1276">
            <v>8977.89</v>
          </cell>
          <cell r="AB1276">
            <v>246.2473333333333</v>
          </cell>
          <cell r="AC1276">
            <v>7400</v>
          </cell>
          <cell r="AD1276">
            <v>9397.33</v>
          </cell>
          <cell r="AE1276">
            <v>-1997.33</v>
          </cell>
          <cell r="AN1276" t="str">
            <v xml:space="preserve">Contrato emergencial nº </v>
          </cell>
          <cell r="AO1276" t="str">
            <v>SM</v>
          </cell>
        </row>
        <row r="1277">
          <cell r="D1277" t="str">
            <v>2327/11</v>
          </cell>
          <cell r="E1277" t="str">
            <v>26/09/2011</v>
          </cell>
          <cell r="F1277">
            <v>40991</v>
          </cell>
          <cell r="G1277">
            <v>40877</v>
          </cell>
          <cell r="H1277" t="str">
            <v>2011-0.227.294-5</v>
          </cell>
          <cell r="I1277">
            <v>44324.52</v>
          </cell>
          <cell r="J1277" t="str">
            <v xml:space="preserve">              123651121                 2847                    33903600</v>
          </cell>
          <cell r="K1277" t="str">
            <v>26/09/2011</v>
          </cell>
          <cell r="L1277">
            <v>66</v>
          </cell>
          <cell r="M1277">
            <v>16300</v>
          </cell>
          <cell r="N1277">
            <v>57273</v>
          </cell>
          <cell r="O1277">
            <v>31241</v>
          </cell>
          <cell r="P1277">
            <v>16</v>
          </cell>
          <cell r="Q1277">
            <v>2</v>
          </cell>
          <cell r="T1277">
            <v>1300</v>
          </cell>
          <cell r="U1277">
            <v>0</v>
          </cell>
          <cell r="V1277">
            <v>7400</v>
          </cell>
          <cell r="W1277">
            <v>180</v>
          </cell>
          <cell r="X1277">
            <v>5920</v>
          </cell>
          <cell r="Y1277">
            <v>105729</v>
          </cell>
          <cell r="Z1277">
            <v>9358.16</v>
          </cell>
          <cell r="AA1277">
            <v>3961.84</v>
          </cell>
          <cell r="AB1277">
            <v>246.2473333333333</v>
          </cell>
          <cell r="AC1277">
            <v>7400</v>
          </cell>
          <cell r="AD1277">
            <v>5981.36</v>
          </cell>
          <cell r="AE1277">
            <v>1418.6400000000003</v>
          </cell>
          <cell r="AN1277" t="str">
            <v xml:space="preserve">Contrato emergencial nº </v>
          </cell>
          <cell r="AO1277" t="str">
            <v>IQ</v>
          </cell>
        </row>
        <row r="1278">
          <cell r="D1278" t="str">
            <v>2329/11</v>
          </cell>
          <cell r="E1278" t="str">
            <v>26/09/2011</v>
          </cell>
          <cell r="F1278">
            <v>40991</v>
          </cell>
          <cell r="G1278">
            <v>40877</v>
          </cell>
          <cell r="H1278" t="str">
            <v>2011-0.227.309-7</v>
          </cell>
          <cell r="I1278">
            <v>44324.52</v>
          </cell>
          <cell r="J1278" t="str">
            <v xml:space="preserve">              123651121                 2847                    33903600</v>
          </cell>
          <cell r="K1278" t="str">
            <v>26/09/2011</v>
          </cell>
          <cell r="L1278">
            <v>66</v>
          </cell>
          <cell r="M1278">
            <v>16300</v>
          </cell>
          <cell r="N1278">
            <v>57273</v>
          </cell>
          <cell r="O1278">
            <v>31243</v>
          </cell>
          <cell r="P1278">
            <v>16</v>
          </cell>
          <cell r="Q1278">
            <v>2</v>
          </cell>
          <cell r="T1278">
            <v>1300</v>
          </cell>
          <cell r="U1278">
            <v>0</v>
          </cell>
          <cell r="V1278">
            <v>7400</v>
          </cell>
          <cell r="W1278">
            <v>180</v>
          </cell>
          <cell r="X1278">
            <v>5920</v>
          </cell>
          <cell r="Y1278">
            <v>105745</v>
          </cell>
          <cell r="Z1278">
            <v>9845.0300000000007</v>
          </cell>
          <cell r="AA1278">
            <v>3474.9699999999993</v>
          </cell>
          <cell r="AB1278">
            <v>246.2473333333333</v>
          </cell>
          <cell r="AC1278">
            <v>7400</v>
          </cell>
          <cell r="AD1278">
            <v>5540.2000000000007</v>
          </cell>
          <cell r="AE1278">
            <v>1859.7999999999993</v>
          </cell>
          <cell r="AN1278" t="str">
            <v xml:space="preserve">Contrato emergencial nº </v>
          </cell>
          <cell r="AO1278" t="str">
            <v>IQ</v>
          </cell>
        </row>
        <row r="1279">
          <cell r="D1279" t="str">
            <v>2330/11</v>
          </cell>
          <cell r="E1279" t="str">
            <v>26/09/2011</v>
          </cell>
          <cell r="F1279">
            <v>40991</v>
          </cell>
          <cell r="G1279">
            <v>40877</v>
          </cell>
          <cell r="H1279" t="str">
            <v>2011-0.227.319-4</v>
          </cell>
          <cell r="I1279">
            <v>44324.52</v>
          </cell>
          <cell r="J1279" t="str">
            <v xml:space="preserve">              123651121                 2847                    33903600</v>
          </cell>
          <cell r="K1279" t="str">
            <v>26/09/2011</v>
          </cell>
          <cell r="L1279">
            <v>66</v>
          </cell>
          <cell r="M1279">
            <v>16300</v>
          </cell>
          <cell r="N1279">
            <v>57273</v>
          </cell>
          <cell r="O1279">
            <v>31244</v>
          </cell>
          <cell r="P1279">
            <v>16</v>
          </cell>
          <cell r="Q1279">
            <v>2</v>
          </cell>
          <cell r="T1279">
            <v>1300</v>
          </cell>
          <cell r="U1279">
            <v>0</v>
          </cell>
          <cell r="V1279">
            <v>7400</v>
          </cell>
          <cell r="W1279">
            <v>180</v>
          </cell>
          <cell r="X1279">
            <v>5920</v>
          </cell>
          <cell r="Y1279">
            <v>105394</v>
          </cell>
          <cell r="Z1279">
            <v>662.03500000000076</v>
          </cell>
          <cell r="AA1279">
            <v>12657.965</v>
          </cell>
          <cell r="AB1279">
            <v>246.2473333333333</v>
          </cell>
          <cell r="AC1279">
            <v>7400</v>
          </cell>
          <cell r="AD1279">
            <v>7400</v>
          </cell>
          <cell r="AE1279">
            <v>0</v>
          </cell>
          <cell r="AN1279" t="str">
            <v xml:space="preserve">Contrato emergencial nº </v>
          </cell>
          <cell r="AO1279" t="str">
            <v>FO</v>
          </cell>
        </row>
        <row r="1280">
          <cell r="D1280" t="str">
            <v>2331/11</v>
          </cell>
          <cell r="E1280" t="str">
            <v>26/09/2011</v>
          </cell>
          <cell r="F1280">
            <v>40991</v>
          </cell>
          <cell r="G1280">
            <v>40877</v>
          </cell>
          <cell r="H1280" t="str">
            <v>2011-0.227.325-9</v>
          </cell>
          <cell r="I1280">
            <v>44324.52</v>
          </cell>
          <cell r="J1280" t="str">
            <v xml:space="preserve">              123651121                 2847                    33903600</v>
          </cell>
          <cell r="K1280" t="str">
            <v>26/09/2011</v>
          </cell>
          <cell r="L1280">
            <v>66</v>
          </cell>
          <cell r="M1280">
            <v>16300</v>
          </cell>
          <cell r="N1280">
            <v>57273</v>
          </cell>
          <cell r="O1280">
            <v>31245</v>
          </cell>
          <cell r="P1280">
            <v>16</v>
          </cell>
          <cell r="Q1280">
            <v>2</v>
          </cell>
          <cell r="T1280">
            <v>1300</v>
          </cell>
          <cell r="U1280">
            <v>0</v>
          </cell>
          <cell r="V1280">
            <v>7700</v>
          </cell>
          <cell r="W1280">
            <v>180</v>
          </cell>
          <cell r="X1280">
            <v>6160</v>
          </cell>
          <cell r="Y1280">
            <v>104891</v>
          </cell>
          <cell r="Z1280">
            <v>7479.8</v>
          </cell>
          <cell r="AA1280">
            <v>6380.2</v>
          </cell>
          <cell r="AB1280">
            <v>246.2473333333333</v>
          </cell>
          <cell r="AC1280">
            <v>7400</v>
          </cell>
          <cell r="AD1280">
            <v>7610.9899999999989</v>
          </cell>
          <cell r="AE1280">
            <v>-210.98999999999887</v>
          </cell>
          <cell r="AN1280" t="str">
            <v xml:space="preserve">Contrato emergencial nº </v>
          </cell>
          <cell r="AO1280" t="str">
            <v>PJ</v>
          </cell>
        </row>
        <row r="1281">
          <cell r="D1281" t="str">
            <v>2332/11</v>
          </cell>
          <cell r="E1281" t="str">
            <v>26/09/2011</v>
          </cell>
          <cell r="F1281">
            <v>40991</v>
          </cell>
          <cell r="G1281">
            <v>40877</v>
          </cell>
          <cell r="H1281" t="str">
            <v>2011-0.227.330-5</v>
          </cell>
          <cell r="I1281">
            <v>40877.160000000003</v>
          </cell>
          <cell r="J1281" t="str">
            <v xml:space="preserve">             123671125                  2863                   33903600</v>
          </cell>
          <cell r="K1281" t="str">
            <v>26/09/2011</v>
          </cell>
          <cell r="L1281">
            <v>66</v>
          </cell>
          <cell r="M1281">
            <v>15000</v>
          </cell>
          <cell r="N1281">
            <v>57287</v>
          </cell>
          <cell r="O1281">
            <v>31246</v>
          </cell>
          <cell r="P1281">
            <v>16</v>
          </cell>
          <cell r="Q1281">
            <v>4</v>
          </cell>
          <cell r="T1281">
            <v>1234.91166666667</v>
          </cell>
          <cell r="U1281">
            <v>0</v>
          </cell>
          <cell r="V1281">
            <v>7200</v>
          </cell>
          <cell r="W1281">
            <v>180</v>
          </cell>
          <cell r="X1281">
            <v>5760</v>
          </cell>
          <cell r="Y1281">
            <v>105023</v>
          </cell>
          <cell r="Z1281">
            <v>6658.74</v>
          </cell>
          <cell r="AA1281">
            <v>6301.26</v>
          </cell>
          <cell r="AB1281">
            <v>227.09533333333334</v>
          </cell>
          <cell r="AC1281">
            <v>6900</v>
          </cell>
          <cell r="AD1281">
            <v>7171.4699999999993</v>
          </cell>
          <cell r="AE1281">
            <v>-271.46999999999935</v>
          </cell>
          <cell r="AN1281" t="str">
            <v xml:space="preserve">Contrato emergencial nº </v>
          </cell>
          <cell r="AO1281" t="str">
            <v>CS</v>
          </cell>
        </row>
        <row r="1282">
          <cell r="D1282" t="str">
            <v>2333/11</v>
          </cell>
          <cell r="E1282" t="str">
            <v>26/09/2011</v>
          </cell>
          <cell r="F1282">
            <v>40991</v>
          </cell>
          <cell r="G1282">
            <v>40877</v>
          </cell>
          <cell r="H1282" t="str">
            <v>2011-0.227.337-2</v>
          </cell>
          <cell r="I1282">
            <v>44978.400000000001</v>
          </cell>
          <cell r="J1282" t="str">
            <v xml:space="preserve">              123651121                 2847                    33903600</v>
          </cell>
          <cell r="K1282" t="str">
            <v>26/09/2011</v>
          </cell>
          <cell r="L1282">
            <v>66</v>
          </cell>
          <cell r="M1282">
            <v>16500</v>
          </cell>
          <cell r="N1282">
            <v>57273</v>
          </cell>
          <cell r="O1282">
            <v>31247</v>
          </cell>
          <cell r="P1282">
            <v>16</v>
          </cell>
          <cell r="Q1282">
            <v>2</v>
          </cell>
          <cell r="T1282">
            <v>1300</v>
          </cell>
          <cell r="U1282">
            <v>0</v>
          </cell>
          <cell r="V1282">
            <v>7500</v>
          </cell>
          <cell r="W1282">
            <v>180</v>
          </cell>
          <cell r="X1282">
            <v>6000</v>
          </cell>
          <cell r="Y1282">
            <v>105480</v>
          </cell>
          <cell r="Z1282">
            <v>7962.45</v>
          </cell>
          <cell r="AA1282">
            <v>5537.55</v>
          </cell>
          <cell r="AB1282">
            <v>249.88</v>
          </cell>
          <cell r="AC1282">
            <v>7500</v>
          </cell>
          <cell r="AD1282">
            <v>7336.9000000000005</v>
          </cell>
          <cell r="AE1282">
            <v>163.09999999999945</v>
          </cell>
          <cell r="AN1282" t="str">
            <v xml:space="preserve">Contrato emergencial nº </v>
          </cell>
          <cell r="AO1282" t="str">
            <v>G</v>
          </cell>
        </row>
        <row r="1283">
          <cell r="D1283" t="str">
            <v>2334/11</v>
          </cell>
          <cell r="E1283" t="str">
            <v>26/09/2011</v>
          </cell>
          <cell r="F1283">
            <v>40991</v>
          </cell>
          <cell r="G1283">
            <v>40877</v>
          </cell>
          <cell r="H1283" t="str">
            <v>2011-0.227.341-0</v>
          </cell>
          <cell r="I1283">
            <v>38915.58</v>
          </cell>
          <cell r="J1283" t="str">
            <v xml:space="preserve">              123651121                 2847                    33903600</v>
          </cell>
          <cell r="K1283" t="str">
            <v>26/09/2011</v>
          </cell>
          <cell r="L1283">
            <v>66</v>
          </cell>
          <cell r="M1283">
            <v>14300</v>
          </cell>
          <cell r="N1283">
            <v>57273</v>
          </cell>
          <cell r="O1283">
            <v>31248</v>
          </cell>
          <cell r="P1283">
            <v>16</v>
          </cell>
          <cell r="Q1283">
            <v>2</v>
          </cell>
          <cell r="T1283">
            <v>1100</v>
          </cell>
          <cell r="U1283">
            <v>0</v>
          </cell>
          <cell r="V1283">
            <v>6500</v>
          </cell>
          <cell r="W1283">
            <v>180</v>
          </cell>
          <cell r="X1283">
            <v>5200</v>
          </cell>
          <cell r="Y1283">
            <v>105193</v>
          </cell>
          <cell r="Z1283">
            <v>7159.53</v>
          </cell>
          <cell r="AA1283">
            <v>4540.47</v>
          </cell>
          <cell r="AB1283">
            <v>216.19766666666666</v>
          </cell>
          <cell r="AC1283">
            <v>6500</v>
          </cell>
          <cell r="AD1283">
            <v>6157.73</v>
          </cell>
          <cell r="AE1283">
            <v>342.27000000000044</v>
          </cell>
          <cell r="AN1283" t="str">
            <v xml:space="preserve">Contrato emergencial nº </v>
          </cell>
          <cell r="AO1283" t="str">
            <v>JT</v>
          </cell>
        </row>
        <row r="1284">
          <cell r="D1284" t="str">
            <v>2335/11</v>
          </cell>
          <cell r="E1284" t="str">
            <v>26/09/2011</v>
          </cell>
          <cell r="F1284">
            <v>40991</v>
          </cell>
          <cell r="G1284">
            <v>40877</v>
          </cell>
          <cell r="H1284" t="str">
            <v>2011-0.227.352-6</v>
          </cell>
          <cell r="I1284">
            <v>44324.52</v>
          </cell>
          <cell r="J1284" t="str">
            <v xml:space="preserve">              123611122                  2848                    33903600</v>
          </cell>
          <cell r="K1284" t="str">
            <v>26/09/2011</v>
          </cell>
          <cell r="L1284">
            <v>66</v>
          </cell>
          <cell r="M1284">
            <v>16300</v>
          </cell>
          <cell r="N1284">
            <v>57278</v>
          </cell>
          <cell r="O1284">
            <v>31250</v>
          </cell>
          <cell r="P1284">
            <v>16</v>
          </cell>
          <cell r="Q1284">
            <v>3</v>
          </cell>
          <cell r="T1284">
            <v>1025.18</v>
          </cell>
          <cell r="U1284">
            <v>0</v>
          </cell>
          <cell r="V1284">
            <v>7400</v>
          </cell>
          <cell r="W1284">
            <v>180</v>
          </cell>
          <cell r="X1284">
            <v>5920</v>
          </cell>
          <cell r="Y1284">
            <v>104928</v>
          </cell>
          <cell r="Z1284">
            <v>15274.82</v>
          </cell>
          <cell r="AA1284">
            <v>-1954.8199999999997</v>
          </cell>
          <cell r="AB1284">
            <v>246.2473333333333</v>
          </cell>
          <cell r="AC1284">
            <v>7400</v>
          </cell>
          <cell r="AD1284">
            <v>5913.6399999999985</v>
          </cell>
          <cell r="AE1284">
            <v>1486.3600000000015</v>
          </cell>
          <cell r="AN1284" t="str">
            <v xml:space="preserve">Contrato emergencial nº </v>
          </cell>
          <cell r="AO1284" t="str">
            <v>CL</v>
          </cell>
        </row>
        <row r="1285">
          <cell r="D1285" t="str">
            <v>2336/11</v>
          </cell>
          <cell r="E1285" t="str">
            <v>26/09/2011</v>
          </cell>
          <cell r="F1285">
            <v>40991</v>
          </cell>
          <cell r="G1285">
            <v>40877</v>
          </cell>
          <cell r="H1285" t="str">
            <v>2011-0.227.358-5</v>
          </cell>
          <cell r="I1285">
            <v>44324.52</v>
          </cell>
          <cell r="J1285" t="str">
            <v xml:space="preserve">              123611122                  2848                    33903600</v>
          </cell>
          <cell r="K1285" t="str">
            <v>26/09/2011</v>
          </cell>
          <cell r="L1285">
            <v>66</v>
          </cell>
          <cell r="M1285">
            <v>16300</v>
          </cell>
          <cell r="N1285">
            <v>57278</v>
          </cell>
          <cell r="O1285">
            <v>31251</v>
          </cell>
          <cell r="P1285">
            <v>16</v>
          </cell>
          <cell r="Q1285">
            <v>3</v>
          </cell>
          <cell r="T1285">
            <v>1045.5266666666701</v>
          </cell>
          <cell r="U1285">
            <v>0</v>
          </cell>
          <cell r="V1285">
            <v>7400</v>
          </cell>
          <cell r="W1285">
            <v>180</v>
          </cell>
          <cell r="X1285">
            <v>5920</v>
          </cell>
          <cell r="Y1285">
            <v>105024</v>
          </cell>
          <cell r="Z1285">
            <v>9238.81</v>
          </cell>
          <cell r="AA1285">
            <v>4081.1900000000005</v>
          </cell>
          <cell r="AB1285">
            <v>246.2473333333333</v>
          </cell>
          <cell r="AC1285">
            <v>7400</v>
          </cell>
          <cell r="AD1285">
            <v>5837.1540000000005</v>
          </cell>
          <cell r="AE1285">
            <v>1562.8459999999995</v>
          </cell>
          <cell r="AN1285" t="str">
            <v xml:space="preserve">Contrato emergencial nº </v>
          </cell>
          <cell r="AO1285" t="str">
            <v>CS</v>
          </cell>
        </row>
        <row r="1286">
          <cell r="D1286" t="str">
            <v>2337/11</v>
          </cell>
          <cell r="E1286" t="str">
            <v>26/09/2011</v>
          </cell>
          <cell r="F1286">
            <v>40991</v>
          </cell>
          <cell r="G1286">
            <v>40877</v>
          </cell>
          <cell r="H1286" t="str">
            <v>2011-0.227.361-5</v>
          </cell>
          <cell r="I1286">
            <v>44324.52</v>
          </cell>
          <cell r="J1286" t="str">
            <v xml:space="preserve">              123611122                  2848                    33903600</v>
          </cell>
          <cell r="K1286" t="str">
            <v>26/09/2011</v>
          </cell>
          <cell r="L1286">
            <v>66</v>
          </cell>
          <cell r="M1286">
            <v>16300</v>
          </cell>
          <cell r="N1286">
            <v>57278</v>
          </cell>
          <cell r="O1286">
            <v>31253</v>
          </cell>
          <cell r="P1286">
            <v>16</v>
          </cell>
          <cell r="Q1286">
            <v>3</v>
          </cell>
          <cell r="T1286">
            <v>1300</v>
          </cell>
          <cell r="U1286">
            <v>6747.36</v>
          </cell>
          <cell r="V1286">
            <v>7400</v>
          </cell>
          <cell r="W1286">
            <v>180</v>
          </cell>
          <cell r="X1286">
            <v>5920</v>
          </cell>
          <cell r="Y1286">
            <v>105028</v>
          </cell>
          <cell r="Z1286">
            <v>8361.16</v>
          </cell>
          <cell r="AA1286">
            <v>11706.2</v>
          </cell>
          <cell r="AB1286">
            <v>246.2473333333333</v>
          </cell>
          <cell r="AC1286">
            <v>7400</v>
          </cell>
          <cell r="AD1286">
            <v>6884.36</v>
          </cell>
          <cell r="AE1286">
            <v>515.64000000000033</v>
          </cell>
          <cell r="AN1286" t="str">
            <v xml:space="preserve">Contrato emergencial nº </v>
          </cell>
          <cell r="AO1286" t="str">
            <v>CS</v>
          </cell>
        </row>
        <row r="1287">
          <cell r="D1287" t="str">
            <v>2338/11</v>
          </cell>
          <cell r="E1287" t="str">
            <v>26/09/2011</v>
          </cell>
          <cell r="F1287">
            <v>40991</v>
          </cell>
          <cell r="G1287">
            <v>40877</v>
          </cell>
          <cell r="H1287" t="str">
            <v>2011-0.227.366-6</v>
          </cell>
          <cell r="I1287">
            <v>44978.400000000001</v>
          </cell>
          <cell r="J1287" t="str">
            <v xml:space="preserve">              123611122                  2848                    33903600</v>
          </cell>
          <cell r="K1287" t="str">
            <v>26/09/2011</v>
          </cell>
          <cell r="L1287">
            <v>66</v>
          </cell>
          <cell r="M1287">
            <v>16500</v>
          </cell>
          <cell r="N1287">
            <v>57278</v>
          </cell>
          <cell r="O1287">
            <v>31255</v>
          </cell>
          <cell r="P1287">
            <v>16</v>
          </cell>
          <cell r="Q1287">
            <v>3</v>
          </cell>
          <cell r="T1287">
            <v>1218.3900000000001</v>
          </cell>
          <cell r="U1287">
            <v>0</v>
          </cell>
          <cell r="V1287">
            <v>7500</v>
          </cell>
          <cell r="W1287">
            <v>180</v>
          </cell>
          <cell r="X1287">
            <v>6000</v>
          </cell>
          <cell r="Y1287">
            <v>105029</v>
          </cell>
          <cell r="Z1287">
            <v>8353.77</v>
          </cell>
          <cell r="AA1287">
            <v>5146.2299999999996</v>
          </cell>
          <cell r="AB1287">
            <v>249.88</v>
          </cell>
          <cell r="AC1287">
            <v>7500</v>
          </cell>
          <cell r="AD1287">
            <v>7042.59</v>
          </cell>
          <cell r="AE1287">
            <v>457.40999999999985</v>
          </cell>
          <cell r="AN1287" t="str">
            <v xml:space="preserve">Contrato emergencial nº </v>
          </cell>
          <cell r="AO1287" t="str">
            <v>CS</v>
          </cell>
        </row>
        <row r="1288">
          <cell r="D1288" t="str">
            <v>2340/11</v>
          </cell>
          <cell r="E1288" t="str">
            <v>26/09/2011</v>
          </cell>
          <cell r="F1288">
            <v>40991</v>
          </cell>
          <cell r="G1288">
            <v>40877</v>
          </cell>
          <cell r="H1288" t="str">
            <v>2011-0.227.378-0</v>
          </cell>
          <cell r="I1288">
            <v>44324.52</v>
          </cell>
          <cell r="J1288" t="str">
            <v xml:space="preserve">              123611122                  2848                    33903600</v>
          </cell>
          <cell r="K1288" t="str">
            <v>26/09/2011</v>
          </cell>
          <cell r="L1288">
            <v>66</v>
          </cell>
          <cell r="M1288">
            <v>16300</v>
          </cell>
          <cell r="N1288">
            <v>57278</v>
          </cell>
          <cell r="O1288">
            <v>31257</v>
          </cell>
          <cell r="P1288">
            <v>16</v>
          </cell>
          <cell r="Q1288">
            <v>3</v>
          </cell>
          <cell r="T1288">
            <v>1300</v>
          </cell>
          <cell r="U1288">
            <v>0</v>
          </cell>
          <cell r="V1288">
            <v>7400</v>
          </cell>
          <cell r="W1288">
            <v>180</v>
          </cell>
          <cell r="X1288">
            <v>5920</v>
          </cell>
          <cell r="Y1288">
            <v>105746</v>
          </cell>
          <cell r="Z1288">
            <v>9229.42</v>
          </cell>
          <cell r="AA1288">
            <v>4090.58</v>
          </cell>
          <cell r="AB1288">
            <v>246.2473333333333</v>
          </cell>
          <cell r="AC1288">
            <v>7400</v>
          </cell>
          <cell r="AD1288">
            <v>5901.67</v>
          </cell>
          <cell r="AE1288">
            <v>1498.33</v>
          </cell>
          <cell r="AN1288" t="str">
            <v xml:space="preserve">Contrato emergencial nº </v>
          </cell>
          <cell r="AO1288" t="str">
            <v>IQ</v>
          </cell>
        </row>
        <row r="1289">
          <cell r="D1289" t="str">
            <v>2342/11</v>
          </cell>
          <cell r="E1289" t="str">
            <v>26/09/2011</v>
          </cell>
          <cell r="F1289">
            <v>40991</v>
          </cell>
          <cell r="G1289">
            <v>40877</v>
          </cell>
          <cell r="H1289" t="str">
            <v>2011-0.227.397-6</v>
          </cell>
          <cell r="I1289">
            <v>44324.52</v>
          </cell>
          <cell r="J1289" t="str">
            <v xml:space="preserve">              123611122                  2848                    33903600</v>
          </cell>
          <cell r="K1289" t="str">
            <v>26/09/2011</v>
          </cell>
          <cell r="L1289">
            <v>66</v>
          </cell>
          <cell r="M1289">
            <v>16300</v>
          </cell>
          <cell r="N1289">
            <v>57278</v>
          </cell>
          <cell r="O1289">
            <v>31261</v>
          </cell>
          <cell r="P1289">
            <v>16</v>
          </cell>
          <cell r="Q1289">
            <v>3</v>
          </cell>
          <cell r="T1289">
            <v>1300</v>
          </cell>
          <cell r="U1289">
            <v>0</v>
          </cell>
          <cell r="V1289">
            <v>7400</v>
          </cell>
          <cell r="W1289">
            <v>180</v>
          </cell>
          <cell r="X1289">
            <v>5920</v>
          </cell>
          <cell r="Y1289">
            <v>104950</v>
          </cell>
          <cell r="Z1289">
            <v>8959.1299999999992</v>
          </cell>
          <cell r="AA1289">
            <v>4360.8700000000008</v>
          </cell>
          <cell r="AB1289">
            <v>246.2473333333333</v>
          </cell>
          <cell r="AC1289">
            <v>7400</v>
          </cell>
          <cell r="AD1289">
            <v>6353.09</v>
          </cell>
          <cell r="AE1289">
            <v>1046.9099999999999</v>
          </cell>
          <cell r="AN1289" t="str">
            <v xml:space="preserve">Contrato emergencial nº </v>
          </cell>
          <cell r="AO1289" t="str">
            <v>PJ</v>
          </cell>
        </row>
        <row r="1290">
          <cell r="D1290" t="str">
            <v>2343/11</v>
          </cell>
          <cell r="E1290" t="str">
            <v>26/09/2011</v>
          </cell>
          <cell r="F1290">
            <v>40991</v>
          </cell>
          <cell r="G1290">
            <v>40877</v>
          </cell>
          <cell r="H1290" t="str">
            <v>2011-0.227.401-8</v>
          </cell>
          <cell r="I1290">
            <v>44324.52</v>
          </cell>
          <cell r="J1290" t="str">
            <v xml:space="preserve">              123611122                  2848                    33903600</v>
          </cell>
          <cell r="K1290" t="str">
            <v>26/09/2011</v>
          </cell>
          <cell r="L1290">
            <v>66</v>
          </cell>
          <cell r="M1290">
            <v>16300</v>
          </cell>
          <cell r="N1290">
            <v>57278</v>
          </cell>
          <cell r="O1290">
            <v>31264</v>
          </cell>
          <cell r="P1290">
            <v>16</v>
          </cell>
          <cell r="Q1290">
            <v>3</v>
          </cell>
          <cell r="T1290">
            <v>1183.1500000000001</v>
          </cell>
          <cell r="U1290">
            <v>0</v>
          </cell>
          <cell r="V1290">
            <v>7400</v>
          </cell>
          <cell r="W1290">
            <v>180</v>
          </cell>
          <cell r="X1290">
            <v>5920</v>
          </cell>
          <cell r="Y1290">
            <v>105031</v>
          </cell>
          <cell r="Z1290">
            <v>8292.9500000000007</v>
          </cell>
          <cell r="AA1290">
            <v>5027.0499999999993</v>
          </cell>
          <cell r="AB1290">
            <v>246.2473333333333</v>
          </cell>
          <cell r="AC1290">
            <v>7400</v>
          </cell>
          <cell r="AD1290">
            <v>6735.5200000000013</v>
          </cell>
          <cell r="AE1290">
            <v>664.47999999999865</v>
          </cell>
          <cell r="AN1290" t="str">
            <v xml:space="preserve">Contrato emergencial nº </v>
          </cell>
          <cell r="AO1290" t="str">
            <v>CS</v>
          </cell>
        </row>
        <row r="1291">
          <cell r="D1291" t="str">
            <v>2345/11</v>
          </cell>
          <cell r="E1291" t="str">
            <v>26/09/2011</v>
          </cell>
          <cell r="F1291">
            <v>40991</v>
          </cell>
          <cell r="G1291">
            <v>40877</v>
          </cell>
          <cell r="H1291" t="str">
            <v>2011-0.227.426-3</v>
          </cell>
          <cell r="I1291">
            <v>38261.760000000002</v>
          </cell>
          <cell r="J1291" t="str">
            <v xml:space="preserve">              123611122                  2848                    33903600</v>
          </cell>
          <cell r="K1291" t="str">
            <v>26/09/2011</v>
          </cell>
          <cell r="L1291">
            <v>66</v>
          </cell>
          <cell r="M1291">
            <v>14100</v>
          </cell>
          <cell r="N1291">
            <v>57278</v>
          </cell>
          <cell r="O1291">
            <v>31266</v>
          </cell>
          <cell r="P1291">
            <v>16</v>
          </cell>
          <cell r="Q1291">
            <v>3</v>
          </cell>
          <cell r="T1291">
            <v>1140.07666666667</v>
          </cell>
          <cell r="U1291">
            <v>0</v>
          </cell>
          <cell r="V1291">
            <v>6600</v>
          </cell>
          <cell r="W1291">
            <v>180</v>
          </cell>
          <cell r="X1291">
            <v>5280</v>
          </cell>
          <cell r="Y1291">
            <v>105615</v>
          </cell>
          <cell r="Z1291">
            <v>6526.96</v>
          </cell>
          <cell r="AA1291">
            <v>5353.04</v>
          </cell>
          <cell r="AB1291">
            <v>212.56533333333334</v>
          </cell>
          <cell r="AC1291">
            <v>6400</v>
          </cell>
          <cell r="AD1291">
            <v>6514.4599999999991</v>
          </cell>
          <cell r="AE1291">
            <v>-114.45999999999913</v>
          </cell>
          <cell r="AN1291" t="str">
            <v xml:space="preserve">Contrato emergencial nº </v>
          </cell>
          <cell r="AO1291" t="str">
            <v>SM</v>
          </cell>
        </row>
        <row r="1292">
          <cell r="D1292" t="str">
            <v>2346/11</v>
          </cell>
          <cell r="E1292" t="str">
            <v>26/09/2011</v>
          </cell>
          <cell r="F1292">
            <v>40991</v>
          </cell>
          <cell r="G1292">
            <v>40877</v>
          </cell>
          <cell r="H1292" t="str">
            <v>2011-0.227.437-9</v>
          </cell>
          <cell r="I1292">
            <v>44324.52</v>
          </cell>
          <cell r="J1292" t="str">
            <v xml:space="preserve">              123611122                  2848                    33903600</v>
          </cell>
          <cell r="K1292" t="str">
            <v>26/09/2011</v>
          </cell>
          <cell r="L1292">
            <v>66</v>
          </cell>
          <cell r="M1292">
            <v>16300</v>
          </cell>
          <cell r="N1292">
            <v>57278</v>
          </cell>
          <cell r="O1292">
            <v>31268</v>
          </cell>
          <cell r="P1292">
            <v>16</v>
          </cell>
          <cell r="Q1292">
            <v>3</v>
          </cell>
          <cell r="T1292">
            <v>1300</v>
          </cell>
          <cell r="U1292">
            <v>0</v>
          </cell>
          <cell r="V1292">
            <v>7400</v>
          </cell>
          <cell r="W1292">
            <v>180</v>
          </cell>
          <cell r="X1292">
            <v>5920</v>
          </cell>
          <cell r="Y1292">
            <v>105749</v>
          </cell>
          <cell r="Z1292">
            <v>9823.42</v>
          </cell>
          <cell r="AA1292">
            <v>3496.58</v>
          </cell>
          <cell r="AB1292">
            <v>246.2473333333333</v>
          </cell>
          <cell r="AC1292">
            <v>7400</v>
          </cell>
          <cell r="AD1292">
            <v>5560</v>
          </cell>
          <cell r="AE1292">
            <v>1840</v>
          </cell>
          <cell r="AN1292" t="str">
            <v xml:space="preserve">Contrato emergencial nº </v>
          </cell>
          <cell r="AO1292" t="str">
            <v>IQ</v>
          </cell>
        </row>
        <row r="1293">
          <cell r="D1293" t="str">
            <v>2348/11</v>
          </cell>
          <cell r="E1293" t="str">
            <v>26/09/2011</v>
          </cell>
          <cell r="F1293">
            <v>40991</v>
          </cell>
          <cell r="G1293">
            <v>40877</v>
          </cell>
          <cell r="H1293" t="str">
            <v>2011-0.227.469-7</v>
          </cell>
          <cell r="I1293">
            <v>44324.52</v>
          </cell>
          <cell r="J1293" t="str">
            <v xml:space="preserve">              123611122                  2848                    33903600</v>
          </cell>
          <cell r="K1293" t="str">
            <v>26/09/2011</v>
          </cell>
          <cell r="L1293">
            <v>66</v>
          </cell>
          <cell r="M1293">
            <v>16300</v>
          </cell>
          <cell r="N1293">
            <v>57278</v>
          </cell>
          <cell r="O1293">
            <v>31271</v>
          </cell>
          <cell r="P1293">
            <v>16</v>
          </cell>
          <cell r="Q1293">
            <v>3</v>
          </cell>
          <cell r="T1293">
            <v>1114.2266666666701</v>
          </cell>
          <cell r="U1293">
            <v>0</v>
          </cell>
          <cell r="V1293">
            <v>7400</v>
          </cell>
          <cell r="W1293">
            <v>180</v>
          </cell>
          <cell r="X1293">
            <v>5920</v>
          </cell>
          <cell r="Y1293">
            <v>104930</v>
          </cell>
          <cell r="Z1293">
            <v>15185.77</v>
          </cell>
          <cell r="AA1293">
            <v>-1865.7700000000004</v>
          </cell>
          <cell r="AB1293">
            <v>246.2473333333333</v>
          </cell>
          <cell r="AC1293">
            <v>7400</v>
          </cell>
          <cell r="AD1293">
            <v>6541.16</v>
          </cell>
          <cell r="AE1293">
            <v>858.84000000000015</v>
          </cell>
          <cell r="AN1293" t="str">
            <v xml:space="preserve">Contrato emergencial nº </v>
          </cell>
          <cell r="AO1293" t="str">
            <v>CL</v>
          </cell>
        </row>
        <row r="1294">
          <cell r="D1294" t="str">
            <v>2349/11</v>
          </cell>
          <cell r="E1294" t="str">
            <v>26/09/2011</v>
          </cell>
          <cell r="F1294">
            <v>40991</v>
          </cell>
          <cell r="G1294">
            <v>40877</v>
          </cell>
          <cell r="H1294" t="str">
            <v>2011-0.227.472-7</v>
          </cell>
          <cell r="I1294">
            <v>37607.879999999997</v>
          </cell>
          <cell r="J1294" t="str">
            <v xml:space="preserve">              123611122                  2848                    33903600</v>
          </cell>
          <cell r="K1294" t="str">
            <v>26/09/2011</v>
          </cell>
          <cell r="L1294">
            <v>66</v>
          </cell>
          <cell r="M1294">
            <v>13800</v>
          </cell>
          <cell r="N1294">
            <v>57278</v>
          </cell>
          <cell r="O1294">
            <v>31273</v>
          </cell>
          <cell r="P1294">
            <v>16</v>
          </cell>
          <cell r="Q1294">
            <v>3</v>
          </cell>
          <cell r="T1294">
            <v>861.39333333333298</v>
          </cell>
          <cell r="U1294">
            <v>0</v>
          </cell>
          <cell r="V1294">
            <v>6300</v>
          </cell>
          <cell r="W1294">
            <v>180</v>
          </cell>
          <cell r="X1294">
            <v>5040</v>
          </cell>
          <cell r="Y1294">
            <v>104937</v>
          </cell>
          <cell r="Z1294">
            <v>12938.61</v>
          </cell>
          <cell r="AA1294">
            <v>-1598.6100000000006</v>
          </cell>
          <cell r="AB1294">
            <v>208.93266666666665</v>
          </cell>
          <cell r="AC1294">
            <v>6300</v>
          </cell>
          <cell r="AD1294">
            <v>2481.9300000000003</v>
          </cell>
          <cell r="AE1294">
            <v>3818.0699999999997</v>
          </cell>
          <cell r="AN1294" t="str">
            <v xml:space="preserve">Contrato emergencial nº </v>
          </cell>
          <cell r="AO1294" t="str">
            <v>CL</v>
          </cell>
        </row>
        <row r="1295">
          <cell r="D1295" t="str">
            <v>2351/11</v>
          </cell>
          <cell r="E1295" t="str">
            <v>26/09/2011</v>
          </cell>
          <cell r="F1295">
            <v>40991</v>
          </cell>
          <cell r="G1295">
            <v>40877</v>
          </cell>
          <cell r="H1295" t="str">
            <v>2011-0.227.526-0</v>
          </cell>
          <cell r="I1295">
            <v>44324.52</v>
          </cell>
          <cell r="J1295" t="str">
            <v xml:space="preserve">              123611122                  2848                    33903600</v>
          </cell>
          <cell r="K1295" t="str">
            <v>26/09/2011</v>
          </cell>
          <cell r="L1295">
            <v>66</v>
          </cell>
          <cell r="M1295">
            <v>16300</v>
          </cell>
          <cell r="N1295">
            <v>57278</v>
          </cell>
          <cell r="O1295">
            <v>31276</v>
          </cell>
          <cell r="P1295">
            <v>16</v>
          </cell>
          <cell r="Q1295">
            <v>3</v>
          </cell>
          <cell r="T1295">
            <v>1029.2766666666701</v>
          </cell>
          <cell r="U1295">
            <v>0</v>
          </cell>
          <cell r="V1295">
            <v>7400</v>
          </cell>
          <cell r="W1295">
            <v>180</v>
          </cell>
          <cell r="X1295">
            <v>5920</v>
          </cell>
          <cell r="Y1295">
            <v>105034</v>
          </cell>
          <cell r="Z1295">
            <v>9263.18</v>
          </cell>
          <cell r="AA1295">
            <v>4056.8199999999997</v>
          </cell>
          <cell r="AB1295">
            <v>246.2473333333333</v>
          </cell>
          <cell r="AC1295">
            <v>7400</v>
          </cell>
          <cell r="AD1295">
            <v>6018.16</v>
          </cell>
          <cell r="AE1295">
            <v>1381.8400000000001</v>
          </cell>
          <cell r="AN1295" t="str">
            <v xml:space="preserve">Contrato emergencial nº </v>
          </cell>
          <cell r="AO1295" t="str">
            <v>CS</v>
          </cell>
        </row>
        <row r="1296">
          <cell r="D1296" t="str">
            <v>2352/11</v>
          </cell>
          <cell r="E1296" t="str">
            <v>26/09/2011</v>
          </cell>
          <cell r="F1296">
            <v>40991</v>
          </cell>
          <cell r="G1296">
            <v>40877</v>
          </cell>
          <cell r="H1296" t="str">
            <v>2011-0.227.532-4</v>
          </cell>
          <cell r="I1296">
            <v>44978.400000000001</v>
          </cell>
          <cell r="J1296" t="str">
            <v xml:space="preserve">              123611122                  2848                    33903600</v>
          </cell>
          <cell r="K1296" t="str">
            <v>26/09/2011</v>
          </cell>
          <cell r="L1296">
            <v>66</v>
          </cell>
          <cell r="M1296">
            <v>16500</v>
          </cell>
          <cell r="N1296">
            <v>57278</v>
          </cell>
          <cell r="O1296">
            <v>31279</v>
          </cell>
          <cell r="P1296">
            <v>16</v>
          </cell>
          <cell r="Q1296">
            <v>3</v>
          </cell>
          <cell r="T1296">
            <v>1300</v>
          </cell>
          <cell r="U1296">
            <v>0</v>
          </cell>
          <cell r="V1296">
            <v>7500</v>
          </cell>
          <cell r="W1296">
            <v>180</v>
          </cell>
          <cell r="X1296">
            <v>6000</v>
          </cell>
          <cell r="Y1296">
            <v>105482</v>
          </cell>
          <cell r="Z1296">
            <v>8058.39</v>
          </cell>
          <cell r="AA1296">
            <v>5441.61</v>
          </cell>
          <cell r="AB1296">
            <v>249.88</v>
          </cell>
          <cell r="AC1296">
            <v>7500</v>
          </cell>
          <cell r="AD1296">
            <v>7166.86</v>
          </cell>
          <cell r="AE1296">
            <v>333.14000000000033</v>
          </cell>
          <cell r="AN1296" t="str">
            <v xml:space="preserve">Contrato emergencial nº </v>
          </cell>
          <cell r="AO1296" t="str">
            <v>G</v>
          </cell>
        </row>
        <row r="1297">
          <cell r="D1297" t="str">
            <v>2353/11</v>
          </cell>
          <cell r="E1297" t="str">
            <v>26/09/2011</v>
          </cell>
          <cell r="F1297">
            <v>40991</v>
          </cell>
          <cell r="G1297">
            <v>40877</v>
          </cell>
          <cell r="H1297" t="str">
            <v>2011-0.227.589-8</v>
          </cell>
          <cell r="I1297">
            <v>44324.52</v>
          </cell>
          <cell r="J1297" t="str">
            <v xml:space="preserve">              123611122                  2848                    33903600</v>
          </cell>
          <cell r="K1297" t="str">
            <v>26/09/2011</v>
          </cell>
          <cell r="L1297">
            <v>66</v>
          </cell>
          <cell r="M1297">
            <v>16300</v>
          </cell>
          <cell r="N1297">
            <v>57278</v>
          </cell>
          <cell r="O1297">
            <v>31282</v>
          </cell>
          <cell r="P1297">
            <v>16</v>
          </cell>
          <cell r="Q1297">
            <v>3</v>
          </cell>
          <cell r="T1297">
            <v>1300</v>
          </cell>
          <cell r="U1297">
            <v>0</v>
          </cell>
          <cell r="V1297">
            <v>7400</v>
          </cell>
          <cell r="W1297">
            <v>180</v>
          </cell>
          <cell r="X1297">
            <v>5920</v>
          </cell>
          <cell r="Y1297">
            <v>105056</v>
          </cell>
          <cell r="Z1297">
            <v>8242.6</v>
          </cell>
          <cell r="AA1297">
            <v>5077.3999999999996</v>
          </cell>
          <cell r="AB1297">
            <v>246.2473333333333</v>
          </cell>
          <cell r="AC1297">
            <v>7400</v>
          </cell>
          <cell r="AD1297">
            <v>7024.42</v>
          </cell>
          <cell r="AE1297">
            <v>375.57999999999993</v>
          </cell>
          <cell r="AN1297" t="str">
            <v xml:space="preserve">Contrato emergencial nº </v>
          </cell>
          <cell r="AO1297" t="str">
            <v>PJ</v>
          </cell>
        </row>
        <row r="1298">
          <cell r="D1298" t="str">
            <v>2354/11</v>
          </cell>
          <cell r="E1298" t="str">
            <v>26/09/2011</v>
          </cell>
          <cell r="F1298">
            <v>40991</v>
          </cell>
          <cell r="G1298">
            <v>40877</v>
          </cell>
          <cell r="H1298" t="str">
            <v>2011-0.227.596-0</v>
          </cell>
          <cell r="I1298">
            <v>38261.760000000002</v>
          </cell>
          <cell r="J1298" t="str">
            <v xml:space="preserve">              123611122                  2848                    33903600</v>
          </cell>
          <cell r="K1298" t="str">
            <v>26/09/2011</v>
          </cell>
          <cell r="L1298">
            <v>66</v>
          </cell>
          <cell r="M1298">
            <v>14100</v>
          </cell>
          <cell r="N1298">
            <v>57278</v>
          </cell>
          <cell r="O1298">
            <v>31287</v>
          </cell>
          <cell r="P1298">
            <v>16</v>
          </cell>
          <cell r="Q1298">
            <v>3</v>
          </cell>
          <cell r="T1298">
            <v>1100</v>
          </cell>
          <cell r="U1298">
            <v>0</v>
          </cell>
          <cell r="V1298">
            <v>6600</v>
          </cell>
          <cell r="W1298">
            <v>180</v>
          </cell>
          <cell r="X1298">
            <v>5280</v>
          </cell>
          <cell r="Y1298">
            <v>105753</v>
          </cell>
          <cell r="Z1298">
            <v>6529.46</v>
          </cell>
          <cell r="AA1298">
            <v>5350.54</v>
          </cell>
          <cell r="AB1298">
            <v>212.56533333333334</v>
          </cell>
          <cell r="AC1298">
            <v>6400</v>
          </cell>
          <cell r="AD1298">
            <v>6512.2600000000011</v>
          </cell>
          <cell r="AE1298">
            <v>-112.26000000000113</v>
          </cell>
          <cell r="AN1298" t="str">
            <v xml:space="preserve">Contrato emergencial nº </v>
          </cell>
          <cell r="AO1298" t="str">
            <v>IQ</v>
          </cell>
        </row>
        <row r="1299">
          <cell r="D1299" t="str">
            <v>2355/11</v>
          </cell>
          <cell r="E1299" t="str">
            <v>26/09/2011</v>
          </cell>
          <cell r="F1299">
            <v>40991</v>
          </cell>
          <cell r="G1299">
            <v>40877</v>
          </cell>
          <cell r="H1299" t="str">
            <v>2011-0.227.600-2</v>
          </cell>
          <cell r="I1299">
            <v>31418.52</v>
          </cell>
          <cell r="J1299" t="str">
            <v xml:space="preserve">              123611122                  2848                    33903600</v>
          </cell>
          <cell r="K1299" t="str">
            <v>26/09/2011</v>
          </cell>
          <cell r="L1299">
            <v>66</v>
          </cell>
          <cell r="M1299">
            <v>11600</v>
          </cell>
          <cell r="N1299">
            <v>57278</v>
          </cell>
          <cell r="O1299">
            <v>31290</v>
          </cell>
          <cell r="P1299">
            <v>16</v>
          </cell>
          <cell r="Q1299">
            <v>3</v>
          </cell>
          <cell r="T1299">
            <v>914.88333333333298</v>
          </cell>
          <cell r="U1299">
            <v>0</v>
          </cell>
          <cell r="V1299">
            <v>5300</v>
          </cell>
          <cell r="W1299">
            <v>180</v>
          </cell>
          <cell r="X1299">
            <v>4240</v>
          </cell>
          <cell r="Y1299">
            <v>105036</v>
          </cell>
          <cell r="Z1299">
            <v>5492.8200000000006</v>
          </cell>
          <cell r="AA1299">
            <v>4047.1799999999994</v>
          </cell>
          <cell r="AB1299">
            <v>174.54733333333334</v>
          </cell>
          <cell r="AC1299">
            <v>5300</v>
          </cell>
          <cell r="AD1299">
            <v>5273.3</v>
          </cell>
          <cell r="AE1299">
            <v>26.699999999999818</v>
          </cell>
          <cell r="AN1299" t="str">
            <v xml:space="preserve">Contrato emergencial nº </v>
          </cell>
          <cell r="AO1299" t="str">
            <v>CS</v>
          </cell>
        </row>
        <row r="1300">
          <cell r="D1300" t="str">
            <v>2356/11</v>
          </cell>
          <cell r="E1300" t="str">
            <v>26/09/2011</v>
          </cell>
          <cell r="F1300">
            <v>40991</v>
          </cell>
          <cell r="G1300">
            <v>40877</v>
          </cell>
          <cell r="H1300" t="str">
            <v>2011-0.227.609-6</v>
          </cell>
          <cell r="I1300">
            <v>44324.52</v>
          </cell>
          <cell r="J1300" t="str">
            <v xml:space="preserve">              123651121                 2847                    33903600</v>
          </cell>
          <cell r="K1300" t="str">
            <v>26/09/2011</v>
          </cell>
          <cell r="L1300">
            <v>66</v>
          </cell>
          <cell r="M1300">
            <v>16300</v>
          </cell>
          <cell r="N1300">
            <v>57273</v>
          </cell>
          <cell r="O1300">
            <v>31293</v>
          </cell>
          <cell r="P1300">
            <v>16</v>
          </cell>
          <cell r="Q1300">
            <v>2</v>
          </cell>
          <cell r="T1300">
            <v>1300</v>
          </cell>
          <cell r="U1300">
            <v>0</v>
          </cell>
          <cell r="V1300">
            <v>7400</v>
          </cell>
          <cell r="W1300">
            <v>180</v>
          </cell>
          <cell r="X1300">
            <v>5920</v>
          </cell>
          <cell r="Y1300">
            <v>105399</v>
          </cell>
          <cell r="Z1300">
            <v>1248.7399999999998</v>
          </cell>
          <cell r="AA1300">
            <v>12071.26</v>
          </cell>
          <cell r="AB1300">
            <v>246.2473333333333</v>
          </cell>
          <cell r="AC1300">
            <v>7400</v>
          </cell>
          <cell r="AD1300">
            <v>6485.665</v>
          </cell>
          <cell r="AE1300">
            <v>914.33500000000004</v>
          </cell>
          <cell r="AN1300" t="str">
            <v xml:space="preserve">Contrato emergencial nº </v>
          </cell>
          <cell r="AO1300" t="str">
            <v>FO</v>
          </cell>
        </row>
        <row r="1301">
          <cell r="D1301" t="str">
            <v>2357/11</v>
          </cell>
          <cell r="E1301" t="str">
            <v>26/09/2011</v>
          </cell>
          <cell r="F1301">
            <v>40991</v>
          </cell>
          <cell r="G1301">
            <v>40877</v>
          </cell>
          <cell r="H1301" t="str">
            <v>2011-0.227.612-6</v>
          </cell>
          <cell r="I1301">
            <v>40877.160000000003</v>
          </cell>
          <cell r="J1301" t="str">
            <v xml:space="preserve">              123651121                 2847                    33903600</v>
          </cell>
          <cell r="K1301" t="str">
            <v>26/09/2011</v>
          </cell>
          <cell r="L1301">
            <v>66</v>
          </cell>
          <cell r="M1301">
            <v>15000</v>
          </cell>
          <cell r="N1301">
            <v>57273</v>
          </cell>
          <cell r="O1301">
            <v>31298</v>
          </cell>
          <cell r="P1301">
            <v>16</v>
          </cell>
          <cell r="Q1301">
            <v>2</v>
          </cell>
          <cell r="T1301">
            <v>1200</v>
          </cell>
          <cell r="U1301">
            <v>0</v>
          </cell>
          <cell r="V1301">
            <v>6900</v>
          </cell>
          <cell r="W1301">
            <v>180</v>
          </cell>
          <cell r="X1301">
            <v>5520</v>
          </cell>
          <cell r="Y1301">
            <v>105486</v>
          </cell>
          <cell r="Z1301">
            <v>6922.16</v>
          </cell>
          <cell r="AA1301">
            <v>5497.84</v>
          </cell>
          <cell r="AB1301">
            <v>227.09533333333334</v>
          </cell>
          <cell r="AC1301">
            <v>6900</v>
          </cell>
          <cell r="AD1301">
            <v>6895.3600000000006</v>
          </cell>
          <cell r="AE1301">
            <v>4.6399999999994179</v>
          </cell>
          <cell r="AN1301" t="str">
            <v xml:space="preserve">Contrato emergencial nº </v>
          </cell>
          <cell r="AO1301" t="str">
            <v>G</v>
          </cell>
        </row>
        <row r="1302">
          <cell r="D1302" t="str">
            <v>2358/11</v>
          </cell>
          <cell r="E1302" t="str">
            <v>26/09/2011</v>
          </cell>
          <cell r="F1302">
            <v>40991</v>
          </cell>
          <cell r="G1302">
            <v>40877</v>
          </cell>
          <cell r="H1302" t="str">
            <v>2011-0.227.619-3</v>
          </cell>
          <cell r="I1302">
            <v>40877.160000000003</v>
          </cell>
          <cell r="J1302" t="str">
            <v xml:space="preserve">              123651121                 2847                    33903600</v>
          </cell>
          <cell r="K1302" t="str">
            <v>26/09/2011</v>
          </cell>
          <cell r="L1302">
            <v>66</v>
          </cell>
          <cell r="M1302">
            <v>15000</v>
          </cell>
          <cell r="N1302">
            <v>57273</v>
          </cell>
          <cell r="O1302">
            <v>31300</v>
          </cell>
          <cell r="P1302">
            <v>16</v>
          </cell>
          <cell r="Q1302">
            <v>2</v>
          </cell>
          <cell r="T1302">
            <v>1200</v>
          </cell>
          <cell r="U1302">
            <v>0</v>
          </cell>
          <cell r="V1302">
            <v>7100</v>
          </cell>
          <cell r="W1302">
            <v>180</v>
          </cell>
          <cell r="X1302">
            <v>5680</v>
          </cell>
          <cell r="Y1302">
            <v>104868</v>
          </cell>
          <cell r="Z1302">
            <v>6918.13</v>
          </cell>
          <cell r="AA1302">
            <v>5861.87</v>
          </cell>
          <cell r="AB1302">
            <v>227.09533333333334</v>
          </cell>
          <cell r="AC1302">
            <v>6900</v>
          </cell>
          <cell r="AD1302">
            <v>7021.3099999999995</v>
          </cell>
          <cell r="AE1302">
            <v>-121.30999999999949</v>
          </cell>
          <cell r="AN1302" t="str">
            <v xml:space="preserve">Contrato emergencial nº </v>
          </cell>
          <cell r="AO1302" t="str">
            <v>PJ</v>
          </cell>
        </row>
        <row r="1303">
          <cell r="D1303" t="str">
            <v>2359/11</v>
          </cell>
          <cell r="E1303" t="str">
            <v>26/09/2011</v>
          </cell>
          <cell r="F1303">
            <v>40991</v>
          </cell>
          <cell r="G1303">
            <v>40877</v>
          </cell>
          <cell r="H1303" t="str">
            <v>2011-0.227.632-0</v>
          </cell>
          <cell r="I1303">
            <v>40877.160000000003</v>
          </cell>
          <cell r="J1303" t="str">
            <v xml:space="preserve">              123651121                 2847                    33903600</v>
          </cell>
          <cell r="K1303" t="str">
            <v>26/09/2011</v>
          </cell>
          <cell r="L1303">
            <v>66</v>
          </cell>
          <cell r="M1303">
            <v>15000</v>
          </cell>
          <cell r="N1303">
            <v>57273</v>
          </cell>
          <cell r="O1303">
            <v>31302</v>
          </cell>
          <cell r="P1303">
            <v>16</v>
          </cell>
          <cell r="Q1303">
            <v>2</v>
          </cell>
          <cell r="T1303">
            <v>1200</v>
          </cell>
          <cell r="U1303">
            <v>0</v>
          </cell>
          <cell r="V1303">
            <v>6900</v>
          </cell>
          <cell r="W1303">
            <v>180</v>
          </cell>
          <cell r="X1303">
            <v>5520</v>
          </cell>
          <cell r="Y1303">
            <v>105741</v>
          </cell>
          <cell r="Z1303">
            <v>7259.16</v>
          </cell>
          <cell r="AA1303">
            <v>5160.84</v>
          </cell>
          <cell r="AB1303">
            <v>227.09533333333334</v>
          </cell>
          <cell r="AC1303">
            <v>6900</v>
          </cell>
          <cell r="AD1303">
            <v>6779.86</v>
          </cell>
          <cell r="AE1303">
            <v>120.14000000000033</v>
          </cell>
          <cell r="AN1303" t="str">
            <v xml:space="preserve">Contrato emergencial nº </v>
          </cell>
          <cell r="AO1303" t="str">
            <v>PE</v>
          </cell>
        </row>
        <row r="1304">
          <cell r="D1304" t="str">
            <v>2360/11</v>
          </cell>
          <cell r="E1304" t="str">
            <v>26/09/2011</v>
          </cell>
          <cell r="F1304">
            <v>40991</v>
          </cell>
          <cell r="G1304">
            <v>40877</v>
          </cell>
          <cell r="H1304" t="str">
            <v>2011-0.227.634-7</v>
          </cell>
          <cell r="I1304">
            <v>41531.040000000001</v>
          </cell>
          <cell r="J1304" t="str">
            <v xml:space="preserve">              123651121                 2847                    33903600</v>
          </cell>
          <cell r="K1304" t="str">
            <v>26/09/2011</v>
          </cell>
          <cell r="L1304">
            <v>66</v>
          </cell>
          <cell r="M1304">
            <v>15300</v>
          </cell>
          <cell r="N1304">
            <v>57273</v>
          </cell>
          <cell r="O1304">
            <v>31304</v>
          </cell>
          <cell r="P1304">
            <v>16</v>
          </cell>
          <cell r="Q1304">
            <v>2</v>
          </cell>
          <cell r="T1304">
            <v>1200</v>
          </cell>
          <cell r="U1304">
            <v>0</v>
          </cell>
          <cell r="V1304">
            <v>7000</v>
          </cell>
          <cell r="W1304">
            <v>180</v>
          </cell>
          <cell r="X1304">
            <v>5600</v>
          </cell>
          <cell r="Y1304">
            <v>106824</v>
          </cell>
          <cell r="Z1304">
            <v>8270.7800000000007</v>
          </cell>
          <cell r="AA1304">
            <v>4329.2199999999993</v>
          </cell>
          <cell r="AB1304">
            <v>230.72800000000001</v>
          </cell>
          <cell r="AC1304">
            <v>7000</v>
          </cell>
          <cell r="AD1304">
            <v>6190.4849999999997</v>
          </cell>
          <cell r="AE1304">
            <v>809.51500000000033</v>
          </cell>
          <cell r="AN1304" t="str">
            <v xml:space="preserve">Contrato emergencial nº </v>
          </cell>
          <cell r="AO1304" t="str">
            <v>SA</v>
          </cell>
        </row>
        <row r="1305">
          <cell r="D1305" t="str">
            <v>2361/11</v>
          </cell>
          <cell r="E1305" t="str">
            <v>26/09/2011</v>
          </cell>
          <cell r="F1305">
            <v>40991</v>
          </cell>
          <cell r="G1305">
            <v>40877</v>
          </cell>
          <cell r="H1305" t="str">
            <v>2011-0.228.566-4</v>
          </cell>
          <cell r="I1305">
            <v>40877.160000000003</v>
          </cell>
          <cell r="J1305" t="str">
            <v xml:space="preserve">              123651121                 2847                    33903600</v>
          </cell>
          <cell r="K1305" t="str">
            <v>26/09/2011</v>
          </cell>
          <cell r="L1305">
            <v>66</v>
          </cell>
          <cell r="M1305">
            <v>15000</v>
          </cell>
          <cell r="N1305">
            <v>57273</v>
          </cell>
          <cell r="O1305">
            <v>31306</v>
          </cell>
          <cell r="P1305">
            <v>16</v>
          </cell>
          <cell r="Q1305">
            <v>2</v>
          </cell>
          <cell r="T1305">
            <v>1200</v>
          </cell>
          <cell r="U1305">
            <v>0</v>
          </cell>
          <cell r="V1305">
            <v>6900</v>
          </cell>
          <cell r="W1305">
            <v>180</v>
          </cell>
          <cell r="X1305">
            <v>5520</v>
          </cell>
          <cell r="Y1305">
            <v>105499</v>
          </cell>
          <cell r="Z1305">
            <v>6927.06</v>
          </cell>
          <cell r="AA1305">
            <v>5492.94</v>
          </cell>
          <cell r="AB1305">
            <v>227.09533333333334</v>
          </cell>
          <cell r="AC1305">
            <v>6900</v>
          </cell>
          <cell r="AD1305">
            <v>6870.38</v>
          </cell>
          <cell r="AE1305">
            <v>29.619999999999891</v>
          </cell>
          <cell r="AN1305" t="str">
            <v xml:space="preserve">Contrato emergencial nº </v>
          </cell>
          <cell r="AO1305" t="str">
            <v>G</v>
          </cell>
        </row>
        <row r="1306">
          <cell r="D1306" t="str">
            <v>2362/11</v>
          </cell>
          <cell r="E1306" t="str">
            <v>26/09/2011</v>
          </cell>
          <cell r="F1306">
            <v>40991</v>
          </cell>
          <cell r="G1306">
            <v>40877</v>
          </cell>
          <cell r="H1306" t="str">
            <v>2011-0.228.572-9</v>
          </cell>
          <cell r="I1306">
            <v>40877.160000000003</v>
          </cell>
          <cell r="J1306" t="str">
            <v xml:space="preserve">              123651121                 2847                    33903600</v>
          </cell>
          <cell r="K1306" t="str">
            <v>26/09/2011</v>
          </cell>
          <cell r="L1306">
            <v>66</v>
          </cell>
          <cell r="M1306">
            <v>15000</v>
          </cell>
          <cell r="N1306">
            <v>57273</v>
          </cell>
          <cell r="O1306">
            <v>31310</v>
          </cell>
          <cell r="P1306">
            <v>16</v>
          </cell>
          <cell r="Q1306">
            <v>2</v>
          </cell>
          <cell r="T1306">
            <v>1200</v>
          </cell>
          <cell r="U1306">
            <v>0</v>
          </cell>
          <cell r="V1306">
            <v>6900</v>
          </cell>
          <cell r="W1306">
            <v>180</v>
          </cell>
          <cell r="X1306">
            <v>5520</v>
          </cell>
          <cell r="Y1306">
            <v>105196</v>
          </cell>
          <cell r="Z1306">
            <v>8800.82</v>
          </cell>
          <cell r="AA1306">
            <v>3619.1800000000003</v>
          </cell>
          <cell r="AB1306">
            <v>227.09533333333334</v>
          </cell>
          <cell r="AC1306">
            <v>6900</v>
          </cell>
          <cell r="AD1306">
            <v>5319.81</v>
          </cell>
          <cell r="AE1306">
            <v>1580.1899999999996</v>
          </cell>
          <cell r="AN1306" t="str">
            <v xml:space="preserve">Contrato emergencial nº </v>
          </cell>
          <cell r="AO1306" t="str">
            <v>JT</v>
          </cell>
        </row>
        <row r="1307">
          <cell r="D1307" t="str">
            <v>2363/11</v>
          </cell>
          <cell r="E1307" t="str">
            <v>26/09/2011</v>
          </cell>
          <cell r="F1307">
            <v>40991</v>
          </cell>
          <cell r="G1307">
            <v>40877</v>
          </cell>
          <cell r="H1307" t="str">
            <v>2011-0.228.574-5</v>
          </cell>
          <cell r="I1307">
            <v>20868.419999999998</v>
          </cell>
          <cell r="J1307" t="str">
            <v xml:space="preserve">              123651121                 2847                    33903600</v>
          </cell>
          <cell r="K1307" t="str">
            <v>26/09/2011</v>
          </cell>
          <cell r="L1307">
            <v>66</v>
          </cell>
          <cell r="M1307">
            <v>7700</v>
          </cell>
          <cell r="N1307">
            <v>57273</v>
          </cell>
          <cell r="O1307">
            <v>31312</v>
          </cell>
          <cell r="P1307">
            <v>16</v>
          </cell>
          <cell r="Q1307">
            <v>2</v>
          </cell>
          <cell r="T1307">
            <v>600</v>
          </cell>
          <cell r="U1307">
            <v>0</v>
          </cell>
          <cell r="V1307">
            <v>6300</v>
          </cell>
          <cell r="W1307">
            <v>180</v>
          </cell>
          <cell r="X1307">
            <v>5040</v>
          </cell>
          <cell r="Y1307">
            <v>105755</v>
          </cell>
          <cell r="Z1307">
            <v>2046.81</v>
          </cell>
          <cell r="AA1307">
            <v>9293.19</v>
          </cell>
          <cell r="AB1307">
            <v>115.93566666666666</v>
          </cell>
          <cell r="AC1307">
            <v>3500</v>
          </cell>
          <cell r="AD1307">
            <v>6210.87</v>
          </cell>
          <cell r="AE1307">
            <v>-2710.87</v>
          </cell>
          <cell r="AN1307" t="str">
            <v xml:space="preserve">Contrato emergencial nº </v>
          </cell>
          <cell r="AO1307" t="str">
            <v>IQ</v>
          </cell>
        </row>
        <row r="1308">
          <cell r="D1308" t="str">
            <v>2364/11</v>
          </cell>
          <cell r="E1308" t="str">
            <v>26/09/2011</v>
          </cell>
          <cell r="F1308">
            <v>40991</v>
          </cell>
          <cell r="G1308">
            <v>40877</v>
          </cell>
          <cell r="H1308" t="str">
            <v>2011-0.228.594-0</v>
          </cell>
          <cell r="I1308">
            <v>45632.28</v>
          </cell>
          <cell r="J1308" t="str">
            <v xml:space="preserve">              123651121                 2847                    33903600</v>
          </cell>
          <cell r="K1308" t="str">
            <v>26/09/2011</v>
          </cell>
          <cell r="L1308">
            <v>66</v>
          </cell>
          <cell r="M1308">
            <v>16800</v>
          </cell>
          <cell r="N1308">
            <v>57273</v>
          </cell>
          <cell r="O1308">
            <v>31314</v>
          </cell>
          <cell r="P1308">
            <v>16</v>
          </cell>
          <cell r="Q1308">
            <v>2</v>
          </cell>
          <cell r="T1308">
            <v>1300</v>
          </cell>
          <cell r="U1308">
            <v>0</v>
          </cell>
          <cell r="V1308">
            <v>7700</v>
          </cell>
          <cell r="W1308">
            <v>180</v>
          </cell>
          <cell r="X1308">
            <v>6160</v>
          </cell>
          <cell r="Y1308">
            <v>105348</v>
          </cell>
          <cell r="Z1308">
            <v>1825.4799999999996</v>
          </cell>
          <cell r="AA1308">
            <v>12034.52</v>
          </cell>
          <cell r="AB1308">
            <v>253.51266666666666</v>
          </cell>
          <cell r="AC1308">
            <v>7700</v>
          </cell>
          <cell r="AD1308">
            <v>6200.47</v>
          </cell>
          <cell r="AE1308">
            <v>1499.5299999999997</v>
          </cell>
          <cell r="AN1308" t="str">
            <v xml:space="preserve">Contrato emergencial nº </v>
          </cell>
          <cell r="AO1308" t="str">
            <v>MP</v>
          </cell>
        </row>
        <row r="1309">
          <cell r="D1309" t="str">
            <v>2366/11</v>
          </cell>
          <cell r="E1309" t="str">
            <v>26/09/2011</v>
          </cell>
          <cell r="F1309">
            <v>40991</v>
          </cell>
          <cell r="G1309">
            <v>40877</v>
          </cell>
          <cell r="H1309" t="str">
            <v>2011-0.228.599-0</v>
          </cell>
          <cell r="I1309">
            <v>41531.040000000001</v>
          </cell>
          <cell r="J1309" t="str">
            <v xml:space="preserve">              123611122                  2848                    33903600</v>
          </cell>
          <cell r="K1309" t="str">
            <v>26/09/2011</v>
          </cell>
          <cell r="L1309">
            <v>66</v>
          </cell>
          <cell r="M1309">
            <v>15300</v>
          </cell>
          <cell r="N1309">
            <v>57278</v>
          </cell>
          <cell r="O1309">
            <v>31468</v>
          </cell>
          <cell r="P1309">
            <v>16</v>
          </cell>
          <cell r="Q1309">
            <v>3</v>
          </cell>
          <cell r="T1309">
            <v>1200</v>
          </cell>
          <cell r="U1309">
            <v>0</v>
          </cell>
          <cell r="V1309">
            <v>7000</v>
          </cell>
          <cell r="W1309">
            <v>180</v>
          </cell>
          <cell r="X1309">
            <v>5600</v>
          </cell>
          <cell r="Y1309">
            <v>105744</v>
          </cell>
          <cell r="Z1309">
            <v>8272.74</v>
          </cell>
          <cell r="AA1309">
            <v>4327.26</v>
          </cell>
          <cell r="AB1309">
            <v>230.72800000000001</v>
          </cell>
          <cell r="AC1309">
            <v>7000</v>
          </cell>
          <cell r="AD1309">
            <v>6225.96</v>
          </cell>
          <cell r="AE1309">
            <v>774.04</v>
          </cell>
          <cell r="AN1309" t="str">
            <v xml:space="preserve">Contrato emergencial nº </v>
          </cell>
          <cell r="AO1309" t="str">
            <v>PE</v>
          </cell>
        </row>
        <row r="1310">
          <cell r="D1310" t="str">
            <v>2367/11</v>
          </cell>
          <cell r="E1310" t="str">
            <v>26/09/2011</v>
          </cell>
          <cell r="F1310">
            <v>40991</v>
          </cell>
          <cell r="G1310">
            <v>40877</v>
          </cell>
          <cell r="H1310" t="str">
            <v>2011-0.228.600-8</v>
          </cell>
          <cell r="I1310">
            <v>40877.160000000003</v>
          </cell>
          <cell r="J1310" t="str">
            <v xml:space="preserve">              123611122                  2848                    33903600</v>
          </cell>
          <cell r="K1310" t="str">
            <v>26/09/2011</v>
          </cell>
          <cell r="L1310">
            <v>66</v>
          </cell>
          <cell r="M1310">
            <v>15000</v>
          </cell>
          <cell r="N1310">
            <v>57278</v>
          </cell>
          <cell r="O1310">
            <v>31470</v>
          </cell>
          <cell r="P1310">
            <v>16</v>
          </cell>
          <cell r="Q1310">
            <v>3</v>
          </cell>
          <cell r="T1310">
            <v>1200</v>
          </cell>
          <cell r="U1310">
            <v>0</v>
          </cell>
          <cell r="V1310">
            <v>6900</v>
          </cell>
          <cell r="W1310">
            <v>180</v>
          </cell>
          <cell r="X1310">
            <v>5520</v>
          </cell>
          <cell r="Y1310">
            <v>105349</v>
          </cell>
          <cell r="Z1310">
            <v>1675.33</v>
          </cell>
          <cell r="AA1310">
            <v>10744.67</v>
          </cell>
          <cell r="AB1310">
            <v>227.09533333333334</v>
          </cell>
          <cell r="AC1310">
            <v>6900</v>
          </cell>
          <cell r="AD1310">
            <v>5516.86</v>
          </cell>
          <cell r="AE1310">
            <v>1383.1400000000003</v>
          </cell>
          <cell r="AN1310" t="str">
            <v xml:space="preserve">Contrato emergencial nº </v>
          </cell>
          <cell r="AO1310" t="str">
            <v>MP</v>
          </cell>
        </row>
        <row r="1311">
          <cell r="D1311" t="str">
            <v>2368/11</v>
          </cell>
          <cell r="E1311" t="str">
            <v>26/09/2011</v>
          </cell>
          <cell r="F1311">
            <v>40991</v>
          </cell>
          <cell r="G1311">
            <v>40877</v>
          </cell>
          <cell r="H1311" t="str">
            <v>2011-0.228.601-6</v>
          </cell>
          <cell r="I1311">
            <v>43670.7</v>
          </cell>
          <cell r="J1311" t="str">
            <v xml:space="preserve">              123611122                  2848                    33903600</v>
          </cell>
          <cell r="K1311" t="str">
            <v>26/09/2011</v>
          </cell>
          <cell r="L1311">
            <v>66</v>
          </cell>
          <cell r="M1311">
            <v>16100</v>
          </cell>
          <cell r="N1311">
            <v>57278</v>
          </cell>
          <cell r="O1311">
            <v>31473</v>
          </cell>
          <cell r="P1311">
            <v>16</v>
          </cell>
          <cell r="Q1311">
            <v>3</v>
          </cell>
          <cell r="T1311">
            <v>998.61500000000001</v>
          </cell>
          <cell r="U1311">
            <v>0</v>
          </cell>
          <cell r="V1311">
            <v>7300</v>
          </cell>
          <cell r="W1311">
            <v>180</v>
          </cell>
          <cell r="X1311">
            <v>5840</v>
          </cell>
          <cell r="Y1311">
            <v>105155</v>
          </cell>
          <cell r="Z1311">
            <v>9309.69</v>
          </cell>
          <cell r="AA1311">
            <v>3830.3099999999995</v>
          </cell>
          <cell r="AB1311">
            <v>242.61499999999998</v>
          </cell>
          <cell r="AC1311">
            <v>7300</v>
          </cell>
          <cell r="AD1311">
            <v>5831.6900000000005</v>
          </cell>
          <cell r="AE1311">
            <v>1468.3099999999995</v>
          </cell>
          <cell r="AN1311" t="str">
            <v xml:space="preserve">Contrato emergencial nº </v>
          </cell>
          <cell r="AO1311" t="str">
            <v>IP</v>
          </cell>
        </row>
        <row r="1312">
          <cell r="D1312" t="str">
            <v>2369/11</v>
          </cell>
          <cell r="E1312" t="str">
            <v>27/09/2011</v>
          </cell>
          <cell r="F1312">
            <v>40992</v>
          </cell>
          <cell r="G1312">
            <v>40877</v>
          </cell>
          <cell r="H1312" t="str">
            <v>2011-0.228.602-4</v>
          </cell>
          <cell r="I1312">
            <v>53596.800000000003</v>
          </cell>
          <cell r="J1312" t="str">
            <v xml:space="preserve">              123611122                  2848                    33903600</v>
          </cell>
          <cell r="K1312" t="str">
            <v>27/09/2011</v>
          </cell>
          <cell r="L1312">
            <v>65</v>
          </cell>
          <cell r="M1312">
            <v>19400</v>
          </cell>
          <cell r="N1312">
            <v>57278</v>
          </cell>
          <cell r="O1312">
            <v>31475</v>
          </cell>
          <cell r="P1312">
            <v>16</v>
          </cell>
          <cell r="Q1312">
            <v>3</v>
          </cell>
          <cell r="T1312">
            <v>1200</v>
          </cell>
          <cell r="U1312">
            <v>0</v>
          </cell>
          <cell r="V1312">
            <v>9000</v>
          </cell>
          <cell r="W1312">
            <v>180</v>
          </cell>
          <cell r="X1312">
            <v>7200</v>
          </cell>
          <cell r="Y1312">
            <v>107025</v>
          </cell>
          <cell r="Z1312">
            <v>763.38999999999942</v>
          </cell>
          <cell r="AA1312">
            <v>15436.61</v>
          </cell>
          <cell r="AB1312">
            <v>297.76</v>
          </cell>
          <cell r="AC1312">
            <v>9000</v>
          </cell>
          <cell r="AD1312">
            <v>7780.1900000000005</v>
          </cell>
          <cell r="AE1312">
            <v>1219.8099999999995</v>
          </cell>
          <cell r="AN1312" t="str">
            <v xml:space="preserve">Contrato emergencial nº </v>
          </cell>
          <cell r="AO1312" t="str">
            <v>MP</v>
          </cell>
        </row>
        <row r="1313">
          <cell r="D1313" t="str">
            <v>2370/11</v>
          </cell>
          <cell r="E1313" t="str">
            <v>26/09/2011</v>
          </cell>
          <cell r="F1313">
            <v>40991</v>
          </cell>
          <cell r="G1313">
            <v>40877</v>
          </cell>
          <cell r="H1313" t="str">
            <v>2011-0.228.604-0</v>
          </cell>
          <cell r="I1313">
            <v>41531.040000000001</v>
          </cell>
          <cell r="J1313" t="str">
            <v xml:space="preserve">              123611122                  2848                    33903600</v>
          </cell>
          <cell r="K1313" t="str">
            <v>26/09/2011</v>
          </cell>
          <cell r="L1313">
            <v>66</v>
          </cell>
          <cell r="M1313">
            <v>15300</v>
          </cell>
          <cell r="N1313">
            <v>57278</v>
          </cell>
          <cell r="O1313">
            <v>31477</v>
          </cell>
          <cell r="P1313">
            <v>16</v>
          </cell>
          <cell r="Q1313">
            <v>3</v>
          </cell>
          <cell r="T1313">
            <v>960.12</v>
          </cell>
          <cell r="U1313">
            <v>0</v>
          </cell>
          <cell r="V1313">
            <v>7000</v>
          </cell>
          <cell r="W1313">
            <v>180</v>
          </cell>
          <cell r="X1313">
            <v>5600</v>
          </cell>
          <cell r="Y1313">
            <v>105618</v>
          </cell>
          <cell r="Z1313">
            <v>8712.16</v>
          </cell>
          <cell r="AA1313">
            <v>3887.84</v>
          </cell>
          <cell r="AB1313">
            <v>230.72800000000001</v>
          </cell>
          <cell r="AC1313">
            <v>7000</v>
          </cell>
          <cell r="AD1313">
            <v>5714.1749999999984</v>
          </cell>
          <cell r="AE1313">
            <v>1285.8250000000016</v>
          </cell>
          <cell r="AN1313" t="str">
            <v xml:space="preserve">Contrato emergencial nº </v>
          </cell>
          <cell r="AO1313" t="str">
            <v>SM</v>
          </cell>
        </row>
        <row r="1314">
          <cell r="D1314" t="str">
            <v>2371/11</v>
          </cell>
          <cell r="E1314" t="str">
            <v>26/09/2011</v>
          </cell>
          <cell r="F1314">
            <v>40991</v>
          </cell>
          <cell r="G1314">
            <v>40877</v>
          </cell>
          <cell r="H1314" t="str">
            <v>2011-0.228.605-9</v>
          </cell>
          <cell r="I1314">
            <v>44324.52</v>
          </cell>
          <cell r="J1314" t="str">
            <v xml:space="preserve">              123611122                  2848                    33903600</v>
          </cell>
          <cell r="K1314" t="str">
            <v>26/09/2011</v>
          </cell>
          <cell r="L1314">
            <v>66</v>
          </cell>
          <cell r="M1314">
            <v>16300</v>
          </cell>
          <cell r="N1314">
            <v>57278</v>
          </cell>
          <cell r="O1314">
            <v>31480</v>
          </cell>
          <cell r="P1314">
            <v>16</v>
          </cell>
          <cell r="Q1314">
            <v>3</v>
          </cell>
          <cell r="T1314">
            <v>1261.38333333333</v>
          </cell>
          <cell r="U1314">
            <v>0</v>
          </cell>
          <cell r="V1314">
            <v>7400</v>
          </cell>
          <cell r="W1314">
            <v>180</v>
          </cell>
          <cell r="X1314">
            <v>5920</v>
          </cell>
          <cell r="Y1314">
            <v>105040</v>
          </cell>
          <cell r="Z1314">
            <v>7849.8200000000015</v>
          </cell>
          <cell r="AA1314">
            <v>5470.1799999999985</v>
          </cell>
          <cell r="AB1314">
            <v>246.2473333333333</v>
          </cell>
          <cell r="AC1314">
            <v>7400</v>
          </cell>
          <cell r="AD1314">
            <v>7292.3</v>
          </cell>
          <cell r="AE1314">
            <v>107.69999999999982</v>
          </cell>
          <cell r="AN1314" t="str">
            <v xml:space="preserve">Contrato emergencial nº </v>
          </cell>
          <cell r="AO1314" t="str">
            <v>CS</v>
          </cell>
        </row>
        <row r="1315">
          <cell r="D1315" t="str">
            <v>2372/11</v>
          </cell>
          <cell r="E1315" t="str">
            <v>26/09/2011</v>
          </cell>
          <cell r="F1315">
            <v>40991</v>
          </cell>
          <cell r="G1315">
            <v>40877</v>
          </cell>
          <cell r="H1315" t="str">
            <v>2011-0.228.606-7</v>
          </cell>
          <cell r="I1315">
            <v>42184.92</v>
          </cell>
          <cell r="J1315" t="str">
            <v xml:space="preserve">             123671125                  2863                   33903600</v>
          </cell>
          <cell r="K1315" t="str">
            <v>26/09/2011</v>
          </cell>
          <cell r="L1315">
            <v>66</v>
          </cell>
          <cell r="M1315">
            <v>15500</v>
          </cell>
          <cell r="N1315">
            <v>57287</v>
          </cell>
          <cell r="O1315">
            <v>31482</v>
          </cell>
          <cell r="P1315">
            <v>16</v>
          </cell>
          <cell r="Q1315">
            <v>4</v>
          </cell>
          <cell r="T1315">
            <v>105044</v>
          </cell>
          <cell r="U1315">
            <v>0</v>
          </cell>
          <cell r="V1315">
            <v>7800</v>
          </cell>
          <cell r="W1315">
            <v>180</v>
          </cell>
          <cell r="X1315">
            <v>6240</v>
          </cell>
          <cell r="Y1315">
            <v>105044</v>
          </cell>
          <cell r="Z1315">
            <v>6456.9800000000005</v>
          </cell>
          <cell r="AA1315">
            <v>7583.0199999999995</v>
          </cell>
          <cell r="AB1315">
            <v>234.36066666666665</v>
          </cell>
          <cell r="AC1315">
            <v>7100</v>
          </cell>
          <cell r="AD1315">
            <v>7725.7400000000007</v>
          </cell>
          <cell r="AE1315">
            <v>-625.74000000000069</v>
          </cell>
          <cell r="AN1315" t="str">
            <v xml:space="preserve">Contrato emergencial nº </v>
          </cell>
          <cell r="AO1315" t="str">
            <v>CS</v>
          </cell>
        </row>
        <row r="1316">
          <cell r="D1316" t="str">
            <v>2374/11</v>
          </cell>
          <cell r="E1316" t="str">
            <v>26/09/2011</v>
          </cell>
          <cell r="F1316">
            <v>40991</v>
          </cell>
          <cell r="G1316">
            <v>40877</v>
          </cell>
          <cell r="H1316" t="str">
            <v>2011-0.228.869-8</v>
          </cell>
          <cell r="I1316">
            <v>43016.82</v>
          </cell>
          <cell r="J1316" t="str">
            <v xml:space="preserve">              123611122                  2848                    33903600</v>
          </cell>
          <cell r="K1316" t="str">
            <v>26/09/2011</v>
          </cell>
          <cell r="L1316">
            <v>66</v>
          </cell>
          <cell r="M1316">
            <v>15800</v>
          </cell>
          <cell r="N1316">
            <v>57278</v>
          </cell>
          <cell r="O1316">
            <v>31485</v>
          </cell>
          <cell r="P1316">
            <v>16</v>
          </cell>
          <cell r="Q1316">
            <v>3</v>
          </cell>
          <cell r="T1316">
            <v>1200.1516666666701</v>
          </cell>
          <cell r="U1316">
            <v>0</v>
          </cell>
          <cell r="V1316">
            <v>7200</v>
          </cell>
          <cell r="W1316">
            <v>180</v>
          </cell>
          <cell r="X1316">
            <v>5760</v>
          </cell>
          <cell r="Y1316">
            <v>105046</v>
          </cell>
          <cell r="Z1316">
            <v>7853.9400000000005</v>
          </cell>
          <cell r="AA1316">
            <v>5106.0599999999995</v>
          </cell>
          <cell r="AB1316">
            <v>238.98233333333334</v>
          </cell>
          <cell r="AC1316">
            <v>7200</v>
          </cell>
          <cell r="AD1316">
            <v>6882.41</v>
          </cell>
          <cell r="AE1316">
            <v>317.59000000000015</v>
          </cell>
          <cell r="AN1316" t="str">
            <v xml:space="preserve">Contrato emergencial nº </v>
          </cell>
          <cell r="AO1316" t="str">
            <v>CS</v>
          </cell>
        </row>
        <row r="1317">
          <cell r="D1317" t="str">
            <v>2375/11</v>
          </cell>
          <cell r="E1317" t="str">
            <v>26/09/2011</v>
          </cell>
          <cell r="F1317">
            <v>40991</v>
          </cell>
          <cell r="G1317">
            <v>40877</v>
          </cell>
          <cell r="H1317" t="str">
            <v>2011-0.228.872-8</v>
          </cell>
          <cell r="I1317">
            <v>40609.5</v>
          </cell>
          <cell r="J1317" t="str">
            <v xml:space="preserve">              123651121                 2847                    33903600</v>
          </cell>
          <cell r="K1317" t="str">
            <v>26/09/2011</v>
          </cell>
          <cell r="L1317">
            <v>66</v>
          </cell>
          <cell r="M1317">
            <v>14900</v>
          </cell>
          <cell r="N1317">
            <v>57273</v>
          </cell>
          <cell r="O1317">
            <v>31489</v>
          </cell>
          <cell r="P1317">
            <v>16</v>
          </cell>
          <cell r="Q1317">
            <v>2</v>
          </cell>
          <cell r="T1317">
            <v>1200</v>
          </cell>
          <cell r="U1317">
            <v>0</v>
          </cell>
          <cell r="V1317">
            <v>6800</v>
          </cell>
          <cell r="W1317">
            <v>180</v>
          </cell>
          <cell r="X1317">
            <v>5440</v>
          </cell>
          <cell r="Y1317">
            <v>105353</v>
          </cell>
          <cell r="Z1317">
            <v>1314.665</v>
          </cell>
          <cell r="AA1317">
            <v>10925.334999999999</v>
          </cell>
          <cell r="AB1317">
            <v>225.60833333333332</v>
          </cell>
          <cell r="AC1317">
            <v>6800</v>
          </cell>
          <cell r="AD1317">
            <v>5415.2200000000012</v>
          </cell>
          <cell r="AE1317">
            <v>1384.7799999999988</v>
          </cell>
          <cell r="AN1317" t="str">
            <v xml:space="preserve">Contrato emergencial nº </v>
          </cell>
          <cell r="AO1317" t="str">
            <v>MP</v>
          </cell>
        </row>
        <row r="1318">
          <cell r="D1318" t="str">
            <v>2376/11</v>
          </cell>
          <cell r="E1318" t="str">
            <v>26/09/2011</v>
          </cell>
          <cell r="F1318">
            <v>40991</v>
          </cell>
          <cell r="G1318">
            <v>40877</v>
          </cell>
          <cell r="H1318" t="str">
            <v>2011-0.228.876-0</v>
          </cell>
          <cell r="I1318">
            <v>40877.160000000003</v>
          </cell>
          <cell r="J1318" t="str">
            <v xml:space="preserve">              123651121                 2847                    33903600</v>
          </cell>
          <cell r="K1318" t="str">
            <v>26/09/2011</v>
          </cell>
          <cell r="L1318">
            <v>66</v>
          </cell>
          <cell r="M1318">
            <v>15000</v>
          </cell>
          <cell r="N1318">
            <v>57273</v>
          </cell>
          <cell r="O1318">
            <v>31490</v>
          </cell>
          <cell r="P1318">
            <v>16</v>
          </cell>
          <cell r="Q1318">
            <v>2</v>
          </cell>
          <cell r="T1318">
            <v>1200</v>
          </cell>
          <cell r="U1318">
            <v>0</v>
          </cell>
          <cell r="V1318">
            <v>6900</v>
          </cell>
          <cell r="W1318">
            <v>180</v>
          </cell>
          <cell r="X1318">
            <v>5520</v>
          </cell>
          <cell r="Y1318">
            <v>105751</v>
          </cell>
          <cell r="Z1318">
            <v>8384.91</v>
          </cell>
          <cell r="AA1318">
            <v>4035.09</v>
          </cell>
          <cell r="AB1318">
            <v>227.09533333333334</v>
          </cell>
          <cell r="AC1318">
            <v>6900</v>
          </cell>
          <cell r="AD1318">
            <v>3675.5926666666664</v>
          </cell>
          <cell r="AE1318">
            <v>3224.4073333333336</v>
          </cell>
          <cell r="AN1318" t="str">
            <v xml:space="preserve">Contrato emergencial nº </v>
          </cell>
          <cell r="AO1318" t="str">
            <v>PE</v>
          </cell>
        </row>
        <row r="1319">
          <cell r="D1319" t="str">
            <v>2377/11</v>
          </cell>
          <cell r="E1319" t="str">
            <v>26/09/2011</v>
          </cell>
          <cell r="F1319">
            <v>40991</v>
          </cell>
          <cell r="G1319">
            <v>40877</v>
          </cell>
          <cell r="H1319" t="str">
            <v>2011-0.228.879-5</v>
          </cell>
          <cell r="I1319">
            <v>40223.339999999997</v>
          </cell>
          <cell r="J1319" t="str">
            <v xml:space="preserve">              123651121                 2847                    33903600</v>
          </cell>
          <cell r="K1319" t="str">
            <v>26/09/2011</v>
          </cell>
          <cell r="L1319">
            <v>66</v>
          </cell>
          <cell r="M1319">
            <v>14800</v>
          </cell>
          <cell r="N1319">
            <v>57273</v>
          </cell>
          <cell r="O1319">
            <v>31492</v>
          </cell>
          <cell r="P1319">
            <v>16</v>
          </cell>
          <cell r="Q1319">
            <v>2</v>
          </cell>
          <cell r="T1319">
            <v>1200</v>
          </cell>
          <cell r="U1319">
            <v>0</v>
          </cell>
          <cell r="V1319">
            <v>6800</v>
          </cell>
          <cell r="W1319">
            <v>180</v>
          </cell>
          <cell r="X1319">
            <v>5440</v>
          </cell>
          <cell r="Y1319">
            <v>105355</v>
          </cell>
          <cell r="Z1319">
            <v>336.45999999999913</v>
          </cell>
          <cell r="AA1319">
            <v>11903.54</v>
          </cell>
          <cell r="AB1319">
            <v>223.46299999999999</v>
          </cell>
          <cell r="AC1319">
            <v>6800</v>
          </cell>
          <cell r="AD1319">
            <v>6590.13</v>
          </cell>
          <cell r="AE1319">
            <v>209.86999999999989</v>
          </cell>
          <cell r="AN1319" t="str">
            <v xml:space="preserve">Contrato emergencial nº </v>
          </cell>
          <cell r="AO1319" t="str">
            <v>MP</v>
          </cell>
        </row>
        <row r="1320">
          <cell r="D1320" t="str">
            <v>2378/11</v>
          </cell>
          <cell r="E1320" t="str">
            <v>26/09/2011</v>
          </cell>
          <cell r="F1320">
            <v>40991</v>
          </cell>
          <cell r="G1320">
            <v>40877</v>
          </cell>
          <cell r="H1320" t="str">
            <v>2011-0.228.884-1</v>
          </cell>
          <cell r="I1320">
            <v>44978.400000000001</v>
          </cell>
          <cell r="J1320" t="str">
            <v xml:space="preserve">              123651121                 2847                    33903600</v>
          </cell>
          <cell r="K1320" t="str">
            <v>26/09/2011</v>
          </cell>
          <cell r="L1320">
            <v>66</v>
          </cell>
          <cell r="M1320">
            <v>16500</v>
          </cell>
          <cell r="N1320">
            <v>57273</v>
          </cell>
          <cell r="O1320">
            <v>31497</v>
          </cell>
          <cell r="P1320">
            <v>16</v>
          </cell>
          <cell r="Q1320">
            <v>2</v>
          </cell>
          <cell r="T1320">
            <v>1117.6466666666699</v>
          </cell>
          <cell r="U1320">
            <v>0</v>
          </cell>
          <cell r="V1320">
            <v>7500</v>
          </cell>
          <cell r="W1320">
            <v>180</v>
          </cell>
          <cell r="X1320">
            <v>6000</v>
          </cell>
          <cell r="Y1320">
            <v>105230</v>
          </cell>
          <cell r="Z1320">
            <v>9066.4699999999993</v>
          </cell>
          <cell r="AA1320">
            <v>4433.5300000000007</v>
          </cell>
          <cell r="AB1320">
            <v>249.88</v>
          </cell>
          <cell r="AC1320">
            <v>7500</v>
          </cell>
          <cell r="AD1320">
            <v>6430.76</v>
          </cell>
          <cell r="AE1320">
            <v>1069.2399999999998</v>
          </cell>
          <cell r="AN1320" t="str">
            <v xml:space="preserve">Contrato emergencial nº </v>
          </cell>
          <cell r="AO1320" t="str">
            <v>IP</v>
          </cell>
        </row>
        <row r="1321">
          <cell r="D1321" t="str">
            <v>2379/11</v>
          </cell>
          <cell r="E1321" t="str">
            <v>26/09/2011</v>
          </cell>
          <cell r="F1321">
            <v>40991</v>
          </cell>
          <cell r="G1321">
            <v>40877</v>
          </cell>
          <cell r="H1321" t="str">
            <v>2011-0.228.892-2</v>
          </cell>
          <cell r="I1321">
            <v>31012.38</v>
          </cell>
          <cell r="J1321" t="str">
            <v xml:space="preserve">              123651121                 2847                    33903600</v>
          </cell>
          <cell r="K1321" t="str">
            <v>26/09/2011</v>
          </cell>
          <cell r="L1321">
            <v>66</v>
          </cell>
          <cell r="M1321">
            <v>11400</v>
          </cell>
          <cell r="N1321">
            <v>57273</v>
          </cell>
          <cell r="O1321">
            <v>31499</v>
          </cell>
          <cell r="P1321">
            <v>16</v>
          </cell>
          <cell r="Q1321">
            <v>2</v>
          </cell>
          <cell r="T1321">
            <v>906.30833333333305</v>
          </cell>
          <cell r="U1321">
            <v>0</v>
          </cell>
          <cell r="V1321">
            <v>5200</v>
          </cell>
          <cell r="W1321">
            <v>180</v>
          </cell>
          <cell r="X1321">
            <v>4160</v>
          </cell>
          <cell r="Y1321">
            <v>105049</v>
          </cell>
          <cell r="Z1321">
            <v>5355.84</v>
          </cell>
          <cell r="AA1321">
            <v>4004.16</v>
          </cell>
          <cell r="AB1321">
            <v>172.291</v>
          </cell>
          <cell r="AC1321">
            <v>5200</v>
          </cell>
          <cell r="AD1321">
            <v>5113.84</v>
          </cell>
          <cell r="AE1321">
            <v>86.159999999999854</v>
          </cell>
          <cell r="AN1321" t="str">
            <v xml:space="preserve">Contrato emergencial nº </v>
          </cell>
          <cell r="AO1321" t="str">
            <v>CS</v>
          </cell>
        </row>
        <row r="1322">
          <cell r="D1322" t="str">
            <v>2380/11</v>
          </cell>
          <cell r="E1322" t="str">
            <v>26/09/2011</v>
          </cell>
          <cell r="F1322">
            <v>40991</v>
          </cell>
          <cell r="G1322">
            <v>40877</v>
          </cell>
          <cell r="H1322" t="str">
            <v>2011-0.228.893-0</v>
          </cell>
          <cell r="I1322">
            <v>40877.160000000003</v>
          </cell>
          <cell r="J1322" t="str">
            <v xml:space="preserve">              123651121                 2847                    33903600</v>
          </cell>
          <cell r="K1322" t="str">
            <v>26/09/2011</v>
          </cell>
          <cell r="L1322">
            <v>66</v>
          </cell>
          <cell r="M1322">
            <v>15000</v>
          </cell>
          <cell r="N1322">
            <v>57273</v>
          </cell>
          <cell r="O1322">
            <v>31501</v>
          </cell>
          <cell r="P1322">
            <v>16</v>
          </cell>
          <cell r="Q1322">
            <v>2</v>
          </cell>
          <cell r="T1322">
            <v>1200</v>
          </cell>
          <cell r="U1322">
            <v>0</v>
          </cell>
          <cell r="V1322">
            <v>6900</v>
          </cell>
          <cell r="W1322">
            <v>180</v>
          </cell>
          <cell r="X1322">
            <v>5520</v>
          </cell>
          <cell r="Y1322">
            <v>105756</v>
          </cell>
          <cell r="Z1322">
            <v>8686.4599999999991</v>
          </cell>
          <cell r="AA1322">
            <v>3733.5400000000009</v>
          </cell>
          <cell r="AB1322">
            <v>227.09533333333334</v>
          </cell>
          <cell r="AC1322">
            <v>6900</v>
          </cell>
          <cell r="AD1322">
            <v>5471.27</v>
          </cell>
          <cell r="AE1322">
            <v>1428.7299999999996</v>
          </cell>
          <cell r="AN1322" t="str">
            <v xml:space="preserve">Contrato emergencial nº </v>
          </cell>
          <cell r="AO1322" t="str">
            <v>PE</v>
          </cell>
        </row>
        <row r="1323">
          <cell r="D1323" t="str">
            <v>2381/11</v>
          </cell>
          <cell r="E1323" t="str">
            <v>26/09/2011</v>
          </cell>
          <cell r="F1323">
            <v>40991</v>
          </cell>
          <cell r="G1323">
            <v>40877</v>
          </cell>
          <cell r="H1323" t="str">
            <v>2011-0.228.896-5</v>
          </cell>
          <cell r="I1323">
            <v>38261.760000000002</v>
          </cell>
          <cell r="J1323" t="str">
            <v xml:space="preserve">              123651121                 2847                    33903600</v>
          </cell>
          <cell r="K1323" t="str">
            <v>26/09/2011</v>
          </cell>
          <cell r="L1323">
            <v>66</v>
          </cell>
          <cell r="M1323">
            <v>14100</v>
          </cell>
          <cell r="N1323">
            <v>57273</v>
          </cell>
          <cell r="O1323">
            <v>31509</v>
          </cell>
          <cell r="P1323">
            <v>16</v>
          </cell>
          <cell r="Q1323">
            <v>2</v>
          </cell>
          <cell r="T1323">
            <v>1100</v>
          </cell>
          <cell r="U1323">
            <v>0</v>
          </cell>
          <cell r="V1323">
            <v>6400</v>
          </cell>
          <cell r="W1323">
            <v>180</v>
          </cell>
          <cell r="X1323">
            <v>5120</v>
          </cell>
          <cell r="Y1323">
            <v>104919</v>
          </cell>
          <cell r="Z1323">
            <v>7553.34</v>
          </cell>
          <cell r="AA1323">
            <v>3966.66</v>
          </cell>
          <cell r="AB1323">
            <v>212.56533333333334</v>
          </cell>
          <cell r="AC1323">
            <v>6400</v>
          </cell>
          <cell r="AD1323">
            <v>5692.98</v>
          </cell>
          <cell r="AE1323">
            <v>707.02000000000044</v>
          </cell>
          <cell r="AN1323" t="str">
            <v xml:space="preserve">Contrato emergencial nº </v>
          </cell>
          <cell r="AO1323" t="str">
            <v>PJ</v>
          </cell>
        </row>
        <row r="1324">
          <cell r="D1324" t="str">
            <v>2382/11</v>
          </cell>
          <cell r="E1324" t="str">
            <v>26/09/2011</v>
          </cell>
          <cell r="F1324">
            <v>40991</v>
          </cell>
          <cell r="G1324">
            <v>40877</v>
          </cell>
          <cell r="H1324" t="str">
            <v>2011-0.228.903-1</v>
          </cell>
          <cell r="I1324">
            <v>38261.760000000002</v>
          </cell>
          <cell r="J1324" t="str">
            <v xml:space="preserve">              123611122                  2848                    33903600</v>
          </cell>
          <cell r="K1324" t="str">
            <v>26/09/2011</v>
          </cell>
          <cell r="L1324">
            <v>66</v>
          </cell>
          <cell r="M1324">
            <v>14100</v>
          </cell>
          <cell r="N1324">
            <v>57278</v>
          </cell>
          <cell r="O1324">
            <v>31511</v>
          </cell>
          <cell r="P1324">
            <v>16</v>
          </cell>
          <cell r="Q1324">
            <v>3</v>
          </cell>
          <cell r="T1324">
            <v>865.95333333333303</v>
          </cell>
          <cell r="U1324">
            <v>0</v>
          </cell>
          <cell r="V1324">
            <v>6400</v>
          </cell>
          <cell r="W1324">
            <v>180</v>
          </cell>
          <cell r="X1324">
            <v>5120</v>
          </cell>
          <cell r="Y1324">
            <v>104944</v>
          </cell>
          <cell r="Z1324">
            <v>13234.05</v>
          </cell>
          <cell r="AA1324">
            <v>-1714.0499999999993</v>
          </cell>
          <cell r="AB1324">
            <v>212.56533333333334</v>
          </cell>
          <cell r="AC1324">
            <v>6400</v>
          </cell>
          <cell r="AD1324">
            <v>5098.62</v>
          </cell>
          <cell r="AE1324">
            <v>1301.3800000000001</v>
          </cell>
          <cell r="AN1324" t="str">
            <v xml:space="preserve">Contrato emergencial nº </v>
          </cell>
          <cell r="AO1324" t="str">
            <v>CL</v>
          </cell>
        </row>
        <row r="1325">
          <cell r="D1325" t="str">
            <v>2383/11</v>
          </cell>
          <cell r="E1325" t="str">
            <v>26/09/2011</v>
          </cell>
          <cell r="F1325">
            <v>40991</v>
          </cell>
          <cell r="G1325">
            <v>40877</v>
          </cell>
          <cell r="H1325" t="str">
            <v>2011-0.228.907-4</v>
          </cell>
          <cell r="I1325">
            <v>38261.760000000002</v>
          </cell>
          <cell r="J1325" t="str">
            <v xml:space="preserve">              123611122                  2848                    33903600</v>
          </cell>
          <cell r="K1325" t="str">
            <v>26/09/2011</v>
          </cell>
          <cell r="L1325">
            <v>66</v>
          </cell>
          <cell r="M1325">
            <v>14100</v>
          </cell>
          <cell r="N1325">
            <v>57278</v>
          </cell>
          <cell r="O1325">
            <v>31514</v>
          </cell>
          <cell r="P1325">
            <v>16</v>
          </cell>
          <cell r="Q1325">
            <v>3</v>
          </cell>
          <cell r="T1325">
            <v>1100</v>
          </cell>
          <cell r="U1325">
            <v>0</v>
          </cell>
          <cell r="V1325">
            <v>6400</v>
          </cell>
          <cell r="W1325">
            <v>180</v>
          </cell>
          <cell r="X1325">
            <v>5120</v>
          </cell>
          <cell r="Y1325">
            <v>105200</v>
          </cell>
          <cell r="Z1325">
            <v>8342.1299999999992</v>
          </cell>
          <cell r="AA1325">
            <v>3177.8700000000008</v>
          </cell>
          <cell r="AB1325">
            <v>212.56533333333334</v>
          </cell>
          <cell r="AC1325">
            <v>6400</v>
          </cell>
          <cell r="AD1325">
            <v>4926.84</v>
          </cell>
          <cell r="AE1325">
            <v>1473.1599999999999</v>
          </cell>
          <cell r="AN1325" t="str">
            <v xml:space="preserve">Contrato emergencial nº </v>
          </cell>
          <cell r="AO1325" t="str">
            <v>JT</v>
          </cell>
        </row>
        <row r="1326">
          <cell r="D1326" t="str">
            <v>2384/11</v>
          </cell>
          <cell r="E1326" t="str">
            <v>26/09/2011</v>
          </cell>
          <cell r="F1326">
            <v>40991</v>
          </cell>
          <cell r="G1326">
            <v>40877</v>
          </cell>
          <cell r="H1326" t="str">
            <v>2011-0.228.913-9</v>
          </cell>
          <cell r="I1326">
            <v>38261.760000000002</v>
          </cell>
          <cell r="J1326" t="str">
            <v xml:space="preserve">              123611122                  2848                    33903600</v>
          </cell>
          <cell r="K1326" t="str">
            <v>26/09/2011</v>
          </cell>
          <cell r="L1326">
            <v>66</v>
          </cell>
          <cell r="M1326">
            <v>14100</v>
          </cell>
          <cell r="N1326">
            <v>57278</v>
          </cell>
          <cell r="O1326">
            <v>31517</v>
          </cell>
          <cell r="P1326">
            <v>16</v>
          </cell>
          <cell r="Q1326">
            <v>3</v>
          </cell>
          <cell r="T1326">
            <v>1100</v>
          </cell>
          <cell r="U1326">
            <v>0</v>
          </cell>
          <cell r="V1326">
            <v>6400</v>
          </cell>
          <cell r="W1326">
            <v>180</v>
          </cell>
          <cell r="X1326">
            <v>5120</v>
          </cell>
          <cell r="Y1326">
            <v>105358</v>
          </cell>
          <cell r="Z1326">
            <v>197.56999999999971</v>
          </cell>
          <cell r="AA1326">
            <v>11322.43</v>
          </cell>
          <cell r="AB1326">
            <v>212.56533333333334</v>
          </cell>
          <cell r="AC1326">
            <v>6400</v>
          </cell>
          <cell r="AD1326">
            <v>6400</v>
          </cell>
          <cell r="AE1326">
            <v>0</v>
          </cell>
          <cell r="AN1326" t="str">
            <v xml:space="preserve">Contrato emergencial nº </v>
          </cell>
          <cell r="AO1326" t="str">
            <v>MP</v>
          </cell>
        </row>
        <row r="1327">
          <cell r="D1327" t="str">
            <v>2385/11</v>
          </cell>
          <cell r="E1327" t="str">
            <v>26/09/2011</v>
          </cell>
          <cell r="F1327">
            <v>40991</v>
          </cell>
          <cell r="G1327">
            <v>40877</v>
          </cell>
          <cell r="H1327" t="str">
            <v>2011-0.228.916-3</v>
          </cell>
          <cell r="I1327">
            <v>44978.400000000001</v>
          </cell>
          <cell r="J1327" t="str">
            <v xml:space="preserve">              123611122                  2848                    33903600</v>
          </cell>
          <cell r="K1327" t="str">
            <v>26/09/2011</v>
          </cell>
          <cell r="L1327">
            <v>66</v>
          </cell>
          <cell r="M1327">
            <v>16500</v>
          </cell>
          <cell r="N1327">
            <v>57278</v>
          </cell>
          <cell r="O1327">
            <v>31703</v>
          </cell>
          <cell r="P1327">
            <v>16</v>
          </cell>
          <cell r="Q1327">
            <v>3</v>
          </cell>
          <cell r="T1327">
            <v>1300</v>
          </cell>
          <cell r="U1327">
            <v>0</v>
          </cell>
          <cell r="V1327">
            <v>7500</v>
          </cell>
          <cell r="W1327">
            <v>180</v>
          </cell>
          <cell r="X1327">
            <v>6000</v>
          </cell>
          <cell r="Y1327">
            <v>105237</v>
          </cell>
          <cell r="Z1327">
            <v>9830.2999999999993</v>
          </cell>
          <cell r="AA1327">
            <v>3669.7000000000007</v>
          </cell>
          <cell r="AB1327">
            <v>249.88</v>
          </cell>
          <cell r="AC1327">
            <v>7500</v>
          </cell>
          <cell r="AD1327">
            <v>5781.6999999999989</v>
          </cell>
          <cell r="AE1327">
            <v>1718.3000000000011</v>
          </cell>
          <cell r="AN1327" t="str">
            <v xml:space="preserve">Contrato emergencial nº </v>
          </cell>
          <cell r="AO1327" t="str">
            <v>JT</v>
          </cell>
        </row>
        <row r="1328">
          <cell r="D1328" t="str">
            <v>2386/11</v>
          </cell>
          <cell r="E1328" t="str">
            <v>26/09/2011</v>
          </cell>
          <cell r="F1328">
            <v>40991</v>
          </cell>
          <cell r="G1328">
            <v>40877</v>
          </cell>
          <cell r="H1328" t="str">
            <v>2011-0.228.927-9</v>
          </cell>
          <cell r="I1328">
            <v>38915.58</v>
          </cell>
          <cell r="J1328" t="str">
            <v xml:space="preserve">              123611122                  2848                    33903600</v>
          </cell>
          <cell r="K1328" t="str">
            <v>26/09/2011</v>
          </cell>
          <cell r="L1328">
            <v>66</v>
          </cell>
          <cell r="M1328">
            <v>14300</v>
          </cell>
          <cell r="N1328">
            <v>57278</v>
          </cell>
          <cell r="O1328">
            <v>31704</v>
          </cell>
          <cell r="P1328">
            <v>16</v>
          </cell>
          <cell r="Q1328">
            <v>3</v>
          </cell>
          <cell r="T1328">
            <v>1100</v>
          </cell>
          <cell r="U1328">
            <v>0</v>
          </cell>
          <cell r="V1328">
            <v>6900</v>
          </cell>
          <cell r="W1328">
            <v>180</v>
          </cell>
          <cell r="X1328">
            <v>5520</v>
          </cell>
          <cell r="Y1328">
            <v>105760</v>
          </cell>
          <cell r="Z1328">
            <v>6436.78</v>
          </cell>
          <cell r="AA1328">
            <v>5983.22</v>
          </cell>
          <cell r="AB1328">
            <v>216.19766666666666</v>
          </cell>
          <cell r="AC1328">
            <v>6500</v>
          </cell>
          <cell r="AD1328">
            <v>6890.7300000000005</v>
          </cell>
          <cell r="AE1328">
            <v>-390.73000000000047</v>
          </cell>
          <cell r="AN1328" t="str">
            <v xml:space="preserve">Contrato emergencial nº </v>
          </cell>
          <cell r="AO1328" t="str">
            <v>PE</v>
          </cell>
        </row>
        <row r="1329">
          <cell r="D1329" t="str">
            <v>2387/11</v>
          </cell>
          <cell r="E1329" t="str">
            <v>26/09/2011</v>
          </cell>
          <cell r="F1329">
            <v>40991</v>
          </cell>
          <cell r="G1329">
            <v>40877</v>
          </cell>
          <cell r="H1329" t="str">
            <v>2011-0.228.933-3</v>
          </cell>
          <cell r="I1329">
            <v>31012.38</v>
          </cell>
          <cell r="J1329" t="str">
            <v xml:space="preserve">              123611122                  2848                    33903600</v>
          </cell>
          <cell r="K1329" t="str">
            <v>26/09/2011</v>
          </cell>
          <cell r="L1329">
            <v>66</v>
          </cell>
          <cell r="M1329">
            <v>11400</v>
          </cell>
          <cell r="N1329">
            <v>57278</v>
          </cell>
          <cell r="O1329">
            <v>31705</v>
          </cell>
          <cell r="P1329">
            <v>16</v>
          </cell>
          <cell r="Q1329">
            <v>3</v>
          </cell>
          <cell r="T1329">
            <v>900</v>
          </cell>
          <cell r="U1329">
            <v>0</v>
          </cell>
          <cell r="V1329">
            <v>5200</v>
          </cell>
          <cell r="W1329">
            <v>180</v>
          </cell>
          <cell r="X1329">
            <v>4160</v>
          </cell>
          <cell r="Y1329">
            <v>105757</v>
          </cell>
          <cell r="Z1329">
            <v>5500.97</v>
          </cell>
          <cell r="AA1329">
            <v>3859.0299999999997</v>
          </cell>
          <cell r="AB1329">
            <v>172.291</v>
          </cell>
          <cell r="AC1329">
            <v>5200</v>
          </cell>
          <cell r="AD1329">
            <v>5107.8500000000004</v>
          </cell>
          <cell r="AE1329">
            <v>92.149999999999636</v>
          </cell>
          <cell r="AN1329" t="str">
            <v xml:space="preserve">Contrato emergencial nº </v>
          </cell>
          <cell r="AO1329" t="str">
            <v>IQ</v>
          </cell>
        </row>
        <row r="1330">
          <cell r="D1330" t="str">
            <v>2388/11</v>
          </cell>
          <cell r="E1330" t="str">
            <v>26/09/2011</v>
          </cell>
          <cell r="F1330">
            <v>40991</v>
          </cell>
          <cell r="G1330">
            <v>40877</v>
          </cell>
          <cell r="H1330" t="str">
            <v>2011-0.228.938-4</v>
          </cell>
          <cell r="I1330">
            <v>40223.339999999997</v>
          </cell>
          <cell r="J1330" t="str">
            <v xml:space="preserve">              123611122                  2848                    33903600</v>
          </cell>
          <cell r="K1330" t="str">
            <v>26/09/2011</v>
          </cell>
          <cell r="L1330">
            <v>66</v>
          </cell>
          <cell r="M1330">
            <v>14800</v>
          </cell>
          <cell r="N1330">
            <v>57278</v>
          </cell>
          <cell r="O1330">
            <v>31707</v>
          </cell>
          <cell r="P1330">
            <v>16</v>
          </cell>
          <cell r="Q1330">
            <v>3</v>
          </cell>
          <cell r="T1330">
            <v>1200</v>
          </cell>
          <cell r="U1330">
            <v>0</v>
          </cell>
          <cell r="V1330">
            <v>6800</v>
          </cell>
          <cell r="W1330">
            <v>180</v>
          </cell>
          <cell r="X1330">
            <v>5440</v>
          </cell>
          <cell r="Y1330">
            <v>104961</v>
          </cell>
          <cell r="Z1330">
            <v>6996.16</v>
          </cell>
          <cell r="AA1330">
            <v>5243.84</v>
          </cell>
          <cell r="AB1330">
            <v>223.46299999999999</v>
          </cell>
          <cell r="AC1330">
            <v>6800</v>
          </cell>
          <cell r="AD1330">
            <v>6745.35</v>
          </cell>
          <cell r="AE1330">
            <v>54.649999999999636</v>
          </cell>
          <cell r="AN1330" t="str">
            <v xml:space="preserve">Contrato emergencial nº </v>
          </cell>
          <cell r="AO1330" t="str">
            <v>PJ</v>
          </cell>
        </row>
        <row r="1331">
          <cell r="D1331" t="str">
            <v>2389/11</v>
          </cell>
          <cell r="E1331" t="str">
            <v>26/09/2011</v>
          </cell>
          <cell r="F1331">
            <v>40991</v>
          </cell>
          <cell r="G1331">
            <v>40877</v>
          </cell>
          <cell r="H1331" t="str">
            <v>2011-0.228.949-0</v>
          </cell>
          <cell r="I1331">
            <v>37607.879999999997</v>
          </cell>
          <cell r="J1331" t="str">
            <v xml:space="preserve">              123611122                  2848                    33903600</v>
          </cell>
          <cell r="K1331" t="str">
            <v>26/09/2011</v>
          </cell>
          <cell r="L1331">
            <v>66</v>
          </cell>
          <cell r="M1331">
            <v>13800</v>
          </cell>
          <cell r="N1331">
            <v>57278</v>
          </cell>
          <cell r="O1331">
            <v>31708</v>
          </cell>
          <cell r="P1331">
            <v>16</v>
          </cell>
          <cell r="Q1331">
            <v>3</v>
          </cell>
          <cell r="T1331">
            <v>1100</v>
          </cell>
          <cell r="U1331">
            <v>0</v>
          </cell>
          <cell r="V1331">
            <v>6300</v>
          </cell>
          <cell r="W1331">
            <v>180</v>
          </cell>
          <cell r="X1331">
            <v>5040</v>
          </cell>
          <cell r="Y1331">
            <v>105767</v>
          </cell>
          <cell r="Z1331">
            <v>7667.94</v>
          </cell>
          <cell r="AA1331">
            <v>3672.0600000000004</v>
          </cell>
          <cell r="AB1331">
            <v>208.93266666666665</v>
          </cell>
          <cell r="AC1331">
            <v>6300</v>
          </cell>
          <cell r="AD1331">
            <v>5307.9650000000011</v>
          </cell>
          <cell r="AE1331">
            <v>992.03499999999894</v>
          </cell>
          <cell r="AN1331" t="str">
            <v xml:space="preserve">Contrato emergencial nº </v>
          </cell>
          <cell r="AO1331" t="str">
            <v>PE</v>
          </cell>
        </row>
        <row r="1332">
          <cell r="D1332" t="str">
            <v>2390/11</v>
          </cell>
          <cell r="E1332" t="str">
            <v>26/09/2011</v>
          </cell>
          <cell r="F1332">
            <v>40991</v>
          </cell>
          <cell r="G1332">
            <v>40877</v>
          </cell>
          <cell r="H1332" t="str">
            <v>2011-0.228.952-0</v>
          </cell>
          <cell r="I1332">
            <v>31418.52</v>
          </cell>
          <cell r="J1332" t="str">
            <v xml:space="preserve">              123611122                  2848                    33903600</v>
          </cell>
          <cell r="K1332" t="str">
            <v>26/09/2011</v>
          </cell>
          <cell r="L1332">
            <v>66</v>
          </cell>
          <cell r="M1332">
            <v>11600</v>
          </cell>
          <cell r="N1332">
            <v>57278</v>
          </cell>
          <cell r="O1332">
            <v>31829</v>
          </cell>
          <cell r="P1332">
            <v>16</v>
          </cell>
          <cell r="Q1332">
            <v>3</v>
          </cell>
          <cell r="T1332">
            <v>919.16</v>
          </cell>
          <cell r="U1332">
            <v>0</v>
          </cell>
          <cell r="V1332">
            <v>6000</v>
          </cell>
          <cell r="W1332">
            <v>180</v>
          </cell>
          <cell r="X1332">
            <v>4800</v>
          </cell>
          <cell r="Y1332">
            <v>105052</v>
          </cell>
          <cell r="Z1332">
            <v>5242.74</v>
          </cell>
          <cell r="AA1332">
            <v>5557.26</v>
          </cell>
          <cell r="AB1332">
            <v>174.54733333333334</v>
          </cell>
          <cell r="AC1332">
            <v>5300</v>
          </cell>
          <cell r="AD1332">
            <v>5943.2800000000007</v>
          </cell>
          <cell r="AE1332">
            <v>-643.28000000000065</v>
          </cell>
          <cell r="AN1332" t="str">
            <v xml:space="preserve">Contrato emergencial nº </v>
          </cell>
          <cell r="AO1332" t="str">
            <v>CS</v>
          </cell>
        </row>
        <row r="1333">
          <cell r="D1333" t="str">
            <v>2391/11</v>
          </cell>
          <cell r="E1333" t="str">
            <v>26/09/2011</v>
          </cell>
          <cell r="F1333">
            <v>40991</v>
          </cell>
          <cell r="G1333">
            <v>40877</v>
          </cell>
          <cell r="H1333" t="str">
            <v>2011-0.228.958-9</v>
          </cell>
          <cell r="I1333">
            <v>38261.760000000002</v>
          </cell>
          <cell r="J1333" t="str">
            <v xml:space="preserve">              123611122                  2848                    33903600</v>
          </cell>
          <cell r="K1333" t="str">
            <v>26/09/2011</v>
          </cell>
          <cell r="L1333">
            <v>66</v>
          </cell>
          <cell r="M1333">
            <v>14100</v>
          </cell>
          <cell r="N1333">
            <v>57278</v>
          </cell>
          <cell r="O1333">
            <v>31830</v>
          </cell>
          <cell r="P1333">
            <v>16</v>
          </cell>
          <cell r="Q1333">
            <v>3</v>
          </cell>
          <cell r="T1333">
            <v>865.95333333333303</v>
          </cell>
          <cell r="U1333">
            <v>0</v>
          </cell>
          <cell r="V1333">
            <v>6400</v>
          </cell>
          <cell r="W1333">
            <v>180</v>
          </cell>
          <cell r="X1333">
            <v>5120</v>
          </cell>
          <cell r="Y1333">
            <v>104952</v>
          </cell>
          <cell r="Z1333">
            <v>13229.84</v>
          </cell>
          <cell r="AA1333">
            <v>-1709.8400000000001</v>
          </cell>
          <cell r="AB1333">
            <v>212.56533333333334</v>
          </cell>
          <cell r="AC1333">
            <v>6400</v>
          </cell>
          <cell r="AD1333">
            <v>5117.84</v>
          </cell>
          <cell r="AE1333">
            <v>1282.1599999999999</v>
          </cell>
          <cell r="AN1333" t="str">
            <v xml:space="preserve">Contrato emergencial nº </v>
          </cell>
          <cell r="AO1333" t="str">
            <v>BT</v>
          </cell>
        </row>
        <row r="1334">
          <cell r="D1334" t="str">
            <v>2392/11</v>
          </cell>
          <cell r="E1334" t="str">
            <v>26/09/2011</v>
          </cell>
          <cell r="F1334">
            <v>40991</v>
          </cell>
          <cell r="G1334">
            <v>40877</v>
          </cell>
          <cell r="H1334" t="str">
            <v>2011-0.228.963-5</v>
          </cell>
          <cell r="I1334">
            <v>27971.16</v>
          </cell>
          <cell r="J1334" t="str">
            <v xml:space="preserve">              123611122                  2848                    33903600</v>
          </cell>
          <cell r="K1334" t="str">
            <v>26/09/2011</v>
          </cell>
          <cell r="L1334">
            <v>66</v>
          </cell>
          <cell r="M1334">
            <v>10300</v>
          </cell>
          <cell r="N1334">
            <v>57278</v>
          </cell>
          <cell r="O1334">
            <v>31833</v>
          </cell>
          <cell r="P1334">
            <v>16</v>
          </cell>
          <cell r="Q1334">
            <v>3</v>
          </cell>
          <cell r="T1334">
            <v>1103.10666666667</v>
          </cell>
          <cell r="U1334">
            <v>0</v>
          </cell>
          <cell r="V1334">
            <v>6100</v>
          </cell>
          <cell r="W1334">
            <v>180</v>
          </cell>
          <cell r="X1334">
            <v>4880</v>
          </cell>
          <cell r="Y1334">
            <v>105231</v>
          </cell>
          <cell r="Z1334">
            <v>3712.77</v>
          </cell>
          <cell r="AA1334">
            <v>7267.23</v>
          </cell>
          <cell r="AB1334">
            <v>155.39533333333333</v>
          </cell>
          <cell r="AC1334">
            <v>4700</v>
          </cell>
          <cell r="AD1334">
            <v>6062.8899999999994</v>
          </cell>
          <cell r="AE1334">
            <v>-1362.8899999999994</v>
          </cell>
          <cell r="AN1334" t="str">
            <v xml:space="preserve">Contrato emergencial nº </v>
          </cell>
          <cell r="AO1334" t="str">
            <v>IP</v>
          </cell>
        </row>
        <row r="1335">
          <cell r="D1335" t="str">
            <v>2393/11</v>
          </cell>
          <cell r="E1335" t="str">
            <v>26/09/2011</v>
          </cell>
          <cell r="F1335">
            <v>40991</v>
          </cell>
          <cell r="G1335">
            <v>40877</v>
          </cell>
          <cell r="H1335" t="str">
            <v>2011-0.228.967-8</v>
          </cell>
          <cell r="I1335">
            <v>40877.160000000003</v>
          </cell>
          <cell r="J1335" t="str">
            <v xml:space="preserve">              123611122                  2848                    33903600</v>
          </cell>
          <cell r="K1335" t="str">
            <v>26/09/2011</v>
          </cell>
          <cell r="L1335">
            <v>66</v>
          </cell>
          <cell r="M1335">
            <v>15000</v>
          </cell>
          <cell r="N1335">
            <v>57278</v>
          </cell>
          <cell r="O1335">
            <v>31834</v>
          </cell>
          <cell r="P1335">
            <v>16</v>
          </cell>
          <cell r="Q1335">
            <v>3</v>
          </cell>
          <cell r="T1335">
            <v>1084.2266666666701</v>
          </cell>
          <cell r="U1335">
            <v>0</v>
          </cell>
          <cell r="V1335">
            <v>6900</v>
          </cell>
          <cell r="W1335">
            <v>180</v>
          </cell>
          <cell r="X1335">
            <v>5520</v>
          </cell>
          <cell r="Y1335">
            <v>104958</v>
          </cell>
          <cell r="Z1335">
            <v>6339.8099999999995</v>
          </cell>
          <cell r="AA1335">
            <v>6080.1900000000005</v>
          </cell>
          <cell r="AB1335">
            <v>227.09533333333334</v>
          </cell>
          <cell r="AC1335">
            <v>6900</v>
          </cell>
          <cell r="AD1335">
            <v>3192.16</v>
          </cell>
          <cell r="AE1335">
            <v>3707.84</v>
          </cell>
          <cell r="AN1335" t="str">
            <v xml:space="preserve">Contrato emergencial nº </v>
          </cell>
          <cell r="AO1335" t="str">
            <v>CL</v>
          </cell>
        </row>
        <row r="1336">
          <cell r="D1336" t="str">
            <v>2394/11</v>
          </cell>
          <cell r="E1336" t="str">
            <v>26/09/2011</v>
          </cell>
          <cell r="F1336">
            <v>40991</v>
          </cell>
          <cell r="G1336">
            <v>40877</v>
          </cell>
          <cell r="H1336" t="str">
            <v>2011-0.228.971-6</v>
          </cell>
          <cell r="I1336">
            <v>30556.68</v>
          </cell>
          <cell r="J1336" t="str">
            <v xml:space="preserve">              123611122                  2848                    33903600</v>
          </cell>
          <cell r="K1336" t="str">
            <v>26/09/2011</v>
          </cell>
          <cell r="L1336">
            <v>66</v>
          </cell>
          <cell r="M1336">
            <v>11300</v>
          </cell>
          <cell r="N1336">
            <v>57278</v>
          </cell>
          <cell r="O1336">
            <v>31838</v>
          </cell>
          <cell r="P1336">
            <v>16</v>
          </cell>
          <cell r="Q1336">
            <v>3</v>
          </cell>
          <cell r="T1336">
            <v>900</v>
          </cell>
          <cell r="U1336">
            <v>0</v>
          </cell>
          <cell r="V1336">
            <v>6200</v>
          </cell>
          <cell r="W1336">
            <v>180</v>
          </cell>
          <cell r="X1336">
            <v>4960</v>
          </cell>
          <cell r="Y1336">
            <v>105060</v>
          </cell>
          <cell r="Z1336">
            <v>4210.16</v>
          </cell>
          <cell r="AA1336">
            <v>6949.84</v>
          </cell>
          <cell r="AB1336">
            <v>169.75933333333333</v>
          </cell>
          <cell r="AC1336">
            <v>5100</v>
          </cell>
          <cell r="AD1336">
            <v>6111.84</v>
          </cell>
          <cell r="AE1336">
            <v>-1011.8400000000001</v>
          </cell>
          <cell r="AN1336" t="str">
            <v xml:space="preserve">Contrato emergencial nº </v>
          </cell>
          <cell r="AO1336" t="str">
            <v>PJ</v>
          </cell>
        </row>
        <row r="1337">
          <cell r="D1337" t="str">
            <v>2395/11</v>
          </cell>
          <cell r="E1337" t="str">
            <v>26/09/2011</v>
          </cell>
          <cell r="F1337">
            <v>40991</v>
          </cell>
          <cell r="G1337">
            <v>40877</v>
          </cell>
          <cell r="H1337" t="str">
            <v>2011-0.228.975-9</v>
          </cell>
          <cell r="I1337">
            <v>31418.52</v>
          </cell>
          <cell r="J1337" t="str">
            <v xml:space="preserve">              123651121                 2847                    33903600</v>
          </cell>
          <cell r="K1337" t="str">
            <v>26/09/2011</v>
          </cell>
          <cell r="L1337">
            <v>66</v>
          </cell>
          <cell r="M1337">
            <v>11600</v>
          </cell>
          <cell r="N1337">
            <v>57273</v>
          </cell>
          <cell r="O1337">
            <v>31841</v>
          </cell>
          <cell r="P1337">
            <v>16</v>
          </cell>
          <cell r="Q1337">
            <v>2</v>
          </cell>
          <cell r="T1337">
            <v>964.30666666666696</v>
          </cell>
          <cell r="U1337">
            <v>0</v>
          </cell>
          <cell r="V1337">
            <v>5600</v>
          </cell>
          <cell r="W1337">
            <v>180</v>
          </cell>
          <cell r="X1337">
            <v>4480</v>
          </cell>
          <cell r="Y1337">
            <v>104986</v>
          </cell>
          <cell r="Z1337">
            <v>10635.69</v>
          </cell>
          <cell r="AA1337">
            <v>-555.69000000000051</v>
          </cell>
          <cell r="AB1337">
            <v>174.54733333333334</v>
          </cell>
          <cell r="AC1337">
            <v>5300</v>
          </cell>
          <cell r="AD1337">
            <v>5596.49</v>
          </cell>
          <cell r="AE1337">
            <v>-296.48999999999978</v>
          </cell>
          <cell r="AN1337" t="str">
            <v xml:space="preserve">Contrato emergencial nº </v>
          </cell>
          <cell r="AO1337" t="str">
            <v>CL</v>
          </cell>
        </row>
        <row r="1338">
          <cell r="D1338" t="str">
            <v>2396/11</v>
          </cell>
          <cell r="E1338" t="str">
            <v>26/09/2011</v>
          </cell>
          <cell r="F1338">
            <v>40991</v>
          </cell>
          <cell r="G1338">
            <v>40877</v>
          </cell>
          <cell r="H1338" t="str">
            <v>2011-0.228.981-3</v>
          </cell>
          <cell r="I1338">
            <v>31418.52</v>
          </cell>
          <cell r="J1338" t="str">
            <v xml:space="preserve">              123611122                  2848                    33903600</v>
          </cell>
          <cell r="K1338" t="str">
            <v>26/09/2011</v>
          </cell>
          <cell r="L1338">
            <v>66</v>
          </cell>
          <cell r="M1338">
            <v>11600</v>
          </cell>
          <cell r="N1338">
            <v>57278</v>
          </cell>
          <cell r="O1338">
            <v>31843</v>
          </cell>
          <cell r="P1338">
            <v>16</v>
          </cell>
          <cell r="Q1338">
            <v>3</v>
          </cell>
          <cell r="T1338">
            <v>939.27499999999998</v>
          </cell>
          <cell r="U1338">
            <v>0</v>
          </cell>
          <cell r="V1338">
            <v>5600</v>
          </cell>
          <cell r="W1338">
            <v>180</v>
          </cell>
          <cell r="X1338">
            <v>4480</v>
          </cell>
          <cell r="Y1338">
            <v>105004</v>
          </cell>
          <cell r="Z1338">
            <v>10660.72</v>
          </cell>
          <cell r="AA1338">
            <v>-580.71999999999935</v>
          </cell>
          <cell r="AB1338">
            <v>174.54733333333334</v>
          </cell>
          <cell r="AC1338">
            <v>5300</v>
          </cell>
          <cell r="AD1338">
            <v>5584.51</v>
          </cell>
          <cell r="AE1338">
            <v>-284.51000000000022</v>
          </cell>
          <cell r="AN1338" t="str">
            <v xml:space="preserve">Contrato emergencial nº </v>
          </cell>
          <cell r="AO1338" t="str">
            <v>CL</v>
          </cell>
        </row>
        <row r="1339">
          <cell r="D1339" t="str">
            <v>2397/11</v>
          </cell>
          <cell r="E1339" t="str">
            <v>26/09/2011</v>
          </cell>
          <cell r="F1339">
            <v>40991</v>
          </cell>
          <cell r="G1339">
            <v>40877</v>
          </cell>
          <cell r="H1339" t="str">
            <v>2011-0.229.039-0</v>
          </cell>
          <cell r="I1339">
            <v>31418.52</v>
          </cell>
          <cell r="J1339" t="str">
            <v xml:space="preserve">              123651121                 2847                    33903600</v>
          </cell>
          <cell r="K1339" t="str">
            <v>26/09/2011</v>
          </cell>
          <cell r="L1339">
            <v>66</v>
          </cell>
          <cell r="M1339">
            <v>11600</v>
          </cell>
          <cell r="N1339">
            <v>57273</v>
          </cell>
          <cell r="O1339">
            <v>31845</v>
          </cell>
          <cell r="P1339">
            <v>16</v>
          </cell>
          <cell r="Q1339">
            <v>2</v>
          </cell>
          <cell r="T1339">
            <v>1185.32666666667</v>
          </cell>
          <cell r="U1339">
            <v>0</v>
          </cell>
          <cell r="V1339">
            <v>6800</v>
          </cell>
          <cell r="W1339">
            <v>180</v>
          </cell>
          <cell r="X1339">
            <v>5440</v>
          </cell>
          <cell r="Y1339">
            <v>105054</v>
          </cell>
          <cell r="Z1339">
            <v>3683.33</v>
          </cell>
          <cell r="AA1339">
            <v>8556.67</v>
          </cell>
          <cell r="AB1339">
            <v>174.54733333333334</v>
          </cell>
          <cell r="AC1339">
            <v>5300</v>
          </cell>
          <cell r="AD1339">
            <v>6798.2100000000009</v>
          </cell>
          <cell r="AE1339">
            <v>-1498.2100000000009</v>
          </cell>
          <cell r="AN1339" t="str">
            <v xml:space="preserve">Contrato emergencial nº </v>
          </cell>
          <cell r="AO1339" t="str">
            <v>CS</v>
          </cell>
        </row>
        <row r="1340">
          <cell r="D1340" t="str">
            <v>2398/11</v>
          </cell>
          <cell r="E1340" t="str">
            <v>26/09/2011</v>
          </cell>
          <cell r="F1340">
            <v>40991</v>
          </cell>
          <cell r="G1340">
            <v>40877</v>
          </cell>
          <cell r="H1340" t="str">
            <v>2011-0.229.128-1</v>
          </cell>
          <cell r="I1340">
            <v>30606.240000000002</v>
          </cell>
          <cell r="J1340" t="str">
            <v xml:space="preserve">              123651121                 2847                    33903600</v>
          </cell>
          <cell r="K1340" t="str">
            <v>26/09/2011</v>
          </cell>
          <cell r="L1340">
            <v>66</v>
          </cell>
          <cell r="M1340">
            <v>11300</v>
          </cell>
          <cell r="N1340">
            <v>57273</v>
          </cell>
          <cell r="O1340">
            <v>31910</v>
          </cell>
          <cell r="P1340">
            <v>16</v>
          </cell>
          <cell r="Q1340">
            <v>2</v>
          </cell>
          <cell r="T1340">
            <v>1034.61333333333</v>
          </cell>
          <cell r="U1340">
            <v>0</v>
          </cell>
          <cell r="V1340">
            <v>5800</v>
          </cell>
          <cell r="W1340">
            <v>180</v>
          </cell>
          <cell r="X1340">
            <v>4640</v>
          </cell>
          <cell r="Y1340">
            <v>105057</v>
          </cell>
          <cell r="Z1340">
            <v>4640.7099999999991</v>
          </cell>
          <cell r="AA1340">
            <v>5799.2900000000009</v>
          </cell>
          <cell r="AB1340">
            <v>170.03466666666668</v>
          </cell>
          <cell r="AC1340">
            <v>5200</v>
          </cell>
          <cell r="AD1340">
            <v>5783.68</v>
          </cell>
          <cell r="AE1340">
            <v>-583.68000000000029</v>
          </cell>
          <cell r="AN1340" t="str">
            <v xml:space="preserve">Contrato emergencial nº </v>
          </cell>
          <cell r="AO1340" t="str">
            <v>CS</v>
          </cell>
        </row>
        <row r="1341">
          <cell r="D1341" t="str">
            <v>2399/11</v>
          </cell>
          <cell r="E1341" t="str">
            <v>26/09/2011</v>
          </cell>
          <cell r="F1341">
            <v>40991</v>
          </cell>
          <cell r="G1341">
            <v>40877</v>
          </cell>
          <cell r="H1341" t="str">
            <v>2011-0.229.134-6</v>
          </cell>
          <cell r="I1341">
            <v>44324.52</v>
          </cell>
          <cell r="J1341" t="str">
            <v xml:space="preserve">              123651121                 2847                    33903600</v>
          </cell>
          <cell r="K1341" t="str">
            <v>26/09/2011</v>
          </cell>
          <cell r="L1341">
            <v>66</v>
          </cell>
          <cell r="M1341">
            <v>16300</v>
          </cell>
          <cell r="N1341">
            <v>57273</v>
          </cell>
          <cell r="O1341">
            <v>31911</v>
          </cell>
          <cell r="P1341">
            <v>16</v>
          </cell>
          <cell r="Q1341">
            <v>2</v>
          </cell>
          <cell r="T1341">
            <v>1220.2366666666701</v>
          </cell>
          <cell r="U1341">
            <v>0</v>
          </cell>
          <cell r="V1341">
            <v>7400</v>
          </cell>
          <cell r="W1341">
            <v>180</v>
          </cell>
          <cell r="X1341">
            <v>5920</v>
          </cell>
          <cell r="Y1341">
            <v>105059</v>
          </cell>
          <cell r="Z1341">
            <v>8033.34</v>
          </cell>
          <cell r="AA1341">
            <v>5286.66</v>
          </cell>
          <cell r="AB1341">
            <v>246.2473333333333</v>
          </cell>
          <cell r="AC1341">
            <v>7400</v>
          </cell>
          <cell r="AD1341">
            <v>7107.92</v>
          </cell>
          <cell r="AE1341">
            <v>292.07999999999993</v>
          </cell>
          <cell r="AN1341" t="str">
            <v xml:space="preserve">Contrato emergencial nº </v>
          </cell>
          <cell r="AO1341" t="str">
            <v>CS</v>
          </cell>
        </row>
        <row r="1342">
          <cell r="D1342" t="str">
            <v>2400/11</v>
          </cell>
          <cell r="E1342" t="str">
            <v>26/09/2011</v>
          </cell>
          <cell r="F1342">
            <v>40991</v>
          </cell>
          <cell r="G1342">
            <v>40877</v>
          </cell>
          <cell r="H1342" t="str">
            <v>2011-0.229.141-9</v>
          </cell>
          <cell r="I1342">
            <v>44324.52</v>
          </cell>
          <cell r="J1342" t="str">
            <v xml:space="preserve">              123611122                  2848                    33903600</v>
          </cell>
          <cell r="K1342" t="str">
            <v>26/09/2011</v>
          </cell>
          <cell r="L1342">
            <v>66</v>
          </cell>
          <cell r="M1342">
            <v>16300</v>
          </cell>
          <cell r="N1342">
            <v>57278</v>
          </cell>
          <cell r="O1342">
            <v>31912</v>
          </cell>
          <cell r="P1342">
            <v>16</v>
          </cell>
          <cell r="Q1342">
            <v>3</v>
          </cell>
          <cell r="T1342">
            <v>1165.6500000000001</v>
          </cell>
          <cell r="U1342">
            <v>0</v>
          </cell>
          <cell r="V1342">
            <v>7400</v>
          </cell>
          <cell r="W1342">
            <v>180</v>
          </cell>
          <cell r="X1342">
            <v>5920</v>
          </cell>
          <cell r="Y1342">
            <v>105061</v>
          </cell>
          <cell r="Z1342">
            <v>8355.4500000000007</v>
          </cell>
          <cell r="AA1342">
            <v>4964.5499999999993</v>
          </cell>
          <cell r="AB1342">
            <v>246.2473333333333</v>
          </cell>
          <cell r="AC1342">
            <v>7400</v>
          </cell>
          <cell r="AD1342">
            <v>6843.4</v>
          </cell>
          <cell r="AE1342">
            <v>556.60000000000036</v>
          </cell>
          <cell r="AN1342" t="str">
            <v xml:space="preserve">Contrato emergencial nº </v>
          </cell>
          <cell r="AO1342" t="str">
            <v>CS</v>
          </cell>
        </row>
        <row r="1343">
          <cell r="D1343" t="str">
            <v>2401/11</v>
          </cell>
          <cell r="E1343" t="str">
            <v>26/09/2011</v>
          </cell>
          <cell r="F1343">
            <v>40991</v>
          </cell>
          <cell r="G1343">
            <v>40877</v>
          </cell>
          <cell r="H1343" t="str">
            <v>2011-0.229.153-2</v>
          </cell>
          <cell r="I1343">
            <v>44324.52</v>
          </cell>
          <cell r="J1343" t="str">
            <v xml:space="preserve">              123611122                  2848                    33903600</v>
          </cell>
          <cell r="K1343" t="str">
            <v>26/09/2011</v>
          </cell>
          <cell r="L1343">
            <v>66</v>
          </cell>
          <cell r="M1343">
            <v>16300</v>
          </cell>
          <cell r="N1343">
            <v>57278</v>
          </cell>
          <cell r="O1343">
            <v>31914</v>
          </cell>
          <cell r="P1343">
            <v>16</v>
          </cell>
          <cell r="Q1343">
            <v>3</v>
          </cell>
          <cell r="T1343">
            <v>1251.0733333333301</v>
          </cell>
          <cell r="U1343">
            <v>0</v>
          </cell>
          <cell r="V1343">
            <v>7400</v>
          </cell>
          <cell r="W1343">
            <v>180</v>
          </cell>
          <cell r="X1343">
            <v>5920</v>
          </cell>
          <cell r="Y1343">
            <v>105067</v>
          </cell>
          <cell r="Z1343">
            <v>7829.99</v>
          </cell>
          <cell r="AA1343">
            <v>5490.01</v>
          </cell>
          <cell r="AB1343">
            <v>246.2473333333333</v>
          </cell>
          <cell r="AC1343">
            <v>7400</v>
          </cell>
          <cell r="AD1343">
            <v>7276.4400000000005</v>
          </cell>
          <cell r="AE1343">
            <v>123.55999999999949</v>
          </cell>
          <cell r="AN1343" t="str">
            <v xml:space="preserve">Contrato emergencial nº </v>
          </cell>
          <cell r="AO1343" t="str">
            <v>CS</v>
          </cell>
        </row>
        <row r="1344">
          <cell r="D1344" t="str">
            <v>2402/11</v>
          </cell>
          <cell r="E1344" t="str">
            <v>26/09/2011</v>
          </cell>
          <cell r="F1344">
            <v>40991</v>
          </cell>
          <cell r="G1344">
            <v>40877</v>
          </cell>
          <cell r="H1344" t="str">
            <v>2011-0.229.159-1</v>
          </cell>
          <cell r="I1344">
            <v>26138.46</v>
          </cell>
          <cell r="J1344" t="str">
            <v xml:space="preserve">              123611122                  2848                    33903600</v>
          </cell>
          <cell r="K1344" t="str">
            <v>26/09/2011</v>
          </cell>
          <cell r="L1344">
            <v>66</v>
          </cell>
          <cell r="M1344">
            <v>9600</v>
          </cell>
          <cell r="N1344">
            <v>57278</v>
          </cell>
          <cell r="O1344">
            <v>31915</v>
          </cell>
          <cell r="P1344">
            <v>16</v>
          </cell>
          <cell r="Q1344">
            <v>3</v>
          </cell>
          <cell r="T1344">
            <v>800</v>
          </cell>
          <cell r="U1344">
            <v>4508.29</v>
          </cell>
          <cell r="V1344">
            <v>4400</v>
          </cell>
          <cell r="W1344">
            <v>180</v>
          </cell>
          <cell r="X1344">
            <v>3520</v>
          </cell>
          <cell r="Y1344">
            <v>105068</v>
          </cell>
          <cell r="Z1344">
            <v>4294.32</v>
          </cell>
          <cell r="AA1344">
            <v>8133.9700000000012</v>
          </cell>
          <cell r="AB1344">
            <v>145.21366666666665</v>
          </cell>
          <cell r="AC1344">
            <v>4400</v>
          </cell>
          <cell r="AD1344">
            <v>3493.9300000000003</v>
          </cell>
          <cell r="AE1344">
            <v>906.06999999999971</v>
          </cell>
          <cell r="AN1344" t="str">
            <v xml:space="preserve">Contrato emergencial nº </v>
          </cell>
          <cell r="AO1344" t="str">
            <v>CS</v>
          </cell>
        </row>
        <row r="1345">
          <cell r="D1345" t="str">
            <v>2403/11</v>
          </cell>
          <cell r="E1345" t="str">
            <v>26/09/2011</v>
          </cell>
          <cell r="F1345">
            <v>40991</v>
          </cell>
          <cell r="G1345">
            <v>40877</v>
          </cell>
          <cell r="H1345" t="str">
            <v>2011-0.229.163-0</v>
          </cell>
          <cell r="I1345">
            <v>44324.52</v>
          </cell>
          <cell r="J1345" t="str">
            <v xml:space="preserve">              123611122                  2848                    33903600</v>
          </cell>
          <cell r="K1345" t="str">
            <v>26/09/2011</v>
          </cell>
          <cell r="L1345">
            <v>66</v>
          </cell>
          <cell r="M1345">
            <v>16300</v>
          </cell>
          <cell r="N1345">
            <v>57278</v>
          </cell>
          <cell r="O1345">
            <v>31916</v>
          </cell>
          <cell r="P1345">
            <v>16</v>
          </cell>
          <cell r="Q1345">
            <v>3</v>
          </cell>
          <cell r="T1345">
            <v>1191.69333333333</v>
          </cell>
          <cell r="U1345">
            <v>0</v>
          </cell>
          <cell r="V1345">
            <v>7400</v>
          </cell>
          <cell r="W1345">
            <v>180</v>
          </cell>
          <cell r="X1345">
            <v>5920</v>
          </cell>
          <cell r="Y1345">
            <v>105070</v>
          </cell>
          <cell r="Z1345">
            <v>8401.17</v>
          </cell>
          <cell r="AA1345">
            <v>4918.83</v>
          </cell>
          <cell r="AB1345">
            <v>246.2473333333333</v>
          </cell>
          <cell r="AC1345">
            <v>7400</v>
          </cell>
          <cell r="AD1345">
            <v>6931.91</v>
          </cell>
          <cell r="AE1345">
            <v>468.09000000000015</v>
          </cell>
          <cell r="AN1345" t="str">
            <v xml:space="preserve">Contrato emergencial nº </v>
          </cell>
          <cell r="AO1345" t="str">
            <v>CS</v>
          </cell>
        </row>
        <row r="1346">
          <cell r="D1346" t="str">
            <v>2404/11</v>
          </cell>
          <cell r="E1346" t="str">
            <v>26/09/2011</v>
          </cell>
          <cell r="F1346">
            <v>40991</v>
          </cell>
          <cell r="G1346">
            <v>40877</v>
          </cell>
          <cell r="H1346" t="str">
            <v>2011-0.229.168-0</v>
          </cell>
          <cell r="I1346">
            <v>37607.879999999997</v>
          </cell>
          <cell r="J1346" t="str">
            <v xml:space="preserve">              123651121                 2847                    33903600</v>
          </cell>
          <cell r="K1346" t="str">
            <v>26/09/2011</v>
          </cell>
          <cell r="L1346">
            <v>66</v>
          </cell>
          <cell r="M1346">
            <v>13800</v>
          </cell>
          <cell r="N1346">
            <v>57273</v>
          </cell>
          <cell r="O1346">
            <v>31917</v>
          </cell>
          <cell r="P1346">
            <v>16</v>
          </cell>
          <cell r="Q1346">
            <v>2</v>
          </cell>
          <cell r="T1346">
            <v>1100</v>
          </cell>
          <cell r="U1346">
            <v>0</v>
          </cell>
          <cell r="V1346">
            <v>6300</v>
          </cell>
          <cell r="W1346">
            <v>180</v>
          </cell>
          <cell r="X1346">
            <v>5040</v>
          </cell>
          <cell r="Y1346">
            <v>105403</v>
          </cell>
          <cell r="Z1346">
            <v>1361.2700000000004</v>
          </cell>
          <cell r="AA1346">
            <v>9978.73</v>
          </cell>
          <cell r="AB1346">
            <v>208.93266666666665</v>
          </cell>
          <cell r="AC1346">
            <v>6300</v>
          </cell>
          <cell r="AD1346">
            <v>5211.84</v>
          </cell>
          <cell r="AE1346">
            <v>1088.1599999999999</v>
          </cell>
          <cell r="AN1346" t="str">
            <v xml:space="preserve">Contrato emergencial nº </v>
          </cell>
          <cell r="AO1346" t="str">
            <v>FO</v>
          </cell>
        </row>
        <row r="1347">
          <cell r="D1347" t="str">
            <v>2405/11</v>
          </cell>
          <cell r="E1347" t="str">
            <v>26/09/2011</v>
          </cell>
          <cell r="F1347">
            <v>40991</v>
          </cell>
          <cell r="G1347">
            <v>40877</v>
          </cell>
          <cell r="H1347" t="str">
            <v>2011-0.230.574-6</v>
          </cell>
          <cell r="I1347">
            <v>37607.879999999997</v>
          </cell>
          <cell r="J1347" t="str">
            <v xml:space="preserve">              123651121                 2847                    33903600</v>
          </cell>
          <cell r="K1347" t="str">
            <v>26/09/2011</v>
          </cell>
          <cell r="L1347">
            <v>66</v>
          </cell>
          <cell r="M1347">
            <v>13800</v>
          </cell>
          <cell r="N1347">
            <v>57273</v>
          </cell>
          <cell r="O1347">
            <v>31919</v>
          </cell>
          <cell r="P1347">
            <v>16</v>
          </cell>
          <cell r="Q1347">
            <v>2</v>
          </cell>
          <cell r="T1347">
            <v>1100</v>
          </cell>
          <cell r="U1347">
            <v>0</v>
          </cell>
          <cell r="V1347">
            <v>6300</v>
          </cell>
          <cell r="W1347">
            <v>180</v>
          </cell>
          <cell r="X1347">
            <v>5040</v>
          </cell>
          <cell r="Y1347">
            <v>105406</v>
          </cell>
          <cell r="Z1347">
            <v>2341.6549999999997</v>
          </cell>
          <cell r="AA1347">
            <v>8998.3450000000012</v>
          </cell>
          <cell r="AB1347">
            <v>208.93266666666665</v>
          </cell>
          <cell r="AC1347">
            <v>6300</v>
          </cell>
          <cell r="AD1347">
            <v>6300</v>
          </cell>
          <cell r="AE1347">
            <v>0</v>
          </cell>
          <cell r="AN1347" t="str">
            <v xml:space="preserve">Contrato emergencial nº </v>
          </cell>
          <cell r="AO1347" t="str">
            <v>FO</v>
          </cell>
        </row>
        <row r="1348">
          <cell r="D1348" t="str">
            <v>2406/11</v>
          </cell>
          <cell r="E1348" t="str">
            <v>26/09/2011</v>
          </cell>
          <cell r="F1348">
            <v>40991</v>
          </cell>
          <cell r="G1348">
            <v>40877</v>
          </cell>
          <cell r="H1348" t="str">
            <v>2011-0.229.642-9</v>
          </cell>
          <cell r="I1348">
            <v>37607.879999999997</v>
          </cell>
          <cell r="J1348" t="str">
            <v xml:space="preserve">              123651121                 2847                    33903600</v>
          </cell>
          <cell r="K1348" t="str">
            <v>26/09/2011</v>
          </cell>
          <cell r="L1348">
            <v>66</v>
          </cell>
          <cell r="M1348">
            <v>13800</v>
          </cell>
          <cell r="N1348">
            <v>57273</v>
          </cell>
          <cell r="O1348">
            <v>31920</v>
          </cell>
          <cell r="P1348">
            <v>16</v>
          </cell>
          <cell r="Q1348">
            <v>2</v>
          </cell>
          <cell r="T1348">
            <v>1100</v>
          </cell>
          <cell r="U1348">
            <v>0</v>
          </cell>
          <cell r="V1348">
            <v>6300</v>
          </cell>
          <cell r="W1348">
            <v>180</v>
          </cell>
          <cell r="X1348">
            <v>5040</v>
          </cell>
          <cell r="Y1348">
            <v>105407</v>
          </cell>
          <cell r="Z1348">
            <v>1747.6599999999999</v>
          </cell>
          <cell r="AA1348">
            <v>9592.34</v>
          </cell>
          <cell r="AB1348">
            <v>208.93266666666665</v>
          </cell>
          <cell r="AC1348">
            <v>6300</v>
          </cell>
          <cell r="AD1348">
            <v>4838.7000000000007</v>
          </cell>
          <cell r="AE1348">
            <v>1461.2999999999993</v>
          </cell>
          <cell r="AN1348" t="str">
            <v xml:space="preserve">Contrato emergencial nº </v>
          </cell>
          <cell r="AO1348" t="str">
            <v>FO</v>
          </cell>
        </row>
        <row r="1349">
          <cell r="D1349" t="str">
            <v>2407/11</v>
          </cell>
          <cell r="E1349" t="str">
            <v>26/09/2011</v>
          </cell>
          <cell r="F1349">
            <v>40991</v>
          </cell>
          <cell r="G1349">
            <v>40877</v>
          </cell>
          <cell r="H1349" t="str">
            <v>2011-0.229.645-3</v>
          </cell>
          <cell r="I1349">
            <v>31824.66</v>
          </cell>
          <cell r="J1349" t="str">
            <v xml:space="preserve">              123651121                 2847                    33903600</v>
          </cell>
          <cell r="K1349" t="str">
            <v>26/09/2011</v>
          </cell>
          <cell r="L1349">
            <v>66</v>
          </cell>
          <cell r="M1349">
            <v>11700</v>
          </cell>
          <cell r="N1349">
            <v>57273</v>
          </cell>
          <cell r="O1349">
            <v>31922</v>
          </cell>
          <cell r="P1349">
            <v>16</v>
          </cell>
          <cell r="Q1349">
            <v>2</v>
          </cell>
          <cell r="T1349">
            <v>900</v>
          </cell>
          <cell r="U1349">
            <v>0</v>
          </cell>
          <cell r="V1349">
            <v>5400</v>
          </cell>
          <cell r="W1349">
            <v>180</v>
          </cell>
          <cell r="X1349">
            <v>4320</v>
          </cell>
          <cell r="Y1349">
            <v>105409</v>
          </cell>
          <cell r="Z1349">
            <v>466.5</v>
          </cell>
          <cell r="AA1349">
            <v>9253.5</v>
          </cell>
          <cell r="AB1349">
            <v>176.80366666666666</v>
          </cell>
          <cell r="AC1349">
            <v>5400</v>
          </cell>
          <cell r="AD1349">
            <v>5400</v>
          </cell>
          <cell r="AE1349">
            <v>0</v>
          </cell>
          <cell r="AN1349" t="str">
            <v xml:space="preserve">Contrato emergencial nº </v>
          </cell>
          <cell r="AO1349" t="str">
            <v>FO</v>
          </cell>
        </row>
        <row r="1350">
          <cell r="D1350" t="str">
            <v>2408/11</v>
          </cell>
          <cell r="E1350" t="str">
            <v>26/09/2011</v>
          </cell>
          <cell r="F1350">
            <v>40991</v>
          </cell>
          <cell r="G1350">
            <v>40877</v>
          </cell>
          <cell r="H1350" t="str">
            <v>2011-0.229.646-1</v>
          </cell>
          <cell r="I1350">
            <v>37607.879999999997</v>
          </cell>
          <cell r="J1350" t="str">
            <v xml:space="preserve">              123611122                  2848                    33903600</v>
          </cell>
          <cell r="K1350" t="str">
            <v>26/09/2011</v>
          </cell>
          <cell r="L1350">
            <v>66</v>
          </cell>
          <cell r="M1350">
            <v>13800</v>
          </cell>
          <cell r="N1350">
            <v>57278</v>
          </cell>
          <cell r="O1350">
            <v>31923</v>
          </cell>
          <cell r="P1350">
            <v>16</v>
          </cell>
          <cell r="Q1350">
            <v>3</v>
          </cell>
          <cell r="T1350">
            <v>1100</v>
          </cell>
          <cell r="U1350">
            <v>0</v>
          </cell>
          <cell r="V1350">
            <v>6300</v>
          </cell>
          <cell r="W1350">
            <v>180</v>
          </cell>
          <cell r="X1350">
            <v>5040</v>
          </cell>
          <cell r="Y1350">
            <v>105411</v>
          </cell>
          <cell r="Z1350">
            <v>439.61000000000058</v>
          </cell>
          <cell r="AA1350">
            <v>10900.39</v>
          </cell>
          <cell r="AB1350">
            <v>208.93266666666665</v>
          </cell>
          <cell r="AC1350">
            <v>6300</v>
          </cell>
          <cell r="AD1350">
            <v>5989.68</v>
          </cell>
          <cell r="AE1350">
            <v>310.31999999999971</v>
          </cell>
          <cell r="AN1350" t="str">
            <v xml:space="preserve">Contrato emergencial nº </v>
          </cell>
          <cell r="AO1350" t="str">
            <v>FO</v>
          </cell>
        </row>
        <row r="1351">
          <cell r="D1351" t="str">
            <v>2410/11</v>
          </cell>
          <cell r="E1351" t="str">
            <v>26/09/2011</v>
          </cell>
          <cell r="F1351">
            <v>40991</v>
          </cell>
          <cell r="G1351">
            <v>40877</v>
          </cell>
          <cell r="H1351" t="str">
            <v>2011-0.229.653-4</v>
          </cell>
          <cell r="I1351">
            <v>36300.300000000003</v>
          </cell>
          <cell r="J1351" t="str">
            <v xml:space="preserve">              123611122                  2848                    33903600</v>
          </cell>
          <cell r="K1351" t="str">
            <v>26/09/2011</v>
          </cell>
          <cell r="L1351">
            <v>66</v>
          </cell>
          <cell r="M1351">
            <v>13400</v>
          </cell>
          <cell r="N1351">
            <v>57278</v>
          </cell>
          <cell r="O1351">
            <v>31927</v>
          </cell>
          <cell r="P1351">
            <v>16</v>
          </cell>
          <cell r="Q1351">
            <v>3</v>
          </cell>
          <cell r="T1351">
            <v>1100</v>
          </cell>
          <cell r="U1351">
            <v>0</v>
          </cell>
          <cell r="V1351">
            <v>6100</v>
          </cell>
          <cell r="W1351">
            <v>180</v>
          </cell>
          <cell r="X1351">
            <v>4880</v>
          </cell>
          <cell r="Y1351">
            <v>105500</v>
          </cell>
          <cell r="Z1351">
            <v>7113.05</v>
          </cell>
          <cell r="AA1351">
            <v>3866.95</v>
          </cell>
          <cell r="AB1351">
            <v>201.66833333333335</v>
          </cell>
          <cell r="AC1351">
            <v>6100</v>
          </cell>
          <cell r="AD1351">
            <v>5570.18</v>
          </cell>
          <cell r="AE1351">
            <v>529.81999999999971</v>
          </cell>
          <cell r="AN1351" t="str">
            <v xml:space="preserve">Contrato emergencial nº </v>
          </cell>
          <cell r="AO1351" t="str">
            <v>G</v>
          </cell>
        </row>
        <row r="1352">
          <cell r="D1352" t="str">
            <v>2411/11</v>
          </cell>
          <cell r="E1352" t="str">
            <v>26/09/2011</v>
          </cell>
          <cell r="F1352">
            <v>40991</v>
          </cell>
          <cell r="G1352">
            <v>40877</v>
          </cell>
          <cell r="H1352" t="str">
            <v>2011-0.229.659-3</v>
          </cell>
          <cell r="I1352">
            <v>43432.800000000003</v>
          </cell>
          <cell r="J1352" t="str">
            <v xml:space="preserve">              123611122                  2848                    33903600</v>
          </cell>
          <cell r="K1352" t="str">
            <v>26/09/2011</v>
          </cell>
          <cell r="L1352">
            <v>66</v>
          </cell>
          <cell r="M1352">
            <v>16000</v>
          </cell>
          <cell r="N1352">
            <v>57278</v>
          </cell>
          <cell r="O1352">
            <v>31929</v>
          </cell>
          <cell r="P1352">
            <v>16</v>
          </cell>
          <cell r="Q1352">
            <v>3</v>
          </cell>
          <cell r="T1352">
            <v>1300</v>
          </cell>
          <cell r="U1352">
            <v>0</v>
          </cell>
          <cell r="V1352">
            <v>7300</v>
          </cell>
          <cell r="W1352">
            <v>180</v>
          </cell>
          <cell r="X1352">
            <v>5840</v>
          </cell>
          <cell r="Y1352">
            <v>105359</v>
          </cell>
          <cell r="Z1352">
            <v>1380.0299999999997</v>
          </cell>
          <cell r="AA1352">
            <v>11759.970000000001</v>
          </cell>
          <cell r="AB1352">
            <v>241.29333333333335</v>
          </cell>
          <cell r="AC1352">
            <v>7300</v>
          </cell>
          <cell r="AD1352">
            <v>6029.4750000000004</v>
          </cell>
          <cell r="AE1352">
            <v>1270.5249999999996</v>
          </cell>
          <cell r="AN1352" t="str">
            <v xml:space="preserve">Contrato emergencial nº </v>
          </cell>
          <cell r="AO1352" t="str">
            <v>MP</v>
          </cell>
        </row>
        <row r="1353">
          <cell r="D1353" t="str">
            <v>2412/11</v>
          </cell>
          <cell r="E1353" t="str">
            <v>26/09/2011</v>
          </cell>
          <cell r="F1353">
            <v>40991</v>
          </cell>
          <cell r="G1353">
            <v>40877</v>
          </cell>
          <cell r="H1353" t="str">
            <v>2011-0.229.666-6</v>
          </cell>
          <cell r="I1353">
            <v>42184.92</v>
          </cell>
          <cell r="J1353" t="str">
            <v xml:space="preserve">             123671125                  2863                   33903600</v>
          </cell>
          <cell r="K1353" t="str">
            <v>26/09/2011</v>
          </cell>
          <cell r="L1353">
            <v>66</v>
          </cell>
          <cell r="M1353">
            <v>15500</v>
          </cell>
          <cell r="N1353">
            <v>57287</v>
          </cell>
          <cell r="O1353">
            <v>31930</v>
          </cell>
          <cell r="P1353">
            <v>16</v>
          </cell>
          <cell r="Q1353">
            <v>4</v>
          </cell>
          <cell r="T1353">
            <v>1200</v>
          </cell>
          <cell r="U1353">
            <v>0</v>
          </cell>
          <cell r="V1353">
            <v>7800</v>
          </cell>
          <cell r="W1353">
            <v>180</v>
          </cell>
          <cell r="X1353">
            <v>6240</v>
          </cell>
          <cell r="Y1353">
            <v>105508</v>
          </cell>
          <cell r="Z1353">
            <v>6249.1</v>
          </cell>
          <cell r="AA1353">
            <v>7790.9</v>
          </cell>
          <cell r="AB1353">
            <v>234.36066666666665</v>
          </cell>
          <cell r="AC1353">
            <v>7100</v>
          </cell>
          <cell r="AD1353">
            <v>7771.5900000000011</v>
          </cell>
          <cell r="AE1353">
            <v>-671.59000000000106</v>
          </cell>
          <cell r="AN1353" t="str">
            <v xml:space="preserve">Contrato emergencial nº </v>
          </cell>
          <cell r="AO1353" t="str">
            <v>G</v>
          </cell>
        </row>
        <row r="1354">
          <cell r="D1354" t="str">
            <v>2413/11</v>
          </cell>
          <cell r="E1354" t="str">
            <v>26/09/2011</v>
          </cell>
          <cell r="F1354">
            <v>40991</v>
          </cell>
          <cell r="G1354">
            <v>40877</v>
          </cell>
          <cell r="H1354" t="str">
            <v>2011-0.229.668-2</v>
          </cell>
          <cell r="I1354">
            <v>31012.38</v>
          </cell>
          <cell r="J1354" t="str">
            <v xml:space="preserve">              123611122                  2848                    33903600</v>
          </cell>
          <cell r="K1354" t="str">
            <v>26/09/2011</v>
          </cell>
          <cell r="L1354">
            <v>66</v>
          </cell>
          <cell r="M1354">
            <v>11400</v>
          </cell>
          <cell r="N1354">
            <v>57278</v>
          </cell>
          <cell r="O1354">
            <v>31932</v>
          </cell>
          <cell r="P1354">
            <v>16</v>
          </cell>
          <cell r="Q1354">
            <v>3</v>
          </cell>
          <cell r="T1354">
            <v>900</v>
          </cell>
          <cell r="U1354">
            <v>0</v>
          </cell>
          <cell r="V1354">
            <v>5600</v>
          </cell>
          <cell r="W1354">
            <v>180</v>
          </cell>
          <cell r="X1354">
            <v>4480</v>
          </cell>
          <cell r="Y1354">
            <v>105692</v>
          </cell>
          <cell r="Z1354">
            <v>4989.92</v>
          </cell>
          <cell r="AA1354">
            <v>5090.08</v>
          </cell>
          <cell r="AB1354">
            <v>172.291</v>
          </cell>
          <cell r="AC1354">
            <v>5200</v>
          </cell>
          <cell r="AD1354">
            <v>5578.2</v>
          </cell>
          <cell r="AE1354">
            <v>-378.19999999999982</v>
          </cell>
          <cell r="AN1354" t="str">
            <v xml:space="preserve">Contrato emergencial nº </v>
          </cell>
          <cell r="AO1354" t="str">
            <v>G</v>
          </cell>
        </row>
        <row r="1355">
          <cell r="D1355" t="str">
            <v>2415/11</v>
          </cell>
          <cell r="E1355" t="str">
            <v>26/09/2011</v>
          </cell>
          <cell r="F1355">
            <v>40991</v>
          </cell>
          <cell r="G1355">
            <v>40877</v>
          </cell>
          <cell r="H1355" t="str">
            <v>2011-0.229.677-1</v>
          </cell>
          <cell r="I1355">
            <v>32379.48</v>
          </cell>
          <cell r="J1355" t="str">
            <v xml:space="preserve">              123611122                  2848                    33903600</v>
          </cell>
          <cell r="K1355" t="str">
            <v>26/09/2011</v>
          </cell>
          <cell r="L1355">
            <v>66</v>
          </cell>
          <cell r="M1355">
            <v>11900</v>
          </cell>
          <cell r="N1355">
            <v>57278</v>
          </cell>
          <cell r="O1355">
            <v>31934</v>
          </cell>
          <cell r="P1355">
            <v>16</v>
          </cell>
          <cell r="Q1355">
            <v>3</v>
          </cell>
          <cell r="T1355">
            <v>900</v>
          </cell>
          <cell r="U1355">
            <v>0</v>
          </cell>
          <cell r="V1355">
            <v>5400</v>
          </cell>
          <cell r="W1355">
            <v>180</v>
          </cell>
          <cell r="X1355">
            <v>4320</v>
          </cell>
          <cell r="Y1355">
            <v>105758</v>
          </cell>
          <cell r="Z1355">
            <v>6551.29</v>
          </cell>
          <cell r="AA1355">
            <v>3168.71</v>
          </cell>
          <cell r="AB1355">
            <v>179.886</v>
          </cell>
          <cell r="AC1355">
            <v>5400</v>
          </cell>
          <cell r="AD1355">
            <v>4603.51</v>
          </cell>
          <cell r="AE1355">
            <v>796.48999999999978</v>
          </cell>
          <cell r="AN1355" t="str">
            <v xml:space="preserve">Contrato emergencial nº </v>
          </cell>
          <cell r="AO1355" t="str">
            <v>IQ</v>
          </cell>
        </row>
        <row r="1356">
          <cell r="D1356" t="str">
            <v>2416/11</v>
          </cell>
          <cell r="E1356" t="str">
            <v>26/09/2011</v>
          </cell>
          <cell r="F1356">
            <v>40991</v>
          </cell>
          <cell r="G1356">
            <v>40877</v>
          </cell>
          <cell r="H1356" t="str">
            <v>2011-0.229.678-0</v>
          </cell>
          <cell r="I1356">
            <v>39569.46</v>
          </cell>
          <cell r="J1356" t="str">
            <v xml:space="preserve">              123651121                 2847                    33903600</v>
          </cell>
          <cell r="K1356" t="str">
            <v>26/09/2011</v>
          </cell>
          <cell r="L1356">
            <v>66</v>
          </cell>
          <cell r="M1356">
            <v>14600</v>
          </cell>
          <cell r="N1356">
            <v>57273</v>
          </cell>
          <cell r="O1356">
            <v>31935</v>
          </cell>
          <cell r="P1356">
            <v>16</v>
          </cell>
          <cell r="Q1356">
            <v>2</v>
          </cell>
          <cell r="T1356">
            <v>1100</v>
          </cell>
          <cell r="U1356">
            <v>0</v>
          </cell>
          <cell r="V1356">
            <v>6600</v>
          </cell>
          <cell r="W1356">
            <v>180</v>
          </cell>
          <cell r="X1356">
            <v>5280</v>
          </cell>
          <cell r="Y1356">
            <v>105244</v>
          </cell>
          <cell r="Z1356">
            <v>6700.96</v>
          </cell>
          <cell r="AA1356">
            <v>5179.04</v>
          </cell>
          <cell r="AB1356">
            <v>219.83033333333333</v>
          </cell>
          <cell r="AC1356">
            <v>6600</v>
          </cell>
          <cell r="AD1356">
            <v>5998.65</v>
          </cell>
          <cell r="AE1356">
            <v>601.35000000000036</v>
          </cell>
          <cell r="AN1356" t="str">
            <v xml:space="preserve">Contrato emergencial nº </v>
          </cell>
          <cell r="AO1356" t="str">
            <v>JT</v>
          </cell>
        </row>
        <row r="1357">
          <cell r="D1357" t="str">
            <v>2417/11</v>
          </cell>
          <cell r="E1357" t="str">
            <v>26/09/2011</v>
          </cell>
          <cell r="F1357">
            <v>40991</v>
          </cell>
          <cell r="G1357">
            <v>40877</v>
          </cell>
          <cell r="H1357" t="str">
            <v>2011-0.229.680-1</v>
          </cell>
          <cell r="I1357">
            <v>36954.120000000003</v>
          </cell>
          <cell r="J1357" t="str">
            <v xml:space="preserve">              123611122                  2848                    33903600</v>
          </cell>
          <cell r="K1357" t="str">
            <v>26/09/2011</v>
          </cell>
          <cell r="L1357">
            <v>66</v>
          </cell>
          <cell r="M1357">
            <v>13600</v>
          </cell>
          <cell r="N1357">
            <v>57278</v>
          </cell>
          <cell r="O1357">
            <v>31939</v>
          </cell>
          <cell r="P1357">
            <v>16</v>
          </cell>
          <cell r="Q1357">
            <v>3</v>
          </cell>
          <cell r="T1357">
            <v>1100</v>
          </cell>
          <cell r="U1357">
            <v>0</v>
          </cell>
          <cell r="V1357">
            <v>6200</v>
          </cell>
          <cell r="W1357">
            <v>180</v>
          </cell>
          <cell r="X1357">
            <v>4960</v>
          </cell>
          <cell r="Y1357">
            <v>105249</v>
          </cell>
          <cell r="Z1357">
            <v>6683.43</v>
          </cell>
          <cell r="AA1357">
            <v>4476.57</v>
          </cell>
          <cell r="AB1357">
            <v>205.30066666666667</v>
          </cell>
          <cell r="AC1357">
            <v>6200</v>
          </cell>
          <cell r="AD1357">
            <v>6006.07</v>
          </cell>
          <cell r="AE1357">
            <v>193.93000000000029</v>
          </cell>
          <cell r="AN1357" t="str">
            <v xml:space="preserve">Contrato emergencial nº </v>
          </cell>
          <cell r="AO1357" t="str">
            <v>JT</v>
          </cell>
        </row>
        <row r="1358">
          <cell r="D1358" t="str">
            <v>2418/11</v>
          </cell>
          <cell r="E1358" t="str">
            <v>26/09/2011</v>
          </cell>
          <cell r="F1358">
            <v>40991</v>
          </cell>
          <cell r="G1358">
            <v>40877</v>
          </cell>
          <cell r="H1358" t="str">
            <v>2011-0.229.684-4</v>
          </cell>
          <cell r="I1358">
            <v>27971.16</v>
          </cell>
          <cell r="J1358" t="str">
            <v xml:space="preserve">              123611122                  2848                    33903600</v>
          </cell>
          <cell r="K1358" t="str">
            <v>26/09/2011</v>
          </cell>
          <cell r="L1358">
            <v>66</v>
          </cell>
          <cell r="M1358">
            <v>10300</v>
          </cell>
          <cell r="N1358">
            <v>57278</v>
          </cell>
          <cell r="O1358">
            <v>31993</v>
          </cell>
          <cell r="P1358">
            <v>16</v>
          </cell>
          <cell r="Q1358">
            <v>3</v>
          </cell>
          <cell r="T1358">
            <v>800</v>
          </cell>
          <cell r="U1358">
            <v>0</v>
          </cell>
          <cell r="V1358">
            <v>4900</v>
          </cell>
          <cell r="W1358">
            <v>180</v>
          </cell>
          <cell r="X1358">
            <v>3920</v>
          </cell>
          <cell r="Y1358">
            <v>105256</v>
          </cell>
          <cell r="Z1358">
            <v>4730.6000000000004</v>
          </cell>
          <cell r="AA1358">
            <v>4089.3999999999996</v>
          </cell>
          <cell r="AB1358">
            <v>155.39533333333333</v>
          </cell>
          <cell r="AC1358">
            <v>4700</v>
          </cell>
          <cell r="AD1358">
            <v>4859.29</v>
          </cell>
          <cell r="AE1358">
            <v>-159.28999999999996</v>
          </cell>
          <cell r="AN1358" t="str">
            <v xml:space="preserve">Contrato emergencial nº </v>
          </cell>
          <cell r="AO1358" t="str">
            <v>JT</v>
          </cell>
        </row>
        <row r="1359">
          <cell r="D1359" t="str">
            <v>2419/11</v>
          </cell>
          <cell r="E1359" t="str">
            <v>26/09/2011</v>
          </cell>
          <cell r="F1359">
            <v>40991</v>
          </cell>
          <cell r="G1359">
            <v>40877</v>
          </cell>
          <cell r="H1359" t="str">
            <v>2011-0.229.688-7</v>
          </cell>
          <cell r="I1359">
            <v>32379.48</v>
          </cell>
          <cell r="J1359" t="str">
            <v xml:space="preserve">              123611122                  2848                    33903600</v>
          </cell>
          <cell r="K1359" t="str">
            <v>26/09/2011</v>
          </cell>
          <cell r="L1359">
            <v>66</v>
          </cell>
          <cell r="M1359">
            <v>11900</v>
          </cell>
          <cell r="N1359">
            <v>57278</v>
          </cell>
          <cell r="O1359">
            <v>31994</v>
          </cell>
          <cell r="P1359">
            <v>16</v>
          </cell>
          <cell r="Q1359">
            <v>3</v>
          </cell>
          <cell r="T1359">
            <v>900</v>
          </cell>
          <cell r="U1359">
            <v>0</v>
          </cell>
          <cell r="V1359">
            <v>5700</v>
          </cell>
          <cell r="W1359">
            <v>180</v>
          </cell>
          <cell r="X1359">
            <v>4560</v>
          </cell>
          <cell r="Y1359">
            <v>105771</v>
          </cell>
          <cell r="Z1359">
            <v>5711.89</v>
          </cell>
          <cell r="AA1359">
            <v>4548.1099999999997</v>
          </cell>
          <cell r="AB1359">
            <v>179.886</v>
          </cell>
          <cell r="AC1359">
            <v>5400</v>
          </cell>
          <cell r="AD1359">
            <v>5637.8599999999988</v>
          </cell>
          <cell r="AE1359">
            <v>-237.85999999999876</v>
          </cell>
          <cell r="AN1359" t="str">
            <v xml:space="preserve">Contrato emergencial nº </v>
          </cell>
          <cell r="AO1359" t="str">
            <v>PE</v>
          </cell>
        </row>
        <row r="1360">
          <cell r="D1360" t="str">
            <v>2420/11</v>
          </cell>
          <cell r="E1360" t="str">
            <v>26/09/2011</v>
          </cell>
          <cell r="F1360">
            <v>40991</v>
          </cell>
          <cell r="G1360">
            <v>40877</v>
          </cell>
          <cell r="H1360" t="str">
            <v>2011-0.229.693-3</v>
          </cell>
          <cell r="I1360">
            <v>30606.240000000002</v>
          </cell>
          <cell r="J1360" t="str">
            <v xml:space="preserve">              123611122                  2848                    33903600</v>
          </cell>
          <cell r="K1360" t="str">
            <v>26/09/2011</v>
          </cell>
          <cell r="L1360">
            <v>66</v>
          </cell>
          <cell r="M1360">
            <v>11300</v>
          </cell>
          <cell r="N1360">
            <v>57278</v>
          </cell>
          <cell r="O1360">
            <v>31995</v>
          </cell>
          <cell r="P1360">
            <v>16</v>
          </cell>
          <cell r="Q1360">
            <v>3</v>
          </cell>
          <cell r="T1360">
            <v>900</v>
          </cell>
          <cell r="U1360">
            <v>0</v>
          </cell>
          <cell r="V1360">
            <v>5200</v>
          </cell>
          <cell r="W1360">
            <v>180</v>
          </cell>
          <cell r="X1360">
            <v>4160</v>
          </cell>
          <cell r="Y1360">
            <v>105775</v>
          </cell>
          <cell r="Z1360">
            <v>6162.38</v>
          </cell>
          <cell r="AA1360">
            <v>3197.62</v>
          </cell>
          <cell r="AB1360">
            <v>170.03466666666668</v>
          </cell>
          <cell r="AC1360">
            <v>5200</v>
          </cell>
          <cell r="AD1360">
            <v>4276.59</v>
          </cell>
          <cell r="AE1360">
            <v>923.40999999999985</v>
          </cell>
          <cell r="AN1360" t="str">
            <v xml:space="preserve">Contrato emergencial nº </v>
          </cell>
          <cell r="AO1360" t="str">
            <v>PE</v>
          </cell>
        </row>
        <row r="1361">
          <cell r="D1361" t="str">
            <v>2421/11</v>
          </cell>
          <cell r="E1361" t="str">
            <v>26/09/2011</v>
          </cell>
          <cell r="F1361">
            <v>40991</v>
          </cell>
          <cell r="G1361">
            <v>40877</v>
          </cell>
          <cell r="H1361" t="str">
            <v>2011-0.229.724-7</v>
          </cell>
          <cell r="I1361">
            <v>27158.880000000001</v>
          </cell>
          <cell r="J1361" t="str">
            <v xml:space="preserve">              123611122                  2848                    33903600</v>
          </cell>
          <cell r="K1361" t="str">
            <v>26/09/2011</v>
          </cell>
          <cell r="L1361">
            <v>66</v>
          </cell>
          <cell r="M1361">
            <v>10000</v>
          </cell>
          <cell r="N1361">
            <v>57278</v>
          </cell>
          <cell r="O1361">
            <v>31996</v>
          </cell>
          <cell r="P1361">
            <v>16</v>
          </cell>
          <cell r="Q1361">
            <v>3</v>
          </cell>
          <cell r="T1361">
            <v>800</v>
          </cell>
          <cell r="U1361">
            <v>0</v>
          </cell>
          <cell r="V1361">
            <v>5200</v>
          </cell>
          <cell r="W1361">
            <v>180</v>
          </cell>
          <cell r="X1361">
            <v>4160</v>
          </cell>
          <cell r="Y1361">
            <v>105759</v>
          </cell>
          <cell r="Z1361">
            <v>4109.95</v>
          </cell>
          <cell r="AA1361">
            <v>5250.05</v>
          </cell>
          <cell r="AB1361">
            <v>150.88266666666667</v>
          </cell>
          <cell r="AC1361">
            <v>4600</v>
          </cell>
          <cell r="AD1361">
            <v>5104.5599999999995</v>
          </cell>
          <cell r="AE1361">
            <v>-504.55999999999949</v>
          </cell>
          <cell r="AN1361" t="str">
            <v xml:space="preserve">Contrato emergencial nº </v>
          </cell>
          <cell r="AO1361" t="str">
            <v>IQ</v>
          </cell>
        </row>
        <row r="1362">
          <cell r="D1362" t="str">
            <v>2422/11</v>
          </cell>
          <cell r="E1362" t="str">
            <v>26/09/2011</v>
          </cell>
          <cell r="F1362">
            <v>40991</v>
          </cell>
          <cell r="G1362">
            <v>40877</v>
          </cell>
          <cell r="H1362" t="str">
            <v>2011-0.229.732-8</v>
          </cell>
          <cell r="I1362">
            <v>36954.120000000003</v>
          </cell>
          <cell r="J1362" t="str">
            <v xml:space="preserve">              123651121                 2847                    33903600</v>
          </cell>
          <cell r="K1362" t="str">
            <v>26/09/2011</v>
          </cell>
          <cell r="L1362">
            <v>66</v>
          </cell>
          <cell r="M1362">
            <v>13600</v>
          </cell>
          <cell r="N1362">
            <v>57273</v>
          </cell>
          <cell r="O1362">
            <v>31998</v>
          </cell>
          <cell r="P1362">
            <v>16</v>
          </cell>
          <cell r="Q1362">
            <v>2</v>
          </cell>
          <cell r="T1362">
            <v>1100</v>
          </cell>
          <cell r="U1362">
            <v>166.78</v>
          </cell>
          <cell r="V1362">
            <v>6200</v>
          </cell>
          <cell r="W1362">
            <v>180</v>
          </cell>
          <cell r="X1362">
            <v>4960</v>
          </cell>
          <cell r="Y1362">
            <v>104885</v>
          </cell>
          <cell r="Z1362">
            <v>6996.76</v>
          </cell>
          <cell r="AA1362">
            <v>4330.0199999999986</v>
          </cell>
          <cell r="AB1362">
            <v>205.30066666666667</v>
          </cell>
          <cell r="AC1362">
            <v>6200</v>
          </cell>
          <cell r="AD1362">
            <v>4899.32</v>
          </cell>
          <cell r="AE1362">
            <v>1300.6800000000003</v>
          </cell>
          <cell r="AN1362" t="str">
            <v xml:space="preserve">Contrato emergencial nº </v>
          </cell>
          <cell r="AO1362" t="str">
            <v>PJ</v>
          </cell>
        </row>
        <row r="1363">
          <cell r="D1363" t="str">
            <v>2423/11</v>
          </cell>
          <cell r="E1363" t="str">
            <v>26/09/2011</v>
          </cell>
          <cell r="F1363">
            <v>40991</v>
          </cell>
          <cell r="G1363">
            <v>40877</v>
          </cell>
          <cell r="H1363" t="str">
            <v>2011-0.229.737-9</v>
          </cell>
          <cell r="I1363">
            <v>43432.800000000003</v>
          </cell>
          <cell r="J1363" t="str">
            <v xml:space="preserve">              123651121                 2847                    33903600</v>
          </cell>
          <cell r="K1363" t="str">
            <v>26/09/2011</v>
          </cell>
          <cell r="L1363">
            <v>66</v>
          </cell>
          <cell r="M1363">
            <v>16000</v>
          </cell>
          <cell r="N1363">
            <v>57273</v>
          </cell>
          <cell r="O1363">
            <v>31999</v>
          </cell>
          <cell r="P1363">
            <v>16</v>
          </cell>
          <cell r="Q1363">
            <v>2</v>
          </cell>
          <cell r="T1363">
            <v>1300</v>
          </cell>
          <cell r="U1363">
            <v>0</v>
          </cell>
          <cell r="V1363">
            <v>7300</v>
          </cell>
          <cell r="W1363">
            <v>180</v>
          </cell>
          <cell r="X1363">
            <v>5840</v>
          </cell>
          <cell r="Y1363">
            <v>104887</v>
          </cell>
          <cell r="Z1363">
            <v>8794.39</v>
          </cell>
          <cell r="AA1363">
            <v>4345.6100000000006</v>
          </cell>
          <cell r="AB1363">
            <v>241.29333333333335</v>
          </cell>
          <cell r="AC1363">
            <v>7300</v>
          </cell>
          <cell r="AD1363">
            <v>6323.28</v>
          </cell>
          <cell r="AE1363">
            <v>976.72000000000025</v>
          </cell>
          <cell r="AN1363" t="str">
            <v xml:space="preserve">Contrato emergencial nº </v>
          </cell>
          <cell r="AO1363" t="str">
            <v>PJ</v>
          </cell>
        </row>
        <row r="1364">
          <cell r="D1364" t="str">
            <v>2424/11</v>
          </cell>
          <cell r="E1364" t="str">
            <v>26/09/2011</v>
          </cell>
          <cell r="F1364">
            <v>40991</v>
          </cell>
          <cell r="G1364">
            <v>40877</v>
          </cell>
          <cell r="H1364" t="str">
            <v>2011-0.229.738-7</v>
          </cell>
          <cell r="I1364">
            <v>36300.300000000003</v>
          </cell>
          <cell r="J1364" t="str">
            <v xml:space="preserve">              123611122                  2848                    33903600</v>
          </cell>
          <cell r="K1364" t="str">
            <v>26/09/2011</v>
          </cell>
          <cell r="L1364">
            <v>66</v>
          </cell>
          <cell r="M1364">
            <v>13400</v>
          </cell>
          <cell r="N1364">
            <v>57278</v>
          </cell>
          <cell r="O1364">
            <v>32000</v>
          </cell>
          <cell r="P1364">
            <v>16</v>
          </cell>
          <cell r="Q1364">
            <v>3</v>
          </cell>
          <cell r="T1364">
            <v>1100</v>
          </cell>
          <cell r="U1364">
            <v>0</v>
          </cell>
          <cell r="V1364">
            <v>6600</v>
          </cell>
          <cell r="W1364">
            <v>180</v>
          </cell>
          <cell r="X1364">
            <v>5280</v>
          </cell>
          <cell r="Y1364">
            <v>104927</v>
          </cell>
          <cell r="Z1364">
            <v>5784.8</v>
          </cell>
          <cell r="AA1364">
            <v>6095.2</v>
          </cell>
          <cell r="AB1364">
            <v>201.66833333333335</v>
          </cell>
          <cell r="AC1364">
            <v>6100</v>
          </cell>
          <cell r="AD1364">
            <v>6595.73</v>
          </cell>
          <cell r="AE1364">
            <v>-495.72999999999956</v>
          </cell>
          <cell r="AN1364" t="str">
            <v xml:space="preserve">Contrato emergencial nº </v>
          </cell>
          <cell r="AO1364" t="str">
            <v>PJ</v>
          </cell>
        </row>
        <row r="1365">
          <cell r="D1365" t="str">
            <v>2425/11</v>
          </cell>
          <cell r="E1365" t="str">
            <v>26/09/2011</v>
          </cell>
          <cell r="F1365">
            <v>40991</v>
          </cell>
          <cell r="G1365">
            <v>40877</v>
          </cell>
          <cell r="H1365" t="str">
            <v>2011-0.229.745-0</v>
          </cell>
          <cell r="I1365">
            <v>40877.160000000003</v>
          </cell>
          <cell r="J1365" t="str">
            <v xml:space="preserve">              123611122                  2848                    33903600</v>
          </cell>
          <cell r="K1365" t="str">
            <v>26/09/2011</v>
          </cell>
          <cell r="L1365">
            <v>66</v>
          </cell>
          <cell r="M1365">
            <v>15000</v>
          </cell>
          <cell r="N1365">
            <v>57278</v>
          </cell>
          <cell r="O1365">
            <v>32002</v>
          </cell>
          <cell r="P1365">
            <v>16</v>
          </cell>
          <cell r="Q1365">
            <v>3</v>
          </cell>
          <cell r="T1365">
            <v>1200</v>
          </cell>
          <cell r="U1365">
            <v>0</v>
          </cell>
          <cell r="V1365">
            <v>6900</v>
          </cell>
          <cell r="W1365">
            <v>180</v>
          </cell>
          <cell r="X1365">
            <v>5520</v>
          </cell>
          <cell r="Y1365">
            <v>104940</v>
          </cell>
          <cell r="Z1365">
            <v>8030.49</v>
          </cell>
          <cell r="AA1365">
            <v>4389.51</v>
          </cell>
          <cell r="AB1365">
            <v>227.09533333333334</v>
          </cell>
          <cell r="AC1365">
            <v>6900</v>
          </cell>
          <cell r="AD1365">
            <v>6058.88</v>
          </cell>
          <cell r="AE1365">
            <v>841.11999999999989</v>
          </cell>
          <cell r="AN1365" t="str">
            <v xml:space="preserve">Contrato emergencial nº </v>
          </cell>
          <cell r="AO1365" t="str">
            <v>PJ</v>
          </cell>
        </row>
        <row r="1366">
          <cell r="D1366" t="str">
            <v>2426/11</v>
          </cell>
          <cell r="E1366" t="str">
            <v>26/09/2011</v>
          </cell>
          <cell r="F1366">
            <v>40991</v>
          </cell>
          <cell r="G1366">
            <v>40877</v>
          </cell>
          <cell r="H1366" t="str">
            <v>2011-0.229.753-0</v>
          </cell>
          <cell r="I1366">
            <v>38261.760000000002</v>
          </cell>
          <cell r="J1366" t="str">
            <v xml:space="preserve">              123611122                  2848                    33903600</v>
          </cell>
          <cell r="K1366" t="str">
            <v>26/09/2011</v>
          </cell>
          <cell r="L1366">
            <v>66</v>
          </cell>
          <cell r="M1366">
            <v>14100</v>
          </cell>
          <cell r="N1366">
            <v>57278</v>
          </cell>
          <cell r="O1366">
            <v>32003</v>
          </cell>
          <cell r="P1366">
            <v>16</v>
          </cell>
          <cell r="Q1366">
            <v>3</v>
          </cell>
          <cell r="T1366">
            <v>1100</v>
          </cell>
          <cell r="U1366">
            <v>0</v>
          </cell>
          <cell r="V1366">
            <v>6400</v>
          </cell>
          <cell r="W1366">
            <v>180</v>
          </cell>
          <cell r="X1366">
            <v>5120</v>
          </cell>
          <cell r="Y1366">
            <v>105062</v>
          </cell>
          <cell r="Z1366">
            <v>6206.9</v>
          </cell>
          <cell r="AA1366">
            <v>5313.1</v>
          </cell>
          <cell r="AB1366">
            <v>212.56533333333334</v>
          </cell>
          <cell r="AC1366">
            <v>6400</v>
          </cell>
          <cell r="AD1366">
            <v>5938.5199999999995</v>
          </cell>
          <cell r="AE1366">
            <v>461.48000000000047</v>
          </cell>
          <cell r="AN1366" t="str">
            <v xml:space="preserve">Contrato emergencial nº </v>
          </cell>
          <cell r="AO1366" t="str">
            <v>PJ</v>
          </cell>
        </row>
        <row r="1367">
          <cell r="D1367" t="str">
            <v>2427/11</v>
          </cell>
          <cell r="E1367" t="str">
            <v>26/09/2011</v>
          </cell>
          <cell r="F1367">
            <v>40991</v>
          </cell>
          <cell r="G1367">
            <v>40877</v>
          </cell>
          <cell r="H1367" t="str">
            <v>2011-0.229.759-0</v>
          </cell>
          <cell r="I1367">
            <v>37607.879999999997</v>
          </cell>
          <cell r="J1367" t="str">
            <v xml:space="preserve">              123651121                 2847                    33903600</v>
          </cell>
          <cell r="K1367" t="str">
            <v>26/09/2011</v>
          </cell>
          <cell r="L1367">
            <v>66</v>
          </cell>
          <cell r="M1367">
            <v>13800</v>
          </cell>
          <cell r="N1367">
            <v>57273</v>
          </cell>
          <cell r="O1367">
            <v>32004</v>
          </cell>
          <cell r="P1367">
            <v>16</v>
          </cell>
          <cell r="Q1367">
            <v>2</v>
          </cell>
          <cell r="T1367">
            <v>1038.16333333333</v>
          </cell>
          <cell r="U1367">
            <v>0</v>
          </cell>
          <cell r="V1367">
            <v>6300</v>
          </cell>
          <cell r="W1367">
            <v>180</v>
          </cell>
          <cell r="X1367">
            <v>5040</v>
          </cell>
          <cell r="Y1367">
            <v>105074</v>
          </cell>
          <cell r="Z1367">
            <v>6772.86</v>
          </cell>
          <cell r="AA1367">
            <v>4567.1400000000003</v>
          </cell>
          <cell r="AB1367">
            <v>208.93266666666665</v>
          </cell>
          <cell r="AC1367">
            <v>6300</v>
          </cell>
          <cell r="AD1367">
            <v>6060.9800000000005</v>
          </cell>
          <cell r="AE1367">
            <v>239.01999999999953</v>
          </cell>
          <cell r="AN1367" t="str">
            <v xml:space="preserve">Contrato emergencial nº </v>
          </cell>
          <cell r="AO1367" t="str">
            <v>CS</v>
          </cell>
        </row>
        <row r="1368">
          <cell r="D1368" t="str">
            <v>2428/11</v>
          </cell>
          <cell r="E1368" t="str">
            <v>26/09/2011</v>
          </cell>
          <cell r="F1368">
            <v>40991</v>
          </cell>
          <cell r="G1368">
            <v>40877</v>
          </cell>
          <cell r="H1368" t="str">
            <v>2011-0.229.766-2</v>
          </cell>
          <cell r="I1368">
            <v>41531.040000000001</v>
          </cell>
          <cell r="J1368" t="str">
            <v xml:space="preserve">              123611122                  2848                    33903600</v>
          </cell>
          <cell r="K1368" t="str">
            <v>26/09/2011</v>
          </cell>
          <cell r="L1368">
            <v>66</v>
          </cell>
          <cell r="M1368">
            <v>15300</v>
          </cell>
          <cell r="N1368">
            <v>57278</v>
          </cell>
          <cell r="O1368">
            <v>32005</v>
          </cell>
          <cell r="P1368">
            <v>16</v>
          </cell>
          <cell r="Q1368">
            <v>3</v>
          </cell>
          <cell r="T1368">
            <v>1200</v>
          </cell>
          <cell r="U1368">
            <v>0</v>
          </cell>
          <cell r="V1368">
            <v>7000</v>
          </cell>
          <cell r="W1368">
            <v>180</v>
          </cell>
          <cell r="X1368">
            <v>5600</v>
          </cell>
          <cell r="Y1368">
            <v>106825</v>
          </cell>
          <cell r="Z1368">
            <v>8712.17</v>
          </cell>
          <cell r="AA1368">
            <v>3887.83</v>
          </cell>
          <cell r="AB1368">
            <v>230.72800000000001</v>
          </cell>
          <cell r="AC1368">
            <v>7000</v>
          </cell>
          <cell r="AD1368">
            <v>7000</v>
          </cell>
          <cell r="AE1368">
            <v>0</v>
          </cell>
          <cell r="AN1368" t="str">
            <v xml:space="preserve">Contrato emergencial nº </v>
          </cell>
          <cell r="AO1368" t="str">
            <v>SA</v>
          </cell>
        </row>
        <row r="1369">
          <cell r="D1369" t="str">
            <v>2429/11</v>
          </cell>
          <cell r="E1369" t="str">
            <v>26/09/2011</v>
          </cell>
          <cell r="F1369">
            <v>40991</v>
          </cell>
          <cell r="G1369">
            <v>40877</v>
          </cell>
          <cell r="H1369" t="str">
            <v>2011-0.229.770-0</v>
          </cell>
          <cell r="I1369">
            <v>37607.879999999997</v>
          </cell>
          <cell r="J1369" t="str">
            <v xml:space="preserve">              123651121                 2847                    33903600</v>
          </cell>
          <cell r="K1369" t="str">
            <v>26/09/2011</v>
          </cell>
          <cell r="L1369">
            <v>66</v>
          </cell>
          <cell r="M1369">
            <v>13800</v>
          </cell>
          <cell r="N1369">
            <v>57273</v>
          </cell>
          <cell r="O1369">
            <v>32007</v>
          </cell>
          <cell r="P1369">
            <v>16</v>
          </cell>
          <cell r="Q1369">
            <v>2</v>
          </cell>
          <cell r="T1369">
            <v>1100</v>
          </cell>
          <cell r="U1369">
            <v>0</v>
          </cell>
          <cell r="V1369">
            <v>6300</v>
          </cell>
          <cell r="W1369">
            <v>180</v>
          </cell>
          <cell r="X1369">
            <v>5040</v>
          </cell>
          <cell r="Y1369">
            <v>106826</v>
          </cell>
          <cell r="Z1369">
            <v>6900.57</v>
          </cell>
          <cell r="AA1369">
            <v>4439.43</v>
          </cell>
          <cell r="AB1369">
            <v>208.93266666666665</v>
          </cell>
          <cell r="AC1369">
            <v>6300</v>
          </cell>
          <cell r="AD1369">
            <v>5956.4250000000002</v>
          </cell>
          <cell r="AE1369">
            <v>343.57499999999982</v>
          </cell>
          <cell r="AN1369" t="str">
            <v xml:space="preserve">Contrato emergencial nº </v>
          </cell>
          <cell r="AO1369" t="str">
            <v>SA</v>
          </cell>
        </row>
        <row r="1370">
          <cell r="D1370" t="str">
            <v>2430/11</v>
          </cell>
          <cell r="E1370" t="str">
            <v>26/09/2011</v>
          </cell>
          <cell r="F1370">
            <v>40991</v>
          </cell>
          <cell r="G1370">
            <v>40877</v>
          </cell>
          <cell r="H1370" t="str">
            <v>2011-0.229.778-6</v>
          </cell>
          <cell r="I1370">
            <v>31012.38</v>
          </cell>
          <cell r="J1370" t="str">
            <v xml:space="preserve">              123611122                  2848                    33903600</v>
          </cell>
          <cell r="K1370" t="str">
            <v>26/09/2011</v>
          </cell>
          <cell r="L1370">
            <v>66</v>
          </cell>
          <cell r="M1370">
            <v>11400</v>
          </cell>
          <cell r="N1370">
            <v>57278</v>
          </cell>
          <cell r="O1370">
            <v>32008</v>
          </cell>
          <cell r="P1370">
            <v>16</v>
          </cell>
          <cell r="Q1370">
            <v>3</v>
          </cell>
          <cell r="T1370">
            <v>900</v>
          </cell>
          <cell r="U1370">
            <v>0</v>
          </cell>
          <cell r="V1370">
            <v>5200</v>
          </cell>
          <cell r="W1370">
            <v>180</v>
          </cell>
          <cell r="X1370">
            <v>4160</v>
          </cell>
          <cell r="Y1370">
            <v>106829</v>
          </cell>
          <cell r="Z1370">
            <v>6507.43</v>
          </cell>
          <cell r="AA1370">
            <v>2852.5699999999997</v>
          </cell>
          <cell r="AB1370">
            <v>172.291</v>
          </cell>
          <cell r="AC1370">
            <v>5200</v>
          </cell>
          <cell r="AD1370">
            <v>4227.8900000000003</v>
          </cell>
          <cell r="AE1370">
            <v>972.10999999999967</v>
          </cell>
          <cell r="AN1370" t="str">
            <v xml:space="preserve">Contrato emergencial nº </v>
          </cell>
          <cell r="AO1370" t="str">
            <v>SA</v>
          </cell>
        </row>
        <row r="1371">
          <cell r="D1371" t="str">
            <v>2431/11</v>
          </cell>
          <cell r="E1371" t="str">
            <v>26/09/2011</v>
          </cell>
          <cell r="F1371">
            <v>40991</v>
          </cell>
          <cell r="G1371">
            <v>40877</v>
          </cell>
          <cell r="H1371" t="str">
            <v>2011-0.229.781-6</v>
          </cell>
          <cell r="I1371">
            <v>31418.52</v>
          </cell>
          <cell r="J1371" t="str">
            <v xml:space="preserve">              123651121                 2847                    33903600</v>
          </cell>
          <cell r="K1371" t="str">
            <v>26/09/2011</v>
          </cell>
          <cell r="L1371">
            <v>66</v>
          </cell>
          <cell r="M1371">
            <v>11600</v>
          </cell>
          <cell r="N1371">
            <v>57273</v>
          </cell>
          <cell r="O1371">
            <v>32010</v>
          </cell>
          <cell r="P1371">
            <v>16</v>
          </cell>
          <cell r="Q1371">
            <v>2</v>
          </cell>
          <cell r="T1371">
            <v>757.62166666666701</v>
          </cell>
          <cell r="U1371">
            <v>0</v>
          </cell>
          <cell r="V1371">
            <v>5300</v>
          </cell>
          <cell r="W1371">
            <v>180</v>
          </cell>
          <cell r="X1371">
            <v>4240</v>
          </cell>
          <cell r="Y1371">
            <v>105619</v>
          </cell>
          <cell r="Z1371">
            <v>5718.32</v>
          </cell>
          <cell r="AA1371">
            <v>3821.6800000000003</v>
          </cell>
          <cell r="AB1371">
            <v>174.54733333333334</v>
          </cell>
          <cell r="AC1371">
            <v>5300</v>
          </cell>
          <cell r="AD1371">
            <v>5160.8599999999997</v>
          </cell>
          <cell r="AE1371">
            <v>139.14000000000033</v>
          </cell>
          <cell r="AN1371" t="str">
            <v xml:space="preserve">Contrato emergencial nº </v>
          </cell>
          <cell r="AO1371" t="str">
            <v>SM</v>
          </cell>
        </row>
        <row r="1372">
          <cell r="D1372" t="str">
            <v>2432/11</v>
          </cell>
          <cell r="E1372" t="str">
            <v>26/09/2011</v>
          </cell>
          <cell r="F1372">
            <v>40991</v>
          </cell>
          <cell r="G1372">
            <v>40877</v>
          </cell>
          <cell r="H1372" t="str">
            <v>2011-0.229.787-5</v>
          </cell>
          <cell r="I1372">
            <v>37607.879999999997</v>
          </cell>
          <cell r="J1372" t="str">
            <v xml:space="preserve">              123651121                 2847                    33903600</v>
          </cell>
          <cell r="K1372" t="str">
            <v>26/09/2011</v>
          </cell>
          <cell r="L1372">
            <v>66</v>
          </cell>
          <cell r="M1372">
            <v>13800</v>
          </cell>
          <cell r="N1372">
            <v>57273</v>
          </cell>
          <cell r="O1372">
            <v>32012</v>
          </cell>
          <cell r="P1372">
            <v>16</v>
          </cell>
          <cell r="Q1372">
            <v>2</v>
          </cell>
          <cell r="T1372">
            <v>1100</v>
          </cell>
          <cell r="U1372">
            <v>0</v>
          </cell>
          <cell r="V1372">
            <v>6300</v>
          </cell>
          <cell r="W1372">
            <v>180</v>
          </cell>
          <cell r="X1372">
            <v>5040</v>
          </cell>
          <cell r="Y1372">
            <v>104913</v>
          </cell>
          <cell r="Z1372">
            <v>7740.88</v>
          </cell>
          <cell r="AA1372">
            <v>3599.12</v>
          </cell>
          <cell r="AB1372">
            <v>208.93266666666665</v>
          </cell>
          <cell r="AC1372">
            <v>6300</v>
          </cell>
          <cell r="AD1372">
            <v>5317.8399999999992</v>
          </cell>
          <cell r="AE1372">
            <v>982.16000000000076</v>
          </cell>
          <cell r="AN1372" t="str">
            <v xml:space="preserve">Contrato emergencial nº </v>
          </cell>
          <cell r="AO1372" t="str">
            <v>PJ</v>
          </cell>
        </row>
        <row r="1373">
          <cell r="D1373" t="str">
            <v>2433/11</v>
          </cell>
          <cell r="E1373" t="str">
            <v>26/09/2011</v>
          </cell>
          <cell r="F1373">
            <v>40991</v>
          </cell>
          <cell r="G1373">
            <v>40877</v>
          </cell>
          <cell r="H1373" t="str">
            <v>2011-0.229.792-1</v>
          </cell>
          <cell r="I1373">
            <v>37607.879999999997</v>
          </cell>
          <cell r="J1373" t="str">
            <v xml:space="preserve">              123611122                  2848                    33903600</v>
          </cell>
          <cell r="K1373" t="str">
            <v>26/09/2011</v>
          </cell>
          <cell r="L1373">
            <v>66</v>
          </cell>
          <cell r="M1373">
            <v>13800</v>
          </cell>
          <cell r="N1373">
            <v>57278</v>
          </cell>
          <cell r="O1373">
            <v>32017</v>
          </cell>
          <cell r="P1373">
            <v>16</v>
          </cell>
          <cell r="Q1373">
            <v>3</v>
          </cell>
          <cell r="T1373">
            <v>1100</v>
          </cell>
          <cell r="U1373">
            <v>0</v>
          </cell>
          <cell r="V1373">
            <v>6300</v>
          </cell>
          <cell r="W1373">
            <v>180</v>
          </cell>
          <cell r="X1373">
            <v>5040</v>
          </cell>
          <cell r="Y1373">
            <v>105696</v>
          </cell>
          <cell r="Z1373">
            <v>7097.56</v>
          </cell>
          <cell r="AA1373">
            <v>4242.4399999999996</v>
          </cell>
          <cell r="AB1373">
            <v>208.93266666666665</v>
          </cell>
          <cell r="AC1373">
            <v>6300</v>
          </cell>
          <cell r="AD1373">
            <v>5643.58</v>
          </cell>
          <cell r="AE1373">
            <v>656.42000000000007</v>
          </cell>
          <cell r="AN1373" t="str">
            <v xml:space="preserve">Contrato emergencial nº </v>
          </cell>
          <cell r="AO1373" t="str">
            <v>G</v>
          </cell>
        </row>
        <row r="1374">
          <cell r="D1374" t="str">
            <v>2434/11</v>
          </cell>
          <cell r="E1374" t="str">
            <v>26/09/2011</v>
          </cell>
          <cell r="F1374">
            <v>40991</v>
          </cell>
          <cell r="G1374">
            <v>40877</v>
          </cell>
          <cell r="H1374" t="str">
            <v>2011-0.229.799-9</v>
          </cell>
          <cell r="I1374">
            <v>44324.52</v>
          </cell>
          <cell r="J1374" t="str">
            <v xml:space="preserve">              123611122                  2848                    33903600</v>
          </cell>
          <cell r="K1374" t="str">
            <v>26/09/2011</v>
          </cell>
          <cell r="L1374">
            <v>66</v>
          </cell>
          <cell r="M1374">
            <v>16300</v>
          </cell>
          <cell r="N1374">
            <v>57278</v>
          </cell>
          <cell r="O1374">
            <v>32018</v>
          </cell>
          <cell r="P1374">
            <v>16</v>
          </cell>
          <cell r="Q1374">
            <v>3</v>
          </cell>
          <cell r="T1374">
            <v>1300</v>
          </cell>
          <cell r="U1374">
            <v>0</v>
          </cell>
          <cell r="V1374">
            <v>7400</v>
          </cell>
          <cell r="W1374">
            <v>180</v>
          </cell>
          <cell r="X1374">
            <v>5920</v>
          </cell>
          <cell r="Y1374">
            <v>105412</v>
          </cell>
          <cell r="Z1374">
            <v>2509.0600000000004</v>
          </cell>
          <cell r="AA1374">
            <v>10810.939999999999</v>
          </cell>
          <cell r="AB1374">
            <v>246.2473333333333</v>
          </cell>
          <cell r="AC1374">
            <v>7400</v>
          </cell>
          <cell r="AD1374">
            <v>6591.7699999999995</v>
          </cell>
          <cell r="AE1374">
            <v>808.23000000000047</v>
          </cell>
          <cell r="AN1374" t="str">
            <v xml:space="preserve">Contrato emergencial nº </v>
          </cell>
          <cell r="AO1374" t="str">
            <v>FO</v>
          </cell>
        </row>
        <row r="1375">
          <cell r="D1375" t="str">
            <v>2435/11</v>
          </cell>
          <cell r="E1375" t="str">
            <v>26/09/2011</v>
          </cell>
          <cell r="F1375">
            <v>40991</v>
          </cell>
          <cell r="G1375">
            <v>40877</v>
          </cell>
          <cell r="H1375" t="str">
            <v>2011-0.229.806-5</v>
          </cell>
          <cell r="I1375">
            <v>21423.119999999999</v>
          </cell>
          <cell r="J1375" t="str">
            <v xml:space="preserve">              123611122                  2848                    33903600</v>
          </cell>
          <cell r="K1375" t="str">
            <v>26/09/2011</v>
          </cell>
          <cell r="L1375">
            <v>66</v>
          </cell>
          <cell r="M1375">
            <v>7900</v>
          </cell>
          <cell r="N1375">
            <v>57278</v>
          </cell>
          <cell r="O1375">
            <v>32019</v>
          </cell>
          <cell r="P1375">
            <v>16</v>
          </cell>
          <cell r="Q1375">
            <v>3</v>
          </cell>
          <cell r="T1375">
            <v>509.196666666667</v>
          </cell>
          <cell r="U1375">
            <v>0</v>
          </cell>
          <cell r="V1375">
            <v>3600</v>
          </cell>
          <cell r="W1375">
            <v>180</v>
          </cell>
          <cell r="X1375">
            <v>2880</v>
          </cell>
          <cell r="Y1375">
            <v>105236</v>
          </cell>
          <cell r="Z1375">
            <v>4528.12</v>
          </cell>
          <cell r="AA1375">
            <v>1951.88</v>
          </cell>
          <cell r="AB1375">
            <v>119.01733333333333</v>
          </cell>
          <cell r="AC1375">
            <v>3600</v>
          </cell>
          <cell r="AD1375">
            <v>2920.4300000000003</v>
          </cell>
          <cell r="AE1375">
            <v>679.56999999999971</v>
          </cell>
          <cell r="AN1375" t="str">
            <v xml:space="preserve">Contrato emergencial nº </v>
          </cell>
          <cell r="AO1375" t="str">
            <v>IP</v>
          </cell>
        </row>
        <row r="1376">
          <cell r="D1376" t="str">
            <v>2436/11</v>
          </cell>
          <cell r="E1376" t="str">
            <v>26/09/2011</v>
          </cell>
          <cell r="F1376">
            <v>40991</v>
          </cell>
          <cell r="G1376">
            <v>40877</v>
          </cell>
          <cell r="H1376" t="str">
            <v>2011-0.229.808-1</v>
          </cell>
          <cell r="I1376">
            <v>40877.160000000003</v>
          </cell>
          <cell r="J1376" t="str">
            <v xml:space="preserve">              123611122                  2848                    33903600</v>
          </cell>
          <cell r="K1376" t="str">
            <v>26/09/2011</v>
          </cell>
          <cell r="L1376">
            <v>66</v>
          </cell>
          <cell r="M1376">
            <v>15000</v>
          </cell>
          <cell r="N1376">
            <v>57278</v>
          </cell>
          <cell r="O1376">
            <v>32021</v>
          </cell>
          <cell r="P1376">
            <v>16</v>
          </cell>
          <cell r="Q1376">
            <v>3</v>
          </cell>
          <cell r="T1376">
            <v>824.34166666666704</v>
          </cell>
          <cell r="U1376">
            <v>0</v>
          </cell>
          <cell r="V1376">
            <v>6900</v>
          </cell>
          <cell r="W1376">
            <v>180</v>
          </cell>
          <cell r="X1376">
            <v>5520</v>
          </cell>
          <cell r="Y1376">
            <v>105022</v>
          </cell>
          <cell r="Z1376">
            <v>14175.66</v>
          </cell>
          <cell r="AA1376">
            <v>-1755.6599999999999</v>
          </cell>
          <cell r="AB1376">
            <v>227.09533333333334</v>
          </cell>
          <cell r="AC1376">
            <v>6900</v>
          </cell>
          <cell r="AD1376">
            <v>4620.7700000000004</v>
          </cell>
          <cell r="AE1376">
            <v>2279.2299999999996</v>
          </cell>
          <cell r="AN1376" t="str">
            <v xml:space="preserve">Contrato emergencial nº </v>
          </cell>
          <cell r="AO1376" t="str">
            <v>CL</v>
          </cell>
        </row>
        <row r="1377">
          <cell r="D1377" t="str">
            <v>2437/11</v>
          </cell>
          <cell r="E1377" t="str">
            <v>26/09/2011</v>
          </cell>
          <cell r="F1377">
            <v>40991</v>
          </cell>
          <cell r="G1377">
            <v>40877</v>
          </cell>
          <cell r="H1377" t="str">
            <v>2011-0.229.822-7</v>
          </cell>
          <cell r="I1377">
            <v>31012.38</v>
          </cell>
          <cell r="J1377" t="str">
            <v xml:space="preserve">              123611122                  2848                    33903600</v>
          </cell>
          <cell r="K1377" t="str">
            <v>26/09/2011</v>
          </cell>
          <cell r="L1377">
            <v>66</v>
          </cell>
          <cell r="M1377">
            <v>11400</v>
          </cell>
          <cell r="N1377">
            <v>57278</v>
          </cell>
          <cell r="O1377">
            <v>32022</v>
          </cell>
          <cell r="P1377">
            <v>16</v>
          </cell>
          <cell r="Q1377">
            <v>3</v>
          </cell>
          <cell r="T1377">
            <v>900</v>
          </cell>
          <cell r="U1377">
            <v>0</v>
          </cell>
          <cell r="V1377">
            <v>6100</v>
          </cell>
          <cell r="W1377">
            <v>180</v>
          </cell>
          <cell r="X1377">
            <v>4880</v>
          </cell>
          <cell r="Y1377">
            <v>104970</v>
          </cell>
          <cell r="Z1377">
            <v>3948.07</v>
          </cell>
          <cell r="AA1377">
            <v>7031.93</v>
          </cell>
          <cell r="AB1377">
            <v>172.291</v>
          </cell>
          <cell r="AC1377">
            <v>5200</v>
          </cell>
          <cell r="AD1377">
            <v>6003.11</v>
          </cell>
          <cell r="AE1377">
            <v>-803.10999999999967</v>
          </cell>
          <cell r="AN1377" t="str">
            <v xml:space="preserve">Contrato emergencial nº </v>
          </cell>
          <cell r="AO1377" t="str">
            <v>PJ</v>
          </cell>
        </row>
        <row r="1378">
          <cell r="D1378" t="str">
            <v>2438/11</v>
          </cell>
          <cell r="E1378" t="str">
            <v>26/09/2011</v>
          </cell>
          <cell r="F1378">
            <v>40991</v>
          </cell>
          <cell r="G1378">
            <v>40877</v>
          </cell>
          <cell r="H1378" t="str">
            <v>2011-0.229.832-4</v>
          </cell>
          <cell r="I1378">
            <v>43016.82</v>
          </cell>
          <cell r="J1378" t="str">
            <v xml:space="preserve">              123651121                 2847                    33903600</v>
          </cell>
          <cell r="K1378" t="str">
            <v>26/09/2011</v>
          </cell>
          <cell r="L1378">
            <v>66</v>
          </cell>
          <cell r="M1378">
            <v>15800</v>
          </cell>
          <cell r="N1378">
            <v>57273</v>
          </cell>
          <cell r="O1378">
            <v>32023</v>
          </cell>
          <cell r="P1378">
            <v>16</v>
          </cell>
          <cell r="Q1378">
            <v>2</v>
          </cell>
          <cell r="T1378">
            <v>1200</v>
          </cell>
          <cell r="U1378">
            <v>0</v>
          </cell>
          <cell r="V1378">
            <v>7200</v>
          </cell>
          <cell r="W1378">
            <v>180</v>
          </cell>
          <cell r="X1378">
            <v>5760</v>
          </cell>
          <cell r="Y1378">
            <v>105698</v>
          </cell>
          <cell r="Z1378">
            <v>8179.94</v>
          </cell>
          <cell r="AA1378">
            <v>4780.0600000000004</v>
          </cell>
          <cell r="AB1378">
            <v>238.98233333333334</v>
          </cell>
          <cell r="AC1378">
            <v>7200</v>
          </cell>
          <cell r="AD1378">
            <v>6550.91</v>
          </cell>
          <cell r="AE1378">
            <v>649.09000000000015</v>
          </cell>
          <cell r="AN1378" t="str">
            <v xml:space="preserve">Contrato emergencial nº </v>
          </cell>
          <cell r="AO1378" t="str">
            <v>G</v>
          </cell>
        </row>
        <row r="1379">
          <cell r="D1379" t="str">
            <v>2439/11</v>
          </cell>
          <cell r="E1379" t="str">
            <v>26/09/2011</v>
          </cell>
          <cell r="F1379">
            <v>40991</v>
          </cell>
          <cell r="G1379">
            <v>40877</v>
          </cell>
          <cell r="H1379" t="str">
            <v>2011-0.229.838-3</v>
          </cell>
          <cell r="I1379">
            <v>38915.58</v>
          </cell>
          <cell r="J1379" t="str">
            <v xml:space="preserve">              123651121                 2847                    33903600</v>
          </cell>
          <cell r="K1379" t="str">
            <v>26/09/2011</v>
          </cell>
          <cell r="L1379">
            <v>66</v>
          </cell>
          <cell r="M1379">
            <v>14300</v>
          </cell>
          <cell r="N1379">
            <v>57273</v>
          </cell>
          <cell r="O1379">
            <v>32025</v>
          </cell>
          <cell r="P1379">
            <v>16</v>
          </cell>
          <cell r="Q1379">
            <v>2</v>
          </cell>
          <cell r="T1379">
            <v>1100</v>
          </cell>
          <cell r="U1379">
            <v>0</v>
          </cell>
          <cell r="V1379">
            <v>6500</v>
          </cell>
          <cell r="W1379">
            <v>180</v>
          </cell>
          <cell r="X1379">
            <v>5200</v>
          </cell>
          <cell r="Y1379">
            <v>106832</v>
          </cell>
          <cell r="Z1379">
            <v>7560.04</v>
          </cell>
          <cell r="AA1379">
            <v>4139.96</v>
          </cell>
          <cell r="AB1379">
            <v>216.19766666666666</v>
          </cell>
          <cell r="AC1379">
            <v>6500</v>
          </cell>
          <cell r="AD1379">
            <v>5830.6049999999987</v>
          </cell>
          <cell r="AE1379">
            <v>669.39500000000135</v>
          </cell>
          <cell r="AN1379" t="str">
            <v xml:space="preserve">Contrato emergencial nº </v>
          </cell>
          <cell r="AO1379" t="str">
            <v>SA</v>
          </cell>
        </row>
        <row r="1380">
          <cell r="D1380" t="str">
            <v>2441/11</v>
          </cell>
          <cell r="E1380" t="str">
            <v>27/09/2011</v>
          </cell>
          <cell r="F1380">
            <v>40992</v>
          </cell>
          <cell r="G1380">
            <v>40877</v>
          </cell>
          <cell r="H1380" t="str">
            <v>2011-0.229.871-5</v>
          </cell>
          <cell r="I1380">
            <v>25633.26</v>
          </cell>
          <cell r="J1380" t="str">
            <v xml:space="preserve">              123651121                 2847                    33903600</v>
          </cell>
          <cell r="K1380" t="str">
            <v>27/09/2011</v>
          </cell>
          <cell r="L1380">
            <v>65</v>
          </cell>
          <cell r="M1380">
            <v>9300</v>
          </cell>
          <cell r="N1380">
            <v>57273</v>
          </cell>
          <cell r="O1380">
            <v>32026</v>
          </cell>
          <cell r="P1380">
            <v>16</v>
          </cell>
          <cell r="Q1380">
            <v>2</v>
          </cell>
          <cell r="T1380">
            <v>455.79866666666697</v>
          </cell>
          <cell r="U1380">
            <v>0</v>
          </cell>
          <cell r="V1380">
            <v>4300</v>
          </cell>
          <cell r="W1380">
            <v>180</v>
          </cell>
          <cell r="X1380">
            <v>3440</v>
          </cell>
          <cell r="Y1380">
            <v>105238</v>
          </cell>
          <cell r="Z1380">
            <v>5550.71</v>
          </cell>
          <cell r="AA1380">
            <v>2189.29</v>
          </cell>
          <cell r="AB1380">
            <v>142.40699999999998</v>
          </cell>
          <cell r="AC1380">
            <v>4300</v>
          </cell>
          <cell r="AD1380">
            <v>3330.9900000000002</v>
          </cell>
          <cell r="AE1380">
            <v>969.00999999999976</v>
          </cell>
          <cell r="AN1380" t="str">
            <v xml:space="preserve">Contrato emergencial nº </v>
          </cell>
          <cell r="AO1380" t="str">
            <v>IP</v>
          </cell>
        </row>
        <row r="1381">
          <cell r="D1381" t="str">
            <v>2442/11</v>
          </cell>
          <cell r="E1381" t="str">
            <v>26/09/2011</v>
          </cell>
          <cell r="F1381">
            <v>40991</v>
          </cell>
          <cell r="G1381">
            <v>40877</v>
          </cell>
          <cell r="H1381" t="str">
            <v>2011-0.229.879-0</v>
          </cell>
          <cell r="I1381">
            <v>21373.56</v>
          </cell>
          <cell r="J1381" t="str">
            <v xml:space="preserve">              123651121                 2847                    33903600</v>
          </cell>
          <cell r="K1381" t="str">
            <v>26/09/2011</v>
          </cell>
          <cell r="L1381">
            <v>66</v>
          </cell>
          <cell r="M1381">
            <v>7900</v>
          </cell>
          <cell r="N1381">
            <v>57273</v>
          </cell>
          <cell r="O1381">
            <v>32027</v>
          </cell>
          <cell r="P1381">
            <v>16</v>
          </cell>
          <cell r="Q1381">
            <v>2</v>
          </cell>
          <cell r="T1381">
            <v>707.14499999999998</v>
          </cell>
          <cell r="U1381">
            <v>0</v>
          </cell>
          <cell r="V1381">
            <v>4200</v>
          </cell>
          <cell r="W1381">
            <v>180</v>
          </cell>
          <cell r="X1381">
            <v>3360</v>
          </cell>
          <cell r="Y1381">
            <v>105030</v>
          </cell>
          <cell r="Z1381">
            <v>7192.85</v>
          </cell>
          <cell r="AA1381">
            <v>367.14999999999964</v>
          </cell>
          <cell r="AB1381">
            <v>118.742</v>
          </cell>
          <cell r="AC1381">
            <v>3600</v>
          </cell>
          <cell r="AD1381">
            <v>4102.5199999999995</v>
          </cell>
          <cell r="AE1381">
            <v>-502.51999999999953</v>
          </cell>
          <cell r="AN1381" t="str">
            <v xml:space="preserve">Contrato emergencial nº </v>
          </cell>
          <cell r="AO1381" t="str">
            <v>CL</v>
          </cell>
        </row>
        <row r="1382">
          <cell r="D1382" t="str">
            <v>2443/11</v>
          </cell>
          <cell r="E1382" t="str">
            <v>26/09/2011</v>
          </cell>
          <cell r="F1382">
            <v>40991</v>
          </cell>
          <cell r="G1382">
            <v>40877</v>
          </cell>
          <cell r="H1382" t="str">
            <v>2011-0.229.883-9</v>
          </cell>
          <cell r="I1382">
            <v>33241.32</v>
          </cell>
          <cell r="J1382" t="str">
            <v xml:space="preserve">              123611122                  2848                    33903600</v>
          </cell>
          <cell r="K1382" t="str">
            <v>26/09/2011</v>
          </cell>
          <cell r="L1382">
            <v>66</v>
          </cell>
          <cell r="M1382">
            <v>12200</v>
          </cell>
          <cell r="N1382">
            <v>57278</v>
          </cell>
          <cell r="O1382">
            <v>32028</v>
          </cell>
          <cell r="P1382">
            <v>16</v>
          </cell>
          <cell r="Q1382">
            <v>3</v>
          </cell>
          <cell r="T1382">
            <v>903.93</v>
          </cell>
          <cell r="U1382">
            <v>0</v>
          </cell>
          <cell r="V1382">
            <v>5600</v>
          </cell>
          <cell r="W1382">
            <v>180</v>
          </cell>
          <cell r="X1382">
            <v>4480</v>
          </cell>
          <cell r="Y1382">
            <v>105075</v>
          </cell>
          <cell r="Z1382">
            <v>6078.73</v>
          </cell>
          <cell r="AA1382">
            <v>4001.2700000000004</v>
          </cell>
          <cell r="AB1382">
            <v>184.67400000000001</v>
          </cell>
          <cell r="AC1382">
            <v>5600</v>
          </cell>
          <cell r="AD1382">
            <v>5231.58</v>
          </cell>
          <cell r="AE1382">
            <v>368.42000000000007</v>
          </cell>
          <cell r="AN1382" t="str">
            <v xml:space="preserve">Contrato emergencial nº </v>
          </cell>
          <cell r="AO1382" t="str">
            <v>CS</v>
          </cell>
        </row>
        <row r="1383">
          <cell r="D1383" t="str">
            <v>2444/11</v>
          </cell>
          <cell r="E1383" t="str">
            <v>26/09/2011</v>
          </cell>
          <cell r="F1383">
            <v>40991</v>
          </cell>
          <cell r="G1383">
            <v>40877</v>
          </cell>
          <cell r="H1383" t="str">
            <v>2011-0.228.868-0</v>
          </cell>
          <cell r="I1383">
            <v>32022.78</v>
          </cell>
          <cell r="J1383" t="str">
            <v xml:space="preserve">              123611122                  2848                    33903600</v>
          </cell>
          <cell r="K1383" t="str">
            <v>26/09/2011</v>
          </cell>
          <cell r="L1383">
            <v>66</v>
          </cell>
          <cell r="M1383">
            <v>11800</v>
          </cell>
          <cell r="N1383">
            <v>57278</v>
          </cell>
          <cell r="O1383">
            <v>32029</v>
          </cell>
          <cell r="P1383">
            <v>16</v>
          </cell>
          <cell r="Q1383">
            <v>3</v>
          </cell>
          <cell r="T1383">
            <v>900</v>
          </cell>
          <cell r="U1383">
            <v>0</v>
          </cell>
          <cell r="V1383">
            <v>5400</v>
          </cell>
          <cell r="W1383">
            <v>180</v>
          </cell>
          <cell r="X1383">
            <v>4320</v>
          </cell>
          <cell r="Y1383">
            <v>105263</v>
          </cell>
          <cell r="Z1383">
            <v>5907.97</v>
          </cell>
          <cell r="AA1383">
            <v>3812.0299999999997</v>
          </cell>
          <cell r="AB1383">
            <v>177.90433333333334</v>
          </cell>
          <cell r="AC1383">
            <v>5400</v>
          </cell>
          <cell r="AD1383">
            <v>5090.0900000000011</v>
          </cell>
          <cell r="AE1383">
            <v>309.90999999999894</v>
          </cell>
          <cell r="AN1383" t="str">
            <v xml:space="preserve">Contrato emergencial nº </v>
          </cell>
          <cell r="AO1383" t="str">
            <v>JT</v>
          </cell>
        </row>
        <row r="1384">
          <cell r="D1384" t="str">
            <v>2446/11</v>
          </cell>
          <cell r="E1384" t="str">
            <v>26/09/2011</v>
          </cell>
          <cell r="F1384">
            <v>40991</v>
          </cell>
          <cell r="G1384">
            <v>40877</v>
          </cell>
          <cell r="H1384" t="str">
            <v>2011-0.228.877-9</v>
          </cell>
          <cell r="I1384">
            <v>44978.400000000001</v>
          </cell>
          <cell r="J1384" t="str">
            <v xml:space="preserve">              123611122                  2848                    33903600</v>
          </cell>
          <cell r="K1384" t="str">
            <v>26/09/2011</v>
          </cell>
          <cell r="L1384">
            <v>66</v>
          </cell>
          <cell r="M1384">
            <v>16500</v>
          </cell>
          <cell r="N1384">
            <v>57278</v>
          </cell>
          <cell r="O1384">
            <v>32031</v>
          </cell>
          <cell r="P1384">
            <v>16</v>
          </cell>
          <cell r="Q1384">
            <v>3</v>
          </cell>
          <cell r="T1384">
            <v>1300</v>
          </cell>
          <cell r="U1384">
            <v>0</v>
          </cell>
          <cell r="V1384">
            <v>7500</v>
          </cell>
          <cell r="W1384">
            <v>180</v>
          </cell>
          <cell r="X1384">
            <v>6000</v>
          </cell>
          <cell r="Y1384">
            <v>105761</v>
          </cell>
          <cell r="Z1384">
            <v>8693</v>
          </cell>
          <cell r="AA1384">
            <v>4807</v>
          </cell>
          <cell r="AB1384">
            <v>249.88</v>
          </cell>
          <cell r="AC1384">
            <v>7500</v>
          </cell>
          <cell r="AD1384">
            <v>6672.380000000001</v>
          </cell>
          <cell r="AE1384">
            <v>827.61999999999898</v>
          </cell>
          <cell r="AN1384" t="str">
            <v xml:space="preserve">Contrato emergencial nº </v>
          </cell>
          <cell r="AO1384" t="str">
            <v>IQ</v>
          </cell>
        </row>
        <row r="1385">
          <cell r="D1385" t="str">
            <v>2447/11</v>
          </cell>
          <cell r="E1385" t="str">
            <v>26/09/2011</v>
          </cell>
          <cell r="F1385">
            <v>40991</v>
          </cell>
          <cell r="G1385">
            <v>40877</v>
          </cell>
          <cell r="H1385" t="str">
            <v>2011-0.228.885-0</v>
          </cell>
          <cell r="I1385">
            <v>38261.760000000002</v>
          </cell>
          <cell r="J1385" t="str">
            <v xml:space="preserve">              123651121                 2847                    33903600</v>
          </cell>
          <cell r="K1385" t="str">
            <v>26/09/2011</v>
          </cell>
          <cell r="L1385">
            <v>66</v>
          </cell>
          <cell r="M1385">
            <v>14100</v>
          </cell>
          <cell r="N1385">
            <v>57273</v>
          </cell>
          <cell r="O1385">
            <v>32058</v>
          </cell>
          <cell r="P1385">
            <v>16</v>
          </cell>
          <cell r="Q1385">
            <v>2</v>
          </cell>
          <cell r="T1385">
            <v>1186.2916666666699</v>
          </cell>
          <cell r="U1385">
            <v>0</v>
          </cell>
          <cell r="V1385">
            <v>6700</v>
          </cell>
          <cell r="W1385">
            <v>180</v>
          </cell>
          <cell r="X1385">
            <v>5360</v>
          </cell>
          <cell r="Y1385">
            <v>105039</v>
          </cell>
          <cell r="Z1385">
            <v>12913.71</v>
          </cell>
          <cell r="AA1385">
            <v>-853.70999999999913</v>
          </cell>
          <cell r="AB1385">
            <v>212.56533333333334</v>
          </cell>
          <cell r="AC1385">
            <v>6400</v>
          </cell>
          <cell r="AD1385">
            <v>6693.1500000000005</v>
          </cell>
          <cell r="AE1385">
            <v>-293.15000000000055</v>
          </cell>
          <cell r="AN1385" t="str">
            <v xml:space="preserve">Contrato emergencial nº </v>
          </cell>
          <cell r="AO1385" t="str">
            <v>CL</v>
          </cell>
        </row>
        <row r="1386">
          <cell r="D1386" t="str">
            <v>2448/11</v>
          </cell>
          <cell r="E1386" t="str">
            <v>27/09/2011</v>
          </cell>
          <cell r="F1386">
            <v>40992</v>
          </cell>
          <cell r="G1386">
            <v>40877</v>
          </cell>
          <cell r="H1386" t="str">
            <v>2011-0.228.891-4</v>
          </cell>
          <cell r="I1386">
            <v>31418.52</v>
          </cell>
          <cell r="J1386" t="str">
            <v xml:space="preserve">              123651121                 2847                    33903600</v>
          </cell>
          <cell r="K1386" t="str">
            <v>27/09/2011</v>
          </cell>
          <cell r="L1386">
            <v>65</v>
          </cell>
          <cell r="M1386">
            <v>11400</v>
          </cell>
          <cell r="N1386">
            <v>57273</v>
          </cell>
          <cell r="O1386">
            <v>32059</v>
          </cell>
          <cell r="P1386">
            <v>16</v>
          </cell>
          <cell r="Q1386">
            <v>2</v>
          </cell>
          <cell r="T1386">
            <v>699.838666666667</v>
          </cell>
          <cell r="U1386">
            <v>0</v>
          </cell>
          <cell r="V1386">
            <v>5500</v>
          </cell>
          <cell r="W1386">
            <v>180</v>
          </cell>
          <cell r="X1386">
            <v>4400</v>
          </cell>
          <cell r="Y1386">
            <v>105623</v>
          </cell>
          <cell r="Z1386">
            <v>11400</v>
          </cell>
          <cell r="AA1386">
            <v>-1500</v>
          </cell>
          <cell r="AB1386">
            <v>174.54733333333334</v>
          </cell>
          <cell r="AC1386">
            <v>5300</v>
          </cell>
          <cell r="AD1386">
            <v>5497.59</v>
          </cell>
          <cell r="AE1386">
            <v>-197.59000000000015</v>
          </cell>
          <cell r="AN1386" t="str">
            <v xml:space="preserve">Contrato emergencial nº </v>
          </cell>
          <cell r="AO1386" t="str">
            <v>SM</v>
          </cell>
        </row>
        <row r="1387">
          <cell r="D1387" t="str">
            <v>2449/11</v>
          </cell>
          <cell r="E1387" t="str">
            <v>26/09/2011</v>
          </cell>
          <cell r="F1387">
            <v>40991</v>
          </cell>
          <cell r="G1387">
            <v>40877</v>
          </cell>
          <cell r="H1387" t="str">
            <v>2011-0.228.895-7</v>
          </cell>
          <cell r="I1387">
            <v>30606.240000000002</v>
          </cell>
          <cell r="J1387" t="str">
            <v xml:space="preserve">              123611122                  2848                    33903600</v>
          </cell>
          <cell r="K1387" t="str">
            <v>26/09/2011</v>
          </cell>
          <cell r="L1387">
            <v>66</v>
          </cell>
          <cell r="M1387">
            <v>11300</v>
          </cell>
          <cell r="N1387">
            <v>57278</v>
          </cell>
          <cell r="O1387">
            <v>32060</v>
          </cell>
          <cell r="P1387">
            <v>16</v>
          </cell>
          <cell r="Q1387">
            <v>3</v>
          </cell>
          <cell r="T1387">
            <v>772.34333333333302</v>
          </cell>
          <cell r="U1387">
            <v>0</v>
          </cell>
          <cell r="V1387">
            <v>5200</v>
          </cell>
          <cell r="W1387">
            <v>180</v>
          </cell>
          <cell r="X1387">
            <v>4160</v>
          </cell>
          <cell r="Y1387">
            <v>105047</v>
          </cell>
          <cell r="Z1387">
            <v>10527.66</v>
          </cell>
          <cell r="AA1387">
            <v>-1167.6599999999999</v>
          </cell>
          <cell r="AB1387">
            <v>170.03466666666668</v>
          </cell>
          <cell r="AC1387">
            <v>5200</v>
          </cell>
          <cell r="AD1387">
            <v>4393.7299999999996</v>
          </cell>
          <cell r="AE1387">
            <v>806.27000000000044</v>
          </cell>
          <cell r="AN1387" t="str">
            <v xml:space="preserve">Contrato emergencial nº </v>
          </cell>
          <cell r="AO1387" t="str">
            <v>CL</v>
          </cell>
        </row>
        <row r="1388">
          <cell r="D1388" t="str">
            <v>2450/11</v>
          </cell>
          <cell r="E1388" t="str">
            <v>26/09/2011</v>
          </cell>
          <cell r="F1388">
            <v>40991</v>
          </cell>
          <cell r="G1388">
            <v>40877</v>
          </cell>
          <cell r="H1388" t="str">
            <v>2011-0.228.904-0</v>
          </cell>
          <cell r="I1388">
            <v>37607.879999999997</v>
          </cell>
          <cell r="J1388" t="str">
            <v xml:space="preserve">              123611122                  2848                    33903600</v>
          </cell>
          <cell r="K1388" t="str">
            <v>26/09/2011</v>
          </cell>
          <cell r="L1388">
            <v>66</v>
          </cell>
          <cell r="M1388">
            <v>13800</v>
          </cell>
          <cell r="N1388">
            <v>57278</v>
          </cell>
          <cell r="O1388">
            <v>32061</v>
          </cell>
          <cell r="P1388">
            <v>16</v>
          </cell>
          <cell r="Q1388">
            <v>3</v>
          </cell>
          <cell r="T1388">
            <v>840.54</v>
          </cell>
          <cell r="U1388">
            <v>0</v>
          </cell>
          <cell r="V1388">
            <v>6300</v>
          </cell>
          <cell r="W1388">
            <v>180</v>
          </cell>
          <cell r="X1388">
            <v>5040</v>
          </cell>
          <cell r="Y1388">
            <v>105078</v>
          </cell>
          <cell r="Z1388">
            <v>8056.4699999999993</v>
          </cell>
          <cell r="AA1388">
            <v>3283.5300000000007</v>
          </cell>
          <cell r="AB1388">
            <v>208.93266666666665</v>
          </cell>
          <cell r="AC1388">
            <v>6300</v>
          </cell>
          <cell r="AD1388">
            <v>4941.24</v>
          </cell>
          <cell r="AE1388">
            <v>1358.7600000000002</v>
          </cell>
          <cell r="AN1388" t="str">
            <v xml:space="preserve">Contrato emergencial nº </v>
          </cell>
          <cell r="AO1388" t="str">
            <v>CS</v>
          </cell>
        </row>
        <row r="1389">
          <cell r="D1389" t="str">
            <v>2451/11</v>
          </cell>
          <cell r="E1389" t="str">
            <v>26/09/2011</v>
          </cell>
          <cell r="F1389">
            <v>40991</v>
          </cell>
          <cell r="G1389">
            <v>40877</v>
          </cell>
          <cell r="H1389" t="str">
            <v>2011-0.228.911-2</v>
          </cell>
          <cell r="I1389">
            <v>44978.400000000001</v>
          </cell>
          <cell r="J1389" t="str">
            <v xml:space="preserve">              123651121                 2847                    33903600</v>
          </cell>
          <cell r="K1389" t="str">
            <v>26/09/2011</v>
          </cell>
          <cell r="L1389">
            <v>66</v>
          </cell>
          <cell r="M1389">
            <v>16500</v>
          </cell>
          <cell r="N1389">
            <v>57273</v>
          </cell>
          <cell r="O1389">
            <v>32064</v>
          </cell>
          <cell r="P1389">
            <v>16</v>
          </cell>
          <cell r="Q1389">
            <v>2</v>
          </cell>
          <cell r="T1389">
            <v>1190.6400000000001</v>
          </cell>
          <cell r="U1389">
            <v>0</v>
          </cell>
          <cell r="V1389">
            <v>7500</v>
          </cell>
          <cell r="W1389">
            <v>180</v>
          </cell>
          <cell r="X1389">
            <v>6000</v>
          </cell>
          <cell r="Y1389">
            <v>105080</v>
          </cell>
          <cell r="Z1389">
            <v>8676.4380000000001</v>
          </cell>
          <cell r="AA1389">
            <v>4823.5619999999999</v>
          </cell>
          <cell r="AB1389">
            <v>249.88</v>
          </cell>
          <cell r="AC1389">
            <v>7500</v>
          </cell>
          <cell r="AD1389">
            <v>6978.84</v>
          </cell>
          <cell r="AE1389">
            <v>521.15999999999985</v>
          </cell>
          <cell r="AN1389" t="str">
            <v xml:space="preserve">Contrato emergencial nº </v>
          </cell>
          <cell r="AO1389" t="str">
            <v>CS</v>
          </cell>
        </row>
        <row r="1390">
          <cell r="D1390" t="str">
            <v>2452/11</v>
          </cell>
          <cell r="E1390" t="str">
            <v>26/09/2011</v>
          </cell>
          <cell r="F1390">
            <v>40991</v>
          </cell>
          <cell r="G1390">
            <v>40877</v>
          </cell>
          <cell r="H1390" t="str">
            <v>2011-0.228.922-8</v>
          </cell>
          <cell r="I1390">
            <v>31012.38</v>
          </cell>
          <cell r="J1390" t="str">
            <v xml:space="preserve">              123611122                  2848                    33903600</v>
          </cell>
          <cell r="K1390" t="str">
            <v>26/09/2011</v>
          </cell>
          <cell r="L1390">
            <v>66</v>
          </cell>
          <cell r="M1390">
            <v>11400</v>
          </cell>
          <cell r="N1390">
            <v>57278</v>
          </cell>
          <cell r="O1390">
            <v>32065</v>
          </cell>
          <cell r="P1390">
            <v>16</v>
          </cell>
          <cell r="Q1390">
            <v>3</v>
          </cell>
          <cell r="T1390">
            <v>1029.0250000000001</v>
          </cell>
          <cell r="U1390">
            <v>0</v>
          </cell>
          <cell r="V1390">
            <v>5600</v>
          </cell>
          <cell r="W1390">
            <v>180</v>
          </cell>
          <cell r="X1390">
            <v>4480</v>
          </cell>
          <cell r="Y1390">
            <v>105065</v>
          </cell>
          <cell r="Z1390">
            <v>10370.969999999999</v>
          </cell>
          <cell r="AA1390">
            <v>-290.96999999999935</v>
          </cell>
          <cell r="AB1390">
            <v>172.291</v>
          </cell>
          <cell r="AC1390">
            <v>5200</v>
          </cell>
          <cell r="AD1390">
            <v>5510.4</v>
          </cell>
          <cell r="AE1390">
            <v>-310.39999999999964</v>
          </cell>
          <cell r="AN1390" t="str">
            <v xml:space="preserve">Contrato emergencial nº </v>
          </cell>
          <cell r="AO1390" t="str">
            <v>CL</v>
          </cell>
        </row>
        <row r="1391">
          <cell r="D1391" t="str">
            <v>2453/11</v>
          </cell>
          <cell r="E1391" t="str">
            <v>26/09/2011</v>
          </cell>
          <cell r="F1391">
            <v>40991</v>
          </cell>
          <cell r="G1391">
            <v>40877</v>
          </cell>
          <cell r="H1391" t="str">
            <v>2011-0.228.930-9</v>
          </cell>
          <cell r="I1391">
            <v>44324.52</v>
          </cell>
          <cell r="J1391" t="str">
            <v xml:space="preserve">              123611122                  2848                    33903600</v>
          </cell>
          <cell r="K1391" t="str">
            <v>26/09/2011</v>
          </cell>
          <cell r="L1391">
            <v>66</v>
          </cell>
          <cell r="M1391">
            <v>16300</v>
          </cell>
          <cell r="N1391">
            <v>57278</v>
          </cell>
          <cell r="O1391">
            <v>32069</v>
          </cell>
          <cell r="P1391">
            <v>16</v>
          </cell>
          <cell r="Q1391">
            <v>3</v>
          </cell>
          <cell r="T1391">
            <v>1337.7366666666701</v>
          </cell>
          <cell r="U1391">
            <v>0</v>
          </cell>
          <cell r="V1391">
            <v>7700</v>
          </cell>
          <cell r="W1391">
            <v>180</v>
          </cell>
          <cell r="X1391">
            <v>6160</v>
          </cell>
          <cell r="Y1391">
            <v>105082</v>
          </cell>
          <cell r="Z1391">
            <v>7496.84</v>
          </cell>
          <cell r="AA1391">
            <v>6363.16</v>
          </cell>
          <cell r="AB1391">
            <v>246.2473333333333</v>
          </cell>
          <cell r="AC1391">
            <v>7400</v>
          </cell>
          <cell r="AD1391">
            <v>7669.42</v>
          </cell>
          <cell r="AE1391">
            <v>-269.42000000000007</v>
          </cell>
          <cell r="AN1391" t="str">
            <v xml:space="preserve">Contrato emergencial nº </v>
          </cell>
          <cell r="AO1391" t="str">
            <v>CS</v>
          </cell>
        </row>
        <row r="1392">
          <cell r="D1392" t="str">
            <v>2454/11</v>
          </cell>
          <cell r="E1392" t="str">
            <v>26/09/2011</v>
          </cell>
          <cell r="F1392">
            <v>40991</v>
          </cell>
          <cell r="G1392">
            <v>40877</v>
          </cell>
          <cell r="H1392" t="str">
            <v>2011-0.228.936-8</v>
          </cell>
          <cell r="I1392">
            <v>40223.339999999997</v>
          </cell>
          <cell r="J1392" t="str">
            <v xml:space="preserve">              123651121                 2847                    33903600</v>
          </cell>
          <cell r="K1392" t="str">
            <v>26/09/2011</v>
          </cell>
          <cell r="L1392">
            <v>66</v>
          </cell>
          <cell r="M1392">
            <v>14800</v>
          </cell>
          <cell r="N1392">
            <v>57273</v>
          </cell>
          <cell r="O1392">
            <v>32176</v>
          </cell>
          <cell r="P1392">
            <v>16</v>
          </cell>
          <cell r="Q1392">
            <v>2</v>
          </cell>
          <cell r="T1392">
            <v>1113.3150000000001</v>
          </cell>
          <cell r="U1392">
            <v>0</v>
          </cell>
          <cell r="V1392">
            <v>6800</v>
          </cell>
          <cell r="W1392">
            <v>180</v>
          </cell>
          <cell r="X1392">
            <v>5440</v>
          </cell>
          <cell r="Y1392">
            <v>105088</v>
          </cell>
          <cell r="Z1392">
            <v>7276.29</v>
          </cell>
          <cell r="AA1392">
            <v>4963.71</v>
          </cell>
          <cell r="AB1392">
            <v>223.46299999999999</v>
          </cell>
          <cell r="AC1392">
            <v>6800</v>
          </cell>
          <cell r="AD1392">
            <v>6483.8900000000012</v>
          </cell>
          <cell r="AE1392">
            <v>316.10999999999876</v>
          </cell>
          <cell r="AN1392" t="str">
            <v xml:space="preserve">Contrato emergencial nº </v>
          </cell>
          <cell r="AO1392" t="str">
            <v>CS</v>
          </cell>
        </row>
        <row r="1393">
          <cell r="D1393" t="str">
            <v>2455/11</v>
          </cell>
          <cell r="E1393" t="str">
            <v>26/09/2011</v>
          </cell>
          <cell r="F1393">
            <v>40991</v>
          </cell>
          <cell r="G1393">
            <v>40877</v>
          </cell>
          <cell r="H1393" t="str">
            <v>2011-0.228.944-9</v>
          </cell>
          <cell r="I1393">
            <v>44324.52</v>
          </cell>
          <cell r="J1393" t="str">
            <v xml:space="preserve">              123651121                 2847                    33903600</v>
          </cell>
          <cell r="K1393" t="str">
            <v>26/09/2011</v>
          </cell>
          <cell r="L1393">
            <v>66</v>
          </cell>
          <cell r="M1393">
            <v>16300</v>
          </cell>
          <cell r="N1393">
            <v>57273</v>
          </cell>
          <cell r="O1393">
            <v>32177</v>
          </cell>
          <cell r="P1393">
            <v>16</v>
          </cell>
          <cell r="Q1393">
            <v>2</v>
          </cell>
          <cell r="T1393">
            <v>1061.4666666666701</v>
          </cell>
          <cell r="U1393">
            <v>0</v>
          </cell>
          <cell r="V1393">
            <v>7400</v>
          </cell>
          <cell r="W1393">
            <v>180</v>
          </cell>
          <cell r="X1393">
            <v>5920</v>
          </cell>
          <cell r="Y1393">
            <v>105090</v>
          </cell>
          <cell r="Z1393">
            <v>9135.85</v>
          </cell>
          <cell r="AA1393">
            <v>4184.1499999999996</v>
          </cell>
          <cell r="AB1393">
            <v>246.2473333333333</v>
          </cell>
          <cell r="AC1393">
            <v>7400</v>
          </cell>
          <cell r="AD1393">
            <v>6073.17</v>
          </cell>
          <cell r="AE1393">
            <v>1326.83</v>
          </cell>
          <cell r="AN1393" t="str">
            <v xml:space="preserve">Contrato emergencial nº </v>
          </cell>
          <cell r="AO1393" t="str">
            <v>CS</v>
          </cell>
        </row>
        <row r="1394">
          <cell r="D1394" t="str">
            <v>2456/11</v>
          </cell>
          <cell r="E1394" t="str">
            <v>26/09/2011</v>
          </cell>
          <cell r="F1394">
            <v>40991</v>
          </cell>
          <cell r="G1394">
            <v>40877</v>
          </cell>
          <cell r="H1394" t="str">
            <v>2011-0.228.948-1</v>
          </cell>
          <cell r="I1394">
            <v>44324.52</v>
          </cell>
          <cell r="J1394" t="str">
            <v xml:space="preserve">              123651121                 2847                    33903600</v>
          </cell>
          <cell r="K1394" t="str">
            <v>26/09/2011</v>
          </cell>
          <cell r="L1394">
            <v>66</v>
          </cell>
          <cell r="M1394">
            <v>16300</v>
          </cell>
          <cell r="N1394">
            <v>57273</v>
          </cell>
          <cell r="O1394">
            <v>32178</v>
          </cell>
          <cell r="P1394">
            <v>16</v>
          </cell>
          <cell r="Q1394">
            <v>2</v>
          </cell>
          <cell r="T1394">
            <v>1006.7766666666701</v>
          </cell>
          <cell r="U1394">
            <v>0</v>
          </cell>
          <cell r="V1394">
            <v>7400</v>
          </cell>
          <cell r="W1394">
            <v>180</v>
          </cell>
          <cell r="X1394">
            <v>5920</v>
          </cell>
          <cell r="Y1394">
            <v>105093</v>
          </cell>
          <cell r="Z1394">
            <v>9450.56</v>
          </cell>
          <cell r="AA1394">
            <v>3869.4400000000005</v>
          </cell>
          <cell r="AB1394">
            <v>246.2473333333333</v>
          </cell>
          <cell r="AC1394">
            <v>7400</v>
          </cell>
          <cell r="AD1394">
            <v>5896.66</v>
          </cell>
          <cell r="AE1394">
            <v>1503.3400000000001</v>
          </cell>
          <cell r="AN1394" t="str">
            <v xml:space="preserve">Contrato emergencial nº </v>
          </cell>
          <cell r="AO1394" t="str">
            <v>CS</v>
          </cell>
        </row>
        <row r="1395">
          <cell r="D1395" t="str">
            <v>2457/11</v>
          </cell>
          <cell r="E1395" t="str">
            <v>26/09/2011</v>
          </cell>
          <cell r="F1395">
            <v>40991</v>
          </cell>
          <cell r="G1395">
            <v>40877</v>
          </cell>
          <cell r="H1395" t="str">
            <v>2011-0.228.955-4</v>
          </cell>
          <cell r="I1395">
            <v>31012.38</v>
          </cell>
          <cell r="J1395" t="str">
            <v xml:space="preserve">              123651121                 2847                    33903600</v>
          </cell>
          <cell r="K1395" t="str">
            <v>26/09/2011</v>
          </cell>
          <cell r="L1395">
            <v>66</v>
          </cell>
          <cell r="M1395">
            <v>11400</v>
          </cell>
          <cell r="N1395">
            <v>57273</v>
          </cell>
          <cell r="O1395">
            <v>32179</v>
          </cell>
          <cell r="P1395">
            <v>16</v>
          </cell>
          <cell r="Q1395">
            <v>2</v>
          </cell>
          <cell r="T1395">
            <v>841.41166666666697</v>
          </cell>
          <cell r="U1395">
            <v>0</v>
          </cell>
          <cell r="V1395">
            <v>5200</v>
          </cell>
          <cell r="W1395">
            <v>180</v>
          </cell>
          <cell r="X1395">
            <v>4160</v>
          </cell>
          <cell r="Y1395">
            <v>105096</v>
          </cell>
          <cell r="Z1395">
            <v>5689.62</v>
          </cell>
          <cell r="AA1395">
            <v>3670.38</v>
          </cell>
          <cell r="AB1395">
            <v>172.291</v>
          </cell>
          <cell r="AC1395">
            <v>5200</v>
          </cell>
          <cell r="AD1395">
            <v>4872.59</v>
          </cell>
          <cell r="AE1395">
            <v>327.40999999999985</v>
          </cell>
          <cell r="AN1395" t="str">
            <v xml:space="preserve">Contrato emergencial nº </v>
          </cell>
          <cell r="AO1395" t="str">
            <v>CS</v>
          </cell>
        </row>
        <row r="1396">
          <cell r="D1396" t="str">
            <v>2458/11</v>
          </cell>
          <cell r="E1396" t="str">
            <v>26/09/2011</v>
          </cell>
          <cell r="F1396">
            <v>40991</v>
          </cell>
          <cell r="G1396">
            <v>40877</v>
          </cell>
          <cell r="H1396" t="str">
            <v>2011-0.228.959-7</v>
          </cell>
          <cell r="I1396">
            <v>44324.52</v>
          </cell>
          <cell r="J1396" t="str">
            <v xml:space="preserve">              123651121                 2847                    33903600</v>
          </cell>
          <cell r="K1396" t="str">
            <v>26/09/2011</v>
          </cell>
          <cell r="L1396">
            <v>66</v>
          </cell>
          <cell r="M1396">
            <v>16300</v>
          </cell>
          <cell r="N1396">
            <v>57273</v>
          </cell>
          <cell r="O1396">
            <v>32181</v>
          </cell>
          <cell r="P1396">
            <v>16</v>
          </cell>
          <cell r="Q1396">
            <v>2</v>
          </cell>
          <cell r="T1396">
            <v>1003.2333333333301</v>
          </cell>
          <cell r="U1396">
            <v>0</v>
          </cell>
          <cell r="V1396">
            <v>7400</v>
          </cell>
          <cell r="W1396">
            <v>180</v>
          </cell>
          <cell r="X1396">
            <v>5920</v>
          </cell>
          <cell r="Y1396">
            <v>105098</v>
          </cell>
          <cell r="Z1396">
            <v>9514.3700000000008</v>
          </cell>
          <cell r="AA1396">
            <v>3805.6299999999992</v>
          </cell>
          <cell r="AB1396">
            <v>246.2473333333333</v>
          </cell>
          <cell r="AC1396">
            <v>7400</v>
          </cell>
          <cell r="AD1396">
            <v>5931.28</v>
          </cell>
          <cell r="AE1396">
            <v>1468.7200000000003</v>
          </cell>
          <cell r="AN1396" t="str">
            <v xml:space="preserve">Contrato emergencial nº </v>
          </cell>
          <cell r="AO1396" t="str">
            <v>CS</v>
          </cell>
        </row>
        <row r="1397">
          <cell r="D1397" t="str">
            <v>2459/11</v>
          </cell>
          <cell r="E1397" t="str">
            <v>26/09/2011</v>
          </cell>
          <cell r="F1397">
            <v>40991</v>
          </cell>
          <cell r="G1397">
            <v>40877</v>
          </cell>
          <cell r="H1397" t="str">
            <v>2011-0.228.965-1</v>
          </cell>
          <cell r="I1397">
            <v>44324.52</v>
          </cell>
          <cell r="J1397" t="str">
            <v xml:space="preserve">              123651121                 2847                    33903600</v>
          </cell>
          <cell r="K1397" t="str">
            <v>26/09/2011</v>
          </cell>
          <cell r="L1397">
            <v>66</v>
          </cell>
          <cell r="M1397">
            <v>16300</v>
          </cell>
          <cell r="N1397">
            <v>57273</v>
          </cell>
          <cell r="O1397">
            <v>32182</v>
          </cell>
          <cell r="P1397">
            <v>16</v>
          </cell>
          <cell r="Q1397">
            <v>2</v>
          </cell>
          <cell r="T1397">
            <v>955.63</v>
          </cell>
          <cell r="U1397">
            <v>0</v>
          </cell>
          <cell r="V1397">
            <v>7400</v>
          </cell>
          <cell r="W1397">
            <v>180</v>
          </cell>
          <cell r="X1397">
            <v>5920</v>
          </cell>
          <cell r="Y1397">
            <v>105100</v>
          </cell>
          <cell r="Z1397">
            <v>9700.59</v>
          </cell>
          <cell r="AA1397">
            <v>3619.41</v>
          </cell>
          <cell r="AB1397">
            <v>246.2473333333333</v>
          </cell>
          <cell r="AC1397">
            <v>7400</v>
          </cell>
          <cell r="AD1397">
            <v>5670.7800000000007</v>
          </cell>
          <cell r="AE1397">
            <v>1729.2199999999993</v>
          </cell>
          <cell r="AN1397" t="str">
            <v xml:space="preserve">Contrato emergencial nº </v>
          </cell>
          <cell r="AO1397" t="str">
            <v>CS</v>
          </cell>
        </row>
        <row r="1398">
          <cell r="D1398" t="str">
            <v>2460/11</v>
          </cell>
          <cell r="E1398" t="str">
            <v>26/09/2011</v>
          </cell>
          <cell r="F1398">
            <v>40991</v>
          </cell>
          <cell r="G1398">
            <v>40877</v>
          </cell>
          <cell r="H1398" t="str">
            <v>2011-0.228.969-4</v>
          </cell>
          <cell r="I1398">
            <v>44324.52</v>
          </cell>
          <cell r="J1398" t="str">
            <v xml:space="preserve">              123611122                  2848                    33903600</v>
          </cell>
          <cell r="K1398" t="str">
            <v>26/09/2011</v>
          </cell>
          <cell r="L1398">
            <v>66</v>
          </cell>
          <cell r="M1398">
            <v>16300</v>
          </cell>
          <cell r="N1398">
            <v>57278</v>
          </cell>
          <cell r="O1398">
            <v>32183</v>
          </cell>
          <cell r="P1398">
            <v>16</v>
          </cell>
          <cell r="Q1398">
            <v>3</v>
          </cell>
          <cell r="T1398">
            <v>1190.54666666667</v>
          </cell>
          <cell r="U1398">
            <v>0</v>
          </cell>
          <cell r="V1398">
            <v>7400</v>
          </cell>
          <cell r="W1398">
            <v>180</v>
          </cell>
          <cell r="X1398">
            <v>5920</v>
          </cell>
          <cell r="Y1398">
            <v>105102</v>
          </cell>
          <cell r="Z1398">
            <v>8218.67</v>
          </cell>
          <cell r="AA1398">
            <v>5101.33</v>
          </cell>
          <cell r="AB1398">
            <v>246.2473333333333</v>
          </cell>
          <cell r="AC1398">
            <v>7400</v>
          </cell>
          <cell r="AD1398">
            <v>7009.54</v>
          </cell>
          <cell r="AE1398">
            <v>390.46000000000004</v>
          </cell>
          <cell r="AN1398" t="str">
            <v xml:space="preserve">Contrato emergencial nº </v>
          </cell>
          <cell r="AO1398" t="str">
            <v>CS</v>
          </cell>
        </row>
        <row r="1399">
          <cell r="D1399" t="str">
            <v>2461/11</v>
          </cell>
          <cell r="E1399" t="str">
            <v>26/09/2011</v>
          </cell>
          <cell r="F1399">
            <v>40991</v>
          </cell>
          <cell r="G1399">
            <v>40877</v>
          </cell>
          <cell r="H1399" t="str">
            <v>2011-0.228.973-2</v>
          </cell>
          <cell r="I1399">
            <v>43670.7</v>
          </cell>
          <cell r="J1399" t="str">
            <v xml:space="preserve">              123611122                  2848                    33903600</v>
          </cell>
          <cell r="K1399" t="str">
            <v>26/09/2011</v>
          </cell>
          <cell r="L1399">
            <v>66</v>
          </cell>
          <cell r="M1399">
            <v>16100</v>
          </cell>
          <cell r="N1399">
            <v>57278</v>
          </cell>
          <cell r="O1399">
            <v>32185</v>
          </cell>
          <cell r="P1399">
            <v>16</v>
          </cell>
          <cell r="Q1399">
            <v>3</v>
          </cell>
          <cell r="T1399">
            <v>1100.44166666667</v>
          </cell>
          <cell r="U1399">
            <v>0</v>
          </cell>
          <cell r="V1399">
            <v>7300</v>
          </cell>
          <cell r="W1399">
            <v>180</v>
          </cell>
          <cell r="X1399">
            <v>5840</v>
          </cell>
          <cell r="Y1399">
            <v>105104</v>
          </cell>
          <cell r="Z1399">
            <v>8714.41</v>
          </cell>
          <cell r="AA1399">
            <v>4425.59</v>
          </cell>
          <cell r="AB1399">
            <v>242.61499999999998</v>
          </cell>
          <cell r="AC1399">
            <v>7300</v>
          </cell>
          <cell r="AD1399">
            <v>6380.4</v>
          </cell>
          <cell r="AE1399">
            <v>919.60000000000036</v>
          </cell>
          <cell r="AN1399" t="str">
            <v xml:space="preserve">Contrato emergencial nº </v>
          </cell>
          <cell r="AO1399" t="str">
            <v>CS</v>
          </cell>
        </row>
        <row r="1400">
          <cell r="D1400" t="str">
            <v>2462/11</v>
          </cell>
          <cell r="E1400" t="str">
            <v>26/09/2011</v>
          </cell>
          <cell r="F1400">
            <v>40991</v>
          </cell>
          <cell r="G1400">
            <v>40877</v>
          </cell>
          <cell r="H1400" t="str">
            <v>2011-0.228.983-0</v>
          </cell>
          <cell r="I1400">
            <v>45186.36</v>
          </cell>
          <cell r="J1400" t="str">
            <v xml:space="preserve">              123611122                  2848                    33903600</v>
          </cell>
          <cell r="K1400" t="str">
            <v>26/09/2011</v>
          </cell>
          <cell r="L1400">
            <v>66</v>
          </cell>
          <cell r="M1400">
            <v>16600</v>
          </cell>
          <cell r="N1400">
            <v>57278</v>
          </cell>
          <cell r="O1400">
            <v>32187</v>
          </cell>
          <cell r="P1400">
            <v>16</v>
          </cell>
          <cell r="Q1400">
            <v>3</v>
          </cell>
          <cell r="T1400">
            <v>1223.46</v>
          </cell>
          <cell r="U1400">
            <v>0</v>
          </cell>
          <cell r="V1400">
            <v>7600</v>
          </cell>
          <cell r="W1400">
            <v>180</v>
          </cell>
          <cell r="X1400">
            <v>6080</v>
          </cell>
          <cell r="Y1400">
            <v>105105</v>
          </cell>
          <cell r="Z1400">
            <v>8528.0400000000009</v>
          </cell>
          <cell r="AA1400">
            <v>5151.9599999999991</v>
          </cell>
          <cell r="AB1400">
            <v>251.03533333333334</v>
          </cell>
          <cell r="AC1400">
            <v>7600</v>
          </cell>
          <cell r="AD1400">
            <v>7046.76</v>
          </cell>
          <cell r="AE1400">
            <v>553.23999999999978</v>
          </cell>
          <cell r="AN1400" t="str">
            <v xml:space="preserve">Contrato emergencial nº </v>
          </cell>
          <cell r="AO1400" t="str">
            <v>CS</v>
          </cell>
        </row>
        <row r="1401">
          <cell r="D1401" t="str">
            <v>2463/11</v>
          </cell>
          <cell r="E1401" t="str">
            <v>26/09/2011</v>
          </cell>
          <cell r="F1401">
            <v>40991</v>
          </cell>
          <cell r="G1401">
            <v>40877</v>
          </cell>
          <cell r="H1401" t="str">
            <v>2011-0.228.988-0</v>
          </cell>
          <cell r="I1401">
            <v>46048.2</v>
          </cell>
          <cell r="J1401" t="str">
            <v xml:space="preserve">              123611122                  2848                    33903600</v>
          </cell>
          <cell r="K1401" t="str">
            <v>26/09/2011</v>
          </cell>
          <cell r="L1401">
            <v>66</v>
          </cell>
          <cell r="M1401">
            <v>16900</v>
          </cell>
          <cell r="N1401">
            <v>57278</v>
          </cell>
          <cell r="O1401">
            <v>32190</v>
          </cell>
          <cell r="P1401">
            <v>16</v>
          </cell>
          <cell r="Q1401">
            <v>3</v>
          </cell>
          <cell r="T1401">
            <v>1215.97</v>
          </cell>
          <cell r="U1401">
            <v>0</v>
          </cell>
          <cell r="V1401">
            <v>7700</v>
          </cell>
          <cell r="W1401">
            <v>180</v>
          </cell>
          <cell r="X1401">
            <v>6160</v>
          </cell>
          <cell r="Y1401">
            <v>105106</v>
          </cell>
          <cell r="Z1401">
            <v>8553.0800000000017</v>
          </cell>
          <cell r="AA1401">
            <v>5306.9199999999983</v>
          </cell>
          <cell r="AB1401">
            <v>255.82333333333332</v>
          </cell>
          <cell r="AC1401">
            <v>7700</v>
          </cell>
          <cell r="AD1401">
            <v>7131.82</v>
          </cell>
          <cell r="AE1401">
            <v>568.18000000000029</v>
          </cell>
          <cell r="AN1401" t="str">
            <v xml:space="preserve">Contrato emergencial nº </v>
          </cell>
          <cell r="AO1401" t="str">
            <v>CS</v>
          </cell>
        </row>
        <row r="1402">
          <cell r="D1402" t="str">
            <v>2464/11</v>
          </cell>
          <cell r="E1402" t="str">
            <v>26/09/2011</v>
          </cell>
          <cell r="F1402">
            <v>40991</v>
          </cell>
          <cell r="G1402">
            <v>40877</v>
          </cell>
          <cell r="H1402" t="str">
            <v>2011-0.228.994-5</v>
          </cell>
          <cell r="I1402">
            <v>44324.52</v>
          </cell>
          <cell r="J1402" t="str">
            <v xml:space="preserve">              123611122                  2848                    33903600</v>
          </cell>
          <cell r="K1402" t="str">
            <v>26/09/2011</v>
          </cell>
          <cell r="L1402">
            <v>66</v>
          </cell>
          <cell r="M1402">
            <v>16300</v>
          </cell>
          <cell r="N1402">
            <v>57278</v>
          </cell>
          <cell r="O1402">
            <v>32192</v>
          </cell>
          <cell r="P1402">
            <v>16</v>
          </cell>
          <cell r="Q1402">
            <v>3</v>
          </cell>
          <cell r="T1402">
            <v>1048.0266666666701</v>
          </cell>
          <cell r="U1402">
            <v>0</v>
          </cell>
          <cell r="V1402">
            <v>7400</v>
          </cell>
          <cell r="W1402">
            <v>180</v>
          </cell>
          <cell r="X1402">
            <v>5920</v>
          </cell>
          <cell r="Y1402">
            <v>105107</v>
          </cell>
          <cell r="Z1402">
            <v>9252.56</v>
          </cell>
          <cell r="AA1402">
            <v>4067.4400000000005</v>
          </cell>
          <cell r="AB1402">
            <v>246.2473333333333</v>
          </cell>
          <cell r="AC1402">
            <v>7400</v>
          </cell>
          <cell r="AD1402">
            <v>6078.16</v>
          </cell>
          <cell r="AE1402">
            <v>1321.8400000000001</v>
          </cell>
          <cell r="AN1402" t="str">
            <v xml:space="preserve">Contrato emergencial nº </v>
          </cell>
          <cell r="AO1402" t="str">
            <v>CS</v>
          </cell>
        </row>
        <row r="1403">
          <cell r="D1403" t="str">
            <v>2465/11</v>
          </cell>
          <cell r="E1403" t="str">
            <v>26/09/2011</v>
          </cell>
          <cell r="F1403">
            <v>40991</v>
          </cell>
          <cell r="G1403">
            <v>40877</v>
          </cell>
          <cell r="H1403" t="str">
            <v>2011-0.228.999-6</v>
          </cell>
          <cell r="I1403">
            <v>27356.94</v>
          </cell>
          <cell r="J1403" t="str">
            <v xml:space="preserve">              123651121                 2847                    33903600</v>
          </cell>
          <cell r="K1403" t="str">
            <v>26/09/2011</v>
          </cell>
          <cell r="L1403">
            <v>66</v>
          </cell>
          <cell r="M1403">
            <v>10100</v>
          </cell>
          <cell r="N1403">
            <v>57273</v>
          </cell>
          <cell r="O1403">
            <v>32194</v>
          </cell>
          <cell r="P1403">
            <v>16</v>
          </cell>
          <cell r="Q1403">
            <v>2</v>
          </cell>
          <cell r="T1403">
            <v>905.08833333333303</v>
          </cell>
          <cell r="U1403">
            <v>0</v>
          </cell>
          <cell r="V1403">
            <v>5400</v>
          </cell>
          <cell r="W1403">
            <v>180</v>
          </cell>
          <cell r="X1403">
            <v>4320</v>
          </cell>
          <cell r="Y1403">
            <v>105108</v>
          </cell>
          <cell r="Z1403">
            <v>4004.3799999999992</v>
          </cell>
          <cell r="AA1403">
            <v>5715.6200000000008</v>
          </cell>
          <cell r="AB1403">
            <v>151.983</v>
          </cell>
          <cell r="AC1403">
            <v>4600</v>
          </cell>
          <cell r="AD1403">
            <v>5368.2800000000007</v>
          </cell>
          <cell r="AE1403">
            <v>-768.28000000000065</v>
          </cell>
          <cell r="AN1403" t="str">
            <v xml:space="preserve">Contrato emergencial nº </v>
          </cell>
          <cell r="AO1403" t="str">
            <v>CS</v>
          </cell>
        </row>
        <row r="1404">
          <cell r="D1404" t="str">
            <v>2466/11</v>
          </cell>
          <cell r="E1404" t="str">
            <v>26/09/2011</v>
          </cell>
          <cell r="F1404">
            <v>40991</v>
          </cell>
          <cell r="G1404">
            <v>40877</v>
          </cell>
          <cell r="H1404" t="str">
            <v>2011-0.229.008-0</v>
          </cell>
          <cell r="I1404">
            <v>30749.94</v>
          </cell>
          <cell r="J1404" t="str">
            <v xml:space="preserve">              123651121                 2847                    33903600</v>
          </cell>
          <cell r="K1404" t="str">
            <v>26/09/2011</v>
          </cell>
          <cell r="L1404">
            <v>66</v>
          </cell>
          <cell r="M1404">
            <v>11300</v>
          </cell>
          <cell r="N1404">
            <v>57273</v>
          </cell>
          <cell r="O1404">
            <v>32195</v>
          </cell>
          <cell r="P1404">
            <v>16</v>
          </cell>
          <cell r="Q1404">
            <v>2</v>
          </cell>
          <cell r="T1404">
            <v>664.45833333333303</v>
          </cell>
          <cell r="U1404">
            <v>0</v>
          </cell>
          <cell r="V1404">
            <v>5200</v>
          </cell>
          <cell r="W1404">
            <v>180</v>
          </cell>
          <cell r="X1404">
            <v>4160</v>
          </cell>
          <cell r="Y1404">
            <v>105109</v>
          </cell>
          <cell r="Z1404">
            <v>6706.9100000000008</v>
          </cell>
          <cell r="AA1404">
            <v>2653.0899999999992</v>
          </cell>
          <cell r="AB1404">
            <v>170.833</v>
          </cell>
          <cell r="AC1404">
            <v>5200</v>
          </cell>
          <cell r="AD1404">
            <v>3910.7500000000005</v>
          </cell>
          <cell r="AE1404">
            <v>1289.2499999999995</v>
          </cell>
          <cell r="AN1404" t="str">
            <v xml:space="preserve">Contrato emergencial nº </v>
          </cell>
          <cell r="AO1404" t="str">
            <v>CS</v>
          </cell>
        </row>
        <row r="1405">
          <cell r="D1405" t="str">
            <v>2467/11</v>
          </cell>
          <cell r="E1405" t="str">
            <v>26/09/2011</v>
          </cell>
          <cell r="F1405">
            <v>40991</v>
          </cell>
          <cell r="G1405">
            <v>40877</v>
          </cell>
          <cell r="H1405" t="str">
            <v>2011-0.229-017-0</v>
          </cell>
          <cell r="I1405">
            <v>24820.92</v>
          </cell>
          <cell r="J1405" t="str">
            <v xml:space="preserve">              123651121                 2847                    33903600</v>
          </cell>
          <cell r="K1405" t="str">
            <v>26/09/2011</v>
          </cell>
          <cell r="L1405">
            <v>66</v>
          </cell>
          <cell r="M1405">
            <v>9200</v>
          </cell>
          <cell r="N1405">
            <v>57273</v>
          </cell>
          <cell r="O1405">
            <v>32197</v>
          </cell>
          <cell r="P1405">
            <v>16</v>
          </cell>
          <cell r="Q1405">
            <v>2</v>
          </cell>
          <cell r="T1405">
            <v>700</v>
          </cell>
          <cell r="U1405">
            <v>0</v>
          </cell>
          <cell r="V1405">
            <v>4200</v>
          </cell>
          <cell r="W1405">
            <v>180</v>
          </cell>
          <cell r="X1405">
            <v>3360</v>
          </cell>
          <cell r="Y1405">
            <v>105413</v>
          </cell>
          <cell r="Z1405">
            <v>382.21000000000004</v>
          </cell>
          <cell r="AA1405">
            <v>7177.79</v>
          </cell>
          <cell r="AB1405">
            <v>137.89399999999998</v>
          </cell>
          <cell r="AC1405">
            <v>4200</v>
          </cell>
          <cell r="AD1405">
            <v>3891.7200000000003</v>
          </cell>
          <cell r="AE1405">
            <v>308.27999999999975</v>
          </cell>
          <cell r="AN1405" t="str">
            <v xml:space="preserve">Contrato emergencial nº </v>
          </cell>
          <cell r="AO1405" t="str">
            <v>FO</v>
          </cell>
        </row>
        <row r="1406">
          <cell r="D1406" t="str">
            <v>2468/11</v>
          </cell>
          <cell r="E1406" t="str">
            <v>26/09/2011</v>
          </cell>
          <cell r="F1406">
            <v>40991</v>
          </cell>
          <cell r="G1406">
            <v>40877</v>
          </cell>
          <cell r="H1406" t="str">
            <v>2011-0.229.026-9</v>
          </cell>
          <cell r="I1406">
            <v>39569.46</v>
          </cell>
          <cell r="J1406" t="str">
            <v xml:space="preserve">              123611122                  2848                    33903600</v>
          </cell>
          <cell r="K1406" t="str">
            <v>26/09/2011</v>
          </cell>
          <cell r="L1406">
            <v>66</v>
          </cell>
          <cell r="M1406">
            <v>14600</v>
          </cell>
          <cell r="N1406">
            <v>57278</v>
          </cell>
          <cell r="O1406">
            <v>32198</v>
          </cell>
          <cell r="P1406">
            <v>16</v>
          </cell>
          <cell r="Q1406">
            <v>3</v>
          </cell>
          <cell r="T1406">
            <v>1100</v>
          </cell>
          <cell r="U1406">
            <v>0</v>
          </cell>
          <cell r="V1406">
            <v>6600</v>
          </cell>
          <cell r="W1406">
            <v>180</v>
          </cell>
          <cell r="X1406">
            <v>5280</v>
          </cell>
          <cell r="Y1406">
            <v>105414</v>
          </cell>
          <cell r="Z1406">
            <v>324.34000000000015</v>
          </cell>
          <cell r="AA1406">
            <v>11555.66</v>
          </cell>
          <cell r="AB1406">
            <v>219.83033333333333</v>
          </cell>
          <cell r="AC1406">
            <v>6600</v>
          </cell>
          <cell r="AD1406">
            <v>6230.29</v>
          </cell>
          <cell r="AE1406">
            <v>369.71000000000004</v>
          </cell>
          <cell r="AN1406" t="str">
            <v xml:space="preserve">Contrato emergencial nº </v>
          </cell>
          <cell r="AO1406" t="str">
            <v>FO</v>
          </cell>
        </row>
        <row r="1407">
          <cell r="D1407" t="str">
            <v>2469/11</v>
          </cell>
          <cell r="E1407" t="str">
            <v>26/09/2011</v>
          </cell>
          <cell r="F1407">
            <v>40991</v>
          </cell>
          <cell r="G1407">
            <v>40877</v>
          </cell>
          <cell r="H1407" t="str">
            <v>2011-0.229.053-6</v>
          </cell>
          <cell r="I1407">
            <v>37607.879999999997</v>
          </cell>
          <cell r="J1407" t="str">
            <v xml:space="preserve">              123611122                  2848                    33903600</v>
          </cell>
          <cell r="K1407" t="str">
            <v>26/09/2011</v>
          </cell>
          <cell r="L1407">
            <v>66</v>
          </cell>
          <cell r="M1407">
            <v>13800</v>
          </cell>
          <cell r="N1407">
            <v>57278</v>
          </cell>
          <cell r="O1407">
            <v>32200</v>
          </cell>
          <cell r="P1407">
            <v>16</v>
          </cell>
          <cell r="Q1407">
            <v>3</v>
          </cell>
          <cell r="T1407">
            <v>1100</v>
          </cell>
          <cell r="U1407">
            <v>0</v>
          </cell>
          <cell r="V1407">
            <v>6300</v>
          </cell>
          <cell r="W1407">
            <v>180</v>
          </cell>
          <cell r="X1407">
            <v>5040</v>
          </cell>
          <cell r="Y1407">
            <v>105415</v>
          </cell>
          <cell r="Z1407">
            <v>355.63749999999982</v>
          </cell>
          <cell r="AA1407">
            <v>10984.362499999999</v>
          </cell>
          <cell r="AB1407">
            <v>208.93266666666665</v>
          </cell>
          <cell r="AC1407">
            <v>6300</v>
          </cell>
          <cell r="AD1407">
            <v>6179.9250000000002</v>
          </cell>
          <cell r="AE1407">
            <v>120.07499999999982</v>
          </cell>
          <cell r="AN1407" t="str">
            <v xml:space="preserve">Contrato emergencial nº </v>
          </cell>
          <cell r="AO1407" t="str">
            <v>FO</v>
          </cell>
        </row>
        <row r="1408">
          <cell r="D1408" t="str">
            <v>2470/11</v>
          </cell>
          <cell r="E1408" t="str">
            <v>26/09/2011</v>
          </cell>
          <cell r="F1408">
            <v>40991</v>
          </cell>
          <cell r="G1408">
            <v>40877</v>
          </cell>
          <cell r="H1408" t="str">
            <v>2011-0.229.063-3</v>
          </cell>
          <cell r="I1408">
            <v>37607.879999999997</v>
          </cell>
          <cell r="J1408" t="str">
            <v xml:space="preserve">              123611122                  2848                    33903600</v>
          </cell>
          <cell r="K1408" t="str">
            <v>26/09/2011</v>
          </cell>
          <cell r="L1408">
            <v>66</v>
          </cell>
          <cell r="M1408">
            <v>13800</v>
          </cell>
          <cell r="N1408">
            <v>57278</v>
          </cell>
          <cell r="O1408">
            <v>32202</v>
          </cell>
          <cell r="P1408">
            <v>16</v>
          </cell>
          <cell r="Q1408">
            <v>3</v>
          </cell>
          <cell r="T1408">
            <v>1100</v>
          </cell>
          <cell r="U1408">
            <v>0</v>
          </cell>
          <cell r="V1408">
            <v>6300</v>
          </cell>
          <cell r="W1408">
            <v>180</v>
          </cell>
          <cell r="X1408">
            <v>5040</v>
          </cell>
          <cell r="Y1408">
            <v>105417</v>
          </cell>
          <cell r="Z1408">
            <v>220.74499999999989</v>
          </cell>
          <cell r="AA1408">
            <v>11119.255000000001</v>
          </cell>
          <cell r="AB1408">
            <v>208.93266666666665</v>
          </cell>
          <cell r="AC1408">
            <v>6300</v>
          </cell>
          <cell r="AD1408">
            <v>6204.73</v>
          </cell>
          <cell r="AE1408">
            <v>95.270000000000437</v>
          </cell>
          <cell r="AN1408" t="str">
            <v xml:space="preserve">Contrato emergencial nº </v>
          </cell>
          <cell r="AO1408" t="str">
            <v>FO</v>
          </cell>
        </row>
        <row r="1409">
          <cell r="D1409" t="str">
            <v>2471/11</v>
          </cell>
          <cell r="E1409" t="str">
            <v>26/09/2011</v>
          </cell>
          <cell r="F1409">
            <v>40991</v>
          </cell>
          <cell r="G1409">
            <v>40877</v>
          </cell>
          <cell r="H1409" t="str">
            <v>2011-0.229.067-6</v>
          </cell>
          <cell r="I1409">
            <v>44978.400000000001</v>
          </cell>
          <cell r="J1409" t="str">
            <v xml:space="preserve">              123611122                  2848                    33903600</v>
          </cell>
          <cell r="K1409" t="str">
            <v>26/09/2011</v>
          </cell>
          <cell r="L1409">
            <v>66</v>
          </cell>
          <cell r="M1409">
            <v>16500</v>
          </cell>
          <cell r="N1409">
            <v>57278</v>
          </cell>
          <cell r="O1409">
            <v>32203</v>
          </cell>
          <cell r="P1409">
            <v>16</v>
          </cell>
          <cell r="Q1409">
            <v>3</v>
          </cell>
          <cell r="T1409">
            <v>1300</v>
          </cell>
          <cell r="U1409">
            <v>0</v>
          </cell>
          <cell r="V1409">
            <v>7500</v>
          </cell>
          <cell r="W1409">
            <v>180</v>
          </cell>
          <cell r="X1409">
            <v>6000</v>
          </cell>
          <cell r="Y1409">
            <v>105701</v>
          </cell>
          <cell r="Z1409">
            <v>9137.07</v>
          </cell>
          <cell r="AA1409">
            <v>4362.93</v>
          </cell>
          <cell r="AB1409">
            <v>249.88</v>
          </cell>
          <cell r="AC1409">
            <v>7500</v>
          </cell>
          <cell r="AD1409">
            <v>6380.2800000000007</v>
          </cell>
          <cell r="AE1409">
            <v>1119.7199999999993</v>
          </cell>
          <cell r="AN1409" t="str">
            <v xml:space="preserve">Contrato emergencial nº </v>
          </cell>
          <cell r="AO1409" t="str">
            <v>G</v>
          </cell>
        </row>
        <row r="1410">
          <cell r="D1410" t="str">
            <v>2472/11</v>
          </cell>
          <cell r="E1410" t="str">
            <v>26/09/2011</v>
          </cell>
          <cell r="F1410">
            <v>40991</v>
          </cell>
          <cell r="G1410">
            <v>40877</v>
          </cell>
          <cell r="H1410" t="str">
            <v>2011-0.229.077-3</v>
          </cell>
          <cell r="I1410">
            <v>38261.760000000002</v>
          </cell>
          <cell r="J1410" t="str">
            <v xml:space="preserve">              123651121                 2847                    33903600</v>
          </cell>
          <cell r="K1410" t="str">
            <v>26/09/2011</v>
          </cell>
          <cell r="L1410">
            <v>66</v>
          </cell>
          <cell r="M1410">
            <v>14100</v>
          </cell>
          <cell r="N1410">
            <v>57273</v>
          </cell>
          <cell r="O1410">
            <v>32209</v>
          </cell>
          <cell r="P1410">
            <v>16</v>
          </cell>
          <cell r="Q1410">
            <v>2</v>
          </cell>
          <cell r="T1410">
            <v>1100</v>
          </cell>
          <cell r="U1410">
            <v>0</v>
          </cell>
          <cell r="V1410">
            <v>6400</v>
          </cell>
          <cell r="W1410">
            <v>180</v>
          </cell>
          <cell r="X1410">
            <v>5120</v>
          </cell>
          <cell r="Y1410">
            <v>105706</v>
          </cell>
          <cell r="Z1410">
            <v>8113.27</v>
          </cell>
          <cell r="AA1410">
            <v>3406.7299999999996</v>
          </cell>
          <cell r="AB1410">
            <v>212.56533333333334</v>
          </cell>
          <cell r="AC1410">
            <v>6400</v>
          </cell>
          <cell r="AD1410">
            <v>5077.7199999999993</v>
          </cell>
          <cell r="AE1410">
            <v>1322.2800000000007</v>
          </cell>
          <cell r="AN1410" t="str">
            <v xml:space="preserve">Contrato emergencial nº </v>
          </cell>
          <cell r="AO1410" t="str">
            <v>G</v>
          </cell>
        </row>
        <row r="1411">
          <cell r="D1411" t="str">
            <v>2473/11</v>
          </cell>
          <cell r="E1411" t="str">
            <v>26/09/2011</v>
          </cell>
          <cell r="F1411">
            <v>40991</v>
          </cell>
          <cell r="G1411">
            <v>40877</v>
          </cell>
          <cell r="H1411" t="str">
            <v>2011-0.229.085-4</v>
          </cell>
          <cell r="I1411">
            <v>31012.38</v>
          </cell>
          <cell r="J1411" t="str">
            <v xml:space="preserve">              123651121                 2847                    33903600</v>
          </cell>
          <cell r="K1411" t="str">
            <v>26/09/2011</v>
          </cell>
          <cell r="L1411">
            <v>66</v>
          </cell>
          <cell r="M1411">
            <v>11400</v>
          </cell>
          <cell r="N1411">
            <v>57273</v>
          </cell>
          <cell r="O1411">
            <v>32212</v>
          </cell>
          <cell r="P1411">
            <v>16</v>
          </cell>
          <cell r="Q1411">
            <v>2</v>
          </cell>
          <cell r="T1411">
            <v>900</v>
          </cell>
          <cell r="U1411">
            <v>0</v>
          </cell>
          <cell r="V1411">
            <v>5500</v>
          </cell>
          <cell r="W1411">
            <v>180</v>
          </cell>
          <cell r="X1411">
            <v>4400</v>
          </cell>
          <cell r="Y1411">
            <v>105712</v>
          </cell>
          <cell r="Z1411">
            <v>5098.47</v>
          </cell>
          <cell r="AA1411">
            <v>4801.53</v>
          </cell>
          <cell r="AB1411">
            <v>172.291</v>
          </cell>
          <cell r="AC1411">
            <v>5200</v>
          </cell>
          <cell r="AD1411">
            <v>5422.9499999999989</v>
          </cell>
          <cell r="AE1411">
            <v>-222.94999999999891</v>
          </cell>
          <cell r="AN1411" t="str">
            <v xml:space="preserve">Contrato emergencial nº </v>
          </cell>
          <cell r="AO1411" t="str">
            <v>G</v>
          </cell>
        </row>
        <row r="1412">
          <cell r="D1412" t="str">
            <v>2474/11</v>
          </cell>
          <cell r="E1412" t="str">
            <v>26/09/2011</v>
          </cell>
          <cell r="F1412">
            <v>40991</v>
          </cell>
          <cell r="G1412">
            <v>40877</v>
          </cell>
          <cell r="H1412" t="str">
            <v>2011-0.229.093-5</v>
          </cell>
          <cell r="I1412">
            <v>38261.760000000002</v>
          </cell>
          <cell r="J1412" t="str">
            <v xml:space="preserve">              123611122                  2848                    33903600</v>
          </cell>
          <cell r="K1412" t="str">
            <v>26/09/2011</v>
          </cell>
          <cell r="L1412">
            <v>66</v>
          </cell>
          <cell r="M1412">
            <v>14100</v>
          </cell>
          <cell r="N1412">
            <v>57278</v>
          </cell>
          <cell r="O1412">
            <v>32213</v>
          </cell>
          <cell r="P1412">
            <v>16</v>
          </cell>
          <cell r="Q1412">
            <v>3</v>
          </cell>
          <cell r="T1412">
            <v>889.95333333333303</v>
          </cell>
          <cell r="U1412">
            <v>0</v>
          </cell>
          <cell r="V1412">
            <v>6400</v>
          </cell>
          <cell r="W1412">
            <v>180</v>
          </cell>
          <cell r="X1412">
            <v>5120</v>
          </cell>
          <cell r="Y1412">
            <v>105248</v>
          </cell>
          <cell r="Z1412">
            <v>8060.33</v>
          </cell>
          <cell r="AA1412">
            <v>3459.67</v>
          </cell>
          <cell r="AB1412">
            <v>212.56533333333334</v>
          </cell>
          <cell r="AC1412">
            <v>6400</v>
          </cell>
          <cell r="AD1412">
            <v>5187.7199999999993</v>
          </cell>
          <cell r="AE1412">
            <v>1212.2800000000007</v>
          </cell>
          <cell r="AN1412" t="str">
            <v xml:space="preserve">Contrato emergencial nº </v>
          </cell>
          <cell r="AO1412" t="str">
            <v>IP</v>
          </cell>
        </row>
        <row r="1413">
          <cell r="D1413" t="str">
            <v>2475/11</v>
          </cell>
          <cell r="E1413" t="str">
            <v>26/09/2011</v>
          </cell>
          <cell r="F1413">
            <v>40991</v>
          </cell>
          <cell r="G1413">
            <v>40877</v>
          </cell>
          <cell r="H1413" t="str">
            <v>2011-0.229.099-4</v>
          </cell>
          <cell r="I1413">
            <v>22185.9</v>
          </cell>
          <cell r="J1413" t="str">
            <v xml:space="preserve">              123651121                 2847                    33903600</v>
          </cell>
          <cell r="K1413" t="str">
            <v>26/09/2011</v>
          </cell>
          <cell r="L1413">
            <v>66</v>
          </cell>
          <cell r="M1413">
            <v>8200</v>
          </cell>
          <cell r="N1413">
            <v>57273</v>
          </cell>
          <cell r="O1413">
            <v>32214</v>
          </cell>
          <cell r="P1413">
            <v>16</v>
          </cell>
          <cell r="Q1413">
            <v>2</v>
          </cell>
          <cell r="T1413">
            <v>699.53166666666698</v>
          </cell>
          <cell r="U1413">
            <v>0</v>
          </cell>
          <cell r="V1413">
            <v>4100</v>
          </cell>
          <cell r="W1413">
            <v>180</v>
          </cell>
          <cell r="X1413">
            <v>3280</v>
          </cell>
          <cell r="Y1413">
            <v>105250</v>
          </cell>
          <cell r="Z1413">
            <v>3513.28</v>
          </cell>
          <cell r="AA1413">
            <v>3866.72</v>
          </cell>
          <cell r="AB1413">
            <v>123.25500000000001</v>
          </cell>
          <cell r="AC1413">
            <v>3700</v>
          </cell>
          <cell r="AD1413">
            <v>4029.190000000001</v>
          </cell>
          <cell r="AE1413">
            <v>-329.19000000000096</v>
          </cell>
          <cell r="AN1413" t="str">
            <v xml:space="preserve">Contrato emergencial nº </v>
          </cell>
          <cell r="AO1413" t="str">
            <v>IP</v>
          </cell>
        </row>
        <row r="1414">
          <cell r="D1414" t="str">
            <v>2476/11</v>
          </cell>
          <cell r="E1414" t="str">
            <v>26/09/2011</v>
          </cell>
          <cell r="F1414">
            <v>40991</v>
          </cell>
          <cell r="G1414">
            <v>40877</v>
          </cell>
          <cell r="H1414" t="str">
            <v>2011-0.229.107-9</v>
          </cell>
          <cell r="I1414">
            <v>26039.46</v>
          </cell>
          <cell r="J1414" t="str">
            <v xml:space="preserve">              123651121                 2847                    33903600</v>
          </cell>
          <cell r="K1414" t="str">
            <v>26/09/2011</v>
          </cell>
          <cell r="L1414">
            <v>66</v>
          </cell>
          <cell r="M1414">
            <v>9600</v>
          </cell>
          <cell r="N1414">
            <v>57273</v>
          </cell>
          <cell r="O1414">
            <v>32216</v>
          </cell>
          <cell r="P1414">
            <v>16</v>
          </cell>
          <cell r="Q1414">
            <v>2</v>
          </cell>
          <cell r="T1414">
            <v>743.31500000000005</v>
          </cell>
          <cell r="U1414">
            <v>0</v>
          </cell>
          <cell r="V1414">
            <v>4400</v>
          </cell>
          <cell r="W1414">
            <v>180</v>
          </cell>
          <cell r="X1414">
            <v>3520</v>
          </cell>
          <cell r="Y1414">
            <v>105253</v>
          </cell>
          <cell r="Z1414">
            <v>4173.91</v>
          </cell>
          <cell r="AA1414">
            <v>3746.09</v>
          </cell>
          <cell r="AB1414">
            <v>144.66366666666667</v>
          </cell>
          <cell r="AC1414">
            <v>4400</v>
          </cell>
          <cell r="AD1414">
            <v>4261.6400000000003</v>
          </cell>
          <cell r="AE1414">
            <v>138.35999999999967</v>
          </cell>
          <cell r="AN1414" t="str">
            <v xml:space="preserve">Contrato emergencial nº </v>
          </cell>
          <cell r="AO1414" t="str">
            <v>IP</v>
          </cell>
        </row>
        <row r="1415">
          <cell r="D1415" t="str">
            <v>2477/11</v>
          </cell>
          <cell r="E1415" t="str">
            <v>26/09/2011</v>
          </cell>
          <cell r="F1415">
            <v>40991</v>
          </cell>
          <cell r="G1415">
            <v>40877</v>
          </cell>
          <cell r="H1415" t="str">
            <v>2011-0.229.111-7</v>
          </cell>
          <cell r="I1415">
            <v>36300.300000000003</v>
          </cell>
          <cell r="J1415" t="str">
            <v xml:space="preserve">              123611122                  2848                    33903600</v>
          </cell>
          <cell r="K1415" t="str">
            <v>26/09/2011</v>
          </cell>
          <cell r="L1415">
            <v>66</v>
          </cell>
          <cell r="M1415">
            <v>13400</v>
          </cell>
          <cell r="N1415">
            <v>57278</v>
          </cell>
          <cell r="O1415">
            <v>32217</v>
          </cell>
          <cell r="P1415">
            <v>16</v>
          </cell>
          <cell r="Q1415">
            <v>3</v>
          </cell>
          <cell r="T1415">
            <v>1100</v>
          </cell>
          <cell r="U1415">
            <v>0</v>
          </cell>
          <cell r="V1415">
            <v>6100</v>
          </cell>
          <cell r="W1415">
            <v>180</v>
          </cell>
          <cell r="X1415">
            <v>4880</v>
          </cell>
          <cell r="Y1415">
            <v>105765</v>
          </cell>
          <cell r="Z1415">
            <v>6778.04</v>
          </cell>
          <cell r="AA1415">
            <v>4201.96</v>
          </cell>
          <cell r="AB1415">
            <v>201.66833333333335</v>
          </cell>
          <cell r="AC1415">
            <v>6100</v>
          </cell>
          <cell r="AD1415">
            <v>4739.2599999999993</v>
          </cell>
          <cell r="AE1415">
            <v>1360.7400000000007</v>
          </cell>
          <cell r="AN1415" t="str">
            <v xml:space="preserve">Contrato emergencial nº </v>
          </cell>
          <cell r="AO1415" t="str">
            <v>IQ</v>
          </cell>
        </row>
        <row r="1416">
          <cell r="D1416" t="str">
            <v>2478/11</v>
          </cell>
          <cell r="E1416" t="str">
            <v>26/09/2011</v>
          </cell>
          <cell r="F1416">
            <v>40991</v>
          </cell>
          <cell r="G1416">
            <v>40877</v>
          </cell>
          <cell r="H1416" t="str">
            <v>2011-0.229.746-8</v>
          </cell>
          <cell r="I1416">
            <v>29942.46</v>
          </cell>
          <cell r="J1416" t="str">
            <v xml:space="preserve">              123651121                 2847                    33903600</v>
          </cell>
          <cell r="K1416" t="str">
            <v>26/09/2011</v>
          </cell>
          <cell r="L1416">
            <v>66</v>
          </cell>
          <cell r="M1416">
            <v>11000</v>
          </cell>
          <cell r="N1416">
            <v>57273</v>
          </cell>
          <cell r="O1416">
            <v>32218</v>
          </cell>
          <cell r="P1416">
            <v>16</v>
          </cell>
          <cell r="Q1416">
            <v>2</v>
          </cell>
          <cell r="T1416">
            <v>900</v>
          </cell>
          <cell r="U1416">
            <v>0</v>
          </cell>
          <cell r="V1416">
            <v>5000</v>
          </cell>
          <cell r="W1416">
            <v>180</v>
          </cell>
          <cell r="X1416">
            <v>4000</v>
          </cell>
          <cell r="Y1416">
            <v>105770</v>
          </cell>
          <cell r="Z1416">
            <v>2046.81</v>
          </cell>
          <cell r="AA1416">
            <v>6953.1900000000005</v>
          </cell>
          <cell r="AB1416">
            <v>166.34700000000001</v>
          </cell>
          <cell r="AC1416">
            <v>5000</v>
          </cell>
          <cell r="AD1416">
            <v>3627.9300000000003</v>
          </cell>
          <cell r="AE1416">
            <v>1372.0699999999997</v>
          </cell>
          <cell r="AN1416" t="str">
            <v xml:space="preserve">Contrato emergencial nº </v>
          </cell>
          <cell r="AO1416" t="str">
            <v>IQ</v>
          </cell>
        </row>
        <row r="1417">
          <cell r="D1417" t="str">
            <v>2480/11</v>
          </cell>
          <cell r="E1417" t="str">
            <v>26/09/2011</v>
          </cell>
          <cell r="F1417">
            <v>40991</v>
          </cell>
          <cell r="G1417">
            <v>40877</v>
          </cell>
          <cell r="H1417" t="str">
            <v>2011-0.229.777-8</v>
          </cell>
          <cell r="I1417">
            <v>44978.400000000001</v>
          </cell>
          <cell r="J1417" t="str">
            <v xml:space="preserve">              123651121                 2847                    33903600</v>
          </cell>
          <cell r="K1417" t="str">
            <v>26/09/2011</v>
          </cell>
          <cell r="L1417">
            <v>66</v>
          </cell>
          <cell r="M1417">
            <v>16500</v>
          </cell>
          <cell r="N1417">
            <v>57273</v>
          </cell>
          <cell r="O1417">
            <v>32220</v>
          </cell>
          <cell r="P1417">
            <v>16</v>
          </cell>
          <cell r="Q1417">
            <v>2</v>
          </cell>
          <cell r="T1417">
            <v>1300</v>
          </cell>
          <cell r="U1417">
            <v>0</v>
          </cell>
          <cell r="V1417">
            <v>7500</v>
          </cell>
          <cell r="W1417">
            <v>180</v>
          </cell>
          <cell r="X1417">
            <v>6000</v>
          </cell>
          <cell r="Y1417">
            <v>105282</v>
          </cell>
          <cell r="Z1417">
            <v>9493.42</v>
          </cell>
          <cell r="AA1417">
            <v>4006.58</v>
          </cell>
          <cell r="AB1417">
            <v>249.88</v>
          </cell>
          <cell r="AC1417">
            <v>7500</v>
          </cell>
          <cell r="AD1417">
            <v>6033.1399999999994</v>
          </cell>
          <cell r="AE1417">
            <v>1466.8600000000006</v>
          </cell>
          <cell r="AN1417" t="str">
            <v xml:space="preserve">Contrato emergencial nº </v>
          </cell>
          <cell r="AO1417" t="str">
            <v>JT</v>
          </cell>
        </row>
        <row r="1418">
          <cell r="D1418" t="str">
            <v>2481/11</v>
          </cell>
          <cell r="E1418" t="str">
            <v>26/09/2011</v>
          </cell>
          <cell r="F1418">
            <v>40991</v>
          </cell>
          <cell r="G1418">
            <v>40877</v>
          </cell>
          <cell r="H1418" t="str">
            <v>2011-0.229.785-9</v>
          </cell>
          <cell r="I1418">
            <v>44324.52</v>
          </cell>
          <cell r="J1418" t="str">
            <v xml:space="preserve">              123611122                  2848                    33903600</v>
          </cell>
          <cell r="K1418" t="str">
            <v>26/09/2011</v>
          </cell>
          <cell r="L1418">
            <v>66</v>
          </cell>
          <cell r="M1418">
            <v>16300</v>
          </cell>
          <cell r="N1418">
            <v>57278</v>
          </cell>
          <cell r="O1418">
            <v>32221</v>
          </cell>
          <cell r="P1418">
            <v>16</v>
          </cell>
          <cell r="Q1418">
            <v>3</v>
          </cell>
          <cell r="T1418">
            <v>1300</v>
          </cell>
          <cell r="U1418">
            <v>0</v>
          </cell>
          <cell r="V1418">
            <v>7400</v>
          </cell>
          <cell r="W1418">
            <v>180</v>
          </cell>
          <cell r="X1418">
            <v>5920</v>
          </cell>
          <cell r="Y1418">
            <v>105360</v>
          </cell>
          <cell r="Z1418">
            <v>1887.5600000000004</v>
          </cell>
          <cell r="AA1418">
            <v>11432.439999999999</v>
          </cell>
          <cell r="AB1418">
            <v>246.2473333333333</v>
          </cell>
          <cell r="AC1418">
            <v>7400</v>
          </cell>
          <cell r="AD1418">
            <v>5864.0599999999995</v>
          </cell>
          <cell r="AE1418">
            <v>1535.9400000000005</v>
          </cell>
          <cell r="AN1418" t="str">
            <v xml:space="preserve">Contrato emergencial nº </v>
          </cell>
          <cell r="AO1418" t="str">
            <v>MP</v>
          </cell>
        </row>
        <row r="1419">
          <cell r="D1419" t="str">
            <v>2482/11</v>
          </cell>
          <cell r="E1419" t="str">
            <v>26/09/2011</v>
          </cell>
          <cell r="F1419">
            <v>40991</v>
          </cell>
          <cell r="G1419">
            <v>40877</v>
          </cell>
          <cell r="H1419" t="str">
            <v>2011-0.229.793-0</v>
          </cell>
          <cell r="I1419">
            <v>37607.879999999997</v>
          </cell>
          <cell r="J1419" t="str">
            <v xml:space="preserve">              123611122                  2848                    33903600</v>
          </cell>
          <cell r="K1419" t="str">
            <v>26/09/2011</v>
          </cell>
          <cell r="L1419">
            <v>66</v>
          </cell>
          <cell r="M1419">
            <v>13800</v>
          </cell>
          <cell r="N1419">
            <v>57278</v>
          </cell>
          <cell r="O1419">
            <v>32222</v>
          </cell>
          <cell r="P1419">
            <v>16</v>
          </cell>
          <cell r="Q1419">
            <v>3</v>
          </cell>
          <cell r="T1419">
            <v>1100</v>
          </cell>
          <cell r="U1419">
            <v>0</v>
          </cell>
          <cell r="V1419">
            <v>6300</v>
          </cell>
          <cell r="W1419">
            <v>180</v>
          </cell>
          <cell r="X1419">
            <v>5040</v>
          </cell>
          <cell r="Y1419">
            <v>105776</v>
          </cell>
          <cell r="Z1419">
            <v>6819.25</v>
          </cell>
          <cell r="AA1419">
            <v>4520.75</v>
          </cell>
          <cell r="AB1419">
            <v>208.93266666666665</v>
          </cell>
          <cell r="AC1419">
            <v>6300</v>
          </cell>
          <cell r="AD1419">
            <v>6060.62</v>
          </cell>
          <cell r="AE1419">
            <v>239.38000000000011</v>
          </cell>
          <cell r="AN1419" t="str">
            <v xml:space="preserve">Contrato emergencial nº </v>
          </cell>
          <cell r="AO1419" t="str">
            <v>PE</v>
          </cell>
        </row>
        <row r="1420">
          <cell r="D1420" t="str">
            <v>2483/11</v>
          </cell>
          <cell r="E1420" t="str">
            <v>26/09/2011</v>
          </cell>
          <cell r="F1420">
            <v>40991</v>
          </cell>
          <cell r="G1420">
            <v>40877</v>
          </cell>
          <cell r="H1420" t="str">
            <v>2011-0.229.802-2</v>
          </cell>
          <cell r="I1420">
            <v>31012.38</v>
          </cell>
          <cell r="J1420" t="str">
            <v xml:space="preserve">              123611122                  2848                    33903600</v>
          </cell>
          <cell r="K1420" t="str">
            <v>26/09/2011</v>
          </cell>
          <cell r="L1420">
            <v>66</v>
          </cell>
          <cell r="M1420">
            <v>11400</v>
          </cell>
          <cell r="N1420">
            <v>57278</v>
          </cell>
          <cell r="O1420">
            <v>32223</v>
          </cell>
          <cell r="P1420">
            <v>16</v>
          </cell>
          <cell r="Q1420">
            <v>3</v>
          </cell>
          <cell r="T1420">
            <v>900</v>
          </cell>
          <cell r="U1420">
            <v>0</v>
          </cell>
          <cell r="V1420">
            <v>5200</v>
          </cell>
          <cell r="W1420">
            <v>180</v>
          </cell>
          <cell r="X1420">
            <v>4160</v>
          </cell>
          <cell r="Y1420">
            <v>105774</v>
          </cell>
          <cell r="Z1420">
            <v>6002.95</v>
          </cell>
          <cell r="AA1420">
            <v>3357.05</v>
          </cell>
          <cell r="AB1420">
            <v>172.291</v>
          </cell>
          <cell r="AC1420">
            <v>5200</v>
          </cell>
          <cell r="AD1420">
            <v>4650.68</v>
          </cell>
          <cell r="AE1420">
            <v>549.31999999999971</v>
          </cell>
          <cell r="AN1420" t="str">
            <v xml:space="preserve">Contrato emergencial nº </v>
          </cell>
          <cell r="AO1420" t="str">
            <v>IQ</v>
          </cell>
        </row>
        <row r="1421">
          <cell r="D1421" t="str">
            <v>2484/11</v>
          </cell>
          <cell r="E1421" t="str">
            <v>26/09/2011</v>
          </cell>
          <cell r="F1421">
            <v>40991</v>
          </cell>
          <cell r="G1421">
            <v>40877</v>
          </cell>
          <cell r="H1421" t="str">
            <v>2011-0.229.810-3</v>
          </cell>
          <cell r="I1421">
            <v>44324.52</v>
          </cell>
          <cell r="J1421" t="str">
            <v xml:space="preserve">              123611122                  2848                    33903600</v>
          </cell>
          <cell r="K1421" t="str">
            <v>26/09/2011</v>
          </cell>
          <cell r="L1421">
            <v>66</v>
          </cell>
          <cell r="M1421">
            <v>16300</v>
          </cell>
          <cell r="N1421">
            <v>57278</v>
          </cell>
          <cell r="O1421">
            <v>32224</v>
          </cell>
          <cell r="P1421">
            <v>16</v>
          </cell>
          <cell r="Q1421">
            <v>3</v>
          </cell>
          <cell r="T1421">
            <v>1300</v>
          </cell>
          <cell r="U1421">
            <v>0</v>
          </cell>
          <cell r="V1421">
            <v>7400</v>
          </cell>
          <cell r="W1421">
            <v>180</v>
          </cell>
          <cell r="X1421">
            <v>5920</v>
          </cell>
          <cell r="Y1421">
            <v>104973</v>
          </cell>
          <cell r="Z1421">
            <v>9398.02</v>
          </cell>
          <cell r="AA1421">
            <v>3921.9799999999996</v>
          </cell>
          <cell r="AB1421">
            <v>246.2473333333333</v>
          </cell>
          <cell r="AC1421">
            <v>7400</v>
          </cell>
          <cell r="AD1421">
            <v>6018.12</v>
          </cell>
          <cell r="AE1421">
            <v>1381.88</v>
          </cell>
          <cell r="AN1421" t="str">
            <v xml:space="preserve">Contrato emergencial nº </v>
          </cell>
          <cell r="AO1421" t="str">
            <v>PJ</v>
          </cell>
        </row>
        <row r="1422">
          <cell r="D1422" t="str">
            <v>2485/11</v>
          </cell>
          <cell r="E1422" t="str">
            <v>26/09/2011</v>
          </cell>
          <cell r="F1422">
            <v>40991</v>
          </cell>
          <cell r="G1422">
            <v>40877</v>
          </cell>
          <cell r="H1422" t="str">
            <v>2011-0.229.820-0</v>
          </cell>
          <cell r="I1422">
            <v>38261.760000000002</v>
          </cell>
          <cell r="J1422" t="str">
            <v xml:space="preserve">              123651121                 2847                    33903600</v>
          </cell>
          <cell r="K1422" t="str">
            <v>26/09/2011</v>
          </cell>
          <cell r="L1422">
            <v>66</v>
          </cell>
          <cell r="M1422">
            <v>14100</v>
          </cell>
          <cell r="N1422">
            <v>57273</v>
          </cell>
          <cell r="O1422">
            <v>32226</v>
          </cell>
          <cell r="P1422">
            <v>16</v>
          </cell>
          <cell r="Q1422">
            <v>2</v>
          </cell>
          <cell r="T1422">
            <v>1100</v>
          </cell>
          <cell r="U1422">
            <v>0</v>
          </cell>
          <cell r="V1422">
            <v>6400</v>
          </cell>
          <cell r="W1422">
            <v>180</v>
          </cell>
          <cell r="X1422">
            <v>5120</v>
          </cell>
          <cell r="Y1422">
            <v>104875</v>
          </cell>
          <cell r="Z1422">
            <v>7437.7</v>
          </cell>
          <cell r="AA1422">
            <v>4082.3</v>
          </cell>
          <cell r="AB1422">
            <v>212.56533333333334</v>
          </cell>
          <cell r="AC1422">
            <v>6400</v>
          </cell>
          <cell r="AD1422">
            <v>5744.8</v>
          </cell>
          <cell r="AE1422">
            <v>655.19999999999982</v>
          </cell>
          <cell r="AN1422" t="str">
            <v xml:space="preserve">Contrato emergencial nº </v>
          </cell>
          <cell r="AO1422" t="str">
            <v>PJ</v>
          </cell>
        </row>
        <row r="1423">
          <cell r="D1423" t="str">
            <v>2486/11</v>
          </cell>
          <cell r="E1423" t="str">
            <v>26/09/2011</v>
          </cell>
          <cell r="F1423">
            <v>40991</v>
          </cell>
          <cell r="G1423">
            <v>40877</v>
          </cell>
          <cell r="H1423" t="str">
            <v>2011-0.229.829-4</v>
          </cell>
          <cell r="I1423">
            <v>21373.56</v>
          </cell>
          <cell r="J1423" t="str">
            <v xml:space="preserve">              123651121                 2847                    33903600</v>
          </cell>
          <cell r="K1423" t="str">
            <v>26/09/2011</v>
          </cell>
          <cell r="L1423">
            <v>66</v>
          </cell>
          <cell r="M1423">
            <v>7900</v>
          </cell>
          <cell r="N1423">
            <v>57273</v>
          </cell>
          <cell r="O1423">
            <v>32227</v>
          </cell>
          <cell r="P1423">
            <v>16</v>
          </cell>
          <cell r="Q1423">
            <v>2</v>
          </cell>
          <cell r="T1423">
            <v>600</v>
          </cell>
          <cell r="U1423">
            <v>0</v>
          </cell>
          <cell r="V1423">
            <v>4200</v>
          </cell>
          <cell r="W1423">
            <v>180</v>
          </cell>
          <cell r="X1423">
            <v>3360</v>
          </cell>
          <cell r="Y1423">
            <v>104879</v>
          </cell>
          <cell r="Z1423">
            <v>3143.06</v>
          </cell>
          <cell r="AA1423">
            <v>4416.9400000000005</v>
          </cell>
          <cell r="AB1423">
            <v>118.742</v>
          </cell>
          <cell r="AC1423">
            <v>3600</v>
          </cell>
          <cell r="AD1423">
            <v>4157.2</v>
          </cell>
          <cell r="AE1423">
            <v>-557.19999999999982</v>
          </cell>
          <cell r="AN1423" t="str">
            <v xml:space="preserve">Contrato emergencial nº </v>
          </cell>
          <cell r="AO1423" t="str">
            <v>PJ</v>
          </cell>
        </row>
        <row r="1424">
          <cell r="D1424" t="str">
            <v>2487/11</v>
          </cell>
          <cell r="E1424" t="str">
            <v>26/09/2011</v>
          </cell>
          <cell r="F1424">
            <v>40991</v>
          </cell>
          <cell r="G1424">
            <v>40877</v>
          </cell>
          <cell r="H1424" t="str">
            <v>2011-0.229.843-0</v>
          </cell>
          <cell r="I1424">
            <v>30150.54</v>
          </cell>
          <cell r="J1424" t="str">
            <v xml:space="preserve">              123651121                 2847                    33903600</v>
          </cell>
          <cell r="K1424" t="str">
            <v>26/09/2011</v>
          </cell>
          <cell r="L1424">
            <v>66</v>
          </cell>
          <cell r="M1424">
            <v>11100</v>
          </cell>
          <cell r="N1424">
            <v>57273</v>
          </cell>
          <cell r="O1424">
            <v>32229</v>
          </cell>
          <cell r="P1424">
            <v>16</v>
          </cell>
          <cell r="Q1424">
            <v>2</v>
          </cell>
          <cell r="T1424">
            <v>900</v>
          </cell>
          <cell r="U1424">
            <v>0</v>
          </cell>
          <cell r="V1424">
            <v>5500</v>
          </cell>
          <cell r="W1424">
            <v>180</v>
          </cell>
          <cell r="X1424">
            <v>4400</v>
          </cell>
          <cell r="Y1424">
            <v>104918</v>
          </cell>
          <cell r="Z1424">
            <v>4772.76</v>
          </cell>
          <cell r="AA1424">
            <v>5127.24</v>
          </cell>
          <cell r="AB1424">
            <v>167.50300000000001</v>
          </cell>
          <cell r="AC1424">
            <v>5100</v>
          </cell>
          <cell r="AD1424">
            <v>5450.0990000000002</v>
          </cell>
          <cell r="AE1424">
            <v>-350.09900000000016</v>
          </cell>
          <cell r="AN1424" t="str">
            <v xml:space="preserve">Contrato emergencial nº </v>
          </cell>
          <cell r="AO1424" t="str">
            <v>PJ</v>
          </cell>
        </row>
        <row r="1425">
          <cell r="D1425" t="str">
            <v>2488/11</v>
          </cell>
          <cell r="E1425" t="str">
            <v>26/09/2011</v>
          </cell>
          <cell r="F1425">
            <v>40991</v>
          </cell>
          <cell r="G1425">
            <v>40877</v>
          </cell>
          <cell r="H1425" t="str">
            <v>2011-0.229.890-1</v>
          </cell>
          <cell r="I1425">
            <v>39569.46</v>
          </cell>
          <cell r="J1425" t="str">
            <v xml:space="preserve">              123611122                  2848                    33903600</v>
          </cell>
          <cell r="K1425" t="str">
            <v>26/09/2011</v>
          </cell>
          <cell r="L1425">
            <v>66</v>
          </cell>
          <cell r="M1425">
            <v>14600</v>
          </cell>
          <cell r="N1425">
            <v>57278</v>
          </cell>
          <cell r="O1425">
            <v>32230</v>
          </cell>
          <cell r="P1425">
            <v>16</v>
          </cell>
          <cell r="Q1425">
            <v>3</v>
          </cell>
          <cell r="T1425">
            <v>1100</v>
          </cell>
          <cell r="U1425">
            <v>0</v>
          </cell>
          <cell r="V1425">
            <v>6600</v>
          </cell>
          <cell r="W1425">
            <v>180</v>
          </cell>
          <cell r="X1425">
            <v>5280</v>
          </cell>
          <cell r="Y1425">
            <v>105003</v>
          </cell>
          <cell r="Z1425">
            <v>7175.21</v>
          </cell>
          <cell r="AA1425">
            <v>4704.79</v>
          </cell>
          <cell r="AB1425">
            <v>219.83033333333333</v>
          </cell>
          <cell r="AC1425">
            <v>6600</v>
          </cell>
          <cell r="AD1425">
            <v>6573.29</v>
          </cell>
          <cell r="AE1425">
            <v>26.710000000000036</v>
          </cell>
          <cell r="AN1425" t="str">
            <v xml:space="preserve">Contrato emergencial nº </v>
          </cell>
          <cell r="AO1425" t="str">
            <v>PJ</v>
          </cell>
        </row>
        <row r="1426">
          <cell r="D1426" t="str">
            <v>2489/11</v>
          </cell>
          <cell r="E1426" t="str">
            <v>26/09/2011</v>
          </cell>
          <cell r="F1426">
            <v>40991</v>
          </cell>
          <cell r="G1426">
            <v>40877</v>
          </cell>
          <cell r="H1426" t="str">
            <v>2011-0.229.896-0</v>
          </cell>
          <cell r="I1426">
            <v>26039.46</v>
          </cell>
          <cell r="J1426" t="str">
            <v xml:space="preserve">              123611122                  2848                    33903600</v>
          </cell>
          <cell r="K1426" t="str">
            <v>26/09/2011</v>
          </cell>
          <cell r="L1426">
            <v>66</v>
          </cell>
          <cell r="M1426">
            <v>9600</v>
          </cell>
          <cell r="N1426">
            <v>57278</v>
          </cell>
          <cell r="O1426">
            <v>32233</v>
          </cell>
          <cell r="P1426">
            <v>16</v>
          </cell>
          <cell r="Q1426">
            <v>3</v>
          </cell>
          <cell r="T1426">
            <v>800</v>
          </cell>
          <cell r="U1426">
            <v>0</v>
          </cell>
          <cell r="V1426">
            <v>4400</v>
          </cell>
          <cell r="W1426">
            <v>180</v>
          </cell>
          <cell r="X1426">
            <v>3520</v>
          </cell>
          <cell r="Y1426">
            <v>104934</v>
          </cell>
          <cell r="Z1426">
            <v>5893.06</v>
          </cell>
          <cell r="AA1426">
            <v>2026.9399999999996</v>
          </cell>
          <cell r="AB1426">
            <v>144.66366666666667</v>
          </cell>
          <cell r="AC1426">
            <v>4400</v>
          </cell>
          <cell r="AD1426">
            <v>3314.66</v>
          </cell>
          <cell r="AE1426">
            <v>1085.3400000000001</v>
          </cell>
          <cell r="AN1426" t="str">
            <v xml:space="preserve">Contrato emergencial nº </v>
          </cell>
          <cell r="AO1426" t="str">
            <v>PJ</v>
          </cell>
        </row>
        <row r="1427">
          <cell r="D1427" t="str">
            <v>2490/11</v>
          </cell>
          <cell r="E1427" t="str">
            <v>26/09/2011</v>
          </cell>
          <cell r="F1427">
            <v>40991</v>
          </cell>
          <cell r="G1427">
            <v>40877</v>
          </cell>
          <cell r="H1427" t="str">
            <v>2011-0.229.908-8</v>
          </cell>
          <cell r="I1427">
            <v>31012.38</v>
          </cell>
          <cell r="J1427" t="str">
            <v xml:space="preserve">              123611122                  2848                    33903600</v>
          </cell>
          <cell r="K1427" t="str">
            <v>26/09/2011</v>
          </cell>
          <cell r="L1427">
            <v>66</v>
          </cell>
          <cell r="M1427">
            <v>11400</v>
          </cell>
          <cell r="N1427">
            <v>57278</v>
          </cell>
          <cell r="O1427">
            <v>32236</v>
          </cell>
          <cell r="P1427">
            <v>16</v>
          </cell>
          <cell r="Q1427">
            <v>3</v>
          </cell>
          <cell r="T1427">
            <v>900</v>
          </cell>
          <cell r="U1427">
            <v>0</v>
          </cell>
          <cell r="V1427">
            <v>5400</v>
          </cell>
          <cell r="W1427">
            <v>180</v>
          </cell>
          <cell r="X1427">
            <v>4320</v>
          </cell>
          <cell r="Y1427">
            <v>105035</v>
          </cell>
          <cell r="Z1427">
            <v>5424.07</v>
          </cell>
          <cell r="AA1427">
            <v>4295.93</v>
          </cell>
          <cell r="AB1427">
            <v>172.291</v>
          </cell>
          <cell r="AC1427">
            <v>5200</v>
          </cell>
          <cell r="AD1427">
            <v>5332.42</v>
          </cell>
          <cell r="AE1427">
            <v>-132.42000000000007</v>
          </cell>
          <cell r="AN1427" t="str">
            <v xml:space="preserve">Contrato emergencial nº </v>
          </cell>
          <cell r="AO1427" t="str">
            <v>PJ</v>
          </cell>
        </row>
        <row r="1428">
          <cell r="D1428" t="str">
            <v>2491/11</v>
          </cell>
          <cell r="E1428" t="str">
            <v>26/09/2011</v>
          </cell>
          <cell r="F1428">
            <v>40991</v>
          </cell>
          <cell r="G1428">
            <v>40877</v>
          </cell>
          <cell r="H1428" t="str">
            <v>2011-0.229.921-5</v>
          </cell>
          <cell r="I1428">
            <v>44324.52</v>
          </cell>
          <cell r="J1428" t="str">
            <v xml:space="preserve">              123651121                 2847                    33903600</v>
          </cell>
          <cell r="K1428" t="str">
            <v>26/09/2011</v>
          </cell>
          <cell r="L1428">
            <v>66</v>
          </cell>
          <cell r="M1428">
            <v>16300</v>
          </cell>
          <cell r="N1428">
            <v>57273</v>
          </cell>
          <cell r="O1428">
            <v>32237</v>
          </cell>
          <cell r="P1428">
            <v>16</v>
          </cell>
          <cell r="Q1428">
            <v>2</v>
          </cell>
          <cell r="T1428">
            <v>1300</v>
          </cell>
          <cell r="U1428">
            <v>0</v>
          </cell>
          <cell r="V1428">
            <v>7400</v>
          </cell>
          <cell r="W1428">
            <v>180</v>
          </cell>
          <cell r="X1428">
            <v>5920</v>
          </cell>
          <cell r="Y1428">
            <v>104870</v>
          </cell>
          <cell r="Z1428">
            <v>8519.09</v>
          </cell>
          <cell r="AA1428">
            <v>4800.91</v>
          </cell>
          <cell r="AB1428">
            <v>246.2473333333333</v>
          </cell>
          <cell r="AC1428">
            <v>7400</v>
          </cell>
          <cell r="AD1428">
            <v>6747.8400000000011</v>
          </cell>
          <cell r="AE1428">
            <v>652.15999999999894</v>
          </cell>
          <cell r="AN1428" t="str">
            <v xml:space="preserve">Contrato emergencial nº </v>
          </cell>
          <cell r="AO1428" t="str">
            <v>PJ</v>
          </cell>
        </row>
        <row r="1429">
          <cell r="D1429" t="str">
            <v>2492/11</v>
          </cell>
          <cell r="E1429" t="str">
            <v>26/09/2011</v>
          </cell>
          <cell r="F1429">
            <v>40991</v>
          </cell>
          <cell r="G1429">
            <v>40877</v>
          </cell>
          <cell r="H1429" t="str">
            <v>2011-0.229.929-0</v>
          </cell>
          <cell r="I1429">
            <v>23860.02</v>
          </cell>
          <cell r="J1429" t="str">
            <v xml:space="preserve">              123611122                  2848                    33903600</v>
          </cell>
          <cell r="K1429" t="str">
            <v>26/09/2011</v>
          </cell>
          <cell r="L1429">
            <v>66</v>
          </cell>
          <cell r="M1429">
            <v>8800</v>
          </cell>
          <cell r="N1429">
            <v>57278</v>
          </cell>
          <cell r="O1429">
            <v>32241</v>
          </cell>
          <cell r="P1429">
            <v>16</v>
          </cell>
          <cell r="Q1429">
            <v>3</v>
          </cell>
          <cell r="T1429">
            <v>700</v>
          </cell>
          <cell r="U1429">
            <v>0</v>
          </cell>
          <cell r="V1429">
            <v>4000</v>
          </cell>
          <cell r="W1429">
            <v>180</v>
          </cell>
          <cell r="X1429">
            <v>3200</v>
          </cell>
          <cell r="Y1429">
            <v>106834</v>
          </cell>
          <cell r="Z1429">
            <v>4698.09</v>
          </cell>
          <cell r="AA1429">
            <v>2501.91</v>
          </cell>
          <cell r="AB1429">
            <v>132.55566666666667</v>
          </cell>
          <cell r="AC1429">
            <v>4000</v>
          </cell>
          <cell r="AD1429">
            <v>3499.6400000000003</v>
          </cell>
          <cell r="AE1429">
            <v>500.35999999999967</v>
          </cell>
          <cell r="AN1429" t="str">
            <v xml:space="preserve">Contrato emergencial nº </v>
          </cell>
          <cell r="AO1429" t="str">
            <v>SA</v>
          </cell>
        </row>
        <row r="1430">
          <cell r="D1430" t="str">
            <v>2493/11</v>
          </cell>
          <cell r="E1430" t="str">
            <v>26/09/2011</v>
          </cell>
          <cell r="F1430">
            <v>40991</v>
          </cell>
          <cell r="G1430">
            <v>40877</v>
          </cell>
          <cell r="H1430" t="str">
            <v>2011-0.229.964-9</v>
          </cell>
          <cell r="I1430">
            <v>44978.400000000001</v>
          </cell>
          <cell r="J1430" t="str">
            <v xml:space="preserve">              123651121                 2847                    33903600</v>
          </cell>
          <cell r="K1430" t="str">
            <v>26/09/2011</v>
          </cell>
          <cell r="L1430">
            <v>66</v>
          </cell>
          <cell r="M1430">
            <v>16500</v>
          </cell>
          <cell r="N1430">
            <v>57273</v>
          </cell>
          <cell r="O1430">
            <v>32242</v>
          </cell>
          <cell r="P1430">
            <v>16</v>
          </cell>
          <cell r="Q1430">
            <v>2</v>
          </cell>
          <cell r="T1430">
            <v>1300</v>
          </cell>
          <cell r="U1430">
            <v>0</v>
          </cell>
          <cell r="V1430">
            <v>7500</v>
          </cell>
          <cell r="W1430">
            <v>180</v>
          </cell>
          <cell r="X1430">
            <v>6000</v>
          </cell>
          <cell r="Y1430">
            <v>106844</v>
          </cell>
          <cell r="Z1430">
            <v>8785.02</v>
          </cell>
          <cell r="AA1430">
            <v>4714.9799999999996</v>
          </cell>
          <cell r="AB1430">
            <v>249.88</v>
          </cell>
          <cell r="AC1430">
            <v>7500</v>
          </cell>
          <cell r="AD1430">
            <v>6645.84</v>
          </cell>
          <cell r="AE1430">
            <v>854.15999999999985</v>
          </cell>
          <cell r="AN1430" t="str">
            <v xml:space="preserve">Contrato emergencial nº </v>
          </cell>
          <cell r="AO1430" t="str">
            <v>SA</v>
          </cell>
        </row>
        <row r="1431">
          <cell r="D1431" t="str">
            <v>2494/11</v>
          </cell>
          <cell r="E1431" t="str">
            <v>26/09/2011</v>
          </cell>
          <cell r="F1431">
            <v>40991</v>
          </cell>
          <cell r="G1431">
            <v>40877</v>
          </cell>
          <cell r="H1431" t="str">
            <v>2011-0.229.969-0</v>
          </cell>
          <cell r="I1431">
            <v>25633.26</v>
          </cell>
          <cell r="J1431" t="str">
            <v xml:space="preserve">              123651121                 2847                    33903600</v>
          </cell>
          <cell r="K1431" t="str">
            <v>26/09/2011</v>
          </cell>
          <cell r="L1431">
            <v>66</v>
          </cell>
          <cell r="M1431">
            <v>9400</v>
          </cell>
          <cell r="N1431">
            <v>57273</v>
          </cell>
          <cell r="O1431">
            <v>32244</v>
          </cell>
          <cell r="P1431">
            <v>16</v>
          </cell>
          <cell r="Q1431">
            <v>2</v>
          </cell>
          <cell r="T1431">
            <v>800</v>
          </cell>
          <cell r="U1431">
            <v>0</v>
          </cell>
          <cell r="V1431">
            <v>4300</v>
          </cell>
          <cell r="W1431">
            <v>180</v>
          </cell>
          <cell r="X1431">
            <v>3440</v>
          </cell>
          <cell r="Y1431">
            <v>106848</v>
          </cell>
          <cell r="Z1431">
            <v>5391.37</v>
          </cell>
          <cell r="AA1431">
            <v>2348.63</v>
          </cell>
          <cell r="AB1431">
            <v>142.40699999999998</v>
          </cell>
          <cell r="AC1431">
            <v>4300</v>
          </cell>
          <cell r="AD1431">
            <v>3475.5700000000006</v>
          </cell>
          <cell r="AE1431">
            <v>824.42999999999938</v>
          </cell>
          <cell r="AN1431" t="str">
            <v xml:space="preserve">Contrato emergencial nº </v>
          </cell>
          <cell r="AO1431" t="str">
            <v>SA</v>
          </cell>
        </row>
        <row r="1432">
          <cell r="D1432" t="str">
            <v>2495/11</v>
          </cell>
          <cell r="E1432" t="str">
            <v>26/09/2011</v>
          </cell>
          <cell r="F1432">
            <v>40991</v>
          </cell>
          <cell r="G1432">
            <v>40877</v>
          </cell>
          <cell r="H1432" t="str">
            <v>2011-0.229.977-0</v>
          </cell>
          <cell r="I1432">
            <v>38261.760000000002</v>
          </cell>
          <cell r="J1432" t="str">
            <v xml:space="preserve">              123611122                  2848                    33903600</v>
          </cell>
          <cell r="K1432" t="str">
            <v>26/09/2011</v>
          </cell>
          <cell r="L1432">
            <v>66</v>
          </cell>
          <cell r="M1432">
            <v>14100</v>
          </cell>
          <cell r="N1432">
            <v>57278</v>
          </cell>
          <cell r="O1432">
            <v>32428</v>
          </cell>
          <cell r="P1432">
            <v>16</v>
          </cell>
          <cell r="Q1432">
            <v>3</v>
          </cell>
          <cell r="T1432">
            <v>1100</v>
          </cell>
          <cell r="U1432">
            <v>0</v>
          </cell>
          <cell r="V1432">
            <v>6400</v>
          </cell>
          <cell r="W1432">
            <v>180</v>
          </cell>
          <cell r="X1432">
            <v>5120</v>
          </cell>
          <cell r="Y1432">
            <v>106850</v>
          </cell>
          <cell r="Z1432">
            <v>8114.08</v>
          </cell>
          <cell r="AA1432">
            <v>3405.92</v>
          </cell>
          <cell r="AB1432">
            <v>212.56533333333334</v>
          </cell>
          <cell r="AC1432">
            <v>6400</v>
          </cell>
          <cell r="AD1432">
            <v>5157.2700000000004</v>
          </cell>
          <cell r="AE1432">
            <v>1242.7299999999996</v>
          </cell>
          <cell r="AN1432" t="str">
            <v xml:space="preserve">Contrato emergencial nº </v>
          </cell>
          <cell r="AO1432" t="str">
            <v>SA</v>
          </cell>
        </row>
        <row r="1433">
          <cell r="D1433" t="str">
            <v>2496/11</v>
          </cell>
          <cell r="E1433" t="str">
            <v>26/09/2011</v>
          </cell>
          <cell r="F1433">
            <v>40991</v>
          </cell>
          <cell r="G1433">
            <v>40877</v>
          </cell>
          <cell r="H1433" t="str">
            <v>2011-0.229.983-5</v>
          </cell>
          <cell r="I1433">
            <v>42184.92</v>
          </cell>
          <cell r="J1433" t="str">
            <v xml:space="preserve">             123671125                  2863                   33903600</v>
          </cell>
          <cell r="K1433" t="str">
            <v>26/09/2011</v>
          </cell>
          <cell r="L1433">
            <v>66</v>
          </cell>
          <cell r="M1433">
            <v>15500</v>
          </cell>
          <cell r="N1433">
            <v>57287</v>
          </cell>
          <cell r="O1433">
            <v>32430</v>
          </cell>
          <cell r="P1433">
            <v>16</v>
          </cell>
          <cell r="Q1433">
            <v>4</v>
          </cell>
          <cell r="T1433">
            <v>1200</v>
          </cell>
          <cell r="U1433">
            <v>0</v>
          </cell>
          <cell r="V1433">
            <v>7800</v>
          </cell>
          <cell r="W1433">
            <v>180</v>
          </cell>
          <cell r="X1433">
            <v>6240</v>
          </cell>
          <cell r="Y1433">
            <v>106852</v>
          </cell>
          <cell r="Z1433">
            <v>6616.38</v>
          </cell>
          <cell r="AA1433">
            <v>7423.62</v>
          </cell>
          <cell r="AB1433">
            <v>234.36066666666665</v>
          </cell>
          <cell r="AC1433">
            <v>7100</v>
          </cell>
          <cell r="AD1433">
            <v>7725.15</v>
          </cell>
          <cell r="AE1433">
            <v>-625.14999999999964</v>
          </cell>
          <cell r="AN1433" t="str">
            <v xml:space="preserve">Contrato emergencial nº </v>
          </cell>
          <cell r="AO1433" t="str">
            <v>SA</v>
          </cell>
        </row>
        <row r="1434">
          <cell r="D1434" t="str">
            <v>2497/11</v>
          </cell>
          <cell r="E1434" t="str">
            <v>26/09/2011</v>
          </cell>
          <cell r="F1434">
            <v>40991</v>
          </cell>
          <cell r="G1434">
            <v>40877</v>
          </cell>
          <cell r="H1434" t="str">
            <v>2011-0.229.988-6</v>
          </cell>
          <cell r="I1434">
            <v>44978.400000000001</v>
          </cell>
          <cell r="J1434" t="str">
            <v xml:space="preserve">              123611122                  2848                    33903600</v>
          </cell>
          <cell r="K1434" t="str">
            <v>26/09/2011</v>
          </cell>
          <cell r="L1434">
            <v>66</v>
          </cell>
          <cell r="M1434">
            <v>16500</v>
          </cell>
          <cell r="N1434">
            <v>57278</v>
          </cell>
          <cell r="O1434">
            <v>32431</v>
          </cell>
          <cell r="P1434">
            <v>16</v>
          </cell>
          <cell r="Q1434">
            <v>3</v>
          </cell>
          <cell r="T1434">
            <v>1128.7266666666701</v>
          </cell>
          <cell r="U1434">
            <v>0</v>
          </cell>
          <cell r="V1434">
            <v>7500</v>
          </cell>
          <cell r="W1434">
            <v>180</v>
          </cell>
          <cell r="X1434">
            <v>6000</v>
          </cell>
          <cell r="Y1434">
            <v>105625</v>
          </cell>
          <cell r="Z1434">
            <v>8675.43</v>
          </cell>
          <cell r="AA1434">
            <v>4824.57</v>
          </cell>
          <cell r="AB1434">
            <v>249.88</v>
          </cell>
          <cell r="AC1434">
            <v>7500</v>
          </cell>
          <cell r="AD1434">
            <v>6649.16</v>
          </cell>
          <cell r="AE1434">
            <v>850.84000000000015</v>
          </cell>
          <cell r="AN1434" t="str">
            <v xml:space="preserve">Contrato emergencial nº </v>
          </cell>
          <cell r="AO1434" t="str">
            <v>SM</v>
          </cell>
        </row>
        <row r="1435">
          <cell r="D1435" t="str">
            <v>2498/11</v>
          </cell>
          <cell r="E1435" t="str">
            <v>26/09/2011</v>
          </cell>
          <cell r="F1435">
            <v>40991</v>
          </cell>
          <cell r="G1435">
            <v>40877</v>
          </cell>
          <cell r="H1435" t="str">
            <v>2011-0.229.996-7</v>
          </cell>
          <cell r="I1435">
            <v>20967.419999999998</v>
          </cell>
          <cell r="J1435" t="str">
            <v xml:space="preserve">              123611122                  2848                    33903600</v>
          </cell>
          <cell r="K1435" t="str">
            <v>26/09/2011</v>
          </cell>
          <cell r="L1435">
            <v>66</v>
          </cell>
          <cell r="M1435">
            <v>7700</v>
          </cell>
          <cell r="N1435">
            <v>57278</v>
          </cell>
          <cell r="O1435">
            <v>32434</v>
          </cell>
          <cell r="P1435">
            <v>16</v>
          </cell>
          <cell r="Q1435">
            <v>3</v>
          </cell>
          <cell r="T1435">
            <v>645.17833333333397</v>
          </cell>
          <cell r="U1435">
            <v>0</v>
          </cell>
          <cell r="V1435">
            <v>3700</v>
          </cell>
          <cell r="W1435">
            <v>180</v>
          </cell>
          <cell r="X1435">
            <v>2960</v>
          </cell>
          <cell r="Y1435">
            <v>105629</v>
          </cell>
          <cell r="Z1435">
            <v>3441.25</v>
          </cell>
          <cell r="AA1435">
            <v>3218.75</v>
          </cell>
          <cell r="AB1435">
            <v>116.48566666666666</v>
          </cell>
          <cell r="AC1435">
            <v>3500</v>
          </cell>
          <cell r="AD1435">
            <v>3653.8200000000006</v>
          </cell>
          <cell r="AE1435">
            <v>-153.82000000000062</v>
          </cell>
          <cell r="AN1435" t="str">
            <v xml:space="preserve">Contrato emergencial nº </v>
          </cell>
          <cell r="AO1435" t="str">
            <v>SM</v>
          </cell>
        </row>
        <row r="1436">
          <cell r="D1436" t="str">
            <v>2499/11</v>
          </cell>
          <cell r="E1436" t="str">
            <v>26/09/2011</v>
          </cell>
          <cell r="F1436">
            <v>40991</v>
          </cell>
          <cell r="G1436">
            <v>40877</v>
          </cell>
          <cell r="H1436" t="str">
            <v>2011-0.230.002-7</v>
          </cell>
          <cell r="I1436">
            <v>31012.38</v>
          </cell>
          <cell r="J1436" t="str">
            <v xml:space="preserve">              123611122                  2848                    33903600</v>
          </cell>
          <cell r="K1436" t="str">
            <v>26/09/2011</v>
          </cell>
          <cell r="L1436">
            <v>66</v>
          </cell>
          <cell r="M1436">
            <v>11400</v>
          </cell>
          <cell r="N1436">
            <v>57278</v>
          </cell>
          <cell r="O1436">
            <v>32441</v>
          </cell>
          <cell r="P1436">
            <v>16</v>
          </cell>
          <cell r="Q1436">
            <v>3</v>
          </cell>
          <cell r="T1436">
            <v>971.77499999999998</v>
          </cell>
          <cell r="U1436">
            <v>0</v>
          </cell>
          <cell r="V1436">
            <v>5600</v>
          </cell>
          <cell r="W1436">
            <v>180</v>
          </cell>
          <cell r="X1436">
            <v>4480</v>
          </cell>
          <cell r="Y1436">
            <v>105630</v>
          </cell>
          <cell r="Z1436">
            <v>4936.8500000000004</v>
          </cell>
          <cell r="AA1436">
            <v>5143.1499999999996</v>
          </cell>
          <cell r="AB1436">
            <v>172.291</v>
          </cell>
          <cell r="AC1436">
            <v>5200</v>
          </cell>
          <cell r="AD1436">
            <v>5573.875</v>
          </cell>
          <cell r="AE1436">
            <v>-373.875</v>
          </cell>
          <cell r="AN1436" t="str">
            <v xml:space="preserve">Contrato emergencial nº </v>
          </cell>
          <cell r="AO1436" t="str">
            <v>SM</v>
          </cell>
        </row>
        <row r="1437">
          <cell r="D1437" t="str">
            <v>2500/11</v>
          </cell>
          <cell r="E1437" t="str">
            <v>26/09/2011</v>
          </cell>
          <cell r="F1437">
            <v>40991</v>
          </cell>
          <cell r="G1437">
            <v>40877</v>
          </cell>
          <cell r="H1437" t="str">
            <v>2011-0.230.007-8</v>
          </cell>
          <cell r="I1437">
            <v>28575.42</v>
          </cell>
          <cell r="J1437" t="str">
            <v xml:space="preserve">              123611122                  2848                    33903600</v>
          </cell>
          <cell r="K1437" t="str">
            <v>26/09/2011</v>
          </cell>
          <cell r="L1437">
            <v>66</v>
          </cell>
          <cell r="M1437">
            <v>10500</v>
          </cell>
          <cell r="N1437">
            <v>57278</v>
          </cell>
          <cell r="O1437">
            <v>32442</v>
          </cell>
          <cell r="P1437">
            <v>16</v>
          </cell>
          <cell r="Q1437">
            <v>3</v>
          </cell>
          <cell r="T1437">
            <v>1025.24233333333</v>
          </cell>
          <cell r="U1437">
            <v>0</v>
          </cell>
          <cell r="V1437">
            <v>5000</v>
          </cell>
          <cell r="W1437">
            <v>180</v>
          </cell>
          <cell r="X1437">
            <v>4000</v>
          </cell>
          <cell r="Y1437">
            <v>105634</v>
          </cell>
          <cell r="Z1437">
            <v>4539.93</v>
          </cell>
          <cell r="AA1437">
            <v>4460.07</v>
          </cell>
          <cell r="AB1437">
            <v>158.75233333333333</v>
          </cell>
          <cell r="AC1437">
            <v>4800</v>
          </cell>
          <cell r="AD1437">
            <v>4929.0239999999994</v>
          </cell>
          <cell r="AE1437">
            <v>-129.02399999999943</v>
          </cell>
          <cell r="AN1437" t="str">
            <v xml:space="preserve">Contrato emergencial nº </v>
          </cell>
          <cell r="AO1437" t="str">
            <v>SM</v>
          </cell>
        </row>
        <row r="1438">
          <cell r="D1438" t="str">
            <v>2501/11</v>
          </cell>
          <cell r="E1438" t="str">
            <v>26/09/2011</v>
          </cell>
          <cell r="F1438">
            <v>40991</v>
          </cell>
          <cell r="G1438">
            <v>40877</v>
          </cell>
          <cell r="H1438" t="str">
            <v>2011-0.230.020-5</v>
          </cell>
          <cell r="I1438">
            <v>28119.78</v>
          </cell>
          <cell r="J1438" t="str">
            <v xml:space="preserve">              123611122                  2848                    33903600</v>
          </cell>
          <cell r="K1438" t="str">
            <v>26/09/2011</v>
          </cell>
          <cell r="L1438">
            <v>66</v>
          </cell>
          <cell r="M1438">
            <v>10400</v>
          </cell>
          <cell r="N1438">
            <v>57278</v>
          </cell>
          <cell r="O1438">
            <v>32443</v>
          </cell>
          <cell r="P1438">
            <v>16</v>
          </cell>
          <cell r="Q1438">
            <v>3</v>
          </cell>
          <cell r="T1438">
            <v>687.73666666666702</v>
          </cell>
          <cell r="U1438">
            <v>0</v>
          </cell>
          <cell r="V1438">
            <v>4700</v>
          </cell>
          <cell r="W1438">
            <v>180</v>
          </cell>
          <cell r="X1438">
            <v>3760</v>
          </cell>
          <cell r="Y1438">
            <v>105635</v>
          </cell>
          <cell r="Z1438">
            <v>5834.97</v>
          </cell>
          <cell r="AA1438">
            <v>2625.0299999999997</v>
          </cell>
          <cell r="AB1438">
            <v>156.221</v>
          </cell>
          <cell r="AC1438">
            <v>4700</v>
          </cell>
          <cell r="AD1438">
            <v>3936.44</v>
          </cell>
          <cell r="AE1438">
            <v>763.56</v>
          </cell>
          <cell r="AN1438" t="str">
            <v xml:space="preserve">Contrato emergencial nº </v>
          </cell>
          <cell r="AO1438" t="str">
            <v>SM</v>
          </cell>
        </row>
        <row r="1439">
          <cell r="D1439" t="str">
            <v>2503/11</v>
          </cell>
          <cell r="E1439" t="str">
            <v>26/09/2011</v>
          </cell>
          <cell r="F1439">
            <v>40991</v>
          </cell>
          <cell r="G1439">
            <v>40877</v>
          </cell>
          <cell r="H1439" t="str">
            <v>2011-0.230.034-5</v>
          </cell>
          <cell r="I1439">
            <v>25633.26</v>
          </cell>
          <cell r="J1439" t="str">
            <v xml:space="preserve">              123611122                  2848                    33903600</v>
          </cell>
          <cell r="K1439" t="str">
            <v>26/09/2011</v>
          </cell>
          <cell r="L1439">
            <v>66</v>
          </cell>
          <cell r="M1439">
            <v>9400</v>
          </cell>
          <cell r="N1439">
            <v>57278</v>
          </cell>
          <cell r="O1439">
            <v>32446</v>
          </cell>
          <cell r="P1439">
            <v>16</v>
          </cell>
          <cell r="Q1439">
            <v>3</v>
          </cell>
          <cell r="T1439">
            <v>601.06333333333305</v>
          </cell>
          <cell r="U1439">
            <v>0</v>
          </cell>
          <cell r="V1439">
            <v>4300</v>
          </cell>
          <cell r="W1439">
            <v>180</v>
          </cell>
          <cell r="X1439">
            <v>3440</v>
          </cell>
          <cell r="Y1439">
            <v>105637</v>
          </cell>
          <cell r="Z1439">
            <v>5343.31</v>
          </cell>
          <cell r="AA1439">
            <v>2396.6899999999996</v>
          </cell>
          <cell r="AB1439">
            <v>142.40699999999998</v>
          </cell>
          <cell r="AC1439">
            <v>4300</v>
          </cell>
          <cell r="AD1439">
            <v>3485.7800000000007</v>
          </cell>
          <cell r="AE1439">
            <v>814.21999999999935</v>
          </cell>
          <cell r="AN1439" t="str">
            <v xml:space="preserve">Contrato emergencial nº </v>
          </cell>
          <cell r="AO1439" t="str">
            <v>SM</v>
          </cell>
        </row>
        <row r="1440">
          <cell r="D1440" t="str">
            <v>2504/11</v>
          </cell>
          <cell r="E1440" t="str">
            <v>26/09/2011</v>
          </cell>
          <cell r="F1440">
            <v>40991</v>
          </cell>
          <cell r="G1440">
            <v>40877</v>
          </cell>
          <cell r="H1440" t="str">
            <v>2011-0.230.044-2</v>
          </cell>
          <cell r="I1440">
            <v>44978.400000000001</v>
          </cell>
          <cell r="J1440" t="str">
            <v xml:space="preserve">              123651121                 2847                    33903600</v>
          </cell>
          <cell r="K1440" t="str">
            <v>26/09/2011</v>
          </cell>
          <cell r="L1440">
            <v>66</v>
          </cell>
          <cell r="M1440">
            <v>16500</v>
          </cell>
          <cell r="N1440">
            <v>57273</v>
          </cell>
          <cell r="O1440">
            <v>32447</v>
          </cell>
          <cell r="P1440">
            <v>16</v>
          </cell>
          <cell r="Q1440">
            <v>2</v>
          </cell>
          <cell r="T1440">
            <v>1133.7</v>
          </cell>
          <cell r="U1440">
            <v>0</v>
          </cell>
          <cell r="V1440">
            <v>7500</v>
          </cell>
          <cell r="W1440">
            <v>180</v>
          </cell>
          <cell r="X1440">
            <v>6000</v>
          </cell>
          <cell r="Y1440">
            <v>105640</v>
          </cell>
          <cell r="Z1440">
            <v>8814.1</v>
          </cell>
          <cell r="AA1440">
            <v>4685.8999999999996</v>
          </cell>
          <cell r="AB1440">
            <v>249.88</v>
          </cell>
          <cell r="AC1440">
            <v>7500</v>
          </cell>
          <cell r="AD1440">
            <v>6602.2</v>
          </cell>
          <cell r="AE1440">
            <v>897.80000000000018</v>
          </cell>
          <cell r="AN1440" t="str">
            <v xml:space="preserve">Contrato emergencial nº </v>
          </cell>
          <cell r="AO1440" t="str">
            <v>SM</v>
          </cell>
        </row>
        <row r="1441">
          <cell r="D1441" t="str">
            <v>2505/11</v>
          </cell>
          <cell r="E1441" t="str">
            <v>26/09/2011</v>
          </cell>
          <cell r="F1441">
            <v>40991</v>
          </cell>
          <cell r="G1441">
            <v>40877</v>
          </cell>
          <cell r="H1441" t="str">
            <v>2011-0.230.052-3</v>
          </cell>
          <cell r="I1441">
            <v>38261.760000000002</v>
          </cell>
          <cell r="J1441" t="str">
            <v xml:space="preserve">              123651121                 2847                    33903600</v>
          </cell>
          <cell r="K1441" t="str">
            <v>26/09/2011</v>
          </cell>
          <cell r="L1441">
            <v>66</v>
          </cell>
          <cell r="M1441">
            <v>14100</v>
          </cell>
          <cell r="N1441">
            <v>57273</v>
          </cell>
          <cell r="O1441">
            <v>32448</v>
          </cell>
          <cell r="P1441">
            <v>16</v>
          </cell>
          <cell r="Q1441">
            <v>2</v>
          </cell>
          <cell r="T1441">
            <v>1100</v>
          </cell>
          <cell r="U1441">
            <v>0</v>
          </cell>
          <cell r="V1441">
            <v>7200</v>
          </cell>
          <cell r="W1441">
            <v>180</v>
          </cell>
          <cell r="X1441">
            <v>5760</v>
          </cell>
          <cell r="Y1441">
            <v>105781</v>
          </cell>
          <cell r="Z1441">
            <v>5418.37</v>
          </cell>
          <cell r="AA1441">
            <v>7541.63</v>
          </cell>
          <cell r="AB1441">
            <v>212.56533333333334</v>
          </cell>
          <cell r="AC1441">
            <v>6400</v>
          </cell>
          <cell r="AD1441">
            <v>7165.86</v>
          </cell>
          <cell r="AE1441">
            <v>-765.85999999999967</v>
          </cell>
          <cell r="AN1441" t="str">
            <v xml:space="preserve">Contrato emergencial nº </v>
          </cell>
          <cell r="AO1441" t="str">
            <v>PE</v>
          </cell>
        </row>
        <row r="1442">
          <cell r="D1442" t="str">
            <v>2507/11</v>
          </cell>
          <cell r="E1442" t="str">
            <v>26/09/2011</v>
          </cell>
          <cell r="F1442">
            <v>40991</v>
          </cell>
          <cell r="G1442">
            <v>40877</v>
          </cell>
          <cell r="H1442" t="str">
            <v>2011-0.230.488-0</v>
          </cell>
          <cell r="I1442">
            <v>31012.38</v>
          </cell>
          <cell r="J1442" t="str">
            <v xml:space="preserve">              123651121                 2847                    33903600</v>
          </cell>
          <cell r="K1442" t="str">
            <v>26/09/2011</v>
          </cell>
          <cell r="L1442">
            <v>66</v>
          </cell>
          <cell r="M1442">
            <v>11400</v>
          </cell>
          <cell r="N1442">
            <v>57273</v>
          </cell>
          <cell r="O1442">
            <v>32450</v>
          </cell>
          <cell r="P1442">
            <v>16</v>
          </cell>
          <cell r="Q1442">
            <v>2</v>
          </cell>
          <cell r="T1442">
            <v>938.70500000000004</v>
          </cell>
          <cell r="U1442">
            <v>0</v>
          </cell>
          <cell r="V1442">
            <v>5400</v>
          </cell>
          <cell r="W1442">
            <v>180</v>
          </cell>
          <cell r="X1442">
            <v>4320</v>
          </cell>
          <cell r="Y1442">
            <v>105110</v>
          </cell>
          <cell r="Z1442">
            <v>5201.5600000000013</v>
          </cell>
          <cell r="AA1442">
            <v>4518.4399999999987</v>
          </cell>
          <cell r="AB1442">
            <v>172.291</v>
          </cell>
          <cell r="AC1442">
            <v>5200</v>
          </cell>
          <cell r="AD1442">
            <v>5350.23</v>
          </cell>
          <cell r="AE1442">
            <v>-150.22999999999956</v>
          </cell>
          <cell r="AN1442" t="str">
            <v xml:space="preserve">Contrato emergencial nº </v>
          </cell>
          <cell r="AO1442" t="str">
            <v>CS</v>
          </cell>
        </row>
        <row r="1443">
          <cell r="D1443" t="str">
            <v>2508/11</v>
          </cell>
          <cell r="E1443" t="str">
            <v>26/09/2011</v>
          </cell>
          <cell r="F1443">
            <v>40991</v>
          </cell>
          <cell r="G1443">
            <v>40877</v>
          </cell>
          <cell r="H1443" t="str">
            <v>2011-0.230.489-8</v>
          </cell>
          <cell r="I1443">
            <v>39123.599999999999</v>
          </cell>
          <cell r="J1443" t="str">
            <v xml:space="preserve">              123611122                  2848                    33903600</v>
          </cell>
          <cell r="K1443" t="str">
            <v>26/09/2011</v>
          </cell>
          <cell r="L1443">
            <v>66</v>
          </cell>
          <cell r="M1443">
            <v>14400</v>
          </cell>
          <cell r="N1443">
            <v>57278</v>
          </cell>
          <cell r="O1443">
            <v>32451</v>
          </cell>
          <cell r="P1443">
            <v>16</v>
          </cell>
          <cell r="Q1443">
            <v>3</v>
          </cell>
          <cell r="T1443">
            <v>1100</v>
          </cell>
          <cell r="U1443">
            <v>0</v>
          </cell>
          <cell r="V1443">
            <v>6600</v>
          </cell>
          <cell r="W1443">
            <v>180</v>
          </cell>
          <cell r="X1443">
            <v>5280</v>
          </cell>
          <cell r="Y1443">
            <v>104938</v>
          </cell>
          <cell r="Z1443">
            <v>7155.71</v>
          </cell>
          <cell r="AA1443">
            <v>4724.29</v>
          </cell>
          <cell r="AB1443">
            <v>217.35333333333332</v>
          </cell>
          <cell r="AC1443">
            <v>6600</v>
          </cell>
          <cell r="AD1443">
            <v>6250.4599999999991</v>
          </cell>
          <cell r="AE1443">
            <v>349.54000000000087</v>
          </cell>
          <cell r="AN1443" t="str">
            <v xml:space="preserve">Contrato emergencial nº </v>
          </cell>
          <cell r="AO1443" t="str">
            <v>PJ</v>
          </cell>
        </row>
        <row r="1444">
          <cell r="D1444" t="str">
            <v>2509/11</v>
          </cell>
          <cell r="E1444" t="str">
            <v>26/09/2011</v>
          </cell>
          <cell r="F1444">
            <v>40991</v>
          </cell>
          <cell r="G1444">
            <v>40877</v>
          </cell>
          <cell r="H1444" t="str">
            <v>2011-0.230.490-1</v>
          </cell>
          <cell r="I1444">
            <v>40877.160000000003</v>
          </cell>
          <cell r="J1444" t="str">
            <v xml:space="preserve">              123651121                 2847                    33903600</v>
          </cell>
          <cell r="K1444" t="str">
            <v>26/09/2011</v>
          </cell>
          <cell r="L1444">
            <v>66</v>
          </cell>
          <cell r="M1444">
            <v>15000</v>
          </cell>
          <cell r="N1444">
            <v>57273</v>
          </cell>
          <cell r="O1444">
            <v>32453</v>
          </cell>
          <cell r="P1444">
            <v>16</v>
          </cell>
          <cell r="Q1444">
            <v>2</v>
          </cell>
          <cell r="T1444">
            <v>1200</v>
          </cell>
          <cell r="U1444">
            <v>0</v>
          </cell>
          <cell r="V1444">
            <v>6900</v>
          </cell>
          <cell r="W1444">
            <v>180</v>
          </cell>
          <cell r="X1444">
            <v>5520</v>
          </cell>
          <cell r="Y1444">
            <v>105361</v>
          </cell>
          <cell r="Z1444">
            <v>462.78999999999996</v>
          </cell>
          <cell r="AA1444">
            <v>11957.21</v>
          </cell>
          <cell r="AB1444">
            <v>227.09533333333334</v>
          </cell>
          <cell r="AC1444">
            <v>6900</v>
          </cell>
          <cell r="AD1444">
            <v>6553.8099999999995</v>
          </cell>
          <cell r="AE1444">
            <v>346.19000000000051</v>
          </cell>
          <cell r="AN1444" t="str">
            <v xml:space="preserve">Contrato emergencial nº </v>
          </cell>
          <cell r="AO1444" t="str">
            <v>MP</v>
          </cell>
        </row>
        <row r="1445">
          <cell r="D1445" t="str">
            <v>2510/11</v>
          </cell>
          <cell r="E1445" t="str">
            <v>26/09/2011</v>
          </cell>
          <cell r="F1445">
            <v>40991</v>
          </cell>
          <cell r="G1445">
            <v>40877</v>
          </cell>
          <cell r="H1445" t="str">
            <v>2011-0.230.491-0</v>
          </cell>
          <cell r="I1445">
            <v>38261.760000000002</v>
          </cell>
          <cell r="J1445" t="str">
            <v xml:space="preserve">              123611122                  2848                    33903600</v>
          </cell>
          <cell r="K1445" t="str">
            <v>26/09/2011</v>
          </cell>
          <cell r="L1445">
            <v>66</v>
          </cell>
          <cell r="M1445">
            <v>14100</v>
          </cell>
          <cell r="N1445">
            <v>57278</v>
          </cell>
          <cell r="O1445">
            <v>32455</v>
          </cell>
          <cell r="P1445">
            <v>16</v>
          </cell>
          <cell r="Q1445">
            <v>3</v>
          </cell>
          <cell r="T1445">
            <v>1100</v>
          </cell>
          <cell r="U1445">
            <v>0</v>
          </cell>
          <cell r="V1445">
            <v>6400</v>
          </cell>
          <cell r="W1445">
            <v>180</v>
          </cell>
          <cell r="X1445">
            <v>5120</v>
          </cell>
          <cell r="Y1445">
            <v>105289</v>
          </cell>
          <cell r="Z1445">
            <v>7822.13</v>
          </cell>
          <cell r="AA1445">
            <v>3697.87</v>
          </cell>
          <cell r="AB1445">
            <v>212.56533333333334</v>
          </cell>
          <cell r="AC1445">
            <v>6400</v>
          </cell>
          <cell r="AD1445">
            <v>5454.9599999999991</v>
          </cell>
          <cell r="AE1445">
            <v>945.04000000000087</v>
          </cell>
          <cell r="AN1445" t="str">
            <v xml:space="preserve">Contrato emergencial nº </v>
          </cell>
          <cell r="AO1445" t="str">
            <v>JT</v>
          </cell>
        </row>
        <row r="1446">
          <cell r="D1446" t="str">
            <v>2511/11</v>
          </cell>
          <cell r="E1446" t="str">
            <v>26/09/2011</v>
          </cell>
          <cell r="F1446">
            <v>40991</v>
          </cell>
          <cell r="G1446">
            <v>40877</v>
          </cell>
          <cell r="H1446" t="str">
            <v>2011-0.230.492-8</v>
          </cell>
          <cell r="I1446">
            <v>44324.52</v>
          </cell>
          <cell r="J1446" t="str">
            <v xml:space="preserve">              123651121                 2847                    33903600</v>
          </cell>
          <cell r="K1446" t="str">
            <v>26/09/2011</v>
          </cell>
          <cell r="L1446">
            <v>66</v>
          </cell>
          <cell r="M1446">
            <v>16300</v>
          </cell>
          <cell r="N1446">
            <v>57273</v>
          </cell>
          <cell r="O1446">
            <v>32457</v>
          </cell>
          <cell r="P1446">
            <v>16</v>
          </cell>
          <cell r="Q1446">
            <v>2</v>
          </cell>
          <cell r="T1446">
            <v>1300</v>
          </cell>
          <cell r="U1446">
            <v>0</v>
          </cell>
          <cell r="V1446">
            <v>7400</v>
          </cell>
          <cell r="W1446">
            <v>180</v>
          </cell>
          <cell r="X1446">
            <v>5920</v>
          </cell>
          <cell r="Y1446">
            <v>105717</v>
          </cell>
          <cell r="Z1446">
            <v>8019.59</v>
          </cell>
          <cell r="AA1446">
            <v>5300.41</v>
          </cell>
          <cell r="AB1446">
            <v>246.2473333333333</v>
          </cell>
          <cell r="AC1446">
            <v>7400</v>
          </cell>
          <cell r="AD1446">
            <v>7166.3200000000006</v>
          </cell>
          <cell r="AE1446">
            <v>233.67999999999938</v>
          </cell>
          <cell r="AN1446" t="str">
            <v xml:space="preserve">Contrato emergencial nº </v>
          </cell>
          <cell r="AO1446" t="str">
            <v>G</v>
          </cell>
        </row>
        <row r="1447">
          <cell r="D1447" t="str">
            <v>2512/11</v>
          </cell>
          <cell r="E1447" t="str">
            <v>26/09/2011</v>
          </cell>
          <cell r="F1447">
            <v>40991</v>
          </cell>
          <cell r="G1447">
            <v>40877</v>
          </cell>
          <cell r="H1447" t="str">
            <v>2011-0.230.493-6</v>
          </cell>
          <cell r="I1447">
            <v>31418.52</v>
          </cell>
          <cell r="J1447" t="str">
            <v xml:space="preserve">              123611122                  2848                    33903600</v>
          </cell>
          <cell r="K1447" t="str">
            <v>26/09/2011</v>
          </cell>
          <cell r="L1447">
            <v>66</v>
          </cell>
          <cell r="M1447">
            <v>11600</v>
          </cell>
          <cell r="N1447">
            <v>57278</v>
          </cell>
          <cell r="O1447">
            <v>32460</v>
          </cell>
          <cell r="P1447">
            <v>16</v>
          </cell>
          <cell r="Q1447">
            <v>3</v>
          </cell>
          <cell r="T1447">
            <v>914.57333333333304</v>
          </cell>
          <cell r="U1447">
            <v>0</v>
          </cell>
          <cell r="V1447">
            <v>5400</v>
          </cell>
          <cell r="W1447">
            <v>180</v>
          </cell>
          <cell r="X1447">
            <v>4320</v>
          </cell>
          <cell r="Y1447">
            <v>105111</v>
          </cell>
          <cell r="Z1447">
            <v>5453.74</v>
          </cell>
          <cell r="AA1447">
            <v>4266.26</v>
          </cell>
          <cell r="AB1447">
            <v>174.54733333333334</v>
          </cell>
          <cell r="AC1447">
            <v>5300</v>
          </cell>
          <cell r="AD1447">
            <v>5301.4400000000005</v>
          </cell>
          <cell r="AE1447">
            <v>-1.4400000000005093</v>
          </cell>
          <cell r="AN1447" t="str">
            <v xml:space="preserve">Contrato emergencial nº </v>
          </cell>
          <cell r="AO1447" t="str">
            <v>CS</v>
          </cell>
        </row>
        <row r="1448">
          <cell r="D1448" t="str">
            <v>2513/11</v>
          </cell>
          <cell r="E1448" t="str">
            <v>26/09/2011</v>
          </cell>
          <cell r="F1448">
            <v>40991</v>
          </cell>
          <cell r="G1448">
            <v>40877</v>
          </cell>
          <cell r="H1448" t="str">
            <v>2011-0.230.494-4</v>
          </cell>
          <cell r="I1448">
            <v>44324.52</v>
          </cell>
          <cell r="J1448" t="str">
            <v xml:space="preserve">              123651121                 2847                    33903600</v>
          </cell>
          <cell r="K1448" t="str">
            <v>26/09/2011</v>
          </cell>
          <cell r="L1448">
            <v>66</v>
          </cell>
          <cell r="M1448">
            <v>16300</v>
          </cell>
          <cell r="N1448">
            <v>57273</v>
          </cell>
          <cell r="O1448">
            <v>32461</v>
          </cell>
          <cell r="P1448">
            <v>16</v>
          </cell>
          <cell r="Q1448">
            <v>2</v>
          </cell>
          <cell r="T1448">
            <v>1300</v>
          </cell>
          <cell r="U1448">
            <v>0</v>
          </cell>
          <cell r="V1448">
            <v>7400</v>
          </cell>
          <cell r="W1448">
            <v>180</v>
          </cell>
          <cell r="X1448">
            <v>5920</v>
          </cell>
          <cell r="Y1448">
            <v>105777</v>
          </cell>
          <cell r="Z1448">
            <v>9780.39</v>
          </cell>
          <cell r="AA1448">
            <v>3539.6100000000006</v>
          </cell>
          <cell r="AB1448">
            <v>246.2473333333333</v>
          </cell>
          <cell r="AC1448">
            <v>7400</v>
          </cell>
          <cell r="AD1448">
            <v>5596.8799999999992</v>
          </cell>
          <cell r="AE1448">
            <v>1803.1200000000008</v>
          </cell>
          <cell r="AN1448" t="str">
            <v xml:space="preserve">Contrato emergencial nº </v>
          </cell>
          <cell r="AO1448" t="str">
            <v>IQ</v>
          </cell>
        </row>
        <row r="1449">
          <cell r="D1449" t="str">
            <v>2514/11</v>
          </cell>
          <cell r="E1449" t="str">
            <v>26/09/2011</v>
          </cell>
          <cell r="F1449">
            <v>40991</v>
          </cell>
          <cell r="G1449">
            <v>40877</v>
          </cell>
          <cell r="H1449" t="str">
            <v>2011-0.230.495-2</v>
          </cell>
          <cell r="I1449">
            <v>25276.62</v>
          </cell>
          <cell r="J1449" t="str">
            <v xml:space="preserve">              123651121                 2847                    33903600</v>
          </cell>
          <cell r="K1449" t="str">
            <v>26/09/2011</v>
          </cell>
          <cell r="L1449">
            <v>66</v>
          </cell>
          <cell r="M1449">
            <v>9300</v>
          </cell>
          <cell r="N1449">
            <v>57273</v>
          </cell>
          <cell r="O1449">
            <v>32464</v>
          </cell>
          <cell r="P1449">
            <v>16</v>
          </cell>
          <cell r="Q1449">
            <v>2</v>
          </cell>
          <cell r="T1449">
            <v>800</v>
          </cell>
          <cell r="U1449">
            <v>0</v>
          </cell>
          <cell r="V1449">
            <v>4300</v>
          </cell>
          <cell r="W1449">
            <v>180</v>
          </cell>
          <cell r="X1449">
            <v>3440</v>
          </cell>
          <cell r="Y1449">
            <v>105782</v>
          </cell>
          <cell r="Z1449">
            <v>5122.41</v>
          </cell>
          <cell r="AA1449">
            <v>2617.59</v>
          </cell>
          <cell r="AB1449">
            <v>140.42566666666667</v>
          </cell>
          <cell r="AC1449">
            <v>4300</v>
          </cell>
          <cell r="AD1449">
            <v>3600.32</v>
          </cell>
          <cell r="AE1449">
            <v>699.67999999999984</v>
          </cell>
          <cell r="AN1449" t="str">
            <v xml:space="preserve">Contrato emergencial nº </v>
          </cell>
          <cell r="AO1449" t="str">
            <v>IQ</v>
          </cell>
        </row>
        <row r="1450">
          <cell r="D1450" t="str">
            <v>2515/11</v>
          </cell>
          <cell r="E1450" t="str">
            <v>26/09/2011</v>
          </cell>
          <cell r="F1450">
            <v>40991</v>
          </cell>
          <cell r="G1450">
            <v>40877</v>
          </cell>
          <cell r="H1450" t="str">
            <v>2011-0.230.496-0</v>
          </cell>
          <cell r="I1450">
            <v>36954.120000000003</v>
          </cell>
          <cell r="J1450" t="str">
            <v xml:space="preserve">              123611122                  2848                    33903600</v>
          </cell>
          <cell r="K1450" t="str">
            <v>26/09/2011</v>
          </cell>
          <cell r="L1450">
            <v>66</v>
          </cell>
          <cell r="M1450">
            <v>13600</v>
          </cell>
          <cell r="N1450">
            <v>57278</v>
          </cell>
          <cell r="O1450">
            <v>32467</v>
          </cell>
          <cell r="P1450">
            <v>16</v>
          </cell>
          <cell r="Q1450">
            <v>3</v>
          </cell>
          <cell r="T1450">
            <v>1073.85666666667</v>
          </cell>
          <cell r="U1450">
            <v>0</v>
          </cell>
          <cell r="V1450">
            <v>6200</v>
          </cell>
          <cell r="W1450">
            <v>180</v>
          </cell>
          <cell r="X1450">
            <v>4960</v>
          </cell>
          <cell r="Y1450">
            <v>105112</v>
          </cell>
          <cell r="Z1450">
            <v>6478.9999999999991</v>
          </cell>
          <cell r="AA1450">
            <v>4681.0000000000009</v>
          </cell>
          <cell r="AB1450">
            <v>205.30066666666667</v>
          </cell>
          <cell r="AC1450">
            <v>6200</v>
          </cell>
          <cell r="AD1450">
            <v>6155.1400000000012</v>
          </cell>
          <cell r="AE1450">
            <v>44.859999999998763</v>
          </cell>
          <cell r="AN1450" t="str">
            <v xml:space="preserve">Contrato emergencial nº </v>
          </cell>
          <cell r="AO1450" t="str">
            <v>CS</v>
          </cell>
        </row>
        <row r="1451">
          <cell r="D1451" t="str">
            <v>2611/11</v>
          </cell>
          <cell r="E1451" t="str">
            <v>03/10/2011</v>
          </cell>
          <cell r="F1451">
            <v>40998</v>
          </cell>
          <cell r="G1451">
            <v>40877</v>
          </cell>
          <cell r="H1451" t="str">
            <v>2011-0.230.462-6</v>
          </cell>
          <cell r="I1451">
            <v>30606.240000000002</v>
          </cell>
          <cell r="J1451" t="str">
            <v xml:space="preserve">              123611122                  2848                    33903600</v>
          </cell>
          <cell r="K1451" t="str">
            <v>03/10/2011</v>
          </cell>
          <cell r="L1451">
            <v>59</v>
          </cell>
          <cell r="M1451">
            <v>10100</v>
          </cell>
          <cell r="N1451">
            <v>57278</v>
          </cell>
          <cell r="O1451">
            <v>39380</v>
          </cell>
          <cell r="P1451">
            <v>16</v>
          </cell>
          <cell r="Q1451">
            <v>3</v>
          </cell>
          <cell r="U1451">
            <v>4043.25</v>
          </cell>
          <cell r="V1451">
            <v>6200</v>
          </cell>
          <cell r="X1451">
            <v>4160</v>
          </cell>
          <cell r="Y1451">
            <v>0</v>
          </cell>
          <cell r="Z1451">
            <v>0</v>
          </cell>
          <cell r="AA1451">
            <v>14403.25</v>
          </cell>
          <cell r="AB1451">
            <v>170.03466666666668</v>
          </cell>
          <cell r="AC1451">
            <v>5200</v>
          </cell>
          <cell r="AD1451">
            <v>4544.1100000000006</v>
          </cell>
          <cell r="AE1451">
            <v>655.88999999999942</v>
          </cell>
          <cell r="AO1451" t="str">
            <v>SA</v>
          </cell>
        </row>
        <row r="1452">
          <cell r="D1452" t="str">
            <v>2259/11</v>
          </cell>
          <cell r="E1452" t="str">
            <v>28/09/2011</v>
          </cell>
          <cell r="F1452">
            <v>40993</v>
          </cell>
          <cell r="G1452">
            <v>40877</v>
          </cell>
          <cell r="H1452" t="str">
            <v>2011-0.227.079-9</v>
          </cell>
          <cell r="I1452">
            <v>44978.400000000001</v>
          </cell>
          <cell r="J1452" t="str">
            <v xml:space="preserve">              123611122                  2848                    33903600</v>
          </cell>
          <cell r="K1452" t="str">
            <v>28/09/2011</v>
          </cell>
          <cell r="L1452">
            <v>64</v>
          </cell>
          <cell r="M1452">
            <v>16000</v>
          </cell>
          <cell r="N1452">
            <v>57278</v>
          </cell>
          <cell r="O1452">
            <v>33144</v>
          </cell>
          <cell r="P1452">
            <v>16</v>
          </cell>
          <cell r="Q1452">
            <v>3</v>
          </cell>
          <cell r="U1452">
            <v>0</v>
          </cell>
          <cell r="V1452">
            <v>7500</v>
          </cell>
          <cell r="X1452">
            <v>6000</v>
          </cell>
          <cell r="Y1452">
            <v>108028</v>
          </cell>
          <cell r="Z1452">
            <v>9015.4</v>
          </cell>
          <cell r="AA1452">
            <v>4484.6000000000004</v>
          </cell>
          <cell r="AB1452">
            <v>249.88</v>
          </cell>
          <cell r="AC1452">
            <v>7500</v>
          </cell>
          <cell r="AD1452">
            <v>6173.2400000000007</v>
          </cell>
          <cell r="AE1452">
            <v>1326.7599999999993</v>
          </cell>
          <cell r="AO1452" t="str">
            <v>G</v>
          </cell>
        </row>
        <row r="1453">
          <cell r="D1453" t="str">
            <v>2283/11</v>
          </cell>
          <cell r="E1453" t="str">
            <v>26/09/2011</v>
          </cell>
          <cell r="F1453">
            <v>40991</v>
          </cell>
          <cell r="G1453">
            <v>40877</v>
          </cell>
          <cell r="H1453" t="str">
            <v>2011-0.227.247-3</v>
          </cell>
          <cell r="I1453">
            <v>44978.400000000001</v>
          </cell>
          <cell r="J1453" t="str">
            <v xml:space="preserve">              123611122                  2848                    33903600</v>
          </cell>
          <cell r="K1453" t="str">
            <v>26/09/2011</v>
          </cell>
          <cell r="L1453">
            <v>66</v>
          </cell>
          <cell r="M1453">
            <v>16500</v>
          </cell>
          <cell r="N1453">
            <v>57278</v>
          </cell>
          <cell r="O1453">
            <v>38401</v>
          </cell>
          <cell r="P1453">
            <v>16</v>
          </cell>
          <cell r="Q1453">
            <v>3</v>
          </cell>
          <cell r="U1453">
            <v>6886.32</v>
          </cell>
          <cell r="V1453">
            <v>7500</v>
          </cell>
          <cell r="X1453">
            <v>6000</v>
          </cell>
          <cell r="Y1453">
            <v>0</v>
          </cell>
          <cell r="Z1453">
            <v>0</v>
          </cell>
          <cell r="AA1453">
            <v>20386.32</v>
          </cell>
          <cell r="AB1453">
            <v>249.88</v>
          </cell>
          <cell r="AC1453">
            <v>7500</v>
          </cell>
          <cell r="AD1453">
            <v>5937.5650000000005</v>
          </cell>
          <cell r="AE1453">
            <v>1562.4349999999995</v>
          </cell>
          <cell r="AO1453" t="str">
            <v>SA</v>
          </cell>
        </row>
        <row r="1454">
          <cell r="D1454" t="str">
            <v>2350/11</v>
          </cell>
          <cell r="E1454" t="str">
            <v>29/09/2011</v>
          </cell>
          <cell r="F1454">
            <v>40994</v>
          </cell>
          <cell r="G1454">
            <v>40877</v>
          </cell>
          <cell r="H1454" t="str">
            <v>2011-0.227.519-7</v>
          </cell>
          <cell r="I1454">
            <v>44324.52</v>
          </cell>
          <cell r="J1454" t="str">
            <v xml:space="preserve">              123611122                  2848                    33903600</v>
          </cell>
          <cell r="K1454" t="str">
            <v>29/09/2011</v>
          </cell>
          <cell r="L1454">
            <v>63</v>
          </cell>
          <cell r="M1454">
            <v>15600</v>
          </cell>
          <cell r="N1454">
            <v>57278</v>
          </cell>
          <cell r="O1454">
            <v>33146</v>
          </cell>
          <cell r="P1454">
            <v>16</v>
          </cell>
          <cell r="Q1454">
            <v>3</v>
          </cell>
          <cell r="U1454">
            <v>0</v>
          </cell>
          <cell r="V1454">
            <v>7400</v>
          </cell>
          <cell r="X1454">
            <v>5920</v>
          </cell>
          <cell r="Y1454">
            <v>108380</v>
          </cell>
          <cell r="Z1454">
            <v>9840.35</v>
          </cell>
          <cell r="AA1454">
            <v>3479.6499999999996</v>
          </cell>
          <cell r="AB1454">
            <v>246.2473333333333</v>
          </cell>
          <cell r="AC1454">
            <v>7400</v>
          </cell>
          <cell r="AD1454">
            <v>5402.4000000000005</v>
          </cell>
          <cell r="AE1454">
            <v>1997.5999999999995</v>
          </cell>
          <cell r="AO1454" t="str">
            <v>IQ</v>
          </cell>
        </row>
        <row r="1455">
          <cell r="D1455" t="str">
            <v>2373/11</v>
          </cell>
          <cell r="E1455" t="str">
            <v>29/09/2011</v>
          </cell>
          <cell r="F1455">
            <v>40994</v>
          </cell>
          <cell r="G1455">
            <v>40877</v>
          </cell>
          <cell r="H1455" t="str">
            <v>2011-0.228.795-0</v>
          </cell>
          <cell r="I1455">
            <v>31418.52</v>
          </cell>
          <cell r="J1455" t="str">
            <v xml:space="preserve">              123651121                 2847                    33903600</v>
          </cell>
          <cell r="K1455" t="str">
            <v>29/09/2011</v>
          </cell>
          <cell r="L1455">
            <v>63</v>
          </cell>
          <cell r="M1455">
            <v>11000</v>
          </cell>
          <cell r="N1455">
            <v>57273</v>
          </cell>
          <cell r="O1455">
            <v>33147</v>
          </cell>
          <cell r="P1455">
            <v>16</v>
          </cell>
          <cell r="Q1455">
            <v>2</v>
          </cell>
          <cell r="U1455">
            <v>4952.1399999999994</v>
          </cell>
          <cell r="V1455">
            <v>5300</v>
          </cell>
          <cell r="X1455">
            <v>4240</v>
          </cell>
          <cell r="Y1455">
            <v>0</v>
          </cell>
          <cell r="Z1455">
            <v>0</v>
          </cell>
          <cell r="AA1455">
            <v>14492.14</v>
          </cell>
          <cell r="AB1455">
            <v>174.54733333333334</v>
          </cell>
          <cell r="AC1455">
            <v>5300</v>
          </cell>
          <cell r="AD1455">
            <v>5222.18</v>
          </cell>
          <cell r="AE1455">
            <v>77.819999999999709</v>
          </cell>
          <cell r="AO1455" t="str">
            <v>MP</v>
          </cell>
        </row>
        <row r="1456">
          <cell r="D1456" t="str">
            <v>2414/11</v>
          </cell>
          <cell r="E1456" t="str">
            <v>26/09/2011</v>
          </cell>
          <cell r="F1456">
            <v>40991</v>
          </cell>
          <cell r="G1456">
            <v>40877</v>
          </cell>
          <cell r="H1456" t="str">
            <v>2011-0.229.671-2</v>
          </cell>
          <cell r="I1456">
            <v>25633.26</v>
          </cell>
          <cell r="J1456" t="str">
            <v xml:space="preserve">              123611122                  2848                    33903600</v>
          </cell>
          <cell r="K1456" t="str">
            <v>26/09/2011</v>
          </cell>
          <cell r="L1456">
            <v>66</v>
          </cell>
          <cell r="M1456">
            <v>9400</v>
          </cell>
          <cell r="N1456">
            <v>57278</v>
          </cell>
          <cell r="U1456">
            <v>0</v>
          </cell>
          <cell r="V1456">
            <v>4300</v>
          </cell>
          <cell r="X1456">
            <v>3440</v>
          </cell>
          <cell r="Y1456">
            <v>0</v>
          </cell>
          <cell r="Z1456">
            <v>0</v>
          </cell>
          <cell r="AA1456">
            <v>7740</v>
          </cell>
          <cell r="AB1456">
            <v>142.40699999999998</v>
          </cell>
          <cell r="AC1456">
            <v>4300</v>
          </cell>
          <cell r="AD1456">
            <v>4206.2100000000009</v>
          </cell>
          <cell r="AE1456">
            <v>93.789999999999054</v>
          </cell>
          <cell r="AO1456" t="str">
            <v>G</v>
          </cell>
        </row>
        <row r="1457">
          <cell r="D1457" t="str">
            <v>2440/11</v>
          </cell>
          <cell r="E1457" t="str">
            <v>07/10/2011</v>
          </cell>
          <cell r="F1457">
            <v>41002</v>
          </cell>
          <cell r="G1457">
            <v>40877</v>
          </cell>
          <cell r="H1457" t="str">
            <v>2011-0.229.862-6</v>
          </cell>
          <cell r="I1457">
            <v>45424.26</v>
          </cell>
          <cell r="J1457" t="str">
            <v xml:space="preserve">              123651121                 2847                    33903600</v>
          </cell>
          <cell r="K1457" t="str">
            <v>07/10/2011</v>
          </cell>
          <cell r="L1457">
            <v>55</v>
          </cell>
          <cell r="M1457">
            <v>13900</v>
          </cell>
          <cell r="N1457">
            <v>57273</v>
          </cell>
          <cell r="O1457">
            <v>39379</v>
          </cell>
          <cell r="P1457">
            <v>16</v>
          </cell>
          <cell r="Q1457">
            <v>2</v>
          </cell>
          <cell r="U1457">
            <v>5662.93</v>
          </cell>
          <cell r="V1457">
            <v>7600</v>
          </cell>
          <cell r="X1457">
            <v>6080</v>
          </cell>
          <cell r="Y1457">
            <v>0</v>
          </cell>
          <cell r="Z1457">
            <v>0</v>
          </cell>
          <cell r="AA1457">
            <v>19342.93</v>
          </cell>
          <cell r="AB1457">
            <v>252.357</v>
          </cell>
          <cell r="AC1457">
            <v>7600</v>
          </cell>
          <cell r="AD1457">
            <v>5131.949555555555</v>
          </cell>
          <cell r="AE1457">
            <v>2468.050444444445</v>
          </cell>
          <cell r="AO1457" t="str">
            <v>JT</v>
          </cell>
        </row>
        <row r="1458">
          <cell r="D1458" t="str">
            <v>2588/11</v>
          </cell>
          <cell r="E1458" t="str">
            <v>05/10/2011</v>
          </cell>
          <cell r="F1458">
            <v>41000</v>
          </cell>
          <cell r="G1458">
            <v>40877</v>
          </cell>
          <cell r="H1458" t="str">
            <v>2011-0.230.435-9</v>
          </cell>
          <cell r="I1458">
            <v>27971.16</v>
          </cell>
          <cell r="J1458" t="str">
            <v xml:space="preserve">              123651121                 2847                    33903600</v>
          </cell>
          <cell r="K1458" t="str">
            <v>05/10/2011</v>
          </cell>
          <cell r="L1458">
            <v>57</v>
          </cell>
          <cell r="M1458">
            <v>8900</v>
          </cell>
          <cell r="N1458">
            <v>57273</v>
          </cell>
          <cell r="O1458">
            <v>33342</v>
          </cell>
          <cell r="P1458">
            <v>16</v>
          </cell>
          <cell r="Q1458">
            <v>2</v>
          </cell>
          <cell r="U1458">
            <v>4358.9471111111116</v>
          </cell>
          <cell r="V1458">
            <v>5400</v>
          </cell>
          <cell r="X1458">
            <v>4320</v>
          </cell>
          <cell r="Y1458">
            <v>0</v>
          </cell>
          <cell r="Z1458">
            <v>0</v>
          </cell>
          <cell r="AA1458">
            <v>14078.947111111112</v>
          </cell>
          <cell r="AB1458">
            <v>155.39533333333333</v>
          </cell>
          <cell r="AC1458">
            <v>4700</v>
          </cell>
          <cell r="AD1458">
            <v>5368.1600000000008</v>
          </cell>
          <cell r="AE1458">
            <v>-668.16000000000076</v>
          </cell>
          <cell r="AO1458" t="str">
            <v>G</v>
          </cell>
        </row>
        <row r="1459">
          <cell r="D1459" t="str">
            <v>2516/11</v>
          </cell>
          <cell r="E1459" t="str">
            <v>26/09/2011</v>
          </cell>
          <cell r="F1459">
            <v>40991</v>
          </cell>
          <cell r="G1459">
            <v>40877</v>
          </cell>
          <cell r="H1459" t="str">
            <v>2011-0.230.498-7</v>
          </cell>
          <cell r="I1459">
            <v>31418.52</v>
          </cell>
          <cell r="J1459" t="str">
            <v xml:space="preserve">              123611122                  2848                    33903600</v>
          </cell>
          <cell r="K1459" t="str">
            <v>26/09/2011</v>
          </cell>
          <cell r="L1459">
            <v>66</v>
          </cell>
          <cell r="M1459">
            <v>11600</v>
          </cell>
          <cell r="N1459">
            <v>57278</v>
          </cell>
          <cell r="O1459">
            <v>32477</v>
          </cell>
          <cell r="P1459">
            <v>16</v>
          </cell>
          <cell r="Q1459">
            <v>3</v>
          </cell>
          <cell r="T1459">
            <v>900</v>
          </cell>
          <cell r="U1459">
            <v>0</v>
          </cell>
          <cell r="V1459">
            <v>5500</v>
          </cell>
          <cell r="W1459">
            <v>180</v>
          </cell>
          <cell r="X1459">
            <v>4400</v>
          </cell>
          <cell r="Y1459">
            <v>105042</v>
          </cell>
          <cell r="Z1459">
            <v>5312.2</v>
          </cell>
          <cell r="AA1459">
            <v>4587.8</v>
          </cell>
          <cell r="AB1459">
            <v>174.54733333333334</v>
          </cell>
          <cell r="AC1459">
            <v>5300</v>
          </cell>
          <cell r="AD1459">
            <v>5409.37</v>
          </cell>
          <cell r="AE1459">
            <v>-109.36999999999989</v>
          </cell>
          <cell r="AN1459" t="str">
            <v xml:space="preserve">Contrato emergencial nº </v>
          </cell>
          <cell r="AO1459" t="str">
            <v>PJ</v>
          </cell>
        </row>
        <row r="1460">
          <cell r="D1460" t="str">
            <v>2517/11</v>
          </cell>
          <cell r="E1460" t="str">
            <v>26/09/2011</v>
          </cell>
          <cell r="F1460">
            <v>40991</v>
          </cell>
          <cell r="G1460">
            <v>40877</v>
          </cell>
          <cell r="H1460" t="str">
            <v>2011-0.230.499-5</v>
          </cell>
          <cell r="I1460">
            <v>27971.16</v>
          </cell>
          <cell r="J1460" t="str">
            <v xml:space="preserve">              123611122                  2848                    33903600</v>
          </cell>
          <cell r="K1460" t="str">
            <v>26/09/2011</v>
          </cell>
          <cell r="L1460">
            <v>66</v>
          </cell>
          <cell r="M1460">
            <v>10300</v>
          </cell>
          <cell r="N1460">
            <v>57278</v>
          </cell>
          <cell r="O1460">
            <v>32478</v>
          </cell>
          <cell r="P1460">
            <v>16</v>
          </cell>
          <cell r="Q1460">
            <v>3</v>
          </cell>
          <cell r="T1460">
            <v>800</v>
          </cell>
          <cell r="U1460">
            <v>0</v>
          </cell>
          <cell r="V1460">
            <v>4700</v>
          </cell>
          <cell r="W1460">
            <v>180</v>
          </cell>
          <cell r="X1460">
            <v>3760</v>
          </cell>
          <cell r="Y1460">
            <v>105295</v>
          </cell>
          <cell r="Z1460">
            <v>5204.66</v>
          </cell>
          <cell r="AA1460">
            <v>3255.34</v>
          </cell>
          <cell r="AB1460">
            <v>155.39533333333333</v>
          </cell>
          <cell r="AC1460">
            <v>4700</v>
          </cell>
          <cell r="AD1460">
            <v>4420.9575000000004</v>
          </cell>
          <cell r="AE1460">
            <v>279.04249999999956</v>
          </cell>
          <cell r="AN1460" t="str">
            <v xml:space="preserve">Contrato emergencial nº </v>
          </cell>
          <cell r="AO1460" t="str">
            <v>JT</v>
          </cell>
        </row>
        <row r="1461">
          <cell r="D1461" t="str">
            <v>2518/11</v>
          </cell>
          <cell r="E1461" t="str">
            <v>26/09/2011</v>
          </cell>
          <cell r="F1461">
            <v>40991</v>
          </cell>
          <cell r="G1461">
            <v>40877</v>
          </cell>
          <cell r="H1461" t="str">
            <v>2011-0.230.500-2</v>
          </cell>
          <cell r="I1461">
            <v>42838.74</v>
          </cell>
          <cell r="J1461" t="str">
            <v xml:space="preserve">             123671125                  2863                   33903600</v>
          </cell>
          <cell r="K1461" t="str">
            <v>26/09/2011</v>
          </cell>
          <cell r="L1461">
            <v>66</v>
          </cell>
          <cell r="M1461">
            <v>15800</v>
          </cell>
          <cell r="N1461">
            <v>57287</v>
          </cell>
          <cell r="O1461">
            <v>32480</v>
          </cell>
          <cell r="P1461">
            <v>16</v>
          </cell>
          <cell r="Q1461">
            <v>4</v>
          </cell>
          <cell r="T1461">
            <v>1064.2716666666699</v>
          </cell>
          <cell r="U1461">
            <v>0</v>
          </cell>
          <cell r="V1461">
            <v>7200</v>
          </cell>
          <cell r="W1461">
            <v>180</v>
          </cell>
          <cell r="X1461">
            <v>5760</v>
          </cell>
          <cell r="Y1461">
            <v>105258</v>
          </cell>
          <cell r="Z1461">
            <v>8447.6</v>
          </cell>
          <cell r="AA1461">
            <v>4512.3999999999996</v>
          </cell>
          <cell r="AB1461">
            <v>237.99299999999999</v>
          </cell>
          <cell r="AC1461">
            <v>7200</v>
          </cell>
          <cell r="AD1461">
            <v>6302.13</v>
          </cell>
          <cell r="AE1461">
            <v>897.86999999999989</v>
          </cell>
          <cell r="AN1461" t="str">
            <v xml:space="preserve">Contrato emergencial nº </v>
          </cell>
          <cell r="AO1461" t="str">
            <v>IP</v>
          </cell>
        </row>
        <row r="1462">
          <cell r="D1462" t="str">
            <v>2519/11</v>
          </cell>
          <cell r="E1462" t="str">
            <v>26/09/2011</v>
          </cell>
          <cell r="F1462">
            <v>40991</v>
          </cell>
          <cell r="G1462">
            <v>40877</v>
          </cell>
          <cell r="H1462" t="str">
            <v>2011-0.230.501-0</v>
          </cell>
          <cell r="I1462">
            <v>38261.760000000002</v>
          </cell>
          <cell r="J1462" t="str">
            <v xml:space="preserve">              123651121                 2847                    33903600</v>
          </cell>
          <cell r="K1462" t="str">
            <v>26/09/2011</v>
          </cell>
          <cell r="L1462">
            <v>66</v>
          </cell>
          <cell r="M1462">
            <v>14100</v>
          </cell>
          <cell r="N1462">
            <v>57273</v>
          </cell>
          <cell r="O1462">
            <v>32482</v>
          </cell>
          <cell r="P1462">
            <v>16</v>
          </cell>
          <cell r="Q1462">
            <v>2</v>
          </cell>
          <cell r="T1462">
            <v>1100</v>
          </cell>
          <cell r="U1462">
            <v>0</v>
          </cell>
          <cell r="V1462">
            <v>6400</v>
          </cell>
          <cell r="W1462">
            <v>180</v>
          </cell>
          <cell r="X1462">
            <v>5120</v>
          </cell>
          <cell r="Y1462">
            <v>106854</v>
          </cell>
          <cell r="Z1462">
            <v>8289.41</v>
          </cell>
          <cell r="AA1462">
            <v>3230.59</v>
          </cell>
          <cell r="AB1462">
            <v>212.56533333333334</v>
          </cell>
          <cell r="AC1462">
            <v>6400</v>
          </cell>
          <cell r="AD1462">
            <v>5004.08</v>
          </cell>
          <cell r="AE1462">
            <v>1395.92</v>
          </cell>
          <cell r="AN1462" t="str">
            <v xml:space="preserve">Contrato emergencial nº </v>
          </cell>
          <cell r="AO1462" t="str">
            <v>SA</v>
          </cell>
        </row>
        <row r="1463">
          <cell r="D1463" t="str">
            <v>2520/11</v>
          </cell>
          <cell r="E1463" t="str">
            <v>28/09/2011</v>
          </cell>
          <cell r="F1463">
            <v>40993</v>
          </cell>
          <cell r="G1463">
            <v>40877</v>
          </cell>
          <cell r="H1463" t="str">
            <v>2011-0.230.010-8</v>
          </cell>
          <cell r="I1463">
            <v>23959.08</v>
          </cell>
          <cell r="J1463" t="str">
            <v xml:space="preserve">              123651121                 2847                    33903600</v>
          </cell>
          <cell r="K1463" t="str">
            <v>28/09/2011</v>
          </cell>
          <cell r="L1463">
            <v>64</v>
          </cell>
          <cell r="M1463">
            <v>8600</v>
          </cell>
          <cell r="N1463">
            <v>57273</v>
          </cell>
          <cell r="O1463">
            <v>32484</v>
          </cell>
          <cell r="P1463">
            <v>16</v>
          </cell>
          <cell r="Q1463">
            <v>2</v>
          </cell>
          <cell r="T1463">
            <v>458.19</v>
          </cell>
          <cell r="U1463">
            <v>0</v>
          </cell>
          <cell r="V1463">
            <v>4400</v>
          </cell>
          <cell r="W1463">
            <v>180</v>
          </cell>
          <cell r="X1463">
            <v>3520</v>
          </cell>
          <cell r="Y1463">
            <v>105472</v>
          </cell>
          <cell r="Z1463">
            <v>3898.28</v>
          </cell>
          <cell r="AA1463">
            <v>4021.72</v>
          </cell>
          <cell r="AB1463">
            <v>133.10600000000002</v>
          </cell>
          <cell r="AC1463">
            <v>4000</v>
          </cell>
          <cell r="AD1463">
            <v>4315.08</v>
          </cell>
          <cell r="AE1463">
            <v>-315.07999999999993</v>
          </cell>
          <cell r="AN1463" t="str">
            <v xml:space="preserve">Contrato emergencial nº </v>
          </cell>
          <cell r="AO1463" t="str">
            <v>PJ</v>
          </cell>
        </row>
        <row r="1464">
          <cell r="D1464" t="str">
            <v>2521/11</v>
          </cell>
          <cell r="E1464" t="str">
            <v>28/09/2011</v>
          </cell>
          <cell r="F1464">
            <v>40993</v>
          </cell>
          <cell r="G1464">
            <v>40877</v>
          </cell>
          <cell r="H1464" t="str">
            <v>2011-0.230.014-0</v>
          </cell>
          <cell r="I1464">
            <v>31418.52</v>
          </cell>
          <cell r="J1464" t="str">
            <v xml:space="preserve">              123611122                  2848                    33903600</v>
          </cell>
          <cell r="K1464" t="str">
            <v>28/09/2011</v>
          </cell>
          <cell r="L1464">
            <v>64</v>
          </cell>
          <cell r="M1464">
            <v>11200</v>
          </cell>
          <cell r="N1464">
            <v>57278</v>
          </cell>
          <cell r="O1464">
            <v>32485</v>
          </cell>
          <cell r="P1464">
            <v>16</v>
          </cell>
          <cell r="Q1464">
            <v>3</v>
          </cell>
          <cell r="T1464">
            <v>600</v>
          </cell>
          <cell r="U1464">
            <v>0</v>
          </cell>
          <cell r="V1464">
            <v>5300</v>
          </cell>
          <cell r="W1464">
            <v>180</v>
          </cell>
          <cell r="X1464">
            <v>4240</v>
          </cell>
          <cell r="Y1464">
            <v>105079</v>
          </cell>
          <cell r="Z1464">
            <v>10709.83</v>
          </cell>
          <cell r="AA1464">
            <v>-1169.83</v>
          </cell>
          <cell r="AB1464">
            <v>174.54733333333334</v>
          </cell>
          <cell r="AC1464">
            <v>5300</v>
          </cell>
          <cell r="AD1464">
            <v>4798.1400000000003</v>
          </cell>
          <cell r="AE1464">
            <v>501.85999999999967</v>
          </cell>
          <cell r="AN1464" t="str">
            <v xml:space="preserve">Contrato emergencial nº </v>
          </cell>
          <cell r="AO1464" t="str">
            <v>CL</v>
          </cell>
        </row>
        <row r="1465">
          <cell r="D1465" t="str">
            <v>2522/11</v>
          </cell>
          <cell r="E1465" t="str">
            <v>03/10/2011</v>
          </cell>
          <cell r="F1465">
            <v>40998</v>
          </cell>
          <cell r="G1465">
            <v>40877</v>
          </cell>
          <cell r="H1465" t="str">
            <v>2011-0.230.023-0</v>
          </cell>
          <cell r="I1465">
            <v>31012.38</v>
          </cell>
          <cell r="J1465" t="str">
            <v xml:space="preserve">              123651121                 2847                    33903600</v>
          </cell>
          <cell r="K1465" t="str">
            <v>03/10/2011</v>
          </cell>
          <cell r="L1465">
            <v>59</v>
          </cell>
          <cell r="M1465">
            <v>10200</v>
          </cell>
          <cell r="N1465">
            <v>57273</v>
          </cell>
          <cell r="O1465">
            <v>32486</v>
          </cell>
          <cell r="P1465">
            <v>16</v>
          </cell>
          <cell r="Q1465">
            <v>2</v>
          </cell>
          <cell r="U1465">
            <v>0</v>
          </cell>
          <cell r="V1465">
            <v>5200</v>
          </cell>
          <cell r="W1465">
            <v>180</v>
          </cell>
          <cell r="X1465">
            <v>4160</v>
          </cell>
          <cell r="Y1465">
            <v>114356</v>
          </cell>
          <cell r="Z1465">
            <v>5454.09</v>
          </cell>
          <cell r="AA1465">
            <v>3905.91</v>
          </cell>
          <cell r="AB1465">
            <v>172.291</v>
          </cell>
          <cell r="AC1465">
            <v>5200</v>
          </cell>
          <cell r="AD1465">
            <v>5109.57</v>
          </cell>
          <cell r="AE1465">
            <v>90.430000000000291</v>
          </cell>
          <cell r="AN1465" t="str">
            <v xml:space="preserve">Contrato emergencial nº </v>
          </cell>
          <cell r="AO1465" t="str">
            <v>SA</v>
          </cell>
        </row>
        <row r="1466">
          <cell r="D1466" t="str">
            <v>2525/11</v>
          </cell>
          <cell r="E1466" t="str">
            <v>03/10/2011</v>
          </cell>
          <cell r="F1466">
            <v>40998</v>
          </cell>
          <cell r="G1466">
            <v>40877</v>
          </cell>
          <cell r="H1466" t="str">
            <v>2011-0.230.041-8</v>
          </cell>
          <cell r="I1466">
            <v>38261.760000000002</v>
          </cell>
          <cell r="J1466" t="str">
            <v xml:space="preserve">              123651121                 2847                    33903600</v>
          </cell>
          <cell r="K1466" t="str">
            <v>03/10/2011</v>
          </cell>
          <cell r="L1466">
            <v>59</v>
          </cell>
          <cell r="M1466">
            <v>12600</v>
          </cell>
          <cell r="N1466">
            <v>57273</v>
          </cell>
          <cell r="O1466">
            <v>32487</v>
          </cell>
          <cell r="P1466">
            <v>16</v>
          </cell>
          <cell r="Q1466">
            <v>2</v>
          </cell>
          <cell r="U1466">
            <v>0</v>
          </cell>
          <cell r="V1466">
            <v>6500</v>
          </cell>
          <cell r="W1466">
            <v>180</v>
          </cell>
          <cell r="X1466">
            <v>5200</v>
          </cell>
          <cell r="Y1466">
            <v>110351</v>
          </cell>
          <cell r="Z1466">
            <v>6601.2386666666662</v>
          </cell>
          <cell r="AA1466">
            <v>5098.7613333333338</v>
          </cell>
          <cell r="AB1466">
            <v>212.56533333333334</v>
          </cell>
          <cell r="AC1466">
            <v>6400</v>
          </cell>
          <cell r="AD1466">
            <v>6499.53</v>
          </cell>
          <cell r="AE1466">
            <v>-99.529999999999745</v>
          </cell>
          <cell r="AN1466" t="str">
            <v xml:space="preserve">Contrato emergencial nº </v>
          </cell>
          <cell r="AO1466" t="str">
            <v>CS</v>
          </cell>
        </row>
        <row r="1467">
          <cell r="D1467" t="str">
            <v>2527/11</v>
          </cell>
          <cell r="E1467" t="str">
            <v>03/10/2011</v>
          </cell>
          <cell r="F1467">
            <v>40998</v>
          </cell>
          <cell r="G1467">
            <v>40877</v>
          </cell>
          <cell r="H1467" t="str">
            <v>2011-0.230.120-1</v>
          </cell>
          <cell r="I1467">
            <v>44324.52</v>
          </cell>
          <cell r="J1467" t="str">
            <v xml:space="preserve">              123651121                 2847                    33903600</v>
          </cell>
          <cell r="K1467" t="str">
            <v>03/10/2011</v>
          </cell>
          <cell r="L1467">
            <v>59</v>
          </cell>
          <cell r="M1467">
            <v>14600</v>
          </cell>
          <cell r="N1467">
            <v>57273</v>
          </cell>
          <cell r="O1467">
            <v>32488</v>
          </cell>
          <cell r="P1467">
            <v>16</v>
          </cell>
          <cell r="Q1467">
            <v>2</v>
          </cell>
          <cell r="U1467">
            <v>0</v>
          </cell>
          <cell r="V1467">
            <v>8400</v>
          </cell>
          <cell r="W1467">
            <v>180</v>
          </cell>
          <cell r="X1467">
            <v>6720</v>
          </cell>
          <cell r="Y1467">
            <v>110352</v>
          </cell>
          <cell r="Z1467">
            <v>6856.7986666666666</v>
          </cell>
          <cell r="AA1467">
            <v>8263.2013333333343</v>
          </cell>
          <cell r="AB1467">
            <v>246.2473333333333</v>
          </cell>
          <cell r="AC1467">
            <v>7400</v>
          </cell>
          <cell r="AD1467">
            <v>8324.2999999999993</v>
          </cell>
          <cell r="AE1467">
            <v>-924.29999999999927</v>
          </cell>
          <cell r="AN1467" t="str">
            <v xml:space="preserve">Contrato emergencial nº </v>
          </cell>
          <cell r="AO1467" t="str">
            <v>CS</v>
          </cell>
        </row>
        <row r="1468">
          <cell r="D1468" t="str">
            <v>2529/11</v>
          </cell>
          <cell r="E1468" t="str">
            <v>03/10/2011</v>
          </cell>
          <cell r="F1468">
            <v>40998</v>
          </cell>
          <cell r="G1468">
            <v>40877</v>
          </cell>
          <cell r="H1468" t="str">
            <v>2011-0.230.130-9</v>
          </cell>
          <cell r="I1468">
            <v>31418.52</v>
          </cell>
          <cell r="J1468" t="str">
            <v xml:space="preserve">              123651121                 2847                    33903600</v>
          </cell>
          <cell r="K1468" t="str">
            <v>03/10/2011</v>
          </cell>
          <cell r="L1468">
            <v>59</v>
          </cell>
          <cell r="M1468">
            <v>10300</v>
          </cell>
          <cell r="N1468">
            <v>57273</v>
          </cell>
          <cell r="O1468">
            <v>32489</v>
          </cell>
          <cell r="P1468">
            <v>16</v>
          </cell>
          <cell r="Q1468">
            <v>2</v>
          </cell>
          <cell r="U1468">
            <v>0</v>
          </cell>
          <cell r="V1468">
            <v>5300</v>
          </cell>
          <cell r="W1468">
            <v>180</v>
          </cell>
          <cell r="X1468">
            <v>4240</v>
          </cell>
          <cell r="Y1468">
            <v>111728</v>
          </cell>
          <cell r="Z1468">
            <v>766.97766666666666</v>
          </cell>
          <cell r="AA1468">
            <v>8773.0223333333342</v>
          </cell>
          <cell r="AB1468">
            <v>174.54733333333334</v>
          </cell>
          <cell r="AC1468">
            <v>5300</v>
          </cell>
          <cell r="AD1468">
            <v>4669.54</v>
          </cell>
          <cell r="AE1468">
            <v>630.46</v>
          </cell>
          <cell r="AN1468" t="str">
            <v xml:space="preserve">Contrato emergencial nº </v>
          </cell>
          <cell r="AO1468" t="str">
            <v>FO</v>
          </cell>
        </row>
        <row r="1469">
          <cell r="D1469" t="str">
            <v>2534/11</v>
          </cell>
          <cell r="E1469" t="str">
            <v>03/10/2011</v>
          </cell>
          <cell r="F1469">
            <v>40998</v>
          </cell>
          <cell r="G1469">
            <v>40877</v>
          </cell>
          <cell r="H1469" t="str">
            <v>2011-0.230.168-6</v>
          </cell>
          <cell r="I1469">
            <v>29744.400000000001</v>
          </cell>
          <cell r="J1469" t="str">
            <v xml:space="preserve">              123651121                 2847                    33903600</v>
          </cell>
          <cell r="K1469" t="str">
            <v>03/10/2011</v>
          </cell>
          <cell r="L1469">
            <v>59</v>
          </cell>
          <cell r="M1469">
            <v>9800</v>
          </cell>
          <cell r="N1469">
            <v>57273</v>
          </cell>
          <cell r="O1469">
            <v>32490</v>
          </cell>
          <cell r="P1469">
            <v>16</v>
          </cell>
          <cell r="Q1469">
            <v>2</v>
          </cell>
          <cell r="U1469">
            <v>0</v>
          </cell>
          <cell r="V1469">
            <v>6000</v>
          </cell>
          <cell r="W1469">
            <v>180</v>
          </cell>
          <cell r="X1469">
            <v>4800</v>
          </cell>
          <cell r="Y1469">
            <v>111074</v>
          </cell>
          <cell r="Z1469">
            <v>4327.9399999999996</v>
          </cell>
          <cell r="AA1469">
            <v>6472.06</v>
          </cell>
          <cell r="AB1469">
            <v>165.24666666666667</v>
          </cell>
          <cell r="AC1469">
            <v>5000</v>
          </cell>
          <cell r="AD1469">
            <v>5902.6599999999989</v>
          </cell>
          <cell r="AE1469">
            <v>-902.65999999999894</v>
          </cell>
          <cell r="AN1469" t="str">
            <v xml:space="preserve">Contrato emergencial nº </v>
          </cell>
          <cell r="AO1469" t="str">
            <v>PE</v>
          </cell>
        </row>
        <row r="1470">
          <cell r="D1470" t="str">
            <v>2535/11</v>
          </cell>
          <cell r="E1470" t="str">
            <v>03/10/2011</v>
          </cell>
          <cell r="F1470">
            <v>40998</v>
          </cell>
          <cell r="G1470">
            <v>40877</v>
          </cell>
          <cell r="H1470" t="str">
            <v>2011-0.230.173-2</v>
          </cell>
          <cell r="I1470">
            <v>38261.760000000002</v>
          </cell>
          <cell r="J1470" t="str">
            <v xml:space="preserve">              123651121                 2847                    33903600</v>
          </cell>
          <cell r="K1470" t="str">
            <v>03/10/2011</v>
          </cell>
          <cell r="L1470">
            <v>59</v>
          </cell>
          <cell r="M1470">
            <v>12600</v>
          </cell>
          <cell r="N1470">
            <v>57273</v>
          </cell>
          <cell r="O1470">
            <v>32491</v>
          </cell>
          <cell r="P1470">
            <v>16</v>
          </cell>
          <cell r="Q1470">
            <v>2</v>
          </cell>
          <cell r="U1470">
            <v>0</v>
          </cell>
          <cell r="V1470">
            <v>7000</v>
          </cell>
          <cell r="W1470">
            <v>180</v>
          </cell>
          <cell r="X1470">
            <v>5600</v>
          </cell>
          <cell r="Y1470">
            <v>111079</v>
          </cell>
          <cell r="Z1470">
            <v>6123.47</v>
          </cell>
          <cell r="AA1470">
            <v>6476.53</v>
          </cell>
          <cell r="AB1470">
            <v>212.56533333333334</v>
          </cell>
          <cell r="AC1470">
            <v>6400</v>
          </cell>
          <cell r="AD1470">
            <v>6953.3</v>
          </cell>
          <cell r="AE1470">
            <v>-553.30000000000018</v>
          </cell>
          <cell r="AN1470" t="str">
            <v xml:space="preserve">Contrato emergencial nº </v>
          </cell>
          <cell r="AO1470" t="str">
            <v>PE</v>
          </cell>
        </row>
        <row r="1471">
          <cell r="D1471" t="str">
            <v>2538/11</v>
          </cell>
          <cell r="E1471" t="str">
            <v>03/10/2011</v>
          </cell>
          <cell r="F1471">
            <v>40998</v>
          </cell>
          <cell r="G1471">
            <v>40877</v>
          </cell>
          <cell r="H1471" t="str">
            <v>2011-0.230.203-8</v>
          </cell>
          <cell r="I1471">
            <v>36954.120000000003</v>
          </cell>
          <cell r="J1471" t="str">
            <v xml:space="preserve">              123651121                 2847                    33903600</v>
          </cell>
          <cell r="K1471" t="str">
            <v>03/10/2011</v>
          </cell>
          <cell r="L1471">
            <v>59</v>
          </cell>
          <cell r="M1471">
            <v>12200</v>
          </cell>
          <cell r="N1471">
            <v>57273</v>
          </cell>
          <cell r="O1471">
            <v>32493</v>
          </cell>
          <cell r="P1471">
            <v>16</v>
          </cell>
          <cell r="Q1471">
            <v>2</v>
          </cell>
          <cell r="U1471">
            <v>0</v>
          </cell>
          <cell r="V1471">
            <v>6200</v>
          </cell>
          <cell r="W1471">
            <v>180</v>
          </cell>
          <cell r="X1471">
            <v>4960</v>
          </cell>
          <cell r="Y1471">
            <v>110477</v>
          </cell>
          <cell r="Z1471">
            <v>6710.48</v>
          </cell>
          <cell r="AA1471">
            <v>4449.5200000000004</v>
          </cell>
          <cell r="AB1471">
            <v>205.30066666666667</v>
          </cell>
          <cell r="AC1471">
            <v>6200</v>
          </cell>
          <cell r="AD1471">
            <v>5894.4699999999993</v>
          </cell>
          <cell r="AE1471">
            <v>305.53000000000065</v>
          </cell>
          <cell r="AN1471" t="str">
            <v xml:space="preserve">Contrato emergencial nº </v>
          </cell>
          <cell r="AO1471" t="str">
            <v>SM</v>
          </cell>
        </row>
        <row r="1472">
          <cell r="D1472" t="str">
            <v>2545/11</v>
          </cell>
          <cell r="E1472" t="str">
            <v>03/10/2011</v>
          </cell>
          <cell r="F1472">
            <v>40998</v>
          </cell>
          <cell r="G1472">
            <v>40877</v>
          </cell>
          <cell r="H1472" t="str">
            <v>2011-0.230.233-0</v>
          </cell>
          <cell r="I1472">
            <v>44324.52</v>
          </cell>
          <cell r="J1472" t="str">
            <v xml:space="preserve">              123611122                  2848                    33903600</v>
          </cell>
          <cell r="K1472" t="str">
            <v>03/10/2011</v>
          </cell>
          <cell r="L1472">
            <v>59</v>
          </cell>
          <cell r="M1472">
            <v>14600</v>
          </cell>
          <cell r="N1472">
            <v>57278</v>
          </cell>
          <cell r="O1472">
            <v>32496</v>
          </cell>
          <cell r="P1472">
            <v>16</v>
          </cell>
          <cell r="Q1472">
            <v>3</v>
          </cell>
          <cell r="U1472">
            <v>0</v>
          </cell>
          <cell r="V1472">
            <v>7400</v>
          </cell>
          <cell r="W1472">
            <v>180</v>
          </cell>
          <cell r="X1472">
            <v>5920</v>
          </cell>
          <cell r="Y1472">
            <v>111628</v>
          </cell>
          <cell r="Z1472">
            <v>8832.43</v>
          </cell>
          <cell r="AA1472">
            <v>4487.57</v>
          </cell>
          <cell r="AB1472">
            <v>246.2473333333333</v>
          </cell>
          <cell r="AC1472">
            <v>7400</v>
          </cell>
          <cell r="AD1472">
            <v>6241.9450000000006</v>
          </cell>
          <cell r="AE1472">
            <v>1158.0549999999994</v>
          </cell>
          <cell r="AN1472" t="str">
            <v xml:space="preserve">Contrato emergencial nº </v>
          </cell>
          <cell r="AO1472" t="str">
            <v>PJ</v>
          </cell>
        </row>
        <row r="1473">
          <cell r="D1473" t="str">
            <v>2546/11</v>
          </cell>
          <cell r="E1473" t="str">
            <v>03/10/2011</v>
          </cell>
          <cell r="F1473">
            <v>40998</v>
          </cell>
          <cell r="G1473">
            <v>40877</v>
          </cell>
          <cell r="H1473" t="str">
            <v>2011-0.230.237-2</v>
          </cell>
          <cell r="I1473">
            <v>29744.400000000001</v>
          </cell>
          <cell r="J1473" t="str">
            <v xml:space="preserve">             123671125                  2863                   33903600</v>
          </cell>
          <cell r="K1473" t="str">
            <v>03/10/2011</v>
          </cell>
          <cell r="L1473">
            <v>59</v>
          </cell>
          <cell r="M1473">
            <v>9800</v>
          </cell>
          <cell r="N1473">
            <v>57287</v>
          </cell>
          <cell r="O1473">
            <v>32497</v>
          </cell>
          <cell r="P1473">
            <v>16</v>
          </cell>
          <cell r="Q1473">
            <v>4</v>
          </cell>
          <cell r="U1473">
            <v>0</v>
          </cell>
          <cell r="V1473">
            <v>5000</v>
          </cell>
          <cell r="W1473">
            <v>180</v>
          </cell>
          <cell r="X1473">
            <v>4000</v>
          </cell>
          <cell r="Y1473">
            <v>114402</v>
          </cell>
          <cell r="Z1473">
            <v>5186.8599999999997</v>
          </cell>
          <cell r="AA1473">
            <v>3813.1400000000003</v>
          </cell>
          <cell r="AB1473">
            <v>165.24666666666667</v>
          </cell>
          <cell r="AC1473">
            <v>5000</v>
          </cell>
          <cell r="AD1473">
            <v>4983.7049999999999</v>
          </cell>
          <cell r="AE1473">
            <v>16.295000000000073</v>
          </cell>
          <cell r="AN1473" t="str">
            <v xml:space="preserve">Contrato emergencial nº </v>
          </cell>
          <cell r="AO1473" t="str">
            <v>SA</v>
          </cell>
        </row>
        <row r="1474">
          <cell r="D1474" t="str">
            <v>2552/11</v>
          </cell>
          <cell r="E1474" t="str">
            <v>03/10/2011</v>
          </cell>
          <cell r="F1474">
            <v>40998</v>
          </cell>
          <cell r="G1474">
            <v>40877</v>
          </cell>
          <cell r="H1474" t="str">
            <v>2011-0.230.254-2</v>
          </cell>
          <cell r="I1474">
            <v>38261.760000000002</v>
          </cell>
          <cell r="J1474" t="str">
            <v xml:space="preserve">              123651121                 2847                    33903600</v>
          </cell>
          <cell r="K1474" t="str">
            <v>03/10/2011</v>
          </cell>
          <cell r="L1474">
            <v>59</v>
          </cell>
          <cell r="M1474">
            <v>12600</v>
          </cell>
          <cell r="N1474">
            <v>57273</v>
          </cell>
          <cell r="O1474">
            <v>32499</v>
          </cell>
          <cell r="P1474">
            <v>16</v>
          </cell>
          <cell r="Q1474">
            <v>2</v>
          </cell>
          <cell r="U1474">
            <v>0</v>
          </cell>
          <cell r="V1474">
            <v>6400</v>
          </cell>
          <cell r="W1474">
            <v>180</v>
          </cell>
          <cell r="X1474">
            <v>5120</v>
          </cell>
          <cell r="Y1474">
            <v>110359</v>
          </cell>
          <cell r="Z1474">
            <v>7695.576</v>
          </cell>
          <cell r="AA1474">
            <v>3824.424</v>
          </cell>
          <cell r="AB1474">
            <v>212.56533333333334</v>
          </cell>
          <cell r="AC1474">
            <v>6400</v>
          </cell>
          <cell r="AD1474">
            <v>5336.9899999999989</v>
          </cell>
          <cell r="AE1474">
            <v>1063.0100000000011</v>
          </cell>
          <cell r="AN1474" t="str">
            <v xml:space="preserve">Contrato emergencial nº </v>
          </cell>
          <cell r="AO1474" t="str">
            <v>CS</v>
          </cell>
        </row>
        <row r="1475">
          <cell r="D1475" t="str">
            <v>2554/11</v>
          </cell>
          <cell r="E1475" t="str">
            <v>03/10/2011</v>
          </cell>
          <cell r="F1475">
            <v>40998</v>
          </cell>
          <cell r="G1475">
            <v>40877</v>
          </cell>
          <cell r="H1475" t="str">
            <v>2011-0.230.261-5</v>
          </cell>
          <cell r="I1475">
            <v>44324.52</v>
          </cell>
          <cell r="J1475" t="str">
            <v xml:space="preserve">              123651121                 2847                    33903600</v>
          </cell>
          <cell r="K1475" t="str">
            <v>03/10/2011</v>
          </cell>
          <cell r="L1475">
            <v>59</v>
          </cell>
          <cell r="M1475">
            <v>14600</v>
          </cell>
          <cell r="N1475">
            <v>57273</v>
          </cell>
          <cell r="O1475">
            <v>32501</v>
          </cell>
          <cell r="P1475">
            <v>16</v>
          </cell>
          <cell r="Q1475">
            <v>2</v>
          </cell>
          <cell r="U1475">
            <v>0</v>
          </cell>
          <cell r="V1475">
            <v>7400</v>
          </cell>
          <cell r="W1475">
            <v>180</v>
          </cell>
          <cell r="X1475">
            <v>5920</v>
          </cell>
          <cell r="Y1475">
            <v>110360</v>
          </cell>
          <cell r="Z1475">
            <v>7952.4246666666668</v>
          </cell>
          <cell r="AA1475">
            <v>5367.5753333333332</v>
          </cell>
          <cell r="AB1475">
            <v>246.2473333333333</v>
          </cell>
          <cell r="AC1475">
            <v>7400</v>
          </cell>
          <cell r="AD1475">
            <v>7172.92</v>
          </cell>
          <cell r="AE1475">
            <v>227.07999999999993</v>
          </cell>
          <cell r="AN1475" t="str">
            <v xml:space="preserve">Contrato emergencial nº </v>
          </cell>
          <cell r="AO1475" t="str">
            <v>CS</v>
          </cell>
        </row>
        <row r="1476">
          <cell r="D1476" t="str">
            <v>2555/11</v>
          </cell>
          <cell r="E1476" t="str">
            <v>03/10/2011</v>
          </cell>
          <cell r="F1476">
            <v>40998</v>
          </cell>
          <cell r="G1476">
            <v>40877</v>
          </cell>
          <cell r="H1476" t="str">
            <v>2011-0.230.262-3</v>
          </cell>
          <cell r="I1476">
            <v>44324.52</v>
          </cell>
          <cell r="J1476" t="str">
            <v xml:space="preserve">              123651121                 2847                    33903600</v>
          </cell>
          <cell r="K1476" t="str">
            <v>03/10/2011</v>
          </cell>
          <cell r="L1476">
            <v>59</v>
          </cell>
          <cell r="M1476">
            <v>14600</v>
          </cell>
          <cell r="N1476">
            <v>57273</v>
          </cell>
          <cell r="O1476">
            <v>32503</v>
          </cell>
          <cell r="P1476">
            <v>16</v>
          </cell>
          <cell r="Q1476">
            <v>2</v>
          </cell>
          <cell r="U1476">
            <v>0</v>
          </cell>
          <cell r="V1476">
            <v>7400</v>
          </cell>
          <cell r="W1476">
            <v>180</v>
          </cell>
          <cell r="X1476">
            <v>5920</v>
          </cell>
          <cell r="Y1476">
            <v>110362</v>
          </cell>
          <cell r="Z1476">
            <v>9055.7746666666681</v>
          </cell>
          <cell r="AA1476">
            <v>4264.2253333333319</v>
          </cell>
          <cell r="AB1476">
            <v>246.2473333333333</v>
          </cell>
          <cell r="AC1476">
            <v>7400</v>
          </cell>
          <cell r="AD1476">
            <v>6910.42</v>
          </cell>
          <cell r="AE1476">
            <v>489.57999999999993</v>
          </cell>
          <cell r="AN1476" t="str">
            <v xml:space="preserve">Contrato emergencial nº </v>
          </cell>
          <cell r="AO1476" t="str">
            <v>CS</v>
          </cell>
        </row>
        <row r="1477">
          <cell r="D1477" t="str">
            <v>2556/11</v>
          </cell>
          <cell r="E1477" t="str">
            <v>03/10/2011</v>
          </cell>
          <cell r="F1477">
            <v>40998</v>
          </cell>
          <cell r="G1477">
            <v>40877</v>
          </cell>
          <cell r="H1477" t="str">
            <v>2011-0.230.264-0</v>
          </cell>
          <cell r="I1477">
            <v>31418.52</v>
          </cell>
          <cell r="J1477" t="str">
            <v xml:space="preserve">              123611122                  2848                    33903600</v>
          </cell>
          <cell r="K1477" t="str">
            <v>03/10/2011</v>
          </cell>
          <cell r="L1477">
            <v>59</v>
          </cell>
          <cell r="M1477">
            <v>10300</v>
          </cell>
          <cell r="N1477">
            <v>57278</v>
          </cell>
          <cell r="O1477">
            <v>32504</v>
          </cell>
          <cell r="P1477">
            <v>16</v>
          </cell>
          <cell r="Q1477">
            <v>3</v>
          </cell>
          <cell r="U1477">
            <v>0</v>
          </cell>
          <cell r="V1477">
            <v>5300</v>
          </cell>
          <cell r="W1477">
            <v>180</v>
          </cell>
          <cell r="X1477">
            <v>4240</v>
          </cell>
          <cell r="Y1477">
            <v>110363</v>
          </cell>
          <cell r="Z1477">
            <v>5691.9960000000001</v>
          </cell>
          <cell r="AA1477">
            <v>3848.0039999999999</v>
          </cell>
          <cell r="AB1477">
            <v>174.54733333333334</v>
          </cell>
          <cell r="AC1477">
            <v>5300</v>
          </cell>
          <cell r="AD1477">
            <v>4801.2800000000007</v>
          </cell>
          <cell r="AE1477">
            <v>498.71999999999935</v>
          </cell>
          <cell r="AN1477" t="str">
            <v xml:space="preserve">Contrato emergencial nº </v>
          </cell>
          <cell r="AO1477" t="str">
            <v>CS</v>
          </cell>
        </row>
        <row r="1478">
          <cell r="D1478" t="str">
            <v>2557/11</v>
          </cell>
          <cell r="E1478" t="str">
            <v>03/10/2011</v>
          </cell>
          <cell r="F1478">
            <v>40998</v>
          </cell>
          <cell r="G1478">
            <v>40877</v>
          </cell>
          <cell r="H1478" t="str">
            <v>2011-0.230.268-2</v>
          </cell>
          <cell r="I1478">
            <v>44324.52</v>
          </cell>
          <cell r="J1478" t="str">
            <v xml:space="preserve">              123611122                  2848                    33903600</v>
          </cell>
          <cell r="K1478" t="str">
            <v>03/10/2011</v>
          </cell>
          <cell r="L1478">
            <v>59</v>
          </cell>
          <cell r="M1478">
            <v>14600</v>
          </cell>
          <cell r="N1478">
            <v>57278</v>
          </cell>
          <cell r="O1478">
            <v>32507</v>
          </cell>
          <cell r="P1478">
            <v>16</v>
          </cell>
          <cell r="Q1478">
            <v>3</v>
          </cell>
          <cell r="U1478">
            <v>0</v>
          </cell>
          <cell r="V1478">
            <v>7400</v>
          </cell>
          <cell r="W1478">
            <v>180</v>
          </cell>
          <cell r="X1478">
            <v>5920</v>
          </cell>
          <cell r="Y1478">
            <v>110365</v>
          </cell>
          <cell r="Z1478">
            <v>7930.938666666666</v>
          </cell>
          <cell r="AA1478">
            <v>5389.061333333334</v>
          </cell>
          <cell r="AB1478">
            <v>246.2473333333333</v>
          </cell>
          <cell r="AC1478">
            <v>7400</v>
          </cell>
          <cell r="AD1478">
            <v>7032.7500000000009</v>
          </cell>
          <cell r="AE1478">
            <v>367.24999999999909</v>
          </cell>
          <cell r="AN1478" t="str">
            <v xml:space="preserve">Contrato emergencial nº </v>
          </cell>
          <cell r="AO1478" t="str">
            <v>CS</v>
          </cell>
        </row>
        <row r="1479">
          <cell r="D1479" t="str">
            <v>2559/11</v>
          </cell>
          <cell r="E1479" t="str">
            <v>03/10/2011</v>
          </cell>
          <cell r="F1479">
            <v>40998</v>
          </cell>
          <cell r="G1479">
            <v>40877</v>
          </cell>
          <cell r="H1479" t="str">
            <v>2011-0.230.272-0</v>
          </cell>
          <cell r="I1479">
            <v>44324.52</v>
          </cell>
          <cell r="J1479" t="str">
            <v xml:space="preserve">              123611122                  2848                    33903600</v>
          </cell>
          <cell r="K1479" t="str">
            <v>03/10/2011</v>
          </cell>
          <cell r="L1479">
            <v>59</v>
          </cell>
          <cell r="M1479">
            <v>14600</v>
          </cell>
          <cell r="N1479">
            <v>57278</v>
          </cell>
          <cell r="O1479">
            <v>32510</v>
          </cell>
          <cell r="P1479">
            <v>16</v>
          </cell>
          <cell r="Q1479">
            <v>3</v>
          </cell>
          <cell r="U1479">
            <v>0</v>
          </cell>
          <cell r="V1479">
            <v>7400</v>
          </cell>
          <cell r="W1479">
            <v>180</v>
          </cell>
          <cell r="X1479">
            <v>5920</v>
          </cell>
          <cell r="Y1479">
            <v>110383</v>
          </cell>
          <cell r="Z1479">
            <v>8037.9246666666668</v>
          </cell>
          <cell r="AA1479">
            <v>5282.0753333333332</v>
          </cell>
          <cell r="AB1479">
            <v>246.2473333333333</v>
          </cell>
          <cell r="AC1479">
            <v>7400</v>
          </cell>
          <cell r="AD1479">
            <v>7073.92</v>
          </cell>
          <cell r="AE1479">
            <v>326.07999999999993</v>
          </cell>
          <cell r="AN1479" t="str">
            <v xml:space="preserve">Contrato emergencial nº </v>
          </cell>
          <cell r="AO1479" t="str">
            <v>CS</v>
          </cell>
        </row>
        <row r="1480">
          <cell r="D1480" t="str">
            <v>2561/11</v>
          </cell>
          <cell r="E1480" t="str">
            <v>03/10/2011</v>
          </cell>
          <cell r="F1480">
            <v>40998</v>
          </cell>
          <cell r="G1480">
            <v>40877</v>
          </cell>
          <cell r="H1480" t="str">
            <v>2011-0.230.276-3</v>
          </cell>
          <cell r="I1480">
            <v>37607.879999999997</v>
          </cell>
          <cell r="J1480" t="str">
            <v xml:space="preserve">              123651121                 2847                    33903600</v>
          </cell>
          <cell r="K1480" t="str">
            <v>03/10/2011</v>
          </cell>
          <cell r="L1480">
            <v>59</v>
          </cell>
          <cell r="M1480">
            <v>12400</v>
          </cell>
          <cell r="N1480">
            <v>57273</v>
          </cell>
          <cell r="O1480">
            <v>32514</v>
          </cell>
          <cell r="P1480">
            <v>16</v>
          </cell>
          <cell r="Q1480">
            <v>2</v>
          </cell>
          <cell r="U1480">
            <v>0</v>
          </cell>
          <cell r="V1480">
            <v>6300</v>
          </cell>
          <cell r="W1480">
            <v>180</v>
          </cell>
          <cell r="X1480">
            <v>5040</v>
          </cell>
          <cell r="Y1480">
            <v>111741</v>
          </cell>
          <cell r="Z1480">
            <v>1661.3666666666668</v>
          </cell>
          <cell r="AA1480">
            <v>9678.6333333333332</v>
          </cell>
          <cell r="AB1480">
            <v>208.93266666666665</v>
          </cell>
          <cell r="AC1480">
            <v>6300</v>
          </cell>
          <cell r="AD1480">
            <v>4682.4349999999995</v>
          </cell>
          <cell r="AE1480">
            <v>1617.5650000000005</v>
          </cell>
          <cell r="AN1480" t="str">
            <v xml:space="preserve">Contrato emergencial nº </v>
          </cell>
          <cell r="AO1480" t="str">
            <v>FO</v>
          </cell>
        </row>
        <row r="1481">
          <cell r="D1481" t="str">
            <v>2562/11</v>
          </cell>
          <cell r="E1481" t="str">
            <v>03/10/2011</v>
          </cell>
          <cell r="F1481">
            <v>40998</v>
          </cell>
          <cell r="G1481">
            <v>40877</v>
          </cell>
          <cell r="H1481" t="str">
            <v>2011-0.230.277-1</v>
          </cell>
          <cell r="I1481">
            <v>38261.760000000002</v>
          </cell>
          <cell r="J1481" t="str">
            <v xml:space="preserve">              123611122                  2848                    33903600</v>
          </cell>
          <cell r="K1481" t="str">
            <v>03/10/2011</v>
          </cell>
          <cell r="L1481">
            <v>59</v>
          </cell>
          <cell r="M1481">
            <v>12600</v>
          </cell>
          <cell r="N1481">
            <v>57278</v>
          </cell>
          <cell r="O1481">
            <v>32518</v>
          </cell>
          <cell r="P1481">
            <v>16</v>
          </cell>
          <cell r="Q1481">
            <v>3</v>
          </cell>
          <cell r="U1481">
            <v>0</v>
          </cell>
          <cell r="V1481">
            <v>6400</v>
          </cell>
          <cell r="W1481">
            <v>180</v>
          </cell>
          <cell r="X1481">
            <v>5120</v>
          </cell>
          <cell r="Y1481">
            <v>111746</v>
          </cell>
          <cell r="Z1481">
            <v>871.56311111111063</v>
          </cell>
          <cell r="AA1481">
            <v>10648.436888888889</v>
          </cell>
          <cell r="AB1481">
            <v>212.56533333333334</v>
          </cell>
          <cell r="AC1481">
            <v>6400</v>
          </cell>
          <cell r="AD1481">
            <v>5789.7599999999993</v>
          </cell>
          <cell r="AE1481">
            <v>610.24000000000069</v>
          </cell>
          <cell r="AN1481" t="str">
            <v xml:space="preserve">Contrato emergencial nº </v>
          </cell>
          <cell r="AO1481" t="str">
            <v>FO</v>
          </cell>
        </row>
        <row r="1482">
          <cell r="D1482" t="str">
            <v>2566/11</v>
          </cell>
          <cell r="E1482" t="str">
            <v>03/10/2011</v>
          </cell>
          <cell r="F1482">
            <v>40998</v>
          </cell>
          <cell r="G1482">
            <v>40877</v>
          </cell>
          <cell r="H1482" t="str">
            <v>2011-0.230.285-2</v>
          </cell>
          <cell r="I1482">
            <v>31824.66</v>
          </cell>
          <cell r="J1482" t="str">
            <v xml:space="preserve">              123611122                  2848                    33903600</v>
          </cell>
          <cell r="K1482" t="str">
            <v>03/10/2011</v>
          </cell>
          <cell r="L1482">
            <v>59</v>
          </cell>
          <cell r="M1482">
            <v>10500</v>
          </cell>
          <cell r="N1482">
            <v>57278</v>
          </cell>
          <cell r="O1482">
            <v>32520</v>
          </cell>
          <cell r="P1482">
            <v>16</v>
          </cell>
          <cell r="Q1482">
            <v>3</v>
          </cell>
          <cell r="U1482">
            <v>0</v>
          </cell>
          <cell r="V1482">
            <v>5400</v>
          </cell>
          <cell r="W1482">
            <v>180</v>
          </cell>
          <cell r="X1482">
            <v>4320</v>
          </cell>
          <cell r="Y1482">
            <v>111760</v>
          </cell>
          <cell r="Z1482">
            <v>741.77533333333304</v>
          </cell>
          <cell r="AA1482">
            <v>8978.224666666667</v>
          </cell>
          <cell r="AB1482">
            <v>176.80366666666666</v>
          </cell>
          <cell r="AC1482">
            <v>5400</v>
          </cell>
          <cell r="AD1482">
            <v>4518.0600000000004</v>
          </cell>
          <cell r="AE1482">
            <v>881.9399999999996</v>
          </cell>
          <cell r="AN1482" t="str">
            <v xml:space="preserve">Contrato emergencial nº </v>
          </cell>
          <cell r="AO1482" t="str">
            <v>FO</v>
          </cell>
        </row>
        <row r="1483">
          <cell r="D1483" t="str">
            <v>2567/11</v>
          </cell>
          <cell r="E1483" t="str">
            <v>03/10/2011</v>
          </cell>
          <cell r="F1483">
            <v>40998</v>
          </cell>
          <cell r="G1483">
            <v>40877</v>
          </cell>
          <cell r="H1483" t="str">
            <v>2011-0.230.287-9</v>
          </cell>
          <cell r="I1483">
            <v>27971.16</v>
          </cell>
          <cell r="J1483" t="str">
            <v xml:space="preserve">              123611122                  2848                    33903600</v>
          </cell>
          <cell r="K1483" t="str">
            <v>03/10/2011</v>
          </cell>
          <cell r="L1483">
            <v>59</v>
          </cell>
          <cell r="M1483">
            <v>9200</v>
          </cell>
          <cell r="N1483">
            <v>57278</v>
          </cell>
          <cell r="O1483">
            <v>32522</v>
          </cell>
          <cell r="P1483">
            <v>16</v>
          </cell>
          <cell r="Q1483">
            <v>3</v>
          </cell>
          <cell r="U1483">
            <v>0</v>
          </cell>
          <cell r="V1483">
            <v>4700</v>
          </cell>
          <cell r="W1483">
            <v>180</v>
          </cell>
          <cell r="X1483">
            <v>3760</v>
          </cell>
          <cell r="Y1483">
            <v>111768</v>
          </cell>
          <cell r="Z1483">
            <v>414.53833333333296</v>
          </cell>
          <cell r="AA1483">
            <v>8045.461666666667</v>
          </cell>
          <cell r="AB1483">
            <v>155.39533333333333</v>
          </cell>
          <cell r="AC1483">
            <v>4700</v>
          </cell>
          <cell r="AD1483">
            <v>4576.3900000000003</v>
          </cell>
          <cell r="AE1483">
            <v>123.60999999999967</v>
          </cell>
          <cell r="AN1483" t="str">
            <v xml:space="preserve">Contrato emergencial nº </v>
          </cell>
          <cell r="AO1483" t="str">
            <v>FO</v>
          </cell>
        </row>
        <row r="1484">
          <cell r="D1484" t="str">
            <v>2573/11</v>
          </cell>
          <cell r="E1484" t="str">
            <v>03/10/2011</v>
          </cell>
          <cell r="F1484">
            <v>40998</v>
          </cell>
          <cell r="G1484">
            <v>40877</v>
          </cell>
          <cell r="H1484" t="str">
            <v>2011-0.230.304-2</v>
          </cell>
          <cell r="I1484">
            <v>31824.66</v>
          </cell>
          <cell r="J1484" t="str">
            <v xml:space="preserve">              123651121                 2847                    33903600</v>
          </cell>
          <cell r="K1484" t="str">
            <v>03/10/2011</v>
          </cell>
          <cell r="L1484">
            <v>59</v>
          </cell>
          <cell r="M1484">
            <v>10500</v>
          </cell>
          <cell r="N1484">
            <v>57273</v>
          </cell>
          <cell r="O1484">
            <v>32526</v>
          </cell>
          <cell r="P1484">
            <v>16</v>
          </cell>
          <cell r="Q1484">
            <v>2</v>
          </cell>
          <cell r="U1484">
            <v>0</v>
          </cell>
          <cell r="V1484">
            <v>5400</v>
          </cell>
          <cell r="W1484">
            <v>180</v>
          </cell>
          <cell r="X1484">
            <v>4320</v>
          </cell>
          <cell r="Y1484">
            <v>111254</v>
          </cell>
          <cell r="Z1484">
            <v>6050.88</v>
          </cell>
          <cell r="AA1484">
            <v>3669.12</v>
          </cell>
          <cell r="AB1484">
            <v>176.80366666666666</v>
          </cell>
          <cell r="AC1484">
            <v>5400</v>
          </cell>
          <cell r="AD1484">
            <v>4924.4949999999999</v>
          </cell>
          <cell r="AE1484">
            <v>475.50500000000011</v>
          </cell>
          <cell r="AN1484" t="str">
            <v xml:space="preserve">Contrato emergencial nº </v>
          </cell>
          <cell r="AO1484" t="str">
            <v>IQ</v>
          </cell>
        </row>
        <row r="1485">
          <cell r="D1485" t="str">
            <v>2574/11</v>
          </cell>
          <cell r="E1485" t="str">
            <v>03/10/2011</v>
          </cell>
          <cell r="F1485">
            <v>40998</v>
          </cell>
          <cell r="G1485">
            <v>40877</v>
          </cell>
          <cell r="H1485" t="str">
            <v>2011-0.230.308-5</v>
          </cell>
          <cell r="I1485">
            <v>31418.52</v>
          </cell>
          <cell r="J1485" t="str">
            <v xml:space="preserve">              123651121                 2847                    33903600</v>
          </cell>
          <cell r="K1485" t="str">
            <v>03/10/2011</v>
          </cell>
          <cell r="L1485">
            <v>59</v>
          </cell>
          <cell r="M1485">
            <v>10300</v>
          </cell>
          <cell r="N1485">
            <v>57273</v>
          </cell>
          <cell r="O1485">
            <v>32527</v>
          </cell>
          <cell r="P1485">
            <v>16</v>
          </cell>
          <cell r="Q1485">
            <v>2</v>
          </cell>
          <cell r="U1485">
            <v>0</v>
          </cell>
          <cell r="V1485">
            <v>5500</v>
          </cell>
          <cell r="W1485">
            <v>180</v>
          </cell>
          <cell r="X1485">
            <v>4400</v>
          </cell>
          <cell r="Y1485">
            <v>111257</v>
          </cell>
          <cell r="Z1485">
            <v>5276.6</v>
          </cell>
          <cell r="AA1485">
            <v>4623.3999999999996</v>
          </cell>
          <cell r="AB1485">
            <v>174.54733333333334</v>
          </cell>
          <cell r="AC1485">
            <v>5300</v>
          </cell>
          <cell r="AD1485">
            <v>5407.8399999999992</v>
          </cell>
          <cell r="AE1485">
            <v>-107.83999999999924</v>
          </cell>
          <cell r="AN1485" t="str">
            <v xml:space="preserve">Contrato emergencial nº </v>
          </cell>
          <cell r="AO1485" t="str">
            <v>IQ</v>
          </cell>
        </row>
        <row r="1486">
          <cell r="D1486" t="str">
            <v>2575/11</v>
          </cell>
          <cell r="E1486" t="str">
            <v>03/10/2011</v>
          </cell>
          <cell r="F1486">
            <v>40998</v>
          </cell>
          <cell r="G1486">
            <v>40877</v>
          </cell>
          <cell r="H1486" t="str">
            <v>2011-0.230.330-1</v>
          </cell>
          <cell r="I1486">
            <v>40877.160000000003</v>
          </cell>
          <cell r="J1486" t="str">
            <v xml:space="preserve">              123611122                  2848                    33903600</v>
          </cell>
          <cell r="K1486" t="str">
            <v>03/10/2011</v>
          </cell>
          <cell r="L1486">
            <v>59</v>
          </cell>
          <cell r="M1486">
            <v>13400</v>
          </cell>
          <cell r="N1486">
            <v>57278</v>
          </cell>
          <cell r="O1486">
            <v>32531</v>
          </cell>
          <cell r="P1486">
            <v>16</v>
          </cell>
          <cell r="Q1486">
            <v>3</v>
          </cell>
          <cell r="U1486">
            <v>0</v>
          </cell>
          <cell r="V1486">
            <v>6900</v>
          </cell>
          <cell r="W1486">
            <v>180</v>
          </cell>
          <cell r="X1486">
            <v>5520</v>
          </cell>
          <cell r="Y1486" t="str">
            <v>105458/114702</v>
          </cell>
          <cell r="Z1486">
            <v>7979.66</v>
          </cell>
          <cell r="AA1486">
            <v>4440.34</v>
          </cell>
          <cell r="AB1486">
            <v>227.09533333333334</v>
          </cell>
          <cell r="AC1486">
            <v>6900</v>
          </cell>
          <cell r="AD1486">
            <v>6608.84</v>
          </cell>
          <cell r="AE1486">
            <v>291.15999999999985</v>
          </cell>
          <cell r="AN1486" t="str">
            <v xml:space="preserve">Contrato emergencial nº </v>
          </cell>
          <cell r="AO1486" t="str">
            <v>JT</v>
          </cell>
        </row>
        <row r="1487">
          <cell r="D1487" t="str">
            <v>2579/11</v>
          </cell>
          <cell r="E1487" t="str">
            <v>03/10/2011</v>
          </cell>
          <cell r="F1487">
            <v>40998</v>
          </cell>
          <cell r="G1487">
            <v>40877</v>
          </cell>
          <cell r="H1487" t="str">
            <v>2011-0.230.424-3</v>
          </cell>
          <cell r="I1487">
            <v>44324.52</v>
          </cell>
          <cell r="J1487" t="str">
            <v xml:space="preserve">              123611122                  2848                    33903600</v>
          </cell>
          <cell r="K1487" t="str">
            <v>03/10/2011</v>
          </cell>
          <cell r="L1487">
            <v>59</v>
          </cell>
          <cell r="M1487">
            <v>14600</v>
          </cell>
          <cell r="N1487">
            <v>57278</v>
          </cell>
          <cell r="O1487">
            <v>32532</v>
          </cell>
          <cell r="P1487">
            <v>16</v>
          </cell>
          <cell r="Q1487">
            <v>3</v>
          </cell>
          <cell r="U1487">
            <v>0</v>
          </cell>
          <cell r="V1487">
            <v>7400</v>
          </cell>
          <cell r="W1487">
            <v>180</v>
          </cell>
          <cell r="X1487">
            <v>5920</v>
          </cell>
          <cell r="Y1487">
            <v>111075</v>
          </cell>
          <cell r="Z1487">
            <v>9763.2099999999991</v>
          </cell>
          <cell r="AA1487">
            <v>3556.7900000000009</v>
          </cell>
          <cell r="AB1487">
            <v>246.2473333333333</v>
          </cell>
          <cell r="AC1487">
            <v>7400</v>
          </cell>
          <cell r="AD1487">
            <v>5225.7</v>
          </cell>
          <cell r="AE1487">
            <v>2174.3000000000002</v>
          </cell>
          <cell r="AN1487" t="str">
            <v xml:space="preserve">Contrato emergencial nº </v>
          </cell>
          <cell r="AO1487" t="str">
            <v>PE</v>
          </cell>
        </row>
        <row r="1488">
          <cell r="D1488" t="str">
            <v>2581/11</v>
          </cell>
          <cell r="E1488" t="str">
            <v>03/10/2011</v>
          </cell>
          <cell r="F1488">
            <v>40998</v>
          </cell>
          <cell r="G1488">
            <v>40877</v>
          </cell>
          <cell r="H1488" t="str">
            <v>2011-0.230.427-8</v>
          </cell>
          <cell r="I1488">
            <v>38261.760000000002</v>
          </cell>
          <cell r="J1488" t="str">
            <v xml:space="preserve">              123611122                  2848                    33903600</v>
          </cell>
          <cell r="K1488" t="str">
            <v>03/10/2011</v>
          </cell>
          <cell r="L1488">
            <v>59</v>
          </cell>
          <cell r="M1488">
            <v>12600</v>
          </cell>
          <cell r="N1488">
            <v>57278</v>
          </cell>
          <cell r="O1488">
            <v>32534</v>
          </cell>
          <cell r="P1488">
            <v>16</v>
          </cell>
          <cell r="Q1488">
            <v>3</v>
          </cell>
          <cell r="U1488">
            <v>0</v>
          </cell>
          <cell r="V1488">
            <v>6400</v>
          </cell>
          <cell r="W1488">
            <v>180</v>
          </cell>
          <cell r="X1488">
            <v>5120</v>
          </cell>
          <cell r="Y1488">
            <v>111629</v>
          </cell>
          <cell r="Z1488">
            <v>7284.97</v>
          </cell>
          <cell r="AA1488">
            <v>4235.03</v>
          </cell>
          <cell r="AB1488">
            <v>212.56533333333334</v>
          </cell>
          <cell r="AC1488">
            <v>6400</v>
          </cell>
          <cell r="AD1488">
            <v>5780.58</v>
          </cell>
          <cell r="AE1488">
            <v>619.42000000000007</v>
          </cell>
          <cell r="AN1488" t="str">
            <v xml:space="preserve">Contrato emergencial nº </v>
          </cell>
          <cell r="AO1488" t="str">
            <v>PJ</v>
          </cell>
        </row>
        <row r="1489">
          <cell r="D1489" t="str">
            <v>2583/11</v>
          </cell>
          <cell r="E1489" t="str">
            <v>03/10/2011</v>
          </cell>
          <cell r="F1489">
            <v>40998</v>
          </cell>
          <cell r="G1489">
            <v>40877</v>
          </cell>
          <cell r="H1489" t="str">
            <v>2011-0.230.429-4</v>
          </cell>
          <cell r="I1489">
            <v>37607.879999999997</v>
          </cell>
          <cell r="J1489" t="str">
            <v xml:space="preserve">              123611122                  2848                    33903600</v>
          </cell>
          <cell r="K1489" t="str">
            <v>03/10/2011</v>
          </cell>
          <cell r="L1489">
            <v>59</v>
          </cell>
          <cell r="M1489">
            <v>12400</v>
          </cell>
          <cell r="N1489">
            <v>57278</v>
          </cell>
          <cell r="O1489">
            <v>32535</v>
          </cell>
          <cell r="P1489">
            <v>16</v>
          </cell>
          <cell r="Q1489">
            <v>3</v>
          </cell>
          <cell r="U1489">
            <v>0</v>
          </cell>
          <cell r="V1489">
            <v>6300</v>
          </cell>
          <cell r="W1489">
            <v>180</v>
          </cell>
          <cell r="X1489">
            <v>5040</v>
          </cell>
          <cell r="Y1489">
            <v>111032</v>
          </cell>
          <cell r="Z1489">
            <v>7232.75</v>
          </cell>
          <cell r="AA1489">
            <v>4107.25</v>
          </cell>
          <cell r="AB1489">
            <v>208.93266666666665</v>
          </cell>
          <cell r="AC1489">
            <v>6300</v>
          </cell>
          <cell r="AD1489">
            <v>4846.32</v>
          </cell>
          <cell r="AE1489">
            <v>1453.6800000000003</v>
          </cell>
          <cell r="AN1489" t="str">
            <v xml:space="preserve">Contrato emergencial nº </v>
          </cell>
          <cell r="AO1489" t="str">
            <v>SA</v>
          </cell>
        </row>
        <row r="1490">
          <cell r="D1490" t="str">
            <v>2589/11</v>
          </cell>
          <cell r="E1490" t="str">
            <v>03/10/2011</v>
          </cell>
          <cell r="F1490">
            <v>40998</v>
          </cell>
          <cell r="G1490">
            <v>40877</v>
          </cell>
          <cell r="H1490" t="str">
            <v>2011-0.230.436-7</v>
          </cell>
          <cell r="I1490">
            <v>31418.52</v>
          </cell>
          <cell r="J1490" t="str">
            <v xml:space="preserve">              123651121                 2847                    33903600</v>
          </cell>
          <cell r="K1490" t="str">
            <v>03/10/2011</v>
          </cell>
          <cell r="L1490">
            <v>59</v>
          </cell>
          <cell r="M1490">
            <v>10300</v>
          </cell>
          <cell r="N1490">
            <v>57273</v>
          </cell>
          <cell r="O1490">
            <v>32536</v>
          </cell>
          <cell r="P1490">
            <v>16</v>
          </cell>
          <cell r="Q1490">
            <v>2</v>
          </cell>
          <cell r="U1490">
            <v>0</v>
          </cell>
          <cell r="V1490">
            <v>5600</v>
          </cell>
          <cell r="W1490">
            <v>180</v>
          </cell>
          <cell r="X1490">
            <v>4480</v>
          </cell>
          <cell r="Y1490">
            <v>105704</v>
          </cell>
          <cell r="Z1490">
            <v>5137.4399999999996</v>
          </cell>
          <cell r="AA1490">
            <v>4942.5600000000004</v>
          </cell>
          <cell r="AB1490">
            <v>174.54733333333334</v>
          </cell>
          <cell r="AC1490">
            <v>5300</v>
          </cell>
          <cell r="AD1490">
            <v>5597.24</v>
          </cell>
          <cell r="AE1490">
            <v>-297.23999999999978</v>
          </cell>
          <cell r="AN1490" t="str">
            <v xml:space="preserve">Contrato emergencial nº </v>
          </cell>
          <cell r="AO1490" t="str">
            <v>JT</v>
          </cell>
        </row>
        <row r="1491">
          <cell r="D1491" t="str">
            <v>2591/11</v>
          </cell>
          <cell r="E1491" t="str">
            <v>03/10/2011</v>
          </cell>
          <cell r="F1491">
            <v>40998</v>
          </cell>
          <cell r="G1491">
            <v>40877</v>
          </cell>
          <cell r="H1491" t="str">
            <v>2011-0.230.438-3</v>
          </cell>
          <cell r="I1491">
            <v>38261.760000000002</v>
          </cell>
          <cell r="J1491" t="str">
            <v xml:space="preserve">              123611122                  2848                    33903600</v>
          </cell>
          <cell r="K1491" t="str">
            <v>03/10/2011</v>
          </cell>
          <cell r="L1491">
            <v>59</v>
          </cell>
          <cell r="M1491">
            <v>12600</v>
          </cell>
          <cell r="N1491">
            <v>57278</v>
          </cell>
          <cell r="O1491">
            <v>32537</v>
          </cell>
          <cell r="P1491">
            <v>16</v>
          </cell>
          <cell r="Q1491">
            <v>3</v>
          </cell>
          <cell r="U1491">
            <v>0</v>
          </cell>
          <cell r="V1491">
            <v>6400</v>
          </cell>
          <cell r="W1491">
            <v>180</v>
          </cell>
          <cell r="X1491">
            <v>5120</v>
          </cell>
          <cell r="Y1491">
            <v>110871</v>
          </cell>
          <cell r="Z1491">
            <v>12600</v>
          </cell>
          <cell r="AA1491">
            <v>-1080</v>
          </cell>
          <cell r="AB1491">
            <v>212.56533333333334</v>
          </cell>
          <cell r="AC1491">
            <v>6400</v>
          </cell>
          <cell r="AD1491">
            <v>5105.1899999999996</v>
          </cell>
          <cell r="AE1491">
            <v>1294.8100000000004</v>
          </cell>
          <cell r="AN1491" t="str">
            <v xml:space="preserve">Contrato emergencial nº </v>
          </cell>
          <cell r="AO1491" t="str">
            <v>CL</v>
          </cell>
        </row>
        <row r="1492">
          <cell r="D1492" t="str">
            <v>2592/11</v>
          </cell>
          <cell r="E1492" t="str">
            <v>03/10/2011</v>
          </cell>
          <cell r="F1492">
            <v>40998</v>
          </cell>
          <cell r="G1492">
            <v>40877</v>
          </cell>
          <cell r="H1492" t="str">
            <v>2011-0.230.439-1</v>
          </cell>
          <cell r="I1492">
            <v>37607.879999999997</v>
          </cell>
          <cell r="J1492" t="str">
            <v xml:space="preserve">              123651121                 2847                    33903600</v>
          </cell>
          <cell r="K1492" t="str">
            <v>03/10/2011</v>
          </cell>
          <cell r="L1492">
            <v>59</v>
          </cell>
          <cell r="M1492">
            <v>12400</v>
          </cell>
          <cell r="N1492">
            <v>57273</v>
          </cell>
          <cell r="O1492">
            <v>32540</v>
          </cell>
          <cell r="P1492">
            <v>16</v>
          </cell>
          <cell r="Q1492">
            <v>2</v>
          </cell>
          <cell r="U1492">
            <v>0</v>
          </cell>
          <cell r="V1492">
            <v>6300</v>
          </cell>
          <cell r="W1492">
            <v>180</v>
          </cell>
          <cell r="X1492">
            <v>5040</v>
          </cell>
          <cell r="Y1492">
            <v>114260</v>
          </cell>
          <cell r="Z1492">
            <v>6623.29</v>
          </cell>
          <cell r="AA1492">
            <v>4716.71</v>
          </cell>
          <cell r="AB1492">
            <v>208.93266666666665</v>
          </cell>
          <cell r="AC1492">
            <v>6300</v>
          </cell>
          <cell r="AD1492">
            <v>6243.83</v>
          </cell>
          <cell r="AE1492">
            <v>56.170000000000073</v>
          </cell>
          <cell r="AN1492" t="str">
            <v xml:space="preserve">Contrato emergencial nº </v>
          </cell>
          <cell r="AO1492" t="str">
            <v>G</v>
          </cell>
        </row>
        <row r="1493">
          <cell r="D1493" t="str">
            <v>2594/11</v>
          </cell>
          <cell r="E1493" t="str">
            <v>03/10/2011</v>
          </cell>
          <cell r="F1493">
            <v>40998</v>
          </cell>
          <cell r="G1493">
            <v>40877</v>
          </cell>
          <cell r="H1493" t="str">
            <v>2011-0.230.442-1</v>
          </cell>
          <cell r="I1493">
            <v>37607.879999999997</v>
          </cell>
          <cell r="J1493" t="str">
            <v xml:space="preserve">              123611122                  2848                    33903600</v>
          </cell>
          <cell r="K1493" t="str">
            <v>03/10/2011</v>
          </cell>
          <cell r="L1493">
            <v>59</v>
          </cell>
          <cell r="M1493">
            <v>12400</v>
          </cell>
          <cell r="N1493">
            <v>57278</v>
          </cell>
          <cell r="O1493">
            <v>32543</v>
          </cell>
          <cell r="P1493">
            <v>16</v>
          </cell>
          <cell r="Q1493">
            <v>3</v>
          </cell>
          <cell r="U1493">
            <v>0</v>
          </cell>
          <cell r="V1493">
            <v>6300</v>
          </cell>
          <cell r="W1493">
            <v>180</v>
          </cell>
          <cell r="X1493">
            <v>5040</v>
          </cell>
          <cell r="Y1493">
            <v>111631</v>
          </cell>
          <cell r="Z1493">
            <v>7389.7</v>
          </cell>
          <cell r="AA1493">
            <v>3950.3</v>
          </cell>
          <cell r="AB1493">
            <v>208.93266666666665</v>
          </cell>
          <cell r="AC1493">
            <v>6300</v>
          </cell>
          <cell r="AD1493">
            <v>5386.5800000000008</v>
          </cell>
          <cell r="AE1493">
            <v>913.41999999999916</v>
          </cell>
          <cell r="AN1493" t="str">
            <v xml:space="preserve">Contrato emergencial nº </v>
          </cell>
          <cell r="AO1493" t="str">
            <v>PJ</v>
          </cell>
        </row>
        <row r="1494">
          <cell r="D1494" t="str">
            <v>2595/11</v>
          </cell>
          <cell r="E1494" t="str">
            <v>03/10/2011</v>
          </cell>
          <cell r="F1494">
            <v>40998</v>
          </cell>
          <cell r="G1494">
            <v>40877</v>
          </cell>
          <cell r="H1494" t="str">
            <v>2011-0.230.443-0</v>
          </cell>
          <cell r="I1494">
            <v>30150.54</v>
          </cell>
          <cell r="J1494" t="str">
            <v xml:space="preserve">              123651121                 2847                    33903600</v>
          </cell>
          <cell r="K1494" t="str">
            <v>03/10/2011</v>
          </cell>
          <cell r="L1494">
            <v>59</v>
          </cell>
          <cell r="M1494">
            <v>9900</v>
          </cell>
          <cell r="N1494">
            <v>57273</v>
          </cell>
          <cell r="O1494">
            <v>32544</v>
          </cell>
          <cell r="P1494">
            <v>16</v>
          </cell>
          <cell r="Q1494">
            <v>2</v>
          </cell>
          <cell r="U1494">
            <v>0</v>
          </cell>
          <cell r="V1494">
            <v>6100</v>
          </cell>
          <cell r="W1494">
            <v>180</v>
          </cell>
          <cell r="X1494">
            <v>4880</v>
          </cell>
          <cell r="Y1494">
            <v>111033</v>
          </cell>
          <cell r="Z1494">
            <v>4345.46</v>
          </cell>
          <cell r="AA1494">
            <v>6634.54</v>
          </cell>
          <cell r="AB1494">
            <v>167.50300000000001</v>
          </cell>
          <cell r="AC1494">
            <v>5100</v>
          </cell>
          <cell r="AD1494">
            <v>6027.9</v>
          </cell>
          <cell r="AE1494">
            <v>-927.89999999999964</v>
          </cell>
          <cell r="AN1494" t="str">
            <v xml:space="preserve">Contrato emergencial nº </v>
          </cell>
          <cell r="AO1494" t="str">
            <v xml:space="preserve">SA </v>
          </cell>
        </row>
        <row r="1495">
          <cell r="D1495" t="str">
            <v>2599/11</v>
          </cell>
          <cell r="E1495" t="str">
            <v>03/10/2011</v>
          </cell>
          <cell r="F1495">
            <v>40998</v>
          </cell>
          <cell r="G1495">
            <v>40877</v>
          </cell>
          <cell r="H1495" t="str">
            <v>2011-0.230.450-2</v>
          </cell>
          <cell r="I1495">
            <v>44324.52</v>
          </cell>
          <cell r="J1495" t="str">
            <v xml:space="preserve">              123611122                  2848                    33903600</v>
          </cell>
          <cell r="K1495" t="str">
            <v>03/10/2011</v>
          </cell>
          <cell r="L1495">
            <v>59</v>
          </cell>
          <cell r="M1495">
            <v>14600</v>
          </cell>
          <cell r="N1495">
            <v>57278</v>
          </cell>
          <cell r="O1495">
            <v>32545</v>
          </cell>
          <cell r="P1495">
            <v>16</v>
          </cell>
          <cell r="Q1495">
            <v>3</v>
          </cell>
          <cell r="U1495">
            <v>0</v>
          </cell>
          <cell r="V1495">
            <v>7400</v>
          </cell>
          <cell r="W1495">
            <v>180</v>
          </cell>
          <cell r="X1495">
            <v>5920</v>
          </cell>
          <cell r="Y1495">
            <v>110384</v>
          </cell>
          <cell r="Z1495">
            <v>8459.7306666666664</v>
          </cell>
          <cell r="AA1495">
            <v>4860.2693333333336</v>
          </cell>
          <cell r="AB1495">
            <v>246.2473333333333</v>
          </cell>
          <cell r="AC1495">
            <v>7400</v>
          </cell>
          <cell r="AD1495">
            <v>6592.8600000000006</v>
          </cell>
          <cell r="AE1495">
            <v>807.13999999999942</v>
          </cell>
          <cell r="AN1495" t="str">
            <v xml:space="preserve">Contrato emergencial nº </v>
          </cell>
          <cell r="AO1495" t="str">
            <v>CS</v>
          </cell>
        </row>
        <row r="1496">
          <cell r="D1496" t="str">
            <v>2602/11</v>
          </cell>
          <cell r="E1496" t="str">
            <v>03/10/2011</v>
          </cell>
          <cell r="F1496">
            <v>40998</v>
          </cell>
          <cell r="G1496">
            <v>40877</v>
          </cell>
          <cell r="H1496" t="str">
            <v>2011-0.230.453-7</v>
          </cell>
          <cell r="I1496">
            <v>26039.46</v>
          </cell>
          <cell r="J1496" t="str">
            <v xml:space="preserve">              123611122                  2848                    33903600</v>
          </cell>
          <cell r="K1496" t="str">
            <v>03/10/2011</v>
          </cell>
          <cell r="L1496">
            <v>59</v>
          </cell>
          <cell r="M1496">
            <v>8600</v>
          </cell>
          <cell r="N1496">
            <v>57278</v>
          </cell>
          <cell r="O1496">
            <v>32547</v>
          </cell>
          <cell r="P1496">
            <v>16</v>
          </cell>
          <cell r="Q1496">
            <v>3</v>
          </cell>
          <cell r="U1496">
            <v>0</v>
          </cell>
          <cell r="V1496">
            <v>5200</v>
          </cell>
          <cell r="W1496">
            <v>180</v>
          </cell>
          <cell r="X1496">
            <v>4160</v>
          </cell>
          <cell r="Y1496">
            <v>110385</v>
          </cell>
          <cell r="Z1496">
            <v>3791.4759999999997</v>
          </cell>
          <cell r="AA1496">
            <v>5568.5240000000003</v>
          </cell>
          <cell r="AB1496">
            <v>144.66366666666667</v>
          </cell>
          <cell r="AC1496">
            <v>4400</v>
          </cell>
          <cell r="AD1496">
            <v>5171.9899999999989</v>
          </cell>
          <cell r="AE1496">
            <v>-771.98999999999887</v>
          </cell>
          <cell r="AN1496" t="str">
            <v xml:space="preserve">Contrato emergencial nº </v>
          </cell>
          <cell r="AO1496" t="str">
            <v>CS</v>
          </cell>
        </row>
        <row r="1497">
          <cell r="D1497" t="str">
            <v>2603/11</v>
          </cell>
          <cell r="E1497" t="str">
            <v>03/10/2011</v>
          </cell>
          <cell r="F1497">
            <v>40998</v>
          </cell>
          <cell r="G1497">
            <v>40877</v>
          </cell>
          <cell r="H1497" t="str">
            <v>2011-0.230.454-5</v>
          </cell>
          <cell r="I1497">
            <v>40877.160000000003</v>
          </cell>
          <cell r="J1497" t="str">
            <v xml:space="preserve">              123611122                  2848                    33903600</v>
          </cell>
          <cell r="K1497" t="str">
            <v>03/10/2011</v>
          </cell>
          <cell r="L1497">
            <v>59</v>
          </cell>
          <cell r="M1497">
            <v>13400</v>
          </cell>
          <cell r="N1497">
            <v>57278</v>
          </cell>
          <cell r="O1497">
            <v>32548</v>
          </cell>
          <cell r="P1497">
            <v>16</v>
          </cell>
          <cell r="Q1497">
            <v>3</v>
          </cell>
          <cell r="U1497">
            <v>0</v>
          </cell>
          <cell r="V1497">
            <v>6900</v>
          </cell>
          <cell r="W1497">
            <v>180</v>
          </cell>
          <cell r="X1497">
            <v>5520</v>
          </cell>
          <cell r="Y1497">
            <v>110386</v>
          </cell>
          <cell r="Z1497">
            <v>8499.1606666666667</v>
          </cell>
          <cell r="AA1497">
            <v>3920.8393333333333</v>
          </cell>
          <cell r="AB1497">
            <v>227.09533333333334</v>
          </cell>
          <cell r="AC1497">
            <v>6900</v>
          </cell>
          <cell r="AD1497">
            <v>6312.6100000000006</v>
          </cell>
          <cell r="AE1497">
            <v>587.38999999999942</v>
          </cell>
          <cell r="AN1497" t="str">
            <v xml:space="preserve">Contrato emergencial nº </v>
          </cell>
          <cell r="AO1497" t="str">
            <v>CS</v>
          </cell>
        </row>
        <row r="1498">
          <cell r="D1498" t="str">
            <v>2605/11</v>
          </cell>
          <cell r="E1498" t="str">
            <v>03/10/2011</v>
          </cell>
          <cell r="F1498">
            <v>40998</v>
          </cell>
          <cell r="G1498">
            <v>40877</v>
          </cell>
          <cell r="H1498" t="str">
            <v>2011-0.230.456-1</v>
          </cell>
          <cell r="I1498">
            <v>38261.760000000002</v>
          </cell>
          <cell r="J1498" t="str">
            <v xml:space="preserve">              123651121                 2847                    33903600</v>
          </cell>
          <cell r="K1498" t="str">
            <v>03/10/2011</v>
          </cell>
          <cell r="L1498">
            <v>59</v>
          </cell>
          <cell r="M1498">
            <v>12600</v>
          </cell>
          <cell r="N1498">
            <v>57273</v>
          </cell>
          <cell r="O1498">
            <v>32550</v>
          </cell>
          <cell r="P1498">
            <v>16</v>
          </cell>
          <cell r="Q1498">
            <v>2</v>
          </cell>
          <cell r="U1498">
            <v>0</v>
          </cell>
          <cell r="V1498">
            <v>6400</v>
          </cell>
          <cell r="W1498">
            <v>180</v>
          </cell>
          <cell r="X1498">
            <v>5120</v>
          </cell>
          <cell r="Y1498">
            <v>111777</v>
          </cell>
          <cell r="Z1498">
            <v>1115.3240000000005</v>
          </cell>
          <cell r="AA1498">
            <v>10404.675999999999</v>
          </cell>
          <cell r="AB1498">
            <v>212.56533333333334</v>
          </cell>
          <cell r="AC1498">
            <v>6400</v>
          </cell>
          <cell r="AD1498">
            <v>4882.942</v>
          </cell>
          <cell r="AE1498">
            <v>1517.058</v>
          </cell>
          <cell r="AN1498" t="str">
            <v xml:space="preserve">Contrato emergencial nº </v>
          </cell>
          <cell r="AO1498" t="str">
            <v>FO</v>
          </cell>
        </row>
        <row r="1499">
          <cell r="D1499" t="str">
            <v>2609/11</v>
          </cell>
          <cell r="E1499" t="str">
            <v>03/10/2011</v>
          </cell>
          <cell r="F1499">
            <v>40998</v>
          </cell>
          <cell r="G1499">
            <v>40877</v>
          </cell>
          <cell r="H1499" t="str">
            <v>2011-0.230.460-0</v>
          </cell>
          <cell r="I1499">
            <v>35646.480000000003</v>
          </cell>
          <cell r="J1499" t="str">
            <v xml:space="preserve">              123651121                 2847                    33903600</v>
          </cell>
          <cell r="K1499" t="str">
            <v>03/10/2011</v>
          </cell>
          <cell r="L1499">
            <v>59</v>
          </cell>
          <cell r="M1499">
            <v>11700</v>
          </cell>
          <cell r="N1499">
            <v>57273</v>
          </cell>
          <cell r="O1499">
            <v>32552</v>
          </cell>
          <cell r="P1499">
            <v>16</v>
          </cell>
          <cell r="Q1499">
            <v>2</v>
          </cell>
          <cell r="U1499">
            <v>0</v>
          </cell>
          <cell r="V1499">
            <v>6000</v>
          </cell>
          <cell r="W1499">
            <v>180</v>
          </cell>
          <cell r="X1499">
            <v>4800</v>
          </cell>
          <cell r="Y1499">
            <v>111042</v>
          </cell>
          <cell r="Z1499">
            <v>6641.06</v>
          </cell>
          <cell r="AA1499">
            <v>4158.9399999999996</v>
          </cell>
          <cell r="AB1499">
            <v>198.03600000000003</v>
          </cell>
          <cell r="AC1499">
            <v>6000</v>
          </cell>
          <cell r="AD1499">
            <v>5464.5</v>
          </cell>
          <cell r="AE1499">
            <v>535.5</v>
          </cell>
          <cell r="AN1499" t="str">
            <v xml:space="preserve">Contrato emergencial nº </v>
          </cell>
          <cell r="AO1499" t="str">
            <v>SA</v>
          </cell>
        </row>
        <row r="1500">
          <cell r="D1500" t="str">
            <v>2612/11</v>
          </cell>
          <cell r="E1500" t="str">
            <v>03/10/2011</v>
          </cell>
          <cell r="F1500">
            <v>40998</v>
          </cell>
          <cell r="G1500">
            <v>40877</v>
          </cell>
          <cell r="H1500" t="str">
            <v>2011-0.230.463-4</v>
          </cell>
          <cell r="I1500">
            <v>31418.52</v>
          </cell>
          <cell r="J1500" t="str">
            <v xml:space="preserve">              123651121                 2847                    33903600</v>
          </cell>
          <cell r="K1500" t="str">
            <v>03/10/2011</v>
          </cell>
          <cell r="L1500">
            <v>59</v>
          </cell>
          <cell r="M1500">
            <v>10300</v>
          </cell>
          <cell r="N1500">
            <v>57273</v>
          </cell>
          <cell r="O1500">
            <v>32555</v>
          </cell>
          <cell r="P1500">
            <v>16</v>
          </cell>
          <cell r="Q1500">
            <v>2</v>
          </cell>
          <cell r="U1500">
            <v>0</v>
          </cell>
          <cell r="V1500">
            <v>5300</v>
          </cell>
          <cell r="W1500">
            <v>180</v>
          </cell>
          <cell r="X1500">
            <v>4240</v>
          </cell>
          <cell r="Y1500">
            <v>111044</v>
          </cell>
          <cell r="Z1500">
            <v>6244.92</v>
          </cell>
          <cell r="AA1500">
            <v>3295.08</v>
          </cell>
          <cell r="AB1500">
            <v>174.54733333333334</v>
          </cell>
          <cell r="AC1500">
            <v>5300</v>
          </cell>
          <cell r="AD1500">
            <v>5300</v>
          </cell>
          <cell r="AE1500">
            <v>0</v>
          </cell>
          <cell r="AN1500" t="str">
            <v xml:space="preserve">Contrato emergencial nº </v>
          </cell>
          <cell r="AO1500" t="str">
            <v>SA</v>
          </cell>
        </row>
        <row r="1501">
          <cell r="D1501" t="str">
            <v>2613/11</v>
          </cell>
          <cell r="E1501" t="str">
            <v>03/10/2011</v>
          </cell>
          <cell r="F1501">
            <v>40998</v>
          </cell>
          <cell r="G1501">
            <v>40877</v>
          </cell>
          <cell r="H1501" t="str">
            <v>2011-0.230.464-2</v>
          </cell>
          <cell r="I1501">
            <v>55112.52</v>
          </cell>
          <cell r="J1501" t="str">
            <v xml:space="preserve">              123611122                  2848                    33903600</v>
          </cell>
          <cell r="K1501" t="str">
            <v>03/10/2011</v>
          </cell>
          <cell r="L1501">
            <v>59</v>
          </cell>
          <cell r="M1501">
            <v>18100</v>
          </cell>
          <cell r="N1501">
            <v>57278</v>
          </cell>
          <cell r="O1501">
            <v>32556</v>
          </cell>
          <cell r="P1501">
            <v>16</v>
          </cell>
          <cell r="Q1501">
            <v>3</v>
          </cell>
          <cell r="U1501">
            <v>0</v>
          </cell>
          <cell r="V1501">
            <v>9200</v>
          </cell>
          <cell r="W1501">
            <v>180</v>
          </cell>
          <cell r="X1501">
            <v>7360</v>
          </cell>
          <cell r="Y1501">
            <v>110388</v>
          </cell>
          <cell r="Z1501">
            <v>10046.462</v>
          </cell>
          <cell r="AA1501">
            <v>6513.5380000000005</v>
          </cell>
          <cell r="AB1501">
            <v>306.18066666666664</v>
          </cell>
          <cell r="AC1501">
            <v>9200</v>
          </cell>
          <cell r="AD1501">
            <v>8745.76</v>
          </cell>
          <cell r="AE1501">
            <v>454.23999999999978</v>
          </cell>
          <cell r="AN1501" t="str">
            <v xml:space="preserve">Contrato emergencial nº </v>
          </cell>
          <cell r="AO1501" t="str">
            <v>CS</v>
          </cell>
        </row>
        <row r="1502">
          <cell r="D1502" t="str">
            <v>2615/11</v>
          </cell>
          <cell r="E1502" t="str">
            <v>03/10/2011</v>
          </cell>
          <cell r="F1502">
            <v>40998</v>
          </cell>
          <cell r="G1502">
            <v>40877</v>
          </cell>
          <cell r="H1502" t="str">
            <v>2011-0.230.466-9</v>
          </cell>
          <cell r="I1502">
            <v>37607.879999999997</v>
          </cell>
          <cell r="J1502" t="str">
            <v xml:space="preserve">              123651121                 2847                    33903600</v>
          </cell>
          <cell r="K1502" t="str">
            <v>03/10/2011</v>
          </cell>
          <cell r="L1502">
            <v>59</v>
          </cell>
          <cell r="M1502">
            <v>12400</v>
          </cell>
          <cell r="N1502">
            <v>57273</v>
          </cell>
          <cell r="O1502">
            <v>32559</v>
          </cell>
          <cell r="P1502">
            <v>16</v>
          </cell>
          <cell r="Q1502">
            <v>2</v>
          </cell>
          <cell r="U1502">
            <v>0</v>
          </cell>
          <cell r="V1502">
            <v>6300</v>
          </cell>
          <cell r="W1502">
            <v>180</v>
          </cell>
          <cell r="X1502">
            <v>5040</v>
          </cell>
          <cell r="Y1502">
            <v>111260</v>
          </cell>
          <cell r="Z1502">
            <v>7211.04</v>
          </cell>
          <cell r="AA1502">
            <v>4128.96</v>
          </cell>
          <cell r="AB1502">
            <v>208.93266666666665</v>
          </cell>
          <cell r="AC1502">
            <v>6300</v>
          </cell>
          <cell r="AD1502">
            <v>4790.32</v>
          </cell>
          <cell r="AE1502">
            <v>1509.6800000000003</v>
          </cell>
          <cell r="AN1502" t="str">
            <v xml:space="preserve">Contrato emergencial nº </v>
          </cell>
          <cell r="AO1502" t="str">
            <v>IQ</v>
          </cell>
        </row>
        <row r="1503">
          <cell r="D1503" t="str">
            <v>2618/11</v>
          </cell>
          <cell r="E1503" t="str">
            <v>03/10/2011</v>
          </cell>
          <cell r="F1503">
            <v>40998</v>
          </cell>
          <cell r="G1503">
            <v>40877</v>
          </cell>
          <cell r="H1503" t="str">
            <v>2011-0.230.469-3</v>
          </cell>
          <cell r="I1503">
            <v>45186.36</v>
          </cell>
          <cell r="J1503" t="str">
            <v xml:space="preserve">              123651121                 2847                    33903600</v>
          </cell>
          <cell r="K1503" t="str">
            <v>03/10/2011</v>
          </cell>
          <cell r="L1503">
            <v>59</v>
          </cell>
          <cell r="M1503">
            <v>14900</v>
          </cell>
          <cell r="N1503">
            <v>57273</v>
          </cell>
          <cell r="O1503">
            <v>32561</v>
          </cell>
          <cell r="P1503">
            <v>16</v>
          </cell>
          <cell r="Q1503">
            <v>2</v>
          </cell>
          <cell r="U1503">
            <v>0</v>
          </cell>
          <cell r="V1503">
            <v>7600</v>
          </cell>
          <cell r="W1503">
            <v>180</v>
          </cell>
          <cell r="X1503">
            <v>6080</v>
          </cell>
          <cell r="Y1503">
            <v>110393</v>
          </cell>
          <cell r="Z1503">
            <v>8032.6239999999998</v>
          </cell>
          <cell r="AA1503">
            <v>5647.3760000000002</v>
          </cell>
          <cell r="AB1503">
            <v>251.03533333333334</v>
          </cell>
          <cell r="AC1503">
            <v>7600</v>
          </cell>
          <cell r="AD1503">
            <v>7400.38</v>
          </cell>
          <cell r="AE1503">
            <v>199.61999999999989</v>
          </cell>
          <cell r="AN1503" t="str">
            <v xml:space="preserve">Contrato emergencial nº </v>
          </cell>
          <cell r="AO1503" t="str">
            <v>CS</v>
          </cell>
        </row>
        <row r="1504">
          <cell r="D1504" t="str">
            <v>2620/11</v>
          </cell>
          <cell r="E1504" t="str">
            <v>03/10/2011</v>
          </cell>
          <cell r="F1504">
            <v>40998</v>
          </cell>
          <cell r="G1504">
            <v>40877</v>
          </cell>
          <cell r="H1504" t="str">
            <v>2011-0.230.472-3</v>
          </cell>
          <cell r="I1504">
            <v>44324.52</v>
          </cell>
          <cell r="J1504" t="str">
            <v xml:space="preserve">              123611122                  2848                    33903600</v>
          </cell>
          <cell r="K1504" t="str">
            <v>03/10/2011</v>
          </cell>
          <cell r="L1504">
            <v>59</v>
          </cell>
          <cell r="M1504">
            <v>14600</v>
          </cell>
          <cell r="N1504">
            <v>57278</v>
          </cell>
          <cell r="O1504">
            <v>32563</v>
          </cell>
          <cell r="P1504">
            <v>16</v>
          </cell>
          <cell r="Q1504">
            <v>3</v>
          </cell>
          <cell r="U1504">
            <v>0</v>
          </cell>
          <cell r="V1504">
            <v>7400</v>
          </cell>
          <cell r="W1504">
            <v>180</v>
          </cell>
          <cell r="X1504">
            <v>5920</v>
          </cell>
          <cell r="Y1504">
            <v>110394</v>
          </cell>
          <cell r="Z1504">
            <v>8214.7306666666664</v>
          </cell>
          <cell r="AA1504">
            <v>5105.2693333333336</v>
          </cell>
          <cell r="AB1504">
            <v>246.2473333333333</v>
          </cell>
          <cell r="AC1504">
            <v>7400</v>
          </cell>
          <cell r="AD1504">
            <v>6876.11</v>
          </cell>
          <cell r="AE1504">
            <v>523.89000000000033</v>
          </cell>
          <cell r="AN1504" t="str">
            <v xml:space="preserve">Contrato emergencial nº </v>
          </cell>
          <cell r="AO1504" t="str">
            <v>CS</v>
          </cell>
        </row>
        <row r="1505">
          <cell r="D1505" t="str">
            <v>2621/11</v>
          </cell>
          <cell r="E1505" t="str">
            <v>03/10/2011</v>
          </cell>
          <cell r="F1505">
            <v>40998</v>
          </cell>
          <cell r="G1505">
            <v>40877</v>
          </cell>
          <cell r="H1505" t="str">
            <v>2011-0.230.473-1</v>
          </cell>
          <cell r="I1505">
            <v>41531.040000000001</v>
          </cell>
          <cell r="J1505" t="str">
            <v xml:space="preserve">              123611122                  2848                    33903600</v>
          </cell>
          <cell r="K1505" t="str">
            <v>03/10/2011</v>
          </cell>
          <cell r="L1505">
            <v>59</v>
          </cell>
          <cell r="M1505">
            <v>13700</v>
          </cell>
          <cell r="N1505">
            <v>57278</v>
          </cell>
          <cell r="O1505">
            <v>32567</v>
          </cell>
          <cell r="P1505">
            <v>16</v>
          </cell>
          <cell r="Q1505">
            <v>3</v>
          </cell>
          <cell r="U1505">
            <v>0</v>
          </cell>
          <cell r="V1505">
            <v>7000</v>
          </cell>
          <cell r="W1505">
            <v>180</v>
          </cell>
          <cell r="X1505">
            <v>5600</v>
          </cell>
          <cell r="Y1505">
            <v>111076</v>
          </cell>
          <cell r="Z1505">
            <v>7255.27</v>
          </cell>
          <cell r="AA1505">
            <v>5344.73</v>
          </cell>
          <cell r="AB1505">
            <v>230.72800000000001</v>
          </cell>
          <cell r="AC1505">
            <v>7000</v>
          </cell>
          <cell r="AD1505">
            <v>6712.8400000000011</v>
          </cell>
          <cell r="AE1505">
            <v>287.15999999999894</v>
          </cell>
          <cell r="AN1505" t="str">
            <v xml:space="preserve">Contrato emergencial nº </v>
          </cell>
          <cell r="AO1505" t="str">
            <v>PE</v>
          </cell>
        </row>
        <row r="1506">
          <cell r="D1506" t="str">
            <v>2622/11</v>
          </cell>
          <cell r="E1506" t="str">
            <v>03/10/2011</v>
          </cell>
          <cell r="F1506">
            <v>40998</v>
          </cell>
          <cell r="G1506">
            <v>40877</v>
          </cell>
          <cell r="H1506" t="str">
            <v>2011-0.230.474-0</v>
          </cell>
          <cell r="I1506">
            <v>28377.3</v>
          </cell>
          <cell r="J1506" t="str">
            <v xml:space="preserve">              123611122                  2848                    33903600</v>
          </cell>
          <cell r="K1506" t="str">
            <v>03/10/2011</v>
          </cell>
          <cell r="L1506">
            <v>59</v>
          </cell>
          <cell r="M1506">
            <v>9400</v>
          </cell>
          <cell r="N1506">
            <v>57278</v>
          </cell>
          <cell r="O1506">
            <v>32569</v>
          </cell>
          <cell r="P1506">
            <v>16</v>
          </cell>
          <cell r="Q1506">
            <v>3</v>
          </cell>
          <cell r="U1506">
            <v>0</v>
          </cell>
          <cell r="V1506">
            <v>4800</v>
          </cell>
          <cell r="W1506">
            <v>180</v>
          </cell>
          <cell r="X1506">
            <v>3840</v>
          </cell>
          <cell r="Y1506">
            <v>111970</v>
          </cell>
          <cell r="Z1506">
            <v>4212.4253333333327</v>
          </cell>
          <cell r="AA1506">
            <v>4427.5746666666673</v>
          </cell>
          <cell r="AB1506">
            <v>157.65166666666667</v>
          </cell>
          <cell r="AC1506">
            <v>4800</v>
          </cell>
          <cell r="AD1506">
            <v>4800</v>
          </cell>
          <cell r="AE1506">
            <v>0</v>
          </cell>
          <cell r="AN1506" t="str">
            <v xml:space="preserve">Contrato emergencial nº </v>
          </cell>
          <cell r="AO1506" t="str">
            <v>FO</v>
          </cell>
        </row>
        <row r="1507">
          <cell r="D1507" t="str">
            <v>2623/11</v>
          </cell>
          <cell r="E1507" t="str">
            <v>03/10/2011</v>
          </cell>
          <cell r="F1507">
            <v>40998</v>
          </cell>
          <cell r="G1507">
            <v>40877</v>
          </cell>
          <cell r="H1507" t="str">
            <v>2011-0.230.476-6</v>
          </cell>
          <cell r="I1507">
            <v>37607.879999999997</v>
          </cell>
          <cell r="J1507" t="str">
            <v xml:space="preserve">              123611122                  2848                    33903600</v>
          </cell>
          <cell r="K1507" t="str">
            <v>03/10/2011</v>
          </cell>
          <cell r="L1507">
            <v>59</v>
          </cell>
          <cell r="M1507">
            <v>12400</v>
          </cell>
          <cell r="N1507">
            <v>57278</v>
          </cell>
          <cell r="O1507">
            <v>32572</v>
          </cell>
          <cell r="P1507">
            <v>16</v>
          </cell>
          <cell r="Q1507">
            <v>3</v>
          </cell>
          <cell r="U1507">
            <v>0</v>
          </cell>
          <cell r="V1507">
            <v>6300</v>
          </cell>
          <cell r="W1507">
            <v>180</v>
          </cell>
          <cell r="X1507">
            <v>5040</v>
          </cell>
          <cell r="Y1507">
            <v>111984</v>
          </cell>
          <cell r="Z1507">
            <v>1524.326</v>
          </cell>
          <cell r="AA1507">
            <v>9815.6739999999991</v>
          </cell>
          <cell r="AB1507">
            <v>208.93266666666665</v>
          </cell>
          <cell r="AC1507">
            <v>6300</v>
          </cell>
          <cell r="AD1507">
            <v>5103.46</v>
          </cell>
          <cell r="AE1507">
            <v>1196.54</v>
          </cell>
          <cell r="AN1507" t="str">
            <v xml:space="preserve">Contrato emergencial nº </v>
          </cell>
          <cell r="AO1507" t="str">
            <v>MP</v>
          </cell>
        </row>
        <row r="1508">
          <cell r="D1508" t="str">
            <v>2625/11</v>
          </cell>
          <cell r="E1508" t="str">
            <v>03/10/2011</v>
          </cell>
          <cell r="F1508">
            <v>40998</v>
          </cell>
          <cell r="G1508">
            <v>40877</v>
          </cell>
          <cell r="H1508" t="str">
            <v>2011-0.230.478-2</v>
          </cell>
          <cell r="I1508">
            <v>30556.68</v>
          </cell>
          <cell r="J1508" t="str">
            <v xml:space="preserve">              123651121                 2847                    33903600</v>
          </cell>
          <cell r="K1508" t="str">
            <v>03/10/2011</v>
          </cell>
          <cell r="L1508">
            <v>59</v>
          </cell>
          <cell r="M1508">
            <v>10100</v>
          </cell>
          <cell r="N1508">
            <v>57273</v>
          </cell>
          <cell r="O1508">
            <v>32574</v>
          </cell>
          <cell r="P1508">
            <v>16</v>
          </cell>
          <cell r="Q1508">
            <v>2</v>
          </cell>
          <cell r="U1508">
            <v>0</v>
          </cell>
          <cell r="V1508">
            <v>5100</v>
          </cell>
          <cell r="W1508">
            <v>180</v>
          </cell>
          <cell r="X1508">
            <v>4080</v>
          </cell>
          <cell r="Y1508">
            <v>111046</v>
          </cell>
          <cell r="Z1508">
            <v>5805.85</v>
          </cell>
          <cell r="AA1508">
            <v>3374.1499999999996</v>
          </cell>
          <cell r="AB1508">
            <v>169.75933333333333</v>
          </cell>
          <cell r="AC1508">
            <v>5100</v>
          </cell>
          <cell r="AD1508">
            <v>4526.3549999999996</v>
          </cell>
          <cell r="AE1508">
            <v>573.64500000000044</v>
          </cell>
          <cell r="AN1508" t="str">
            <v xml:space="preserve">Contrato emergencial nº </v>
          </cell>
          <cell r="AO1508" t="str">
            <v xml:space="preserve">SA </v>
          </cell>
        </row>
        <row r="1509">
          <cell r="D1509" t="str">
            <v>2626/11</v>
          </cell>
          <cell r="E1509" t="str">
            <v>03/10/2011</v>
          </cell>
          <cell r="F1509">
            <v>40998</v>
          </cell>
          <cell r="G1509">
            <v>40877</v>
          </cell>
          <cell r="H1509" t="str">
            <v>2011-0.230.479-0</v>
          </cell>
          <cell r="I1509">
            <v>31012.38</v>
          </cell>
          <cell r="J1509" t="str">
            <v xml:space="preserve">              123611122                  2848                    33903600</v>
          </cell>
          <cell r="K1509" t="str">
            <v>03/10/2011</v>
          </cell>
          <cell r="L1509">
            <v>59</v>
          </cell>
          <cell r="M1509">
            <v>10200</v>
          </cell>
          <cell r="N1509">
            <v>57278</v>
          </cell>
          <cell r="O1509">
            <v>32576</v>
          </cell>
          <cell r="P1509">
            <v>16</v>
          </cell>
          <cell r="Q1509">
            <v>3</v>
          </cell>
          <cell r="U1509">
            <v>0</v>
          </cell>
          <cell r="V1509">
            <v>5200</v>
          </cell>
          <cell r="W1509">
            <v>180</v>
          </cell>
          <cell r="X1509">
            <v>4160</v>
          </cell>
          <cell r="Y1509">
            <v>110396</v>
          </cell>
          <cell r="Z1509">
            <v>5794.0946666666659</v>
          </cell>
          <cell r="AA1509">
            <v>3565.9053333333341</v>
          </cell>
          <cell r="AB1509">
            <v>172.291</v>
          </cell>
          <cell r="AC1509">
            <v>5200</v>
          </cell>
          <cell r="AD1509">
            <v>4736.72</v>
          </cell>
          <cell r="AE1509">
            <v>463.27999999999975</v>
          </cell>
          <cell r="AN1509" t="str">
            <v xml:space="preserve">Contrato emergencial nº </v>
          </cell>
          <cell r="AO1509" t="str">
            <v>CS</v>
          </cell>
        </row>
        <row r="1510">
          <cell r="D1510" t="str">
            <v>2627/11</v>
          </cell>
          <cell r="E1510" t="str">
            <v>03/10/2011</v>
          </cell>
          <cell r="F1510">
            <v>40998</v>
          </cell>
          <cell r="G1510">
            <v>40877</v>
          </cell>
          <cell r="H1510" t="str">
            <v>2011-0.230.480-4</v>
          </cell>
          <cell r="I1510">
            <v>22185.9</v>
          </cell>
          <cell r="J1510" t="str">
            <v xml:space="preserve">              123611122                  2848                    33903600</v>
          </cell>
          <cell r="K1510" t="str">
            <v>03/10/2011</v>
          </cell>
          <cell r="L1510">
            <v>59</v>
          </cell>
          <cell r="M1510">
            <v>7300</v>
          </cell>
          <cell r="N1510">
            <v>57278</v>
          </cell>
          <cell r="O1510">
            <v>32578</v>
          </cell>
          <cell r="P1510">
            <v>16</v>
          </cell>
          <cell r="Q1510">
            <v>3</v>
          </cell>
          <cell r="U1510">
            <v>0</v>
          </cell>
          <cell r="V1510">
            <v>4500</v>
          </cell>
          <cell r="W1510">
            <v>180</v>
          </cell>
          <cell r="X1510">
            <v>3600</v>
          </cell>
          <cell r="Y1510">
            <v>114270</v>
          </cell>
          <cell r="Z1510">
            <v>3190.4</v>
          </cell>
          <cell r="AA1510">
            <v>4909.6000000000004</v>
          </cell>
          <cell r="AB1510">
            <v>123.25500000000001</v>
          </cell>
          <cell r="AC1510">
            <v>3700</v>
          </cell>
          <cell r="AD1510">
            <v>4404.21</v>
          </cell>
          <cell r="AE1510">
            <v>-704.21</v>
          </cell>
          <cell r="AN1510" t="str">
            <v xml:space="preserve">Contrato emergencial nº </v>
          </cell>
          <cell r="AO1510" t="str">
            <v>G</v>
          </cell>
        </row>
        <row r="1511">
          <cell r="D1511" t="str">
            <v>2628/11</v>
          </cell>
          <cell r="E1511" t="str">
            <v>03/10/2011</v>
          </cell>
          <cell r="F1511">
            <v>40998</v>
          </cell>
          <cell r="G1511">
            <v>40877</v>
          </cell>
          <cell r="H1511" t="str">
            <v>2011-0.230.481-2</v>
          </cell>
          <cell r="I1511">
            <v>45632.28</v>
          </cell>
          <cell r="J1511" t="str">
            <v xml:space="preserve">              123651121                 2847                    33903600</v>
          </cell>
          <cell r="K1511" t="str">
            <v>03/10/2011</v>
          </cell>
          <cell r="L1511">
            <v>59</v>
          </cell>
          <cell r="M1511">
            <v>15000</v>
          </cell>
          <cell r="N1511">
            <v>57273</v>
          </cell>
          <cell r="O1511">
            <v>32580</v>
          </cell>
          <cell r="P1511">
            <v>16</v>
          </cell>
          <cell r="Q1511">
            <v>2</v>
          </cell>
          <cell r="U1511">
            <v>0</v>
          </cell>
          <cell r="V1511">
            <v>7700</v>
          </cell>
          <cell r="W1511">
            <v>180</v>
          </cell>
          <cell r="X1511">
            <v>6160</v>
          </cell>
          <cell r="Y1511">
            <v>111633</v>
          </cell>
          <cell r="Z1511">
            <v>8448.2999999999993</v>
          </cell>
          <cell r="AA1511">
            <v>5411.7000000000007</v>
          </cell>
          <cell r="AB1511">
            <v>253.51266666666666</v>
          </cell>
          <cell r="AC1511">
            <v>7700</v>
          </cell>
          <cell r="AD1511">
            <v>7057.58</v>
          </cell>
          <cell r="AE1511">
            <v>642.42000000000007</v>
          </cell>
          <cell r="AN1511" t="str">
            <v xml:space="preserve">Contrato emergencial nº </v>
          </cell>
          <cell r="AO1511" t="str">
            <v>PJ</v>
          </cell>
        </row>
        <row r="1512">
          <cell r="D1512" t="str">
            <v>2629/11</v>
          </cell>
          <cell r="E1512" t="str">
            <v>03/10/2011</v>
          </cell>
          <cell r="F1512">
            <v>40998</v>
          </cell>
          <cell r="G1512">
            <v>40877</v>
          </cell>
          <cell r="H1512" t="str">
            <v>2011-0.230.482-0</v>
          </cell>
          <cell r="I1512">
            <v>39569.46</v>
          </cell>
          <cell r="J1512" t="str">
            <v xml:space="preserve">              123651121                 2847                    33903600</v>
          </cell>
          <cell r="K1512" t="str">
            <v>03/10/2011</v>
          </cell>
          <cell r="L1512">
            <v>59</v>
          </cell>
          <cell r="M1512">
            <v>13000</v>
          </cell>
          <cell r="N1512">
            <v>57273</v>
          </cell>
          <cell r="O1512">
            <v>32582</v>
          </cell>
          <cell r="P1512">
            <v>16</v>
          </cell>
          <cell r="Q1512">
            <v>2</v>
          </cell>
          <cell r="U1512">
            <v>0</v>
          </cell>
          <cell r="V1512">
            <v>6600</v>
          </cell>
          <cell r="W1512">
            <v>180</v>
          </cell>
          <cell r="X1512">
            <v>5280</v>
          </cell>
          <cell r="Y1512">
            <v>114273</v>
          </cell>
          <cell r="Z1512">
            <v>7951.58</v>
          </cell>
          <cell r="AA1512">
            <v>3928.42</v>
          </cell>
          <cell r="AB1512">
            <v>219.83033333333333</v>
          </cell>
          <cell r="AC1512">
            <v>6600</v>
          </cell>
          <cell r="AD1512">
            <v>5306.67</v>
          </cell>
          <cell r="AE1512">
            <v>1293.33</v>
          </cell>
          <cell r="AN1512" t="str">
            <v xml:space="preserve">Contrato emergencial nº </v>
          </cell>
          <cell r="AO1512" t="str">
            <v>G</v>
          </cell>
        </row>
        <row r="1513">
          <cell r="D1513" t="str">
            <v>2630/11</v>
          </cell>
          <cell r="E1513" t="str">
            <v>03/10/2011</v>
          </cell>
          <cell r="F1513">
            <v>40998</v>
          </cell>
          <cell r="G1513">
            <v>40877</v>
          </cell>
          <cell r="H1513" t="str">
            <v>2011-0.230.483-9</v>
          </cell>
          <cell r="I1513">
            <v>31012.38</v>
          </cell>
          <cell r="J1513" t="str">
            <v xml:space="preserve">              123611122                  2848                    33903600</v>
          </cell>
          <cell r="K1513" t="str">
            <v>03/10/2011</v>
          </cell>
          <cell r="L1513">
            <v>59</v>
          </cell>
          <cell r="M1513">
            <v>10200</v>
          </cell>
          <cell r="N1513">
            <v>57278</v>
          </cell>
          <cell r="O1513">
            <v>32585</v>
          </cell>
          <cell r="P1513">
            <v>16</v>
          </cell>
          <cell r="Q1513">
            <v>3</v>
          </cell>
          <cell r="U1513">
            <v>0</v>
          </cell>
          <cell r="V1513">
            <v>6100</v>
          </cell>
          <cell r="W1513">
            <v>180</v>
          </cell>
          <cell r="X1513">
            <v>4880</v>
          </cell>
          <cell r="Y1513">
            <v>110877</v>
          </cell>
          <cell r="Z1513">
            <v>10200</v>
          </cell>
          <cell r="AA1513">
            <v>780</v>
          </cell>
          <cell r="AB1513">
            <v>172.291</v>
          </cell>
          <cell r="AC1513">
            <v>5200</v>
          </cell>
          <cell r="AD1513">
            <v>6016.4</v>
          </cell>
          <cell r="AE1513">
            <v>-816.39999999999964</v>
          </cell>
          <cell r="AN1513" t="str">
            <v xml:space="preserve">Contrato emergencial nº </v>
          </cell>
          <cell r="AO1513" t="str">
            <v>CL</v>
          </cell>
        </row>
        <row r="1514">
          <cell r="D1514" t="str">
            <v>2631/11</v>
          </cell>
          <cell r="E1514" t="str">
            <v>03/10/2011</v>
          </cell>
          <cell r="F1514">
            <v>40998</v>
          </cell>
          <cell r="G1514">
            <v>40877</v>
          </cell>
          <cell r="H1514" t="str">
            <v>2011-0.230.484-7</v>
          </cell>
          <cell r="I1514">
            <v>25633.26</v>
          </cell>
          <cell r="J1514" t="str">
            <v xml:space="preserve">              123611122                  2848                    33903600</v>
          </cell>
          <cell r="K1514" t="str">
            <v>03/10/2011</v>
          </cell>
          <cell r="L1514">
            <v>59</v>
          </cell>
          <cell r="M1514">
            <v>8500</v>
          </cell>
          <cell r="N1514">
            <v>57278</v>
          </cell>
          <cell r="O1514">
            <v>32587</v>
          </cell>
          <cell r="P1514">
            <v>16</v>
          </cell>
          <cell r="Q1514">
            <v>3</v>
          </cell>
          <cell r="U1514">
            <v>0</v>
          </cell>
          <cell r="V1514">
            <v>4300</v>
          </cell>
          <cell r="W1514">
            <v>180</v>
          </cell>
          <cell r="X1514">
            <v>3440</v>
          </cell>
          <cell r="Y1514">
            <v>111639</v>
          </cell>
          <cell r="Z1514">
            <v>4719.1000000000004</v>
          </cell>
          <cell r="AA1514">
            <v>3020.8999999999996</v>
          </cell>
          <cell r="AB1514">
            <v>142.40699999999998</v>
          </cell>
          <cell r="AC1514">
            <v>4300</v>
          </cell>
          <cell r="AD1514">
            <v>4092.2600000000011</v>
          </cell>
          <cell r="AE1514">
            <v>207.73999999999887</v>
          </cell>
          <cell r="AN1514" t="str">
            <v xml:space="preserve">Contrato emergencial nº </v>
          </cell>
          <cell r="AO1514" t="str">
            <v>PJ</v>
          </cell>
        </row>
        <row r="1515">
          <cell r="D1515" t="str">
            <v>2632/11</v>
          </cell>
          <cell r="E1515" t="str">
            <v>03/10/2011</v>
          </cell>
          <cell r="F1515">
            <v>40998</v>
          </cell>
          <cell r="G1515">
            <v>40877</v>
          </cell>
          <cell r="H1515" t="str">
            <v>2011-0.230.485-5</v>
          </cell>
          <cell r="I1515">
            <v>42184.92</v>
          </cell>
          <cell r="J1515" t="str">
            <v xml:space="preserve">             123671125                  2863                   33903600</v>
          </cell>
          <cell r="K1515" t="str">
            <v>03/10/2011</v>
          </cell>
          <cell r="L1515">
            <v>59</v>
          </cell>
          <cell r="M1515">
            <v>13900</v>
          </cell>
          <cell r="N1515">
            <v>57287</v>
          </cell>
          <cell r="O1515">
            <v>32590</v>
          </cell>
          <cell r="P1515">
            <v>16</v>
          </cell>
          <cell r="Q1515">
            <v>4</v>
          </cell>
          <cell r="U1515">
            <v>0</v>
          </cell>
          <cell r="V1515">
            <v>7800</v>
          </cell>
          <cell r="W1515">
            <v>180</v>
          </cell>
          <cell r="X1515">
            <v>6240</v>
          </cell>
          <cell r="Y1515">
            <v>110490</v>
          </cell>
          <cell r="Z1515">
            <v>6596.95</v>
          </cell>
          <cell r="AA1515">
            <v>7443.05</v>
          </cell>
          <cell r="AB1515">
            <v>234.36066666666665</v>
          </cell>
          <cell r="AC1515">
            <v>7100</v>
          </cell>
          <cell r="AD1515">
            <v>7795.6350000000002</v>
          </cell>
          <cell r="AE1515">
            <v>-695.63500000000022</v>
          </cell>
          <cell r="AN1515" t="str">
            <v xml:space="preserve">Contrato emergencial nº </v>
          </cell>
          <cell r="AO1515" t="str">
            <v>SM</v>
          </cell>
        </row>
        <row r="1516">
          <cell r="D1516" t="str">
            <v>2524/11</v>
          </cell>
          <cell r="E1516" t="str">
            <v>03/10/2011</v>
          </cell>
          <cell r="F1516">
            <v>40998</v>
          </cell>
          <cell r="G1516">
            <v>40877</v>
          </cell>
          <cell r="H1516" t="str">
            <v>2011-0.230.035-3</v>
          </cell>
          <cell r="I1516">
            <v>44978.400000000001</v>
          </cell>
          <cell r="J1516" t="str">
            <v xml:space="preserve">              123651121                 2847                    33903600</v>
          </cell>
          <cell r="K1516" t="str">
            <v>03/10/2011</v>
          </cell>
          <cell r="L1516">
            <v>59</v>
          </cell>
          <cell r="M1516">
            <v>14800</v>
          </cell>
          <cell r="N1516">
            <v>57273</v>
          </cell>
          <cell r="O1516">
            <v>33149</v>
          </cell>
          <cell r="P1516">
            <v>16</v>
          </cell>
          <cell r="Q1516">
            <v>2</v>
          </cell>
          <cell r="T1516">
            <v>355.92</v>
          </cell>
          <cell r="U1516">
            <v>0</v>
          </cell>
          <cell r="V1516">
            <v>7500</v>
          </cell>
          <cell r="W1516">
            <v>180</v>
          </cell>
          <cell r="X1516">
            <v>6000</v>
          </cell>
          <cell r="Y1516">
            <v>110881</v>
          </cell>
          <cell r="Z1516">
            <v>14800</v>
          </cell>
          <cell r="AA1516">
            <v>-1300</v>
          </cell>
          <cell r="AB1516">
            <v>249.88</v>
          </cell>
          <cell r="AC1516">
            <v>7500</v>
          </cell>
          <cell r="AD1516">
            <v>6700.67</v>
          </cell>
          <cell r="AE1516">
            <v>799.32999999999993</v>
          </cell>
          <cell r="AN1516" t="str">
            <v xml:space="preserve">Contrato emergencial nº </v>
          </cell>
          <cell r="AO1516" t="str">
            <v>CL</v>
          </cell>
        </row>
        <row r="1517">
          <cell r="D1517" t="str">
            <v>2526/11</v>
          </cell>
          <cell r="E1517" t="str">
            <v>03/10/2011</v>
          </cell>
          <cell r="F1517">
            <v>40998</v>
          </cell>
          <cell r="G1517">
            <v>40877</v>
          </cell>
          <cell r="H1517" t="str">
            <v>2011-0.230.048-5</v>
          </cell>
          <cell r="I1517">
            <v>37607.879999999997</v>
          </cell>
          <cell r="J1517" t="str">
            <v xml:space="preserve">              123651121                 2847                    33903600</v>
          </cell>
          <cell r="K1517" t="str">
            <v>03/10/2011</v>
          </cell>
          <cell r="L1517">
            <v>59</v>
          </cell>
          <cell r="M1517">
            <v>12400</v>
          </cell>
          <cell r="N1517">
            <v>57273</v>
          </cell>
          <cell r="O1517">
            <v>33150</v>
          </cell>
          <cell r="P1517">
            <v>16</v>
          </cell>
          <cell r="Q1517">
            <v>2</v>
          </cell>
          <cell r="U1517">
            <v>0</v>
          </cell>
          <cell r="V1517">
            <v>6300</v>
          </cell>
          <cell r="W1517">
            <v>180</v>
          </cell>
          <cell r="X1517">
            <v>5040</v>
          </cell>
          <cell r="Y1517">
            <v>110397</v>
          </cell>
          <cell r="Z1517">
            <v>6968.5353333333333</v>
          </cell>
          <cell r="AA1517">
            <v>4371.4646666666667</v>
          </cell>
          <cell r="AB1517">
            <v>208.93266666666665</v>
          </cell>
          <cell r="AC1517">
            <v>6300</v>
          </cell>
          <cell r="AD1517">
            <v>5833.4800000000005</v>
          </cell>
          <cell r="AE1517">
            <v>466.51999999999953</v>
          </cell>
          <cell r="AN1517" t="str">
            <v xml:space="preserve">Contrato emergencial nº </v>
          </cell>
          <cell r="AO1517" t="str">
            <v>CS</v>
          </cell>
        </row>
        <row r="1518">
          <cell r="D1518" t="str">
            <v>2528/11</v>
          </cell>
          <cell r="E1518" t="str">
            <v>03/10/2011</v>
          </cell>
          <cell r="F1518">
            <v>40998</v>
          </cell>
          <cell r="G1518">
            <v>40877</v>
          </cell>
          <cell r="H1518" t="str">
            <v>2011-0.230.125-2</v>
          </cell>
          <cell r="I1518">
            <v>44324.52</v>
          </cell>
          <cell r="J1518" t="str">
            <v xml:space="preserve">              123651121                 2847                    33903600</v>
          </cell>
          <cell r="K1518" t="str">
            <v>03/10/2011</v>
          </cell>
          <cell r="L1518">
            <v>59</v>
          </cell>
          <cell r="M1518">
            <v>14600</v>
          </cell>
          <cell r="N1518">
            <v>57273</v>
          </cell>
          <cell r="O1518">
            <v>33155</v>
          </cell>
          <cell r="P1518">
            <v>16</v>
          </cell>
          <cell r="Q1518">
            <v>2</v>
          </cell>
          <cell r="U1518">
            <v>0</v>
          </cell>
          <cell r="V1518">
            <v>7400</v>
          </cell>
          <cell r="W1518">
            <v>180</v>
          </cell>
          <cell r="X1518">
            <v>5920</v>
          </cell>
          <cell r="Y1518">
            <v>110398</v>
          </cell>
          <cell r="Z1518">
            <v>7893.0819999999994</v>
          </cell>
          <cell r="AA1518">
            <v>5426.9180000000006</v>
          </cell>
          <cell r="AB1518">
            <v>246.2473333333333</v>
          </cell>
          <cell r="AC1518">
            <v>7400</v>
          </cell>
          <cell r="AD1518">
            <v>7179.0499999999993</v>
          </cell>
          <cell r="AE1518">
            <v>220.95000000000073</v>
          </cell>
          <cell r="AN1518" t="str">
            <v xml:space="preserve">Contrato emergencial nº </v>
          </cell>
          <cell r="AO1518" t="str">
            <v>CS</v>
          </cell>
        </row>
        <row r="1519">
          <cell r="D1519" t="str">
            <v>2530/11</v>
          </cell>
          <cell r="E1519" t="str">
            <v>03/10/2011</v>
          </cell>
          <cell r="F1519">
            <v>40998</v>
          </cell>
          <cell r="G1519">
            <v>40877</v>
          </cell>
          <cell r="H1519" t="str">
            <v>2011-0.230.133-3</v>
          </cell>
          <cell r="I1519">
            <v>26703.18</v>
          </cell>
          <cell r="J1519" t="str">
            <v xml:space="preserve">              123651121                 2847                    33903600</v>
          </cell>
          <cell r="K1519" t="str">
            <v>03/10/2011</v>
          </cell>
          <cell r="L1519">
            <v>59</v>
          </cell>
          <cell r="M1519">
            <v>8800</v>
          </cell>
          <cell r="N1519">
            <v>57273</v>
          </cell>
          <cell r="O1519">
            <v>33157</v>
          </cell>
          <cell r="P1519">
            <v>16</v>
          </cell>
          <cell r="Q1519">
            <v>2</v>
          </cell>
          <cell r="U1519">
            <v>0</v>
          </cell>
          <cell r="V1519">
            <v>4700</v>
          </cell>
          <cell r="W1519">
            <v>180</v>
          </cell>
          <cell r="X1519">
            <v>3760</v>
          </cell>
          <cell r="Y1519">
            <v>111971</v>
          </cell>
          <cell r="Z1519">
            <v>71.779999999999745</v>
          </cell>
          <cell r="AA1519">
            <v>8388.2200000000012</v>
          </cell>
          <cell r="AB1519">
            <v>148.351</v>
          </cell>
          <cell r="AC1519">
            <v>4500</v>
          </cell>
          <cell r="AD1519">
            <v>4658.2</v>
          </cell>
          <cell r="AE1519">
            <v>-158.19999999999982</v>
          </cell>
          <cell r="AN1519" t="str">
            <v xml:space="preserve">Contrato emergencial nº </v>
          </cell>
          <cell r="AO1519" t="str">
            <v>FO</v>
          </cell>
        </row>
        <row r="1520">
          <cell r="D1520" t="str">
            <v>2531/11</v>
          </cell>
          <cell r="E1520" t="str">
            <v>03/10/2011</v>
          </cell>
          <cell r="F1520">
            <v>40998</v>
          </cell>
          <cell r="G1520">
            <v>40877</v>
          </cell>
          <cell r="H1520" t="str">
            <v>2011-0.230.137-6</v>
          </cell>
          <cell r="I1520">
            <v>26297.040000000001</v>
          </cell>
          <cell r="J1520" t="str">
            <v xml:space="preserve">              123651121                 2847                    33903600</v>
          </cell>
          <cell r="K1520" t="str">
            <v>03/10/2011</v>
          </cell>
          <cell r="L1520">
            <v>59</v>
          </cell>
          <cell r="M1520">
            <v>8700</v>
          </cell>
          <cell r="N1520">
            <v>57273</v>
          </cell>
          <cell r="O1520">
            <v>33160</v>
          </cell>
          <cell r="P1520">
            <v>16</v>
          </cell>
          <cell r="Q1520">
            <v>2</v>
          </cell>
          <cell r="U1520">
            <v>0</v>
          </cell>
          <cell r="V1520">
            <v>4700</v>
          </cell>
          <cell r="W1520">
            <v>180</v>
          </cell>
          <cell r="X1520">
            <v>3760</v>
          </cell>
          <cell r="Y1520">
            <v>111972</v>
          </cell>
          <cell r="Z1520">
            <v>10.957333333333736</v>
          </cell>
          <cell r="AA1520">
            <v>8449.0426666666663</v>
          </cell>
          <cell r="AB1520">
            <v>146.09466666666668</v>
          </cell>
          <cell r="AC1520">
            <v>4400</v>
          </cell>
          <cell r="AD1520">
            <v>4683.3249999999998</v>
          </cell>
          <cell r="AE1520">
            <v>-283.32499999999982</v>
          </cell>
          <cell r="AN1520" t="str">
            <v xml:space="preserve">Contrato emergencial nº </v>
          </cell>
          <cell r="AO1520" t="str">
            <v>FO</v>
          </cell>
        </row>
        <row r="1521">
          <cell r="D1521" t="str">
            <v>2532/11</v>
          </cell>
          <cell r="E1521" t="str">
            <v>03/10/2011</v>
          </cell>
          <cell r="F1521">
            <v>40998</v>
          </cell>
          <cell r="G1521">
            <v>40877</v>
          </cell>
          <cell r="H1521" t="str">
            <v>2011-0.230.141-4</v>
          </cell>
          <cell r="I1521">
            <v>37607.879999999997</v>
          </cell>
          <cell r="J1521" t="str">
            <v xml:space="preserve">              123611122                  2848                    33903600</v>
          </cell>
          <cell r="K1521" t="str">
            <v>03/10/2011</v>
          </cell>
          <cell r="L1521">
            <v>59</v>
          </cell>
          <cell r="M1521">
            <v>12400</v>
          </cell>
          <cell r="N1521">
            <v>57278</v>
          </cell>
          <cell r="O1521">
            <v>33163</v>
          </cell>
          <cell r="P1521">
            <v>16</v>
          </cell>
          <cell r="Q1521">
            <v>3</v>
          </cell>
          <cell r="U1521">
            <v>0</v>
          </cell>
          <cell r="V1521">
            <v>6300</v>
          </cell>
          <cell r="W1521">
            <v>180</v>
          </cell>
          <cell r="X1521">
            <v>5040</v>
          </cell>
          <cell r="Y1521">
            <v>111973</v>
          </cell>
          <cell r="Z1521">
            <v>759.45266666666703</v>
          </cell>
          <cell r="AA1521">
            <v>10580.547333333332</v>
          </cell>
          <cell r="AB1521">
            <v>208.93266666666665</v>
          </cell>
          <cell r="AC1521">
            <v>6300</v>
          </cell>
          <cell r="AD1521">
            <v>5728.6449999999995</v>
          </cell>
          <cell r="AE1521">
            <v>571.35500000000047</v>
          </cell>
          <cell r="AN1521" t="str">
            <v xml:space="preserve">Contrato emergencial nº </v>
          </cell>
          <cell r="AO1521" t="str">
            <v>FO</v>
          </cell>
        </row>
        <row r="1522">
          <cell r="D1522" t="str">
            <v>2533/11</v>
          </cell>
          <cell r="E1522" t="str">
            <v>03/10/2011</v>
          </cell>
          <cell r="F1522">
            <v>40998</v>
          </cell>
          <cell r="G1522">
            <v>40877</v>
          </cell>
          <cell r="H1522" t="str">
            <v>2011-0.230.165-1</v>
          </cell>
          <cell r="I1522">
            <v>37607.879999999997</v>
          </cell>
          <cell r="J1522" t="str">
            <v xml:space="preserve">              123611122                  2848                    33903600</v>
          </cell>
          <cell r="K1522" t="str">
            <v>03/10/2011</v>
          </cell>
          <cell r="L1522">
            <v>59</v>
          </cell>
          <cell r="M1522">
            <v>12400</v>
          </cell>
          <cell r="N1522">
            <v>57278</v>
          </cell>
          <cell r="O1522">
            <v>33165</v>
          </cell>
          <cell r="P1522">
            <v>16</v>
          </cell>
          <cell r="Q1522">
            <v>3</v>
          </cell>
          <cell r="U1522">
            <v>0</v>
          </cell>
          <cell r="V1522">
            <v>6300</v>
          </cell>
          <cell r="W1522">
            <v>180</v>
          </cell>
          <cell r="X1522">
            <v>5040</v>
          </cell>
          <cell r="Y1522">
            <v>111989</v>
          </cell>
          <cell r="Z1522">
            <v>553.53399999999965</v>
          </cell>
          <cell r="AA1522">
            <v>10786.466</v>
          </cell>
          <cell r="AB1522">
            <v>208.93266666666665</v>
          </cell>
          <cell r="AC1522">
            <v>6300</v>
          </cell>
          <cell r="AD1522">
            <v>6046.9400000000005</v>
          </cell>
          <cell r="AE1522">
            <v>253.05999999999949</v>
          </cell>
          <cell r="AN1522" t="str">
            <v xml:space="preserve">Contrato emergencial nº </v>
          </cell>
          <cell r="AO1522" t="str">
            <v>MP</v>
          </cell>
        </row>
        <row r="1523">
          <cell r="D1523" t="str">
            <v>2537/11</v>
          </cell>
          <cell r="E1523" t="str">
            <v>03/10/2011</v>
          </cell>
          <cell r="F1523">
            <v>40998</v>
          </cell>
          <cell r="G1523">
            <v>40877</v>
          </cell>
          <cell r="H1523" t="str">
            <v>2011-0.230.197-0</v>
          </cell>
          <cell r="I1523">
            <v>38261.760000000002</v>
          </cell>
          <cell r="J1523" t="str">
            <v xml:space="preserve">              123651121                 2847                    33903600</v>
          </cell>
          <cell r="K1523" t="str">
            <v>03/10/2011</v>
          </cell>
          <cell r="L1523">
            <v>59</v>
          </cell>
          <cell r="M1523">
            <v>12600</v>
          </cell>
          <cell r="N1523">
            <v>57273</v>
          </cell>
          <cell r="O1523">
            <v>33166</v>
          </cell>
          <cell r="P1523">
            <v>16</v>
          </cell>
          <cell r="Q1523">
            <v>2</v>
          </cell>
          <cell r="U1523">
            <v>0</v>
          </cell>
          <cell r="V1523">
            <v>6400</v>
          </cell>
          <cell r="W1523">
            <v>180</v>
          </cell>
          <cell r="X1523">
            <v>5120</v>
          </cell>
          <cell r="Y1523">
            <v>111642</v>
          </cell>
          <cell r="Z1523">
            <v>6549.8</v>
          </cell>
          <cell r="AA1523">
            <v>4970.2</v>
          </cell>
          <cell r="AB1523">
            <v>212.56533333333334</v>
          </cell>
          <cell r="AC1523">
            <v>6400</v>
          </cell>
          <cell r="AD1523">
            <v>5599.88</v>
          </cell>
          <cell r="AE1523">
            <v>800.11999999999989</v>
          </cell>
          <cell r="AN1523" t="str">
            <v xml:space="preserve">Contrato emergencial nº </v>
          </cell>
          <cell r="AO1523" t="str">
            <v>PJ</v>
          </cell>
        </row>
        <row r="1524">
          <cell r="D1524" t="str">
            <v>2539/11</v>
          </cell>
          <cell r="E1524" t="str">
            <v>03/10/2011</v>
          </cell>
          <cell r="F1524">
            <v>40998</v>
          </cell>
          <cell r="G1524">
            <v>40877</v>
          </cell>
          <cell r="H1524" t="str">
            <v>2011-0.230.207-0</v>
          </cell>
          <cell r="I1524">
            <v>44324.52</v>
          </cell>
          <cell r="J1524" t="str">
            <v xml:space="preserve">              123651121                 2847                    33903600</v>
          </cell>
          <cell r="K1524" t="str">
            <v>03/10/2011</v>
          </cell>
          <cell r="L1524">
            <v>59</v>
          </cell>
          <cell r="M1524">
            <v>14600</v>
          </cell>
          <cell r="N1524">
            <v>918</v>
          </cell>
          <cell r="O1524">
            <v>33167</v>
          </cell>
          <cell r="P1524">
            <v>16</v>
          </cell>
          <cell r="Q1524">
            <v>4</v>
          </cell>
          <cell r="U1524">
            <v>0</v>
          </cell>
          <cell r="V1524">
            <v>7400</v>
          </cell>
          <cell r="W1524">
            <v>180</v>
          </cell>
          <cell r="X1524">
            <v>5920</v>
          </cell>
          <cell r="Y1524">
            <v>110426</v>
          </cell>
          <cell r="Z1524">
            <v>8036.6746666666668</v>
          </cell>
          <cell r="AA1524">
            <v>5283.3253333333332</v>
          </cell>
          <cell r="AB1524">
            <v>246.2473333333333</v>
          </cell>
          <cell r="AC1524">
            <v>7400</v>
          </cell>
          <cell r="AD1524">
            <v>7046.42</v>
          </cell>
          <cell r="AE1524">
            <v>353.57999999999993</v>
          </cell>
          <cell r="AN1524" t="str">
            <v xml:space="preserve">Contrato emergencial nº </v>
          </cell>
          <cell r="AO1524" t="str">
            <v>CS</v>
          </cell>
        </row>
        <row r="1525">
          <cell r="D1525" t="str">
            <v>2540/11</v>
          </cell>
          <cell r="E1525" t="str">
            <v>03/10/2011</v>
          </cell>
          <cell r="F1525">
            <v>40998</v>
          </cell>
          <cell r="G1525">
            <v>40877</v>
          </cell>
          <cell r="H1525" t="str">
            <v>2011-0.230.210-0</v>
          </cell>
          <cell r="I1525">
            <v>20105.580000000002</v>
          </cell>
          <cell r="J1525" t="str">
            <v xml:space="preserve">              123611122                  2848                    33903600</v>
          </cell>
          <cell r="K1525" t="str">
            <v>03/10/2011</v>
          </cell>
          <cell r="L1525">
            <v>59</v>
          </cell>
          <cell r="M1525">
            <v>6600</v>
          </cell>
          <cell r="N1525">
            <v>57278</v>
          </cell>
          <cell r="O1525">
            <v>33169</v>
          </cell>
          <cell r="P1525">
            <v>16</v>
          </cell>
          <cell r="Q1525">
            <v>3</v>
          </cell>
          <cell r="U1525">
            <v>0</v>
          </cell>
          <cell r="V1525">
            <v>3400</v>
          </cell>
          <cell r="W1525">
            <v>180</v>
          </cell>
          <cell r="X1525">
            <v>2720</v>
          </cell>
          <cell r="Y1525">
            <v>110400</v>
          </cell>
          <cell r="Z1525">
            <v>3169.9453333333331</v>
          </cell>
          <cell r="AA1525">
            <v>2950.0546666666669</v>
          </cell>
          <cell r="AB1525">
            <v>111.69766666666668</v>
          </cell>
          <cell r="AC1525">
            <v>3400</v>
          </cell>
          <cell r="AD1525">
            <v>2775.3699999999994</v>
          </cell>
          <cell r="AE1525">
            <v>624.63000000000056</v>
          </cell>
          <cell r="AN1525" t="str">
            <v xml:space="preserve">Contrato emergencial nº </v>
          </cell>
          <cell r="AO1525" t="str">
            <v>CS</v>
          </cell>
        </row>
        <row r="1526">
          <cell r="D1526" t="str">
            <v>2541/11</v>
          </cell>
          <cell r="E1526" t="str">
            <v>03/10/2011</v>
          </cell>
          <cell r="F1526">
            <v>40998</v>
          </cell>
          <cell r="G1526">
            <v>40877</v>
          </cell>
          <cell r="H1526" t="str">
            <v>2011-0.230.212-7</v>
          </cell>
          <cell r="I1526">
            <v>20967.419999999998</v>
          </cell>
          <cell r="J1526" t="str">
            <v xml:space="preserve">              123611122                  2848                    33903600</v>
          </cell>
          <cell r="K1526" t="str">
            <v>03/10/2011</v>
          </cell>
          <cell r="L1526">
            <v>59</v>
          </cell>
          <cell r="M1526">
            <v>6900</v>
          </cell>
          <cell r="N1526">
            <v>57278</v>
          </cell>
          <cell r="O1526">
            <v>33174</v>
          </cell>
          <cell r="P1526">
            <v>16</v>
          </cell>
          <cell r="Q1526">
            <v>3</v>
          </cell>
          <cell r="U1526">
            <v>0</v>
          </cell>
          <cell r="V1526">
            <v>4000</v>
          </cell>
          <cell r="W1526">
            <v>180</v>
          </cell>
          <cell r="X1526">
            <v>3200</v>
          </cell>
          <cell r="Y1526">
            <v>111974</v>
          </cell>
          <cell r="Z1526">
            <v>3243.9453333333331</v>
          </cell>
          <cell r="AA1526">
            <v>3956.0546666666669</v>
          </cell>
          <cell r="AB1526">
            <v>116.48566666666666</v>
          </cell>
          <cell r="AC1526">
            <v>3500</v>
          </cell>
          <cell r="AD1526">
            <v>3944.7799999999997</v>
          </cell>
          <cell r="AE1526">
            <v>-444.77999999999975</v>
          </cell>
          <cell r="AN1526" t="str">
            <v xml:space="preserve">Contrato emergencial nº </v>
          </cell>
          <cell r="AO1526" t="str">
            <v>FO</v>
          </cell>
        </row>
        <row r="1527">
          <cell r="D1527" t="str">
            <v>2542/11</v>
          </cell>
          <cell r="E1527" t="str">
            <v>03/10/2011</v>
          </cell>
          <cell r="F1527">
            <v>40998</v>
          </cell>
          <cell r="G1527">
            <v>40877</v>
          </cell>
          <cell r="H1527" t="str">
            <v>2011-0.230.215-1</v>
          </cell>
          <cell r="I1527">
            <v>40877.160000000003</v>
          </cell>
          <cell r="J1527" t="str">
            <v xml:space="preserve">              123611122                  2848                    33903600</v>
          </cell>
          <cell r="K1527" t="str">
            <v>03/10/2011</v>
          </cell>
          <cell r="L1527">
            <v>59</v>
          </cell>
          <cell r="M1527">
            <v>13400</v>
          </cell>
          <cell r="N1527">
            <v>57278</v>
          </cell>
          <cell r="O1527">
            <v>33175</v>
          </cell>
          <cell r="P1527">
            <v>16</v>
          </cell>
          <cell r="Q1527">
            <v>3</v>
          </cell>
          <cell r="U1527">
            <v>0</v>
          </cell>
          <cell r="V1527">
            <v>6900</v>
          </cell>
          <cell r="W1527">
            <v>180</v>
          </cell>
          <cell r="X1527">
            <v>5520</v>
          </cell>
          <cell r="Y1527">
            <v>111975</v>
          </cell>
          <cell r="Z1527">
            <v>2364.4546666666665</v>
          </cell>
          <cell r="AA1527">
            <v>10055.545333333333</v>
          </cell>
          <cell r="AB1527">
            <v>227.09533333333334</v>
          </cell>
          <cell r="AC1527">
            <v>6900</v>
          </cell>
          <cell r="AD1527">
            <v>4585.0199999999995</v>
          </cell>
          <cell r="AE1527">
            <v>2314.9800000000005</v>
          </cell>
          <cell r="AN1527" t="str">
            <v xml:space="preserve">Contrato emergencial nº </v>
          </cell>
          <cell r="AO1527" t="str">
            <v>FO</v>
          </cell>
        </row>
        <row r="1528">
          <cell r="D1528" t="str">
            <v>2543/11</v>
          </cell>
          <cell r="E1528" t="str">
            <v>03/10/2011</v>
          </cell>
          <cell r="F1528">
            <v>40998</v>
          </cell>
          <cell r="G1528">
            <v>40877</v>
          </cell>
          <cell r="H1528" t="str">
            <v>2011-0.230.217-8</v>
          </cell>
          <cell r="I1528">
            <v>38261.760000000002</v>
          </cell>
          <cell r="J1528" t="str">
            <v xml:space="preserve">              123611122                  2848                    33903600</v>
          </cell>
          <cell r="K1528" t="str">
            <v>03/10/2011</v>
          </cell>
          <cell r="L1528">
            <v>59</v>
          </cell>
          <cell r="M1528">
            <v>12600</v>
          </cell>
          <cell r="N1528">
            <v>57278</v>
          </cell>
          <cell r="O1528">
            <v>33177</v>
          </cell>
          <cell r="P1528">
            <v>16</v>
          </cell>
          <cell r="Q1528">
            <v>3</v>
          </cell>
          <cell r="U1528">
            <v>0</v>
          </cell>
          <cell r="V1528">
            <v>6400</v>
          </cell>
          <cell r="W1528">
            <v>180</v>
          </cell>
          <cell r="X1528">
            <v>5120</v>
          </cell>
          <cell r="Y1528">
            <v>114275</v>
          </cell>
          <cell r="Z1528">
            <v>7748.26</v>
          </cell>
          <cell r="AA1528">
            <v>3771.74</v>
          </cell>
          <cell r="AB1528">
            <v>212.56533333333334</v>
          </cell>
          <cell r="AC1528">
            <v>6400</v>
          </cell>
          <cell r="AD1528">
            <v>5209.7199999999993</v>
          </cell>
          <cell r="AE1528">
            <v>1190.2800000000007</v>
          </cell>
          <cell r="AN1528" t="str">
            <v xml:space="preserve">Contrato emergencial nº </v>
          </cell>
          <cell r="AO1528" t="str">
            <v>G</v>
          </cell>
        </row>
        <row r="1529">
          <cell r="D1529" t="str">
            <v>2544/11</v>
          </cell>
          <cell r="E1529" t="str">
            <v>03/10/2011</v>
          </cell>
          <cell r="F1529">
            <v>40998</v>
          </cell>
          <cell r="G1529">
            <v>40877</v>
          </cell>
          <cell r="H1529" t="str">
            <v>2011-0.230.223-2</v>
          </cell>
          <cell r="I1529">
            <v>34992.660000000003</v>
          </cell>
          <cell r="J1529" t="str">
            <v xml:space="preserve">              123611122                  2848                    33903600</v>
          </cell>
          <cell r="K1529" t="str">
            <v>03/10/2011</v>
          </cell>
          <cell r="L1529">
            <v>59</v>
          </cell>
          <cell r="M1529">
            <v>11500</v>
          </cell>
          <cell r="N1529">
            <v>57278</v>
          </cell>
          <cell r="O1529">
            <v>33178</v>
          </cell>
          <cell r="P1529">
            <v>16</v>
          </cell>
          <cell r="Q1529">
            <v>3</v>
          </cell>
          <cell r="U1529">
            <v>0</v>
          </cell>
          <cell r="V1529">
            <v>5900</v>
          </cell>
          <cell r="W1529">
            <v>180</v>
          </cell>
          <cell r="X1529">
            <v>4720</v>
          </cell>
          <cell r="Y1529">
            <v>111077</v>
          </cell>
          <cell r="Z1529">
            <v>6960.12</v>
          </cell>
          <cell r="AA1529">
            <v>3659.88</v>
          </cell>
          <cell r="AB1529">
            <v>194.40366666666668</v>
          </cell>
          <cell r="AC1529">
            <v>5900</v>
          </cell>
          <cell r="AD1529">
            <v>4771.6149999999998</v>
          </cell>
          <cell r="AE1529">
            <v>1128.3850000000002</v>
          </cell>
          <cell r="AN1529" t="str">
            <v xml:space="preserve">Contrato emergencial nº </v>
          </cell>
          <cell r="AO1529" t="str">
            <v>PE</v>
          </cell>
        </row>
        <row r="1530">
          <cell r="D1530" t="str">
            <v>2547/11</v>
          </cell>
          <cell r="E1530" t="str">
            <v>03/10/2011</v>
          </cell>
          <cell r="F1530">
            <v>40998</v>
          </cell>
          <cell r="G1530">
            <v>40877</v>
          </cell>
          <cell r="H1530" t="str">
            <v>2011-0.230.240-2</v>
          </cell>
          <cell r="I1530">
            <v>44978.400000000001</v>
          </cell>
          <cell r="J1530" t="str">
            <v xml:space="preserve">              123611122                  2848                    33903600</v>
          </cell>
          <cell r="K1530" t="str">
            <v>03/10/2011</v>
          </cell>
          <cell r="L1530">
            <v>59</v>
          </cell>
          <cell r="M1530">
            <v>14800</v>
          </cell>
          <cell r="N1530">
            <v>57278</v>
          </cell>
          <cell r="O1530">
            <v>33179</v>
          </cell>
          <cell r="P1530">
            <v>16</v>
          </cell>
          <cell r="Q1530">
            <v>3</v>
          </cell>
          <cell r="U1530">
            <v>0</v>
          </cell>
          <cell r="V1530">
            <v>7500</v>
          </cell>
          <cell r="W1530">
            <v>180</v>
          </cell>
          <cell r="X1530">
            <v>6000</v>
          </cell>
          <cell r="Y1530">
            <v>111047</v>
          </cell>
          <cell r="Z1530">
            <v>8568.02</v>
          </cell>
          <cell r="AA1530">
            <v>4931.9799999999996</v>
          </cell>
          <cell r="AB1530">
            <v>249.88</v>
          </cell>
          <cell r="AC1530">
            <v>7500</v>
          </cell>
          <cell r="AD1530">
            <v>6714.84</v>
          </cell>
          <cell r="AE1530">
            <v>785.15999999999985</v>
          </cell>
          <cell r="AN1530" t="str">
            <v xml:space="preserve">Contrato emergencial nº </v>
          </cell>
          <cell r="AO1530" t="str">
            <v>SA</v>
          </cell>
        </row>
        <row r="1531">
          <cell r="D1531" t="str">
            <v>2548/11</v>
          </cell>
          <cell r="E1531" t="str">
            <v>03/10/2011</v>
          </cell>
          <cell r="F1531">
            <v>40998</v>
          </cell>
          <cell r="G1531">
            <v>40877</v>
          </cell>
          <cell r="H1531" t="str">
            <v>2011-0.230.244-5</v>
          </cell>
          <cell r="I1531">
            <v>30150.54</v>
          </cell>
          <cell r="J1531" t="str">
            <v xml:space="preserve">             123671125                  2863                   33903600</v>
          </cell>
          <cell r="K1531" t="str">
            <v>03/10/2011</v>
          </cell>
          <cell r="L1531">
            <v>59</v>
          </cell>
          <cell r="M1531">
            <v>9900</v>
          </cell>
          <cell r="N1531">
            <v>57287</v>
          </cell>
          <cell r="O1531">
            <v>33180</v>
          </cell>
          <cell r="P1531">
            <v>16</v>
          </cell>
          <cell r="Q1531">
            <v>4</v>
          </cell>
          <cell r="U1531">
            <v>0</v>
          </cell>
          <cell r="V1531">
            <v>5100</v>
          </cell>
          <cell r="W1531">
            <v>180</v>
          </cell>
          <cell r="X1531">
            <v>4080</v>
          </cell>
          <cell r="Y1531">
            <v>111052</v>
          </cell>
          <cell r="Z1531">
            <v>5577.89</v>
          </cell>
          <cell r="AA1531">
            <v>3602.1099999999997</v>
          </cell>
          <cell r="AB1531">
            <v>167.50300000000001</v>
          </cell>
          <cell r="AC1531">
            <v>5100</v>
          </cell>
          <cell r="AD1531">
            <v>4664.7000000000007</v>
          </cell>
          <cell r="AE1531">
            <v>435.29999999999927</v>
          </cell>
          <cell r="AN1531" t="str">
            <v xml:space="preserve">Contrato emergencial nº </v>
          </cell>
          <cell r="AO1531" t="str">
            <v>SA</v>
          </cell>
        </row>
        <row r="1532">
          <cell r="D1532" t="str">
            <v>2549/11</v>
          </cell>
          <cell r="E1532" t="str">
            <v>03/10/2011</v>
          </cell>
          <cell r="F1532">
            <v>40998</v>
          </cell>
          <cell r="G1532">
            <v>40877</v>
          </cell>
          <cell r="H1532" t="str">
            <v>2011-0.230.246-1</v>
          </cell>
          <cell r="I1532">
            <v>24820.92</v>
          </cell>
          <cell r="J1532" t="str">
            <v xml:space="preserve">              123611122                  2848                    33903600</v>
          </cell>
          <cell r="K1532" t="str">
            <v>03/10/2011</v>
          </cell>
          <cell r="L1532">
            <v>59</v>
          </cell>
          <cell r="M1532">
            <v>8200</v>
          </cell>
          <cell r="N1532">
            <v>57278</v>
          </cell>
          <cell r="O1532">
            <v>33182</v>
          </cell>
          <cell r="P1532">
            <v>16</v>
          </cell>
          <cell r="Q1532">
            <v>3</v>
          </cell>
          <cell r="U1532">
            <v>0</v>
          </cell>
          <cell r="V1532">
            <v>4200</v>
          </cell>
          <cell r="W1532">
            <v>180</v>
          </cell>
          <cell r="X1532">
            <v>3360</v>
          </cell>
          <cell r="Y1532">
            <v>110493</v>
          </cell>
          <cell r="Z1532">
            <v>4561.6099999999997</v>
          </cell>
          <cell r="AA1532">
            <v>2998.3900000000003</v>
          </cell>
          <cell r="AB1532">
            <v>137.89399999999998</v>
          </cell>
          <cell r="AC1532">
            <v>4200</v>
          </cell>
          <cell r="AD1532">
            <v>3885.96</v>
          </cell>
          <cell r="AE1532">
            <v>314.03999999999996</v>
          </cell>
          <cell r="AN1532" t="str">
            <v xml:space="preserve">Contrato emergencial nº </v>
          </cell>
          <cell r="AO1532" t="str">
            <v>SM</v>
          </cell>
        </row>
        <row r="1533">
          <cell r="D1533" t="str">
            <v>2551/11</v>
          </cell>
          <cell r="E1533" t="str">
            <v>03/10/2011</v>
          </cell>
          <cell r="F1533">
            <v>40998</v>
          </cell>
          <cell r="G1533">
            <v>40877</v>
          </cell>
          <cell r="H1533" t="str">
            <v>2011-0.230.250-0</v>
          </cell>
          <cell r="I1533">
            <v>40223.339999999997</v>
          </cell>
          <cell r="J1533" t="str">
            <v xml:space="preserve">              123651121                 2847                    33903600</v>
          </cell>
          <cell r="K1533" t="str">
            <v>03/10/2011</v>
          </cell>
          <cell r="L1533">
            <v>59</v>
          </cell>
          <cell r="M1533">
            <v>13200</v>
          </cell>
          <cell r="N1533">
            <v>57273</v>
          </cell>
          <cell r="O1533">
            <v>33185</v>
          </cell>
          <cell r="P1533">
            <v>16</v>
          </cell>
          <cell r="Q1533">
            <v>2</v>
          </cell>
          <cell r="U1533">
            <v>0</v>
          </cell>
          <cell r="V1533">
            <v>6800</v>
          </cell>
          <cell r="W1533">
            <v>180</v>
          </cell>
          <cell r="X1533">
            <v>5440</v>
          </cell>
          <cell r="Y1533">
            <v>110432</v>
          </cell>
          <cell r="Z1533">
            <v>7316.4359999999997</v>
          </cell>
          <cell r="AA1533">
            <v>4923.5640000000003</v>
          </cell>
          <cell r="AB1533">
            <v>223.46299999999999</v>
          </cell>
          <cell r="AC1533">
            <v>6800</v>
          </cell>
          <cell r="AD1533">
            <v>6327</v>
          </cell>
          <cell r="AE1533">
            <v>473</v>
          </cell>
          <cell r="AN1533" t="str">
            <v xml:space="preserve">Contrato emergencial nº </v>
          </cell>
          <cell r="AO1533" t="str">
            <v>CS</v>
          </cell>
        </row>
        <row r="1534">
          <cell r="D1534" t="str">
            <v>2553/11</v>
          </cell>
          <cell r="E1534" t="str">
            <v>03/10/2011</v>
          </cell>
          <cell r="F1534">
            <v>40998</v>
          </cell>
          <cell r="G1534">
            <v>40877</v>
          </cell>
          <cell r="H1534" t="str">
            <v>2011-0.230.257-7</v>
          </cell>
          <cell r="I1534">
            <v>31824.66</v>
          </cell>
          <cell r="J1534" t="str">
            <v xml:space="preserve">              123651121                 2847                    33903600</v>
          </cell>
          <cell r="K1534" t="str">
            <v>03/10/2011</v>
          </cell>
          <cell r="L1534">
            <v>59</v>
          </cell>
          <cell r="M1534">
            <v>10500</v>
          </cell>
          <cell r="N1534">
            <v>57273</v>
          </cell>
          <cell r="O1534">
            <v>33187</v>
          </cell>
          <cell r="P1534">
            <v>16</v>
          </cell>
          <cell r="Q1534">
            <v>2</v>
          </cell>
          <cell r="U1534">
            <v>0</v>
          </cell>
          <cell r="V1534">
            <v>5400</v>
          </cell>
          <cell r="W1534">
            <v>180</v>
          </cell>
          <cell r="X1534">
            <v>4320</v>
          </cell>
          <cell r="Y1534">
            <v>110437</v>
          </cell>
          <cell r="Z1534">
            <v>6047.018</v>
          </cell>
          <cell r="AA1534">
            <v>3672.982</v>
          </cell>
          <cell r="AB1534">
            <v>176.80366666666666</v>
          </cell>
          <cell r="AC1534">
            <v>5400</v>
          </cell>
          <cell r="AD1534">
            <v>5270.2199999999993</v>
          </cell>
          <cell r="AE1534">
            <v>129.78000000000065</v>
          </cell>
          <cell r="AN1534" t="str">
            <v xml:space="preserve">Contrato emergencial nº </v>
          </cell>
          <cell r="AO1534" t="str">
            <v>CS</v>
          </cell>
        </row>
        <row r="1535">
          <cell r="D1535" t="str">
            <v>2558/11</v>
          </cell>
          <cell r="E1535" t="str">
            <v>03/10/2011</v>
          </cell>
          <cell r="F1535">
            <v>40998</v>
          </cell>
          <cell r="G1535">
            <v>40877</v>
          </cell>
          <cell r="H1535" t="str">
            <v>2011-0.230.270-4</v>
          </cell>
          <cell r="I1535">
            <v>44324.52</v>
          </cell>
          <cell r="J1535" t="str">
            <v xml:space="preserve">              123611122                  2848                    33903600</v>
          </cell>
          <cell r="K1535" t="str">
            <v>03/10/2011</v>
          </cell>
          <cell r="L1535">
            <v>59</v>
          </cell>
          <cell r="M1535">
            <v>14600</v>
          </cell>
          <cell r="N1535">
            <v>57278</v>
          </cell>
          <cell r="O1535">
            <v>33194</v>
          </cell>
          <cell r="P1535">
            <v>16</v>
          </cell>
          <cell r="Q1535">
            <v>3</v>
          </cell>
          <cell r="U1535">
            <v>0</v>
          </cell>
          <cell r="V1535">
            <v>7400</v>
          </cell>
          <cell r="W1535">
            <v>180</v>
          </cell>
          <cell r="X1535">
            <v>5920</v>
          </cell>
          <cell r="Y1535">
            <v>110438</v>
          </cell>
          <cell r="Z1535">
            <v>9156.0506666666661</v>
          </cell>
          <cell r="AA1535">
            <v>4163.9493333333339</v>
          </cell>
          <cell r="AB1535">
            <v>246.2473333333333</v>
          </cell>
          <cell r="AC1535">
            <v>7400</v>
          </cell>
          <cell r="AD1535">
            <v>5841.66</v>
          </cell>
          <cell r="AE1535">
            <v>1558.3400000000001</v>
          </cell>
          <cell r="AN1535" t="str">
            <v xml:space="preserve">Contrato emergencial nº </v>
          </cell>
          <cell r="AO1535" t="str">
            <v>CS</v>
          </cell>
        </row>
        <row r="1536">
          <cell r="D1536" t="str">
            <v>2560/11</v>
          </cell>
          <cell r="E1536" t="str">
            <v>03/10/2011</v>
          </cell>
          <cell r="F1536">
            <v>40998</v>
          </cell>
          <cell r="G1536">
            <v>40877</v>
          </cell>
          <cell r="H1536" t="str">
            <v>2011-0.230.274-7</v>
          </cell>
          <cell r="I1536">
            <v>27257.94</v>
          </cell>
          <cell r="J1536" t="str">
            <v xml:space="preserve">              123651121                 2847                    33903600</v>
          </cell>
          <cell r="K1536" t="str">
            <v>03/10/2011</v>
          </cell>
          <cell r="L1536">
            <v>59</v>
          </cell>
          <cell r="M1536">
            <v>9000</v>
          </cell>
          <cell r="N1536">
            <v>57273</v>
          </cell>
          <cell r="O1536">
            <v>33195</v>
          </cell>
          <cell r="P1536">
            <v>16</v>
          </cell>
          <cell r="Q1536">
            <v>2</v>
          </cell>
          <cell r="U1536">
            <v>0</v>
          </cell>
          <cell r="V1536">
            <v>4600</v>
          </cell>
          <cell r="W1536">
            <v>180</v>
          </cell>
          <cell r="X1536">
            <v>3680</v>
          </cell>
          <cell r="Y1536">
            <v>111976</v>
          </cell>
          <cell r="Z1536">
            <v>332.17599999999993</v>
          </cell>
          <cell r="AA1536">
            <v>7947.8240000000005</v>
          </cell>
          <cell r="AB1536">
            <v>151.43299999999999</v>
          </cell>
          <cell r="AC1536">
            <v>4600</v>
          </cell>
          <cell r="AD1536">
            <v>4370.8399999999992</v>
          </cell>
          <cell r="AE1536">
            <v>229.16000000000076</v>
          </cell>
          <cell r="AN1536" t="str">
            <v xml:space="preserve">Contrato emergencial nº </v>
          </cell>
          <cell r="AO1536" t="str">
            <v>FO</v>
          </cell>
        </row>
        <row r="1537">
          <cell r="D1537" t="str">
            <v>2563/11</v>
          </cell>
          <cell r="E1537" t="str">
            <v>03/10/2011</v>
          </cell>
          <cell r="F1537">
            <v>40998</v>
          </cell>
          <cell r="G1537">
            <v>40877</v>
          </cell>
          <cell r="H1537" t="str">
            <v>2011-0.230.280-1</v>
          </cell>
          <cell r="I1537">
            <v>31824.66</v>
          </cell>
          <cell r="J1537" t="str">
            <v xml:space="preserve">              123611122                  2848                    33903600</v>
          </cell>
          <cell r="K1537" t="str">
            <v>03/10/2011</v>
          </cell>
          <cell r="L1537">
            <v>59</v>
          </cell>
          <cell r="M1537">
            <v>10500</v>
          </cell>
          <cell r="N1537">
            <v>57278</v>
          </cell>
          <cell r="O1537">
            <v>33200</v>
          </cell>
          <cell r="P1537">
            <v>16</v>
          </cell>
          <cell r="Q1537">
            <v>3</v>
          </cell>
          <cell r="U1537">
            <v>0</v>
          </cell>
          <cell r="V1537">
            <v>5400</v>
          </cell>
          <cell r="W1537">
            <v>180</v>
          </cell>
          <cell r="X1537">
            <v>4320</v>
          </cell>
          <cell r="Y1537">
            <v>111977</v>
          </cell>
          <cell r="Z1537">
            <v>570.42533333333267</v>
          </cell>
          <cell r="AA1537">
            <v>9149.5746666666673</v>
          </cell>
          <cell r="AB1537">
            <v>176.80366666666666</v>
          </cell>
          <cell r="AC1537">
            <v>5400</v>
          </cell>
          <cell r="AD1537">
            <v>4306.41</v>
          </cell>
          <cell r="AE1537">
            <v>1093.5900000000001</v>
          </cell>
          <cell r="AN1537" t="str">
            <v xml:space="preserve">Contrato emergencial nº </v>
          </cell>
          <cell r="AO1537" t="str">
            <v>FO</v>
          </cell>
        </row>
        <row r="1538">
          <cell r="D1538" t="str">
            <v>2564/11</v>
          </cell>
          <cell r="E1538" t="str">
            <v>03/10/2011</v>
          </cell>
          <cell r="F1538">
            <v>40998</v>
          </cell>
          <cell r="G1538">
            <v>40877</v>
          </cell>
          <cell r="H1538" t="str">
            <v>2011-0.230.283-6</v>
          </cell>
          <cell r="I1538">
            <v>37607.879999999997</v>
          </cell>
          <cell r="J1538" t="str">
            <v xml:space="preserve">              123611122                  2848                    33903600</v>
          </cell>
          <cell r="K1538" t="str">
            <v>03/10/2011</v>
          </cell>
          <cell r="L1538">
            <v>59</v>
          </cell>
          <cell r="M1538">
            <v>12400</v>
          </cell>
          <cell r="N1538">
            <v>57278</v>
          </cell>
          <cell r="O1538">
            <v>33206</v>
          </cell>
          <cell r="P1538">
            <v>16</v>
          </cell>
          <cell r="Q1538">
            <v>3</v>
          </cell>
          <cell r="U1538">
            <v>0</v>
          </cell>
          <cell r="V1538">
            <v>6300</v>
          </cell>
          <cell r="W1538">
            <v>180</v>
          </cell>
          <cell r="X1538">
            <v>5040</v>
          </cell>
          <cell r="Y1538">
            <v>111978</v>
          </cell>
          <cell r="Z1538">
            <v>879.77766666666685</v>
          </cell>
          <cell r="AA1538">
            <v>10460.222333333333</v>
          </cell>
          <cell r="AB1538">
            <v>208.93266666666665</v>
          </cell>
          <cell r="AC1538">
            <v>6300</v>
          </cell>
          <cell r="AD1538">
            <v>5670.62</v>
          </cell>
          <cell r="AE1538">
            <v>629.38000000000011</v>
          </cell>
          <cell r="AN1538" t="str">
            <v xml:space="preserve">Contrato emergencial nº </v>
          </cell>
          <cell r="AO1538" t="str">
            <v>FO</v>
          </cell>
        </row>
        <row r="1539">
          <cell r="D1539" t="str">
            <v>2565/11</v>
          </cell>
          <cell r="E1539" t="str">
            <v>03/10/2011</v>
          </cell>
          <cell r="F1539">
            <v>40998</v>
          </cell>
          <cell r="G1539">
            <v>40877</v>
          </cell>
          <cell r="H1539" t="str">
            <v>2011-0.230.284-4</v>
          </cell>
          <cell r="I1539">
            <v>30150.54</v>
          </cell>
          <cell r="J1539" t="str">
            <v xml:space="preserve">              123611122                  2848                    33903600</v>
          </cell>
          <cell r="K1539" t="str">
            <v>03/10/2011</v>
          </cell>
          <cell r="L1539">
            <v>59</v>
          </cell>
          <cell r="M1539">
            <v>9900</v>
          </cell>
          <cell r="N1539">
            <v>57278</v>
          </cell>
          <cell r="O1539">
            <v>33209</v>
          </cell>
          <cell r="P1539">
            <v>16</v>
          </cell>
          <cell r="Q1539">
            <v>3</v>
          </cell>
          <cell r="U1539">
            <v>0</v>
          </cell>
          <cell r="V1539">
            <v>5100</v>
          </cell>
          <cell r="W1539">
            <v>180</v>
          </cell>
          <cell r="X1539">
            <v>4080</v>
          </cell>
          <cell r="Y1539">
            <v>111979</v>
          </cell>
          <cell r="Z1539">
            <v>350.52999999999975</v>
          </cell>
          <cell r="AA1539">
            <v>8829.4700000000012</v>
          </cell>
          <cell r="AB1539">
            <v>167.50300000000001</v>
          </cell>
          <cell r="AC1539">
            <v>5100</v>
          </cell>
          <cell r="AD1539">
            <v>4888.3249999999998</v>
          </cell>
          <cell r="AE1539">
            <v>211.67500000000018</v>
          </cell>
          <cell r="AN1539" t="str">
            <v xml:space="preserve">Contrato emergencial nº </v>
          </cell>
          <cell r="AO1539" t="str">
            <v>FO</v>
          </cell>
        </row>
        <row r="1540">
          <cell r="D1540" t="str">
            <v>2568/11</v>
          </cell>
          <cell r="E1540" t="str">
            <v>03/10/2011</v>
          </cell>
          <cell r="F1540">
            <v>40998</v>
          </cell>
          <cell r="G1540">
            <v>40877</v>
          </cell>
          <cell r="H1540" t="str">
            <v>2011-0.230.289-5</v>
          </cell>
          <cell r="I1540">
            <v>27158.880000000001</v>
          </cell>
          <cell r="J1540" t="str">
            <v xml:space="preserve">              123611122                  2848                    33903600</v>
          </cell>
          <cell r="K1540" t="str">
            <v>03/10/2011</v>
          </cell>
          <cell r="L1540">
            <v>59</v>
          </cell>
          <cell r="M1540">
            <v>9000</v>
          </cell>
          <cell r="N1540">
            <v>57278</v>
          </cell>
          <cell r="O1540">
            <v>33210</v>
          </cell>
          <cell r="P1540">
            <v>16</v>
          </cell>
          <cell r="Q1540">
            <v>3</v>
          </cell>
          <cell r="U1540">
            <v>0</v>
          </cell>
          <cell r="V1540">
            <v>5100</v>
          </cell>
          <cell r="W1540">
            <v>180</v>
          </cell>
          <cell r="X1540">
            <v>4080</v>
          </cell>
          <cell r="Y1540">
            <v>111980</v>
          </cell>
          <cell r="Z1540">
            <v>4309.9573333333337</v>
          </cell>
          <cell r="AA1540">
            <v>4870.0426666666663</v>
          </cell>
          <cell r="AB1540">
            <v>150.88266666666667</v>
          </cell>
          <cell r="AC1540">
            <v>4600</v>
          </cell>
          <cell r="AD1540">
            <v>5079.26</v>
          </cell>
          <cell r="AE1540">
            <v>-479.26000000000022</v>
          </cell>
          <cell r="AN1540" t="str">
            <v xml:space="preserve">Contrato emergencial nº </v>
          </cell>
          <cell r="AO1540" t="str">
            <v>FO</v>
          </cell>
        </row>
        <row r="1541">
          <cell r="D1541" t="str">
            <v>2569/11</v>
          </cell>
          <cell r="E1541" t="str">
            <v>03/10/2011</v>
          </cell>
          <cell r="F1541">
            <v>40998</v>
          </cell>
          <cell r="G1541">
            <v>40877</v>
          </cell>
          <cell r="H1541" t="str">
            <v>2011-0.230.293-3</v>
          </cell>
          <cell r="I1541">
            <v>37607.879999999997</v>
          </cell>
          <cell r="J1541" t="str">
            <v xml:space="preserve">              123611122                  2848                    33903600</v>
          </cell>
          <cell r="K1541" t="str">
            <v>03/10/2011</v>
          </cell>
          <cell r="L1541">
            <v>59</v>
          </cell>
          <cell r="M1541">
            <v>12400</v>
          </cell>
          <cell r="N1541">
            <v>57278</v>
          </cell>
          <cell r="O1541">
            <v>33268</v>
          </cell>
          <cell r="P1541">
            <v>16</v>
          </cell>
          <cell r="Q1541">
            <v>3</v>
          </cell>
          <cell r="U1541">
            <v>0</v>
          </cell>
          <cell r="V1541">
            <v>6300</v>
          </cell>
          <cell r="W1541">
            <v>180</v>
          </cell>
          <cell r="X1541">
            <v>5040</v>
          </cell>
          <cell r="Y1541">
            <v>111981</v>
          </cell>
          <cell r="Z1541">
            <v>1393.0761666666667</v>
          </cell>
          <cell r="AA1541">
            <v>9946.9238333333342</v>
          </cell>
          <cell r="AB1541">
            <v>208.93266666666665</v>
          </cell>
          <cell r="AC1541">
            <v>6300</v>
          </cell>
          <cell r="AD1541">
            <v>4887.1050000000005</v>
          </cell>
          <cell r="AE1541">
            <v>1412.8949999999995</v>
          </cell>
          <cell r="AN1541" t="str">
            <v xml:space="preserve">Contrato emergencial nº </v>
          </cell>
          <cell r="AO1541" t="str">
            <v>FO</v>
          </cell>
        </row>
        <row r="1542">
          <cell r="D1542" t="str">
            <v>2570/11</v>
          </cell>
          <cell r="E1542" t="str">
            <v>03/10/2011</v>
          </cell>
          <cell r="F1542">
            <v>40998</v>
          </cell>
          <cell r="G1542">
            <v>40877</v>
          </cell>
          <cell r="H1542" t="str">
            <v>2011-0.230.296-8</v>
          </cell>
          <cell r="I1542">
            <v>21373.56</v>
          </cell>
          <cell r="J1542" t="str">
            <v xml:space="preserve">              123611122                  2848                    33903600</v>
          </cell>
          <cell r="K1542" t="str">
            <v>03/10/2011</v>
          </cell>
          <cell r="L1542">
            <v>59</v>
          </cell>
          <cell r="M1542">
            <v>7100</v>
          </cell>
          <cell r="N1542">
            <v>57278</v>
          </cell>
          <cell r="O1542">
            <v>33272</v>
          </cell>
          <cell r="P1542">
            <v>16</v>
          </cell>
          <cell r="Q1542">
            <v>3</v>
          </cell>
          <cell r="U1542">
            <v>0</v>
          </cell>
          <cell r="V1542">
            <v>4500</v>
          </cell>
          <cell r="W1542">
            <v>180</v>
          </cell>
          <cell r="X1542">
            <v>3600</v>
          </cell>
          <cell r="Y1542">
            <v>111983</v>
          </cell>
          <cell r="Z1542">
            <v>2926.768</v>
          </cell>
          <cell r="AA1542">
            <v>5173.232</v>
          </cell>
          <cell r="AB1542">
            <v>118.742</v>
          </cell>
          <cell r="AC1542">
            <v>3600</v>
          </cell>
          <cell r="AD1542">
            <v>4494.32</v>
          </cell>
          <cell r="AE1542">
            <v>-894.31999999999971</v>
          </cell>
          <cell r="AN1542" t="str">
            <v xml:space="preserve">Contrato emergencial nº </v>
          </cell>
          <cell r="AO1542" t="str">
            <v>FO</v>
          </cell>
        </row>
        <row r="1543">
          <cell r="D1543" t="str">
            <v>2571/11</v>
          </cell>
          <cell r="E1543" t="str">
            <v>03/10/2011</v>
          </cell>
          <cell r="F1543">
            <v>40998</v>
          </cell>
          <cell r="G1543">
            <v>40877</v>
          </cell>
          <cell r="H1543" t="str">
            <v>2011-0.230.297-6</v>
          </cell>
          <cell r="I1543">
            <v>44324.52</v>
          </cell>
          <cell r="J1543" t="str">
            <v xml:space="preserve">              123651121                 2847                    33903600</v>
          </cell>
          <cell r="K1543" t="str">
            <v>03/10/2011</v>
          </cell>
          <cell r="L1543">
            <v>59</v>
          </cell>
          <cell r="M1543">
            <v>14600</v>
          </cell>
          <cell r="N1543">
            <v>57273</v>
          </cell>
          <cell r="O1543">
            <v>33274</v>
          </cell>
          <cell r="P1543">
            <v>16</v>
          </cell>
          <cell r="Q1543">
            <v>2</v>
          </cell>
          <cell r="U1543">
            <v>0</v>
          </cell>
          <cell r="V1543">
            <v>7400</v>
          </cell>
          <cell r="W1543">
            <v>180</v>
          </cell>
          <cell r="X1543">
            <v>5920</v>
          </cell>
          <cell r="Y1543">
            <v>41768</v>
          </cell>
          <cell r="Z1543">
            <v>9190.43</v>
          </cell>
          <cell r="AA1543">
            <v>4129.57</v>
          </cell>
          <cell r="AB1543">
            <v>246.2473333333333</v>
          </cell>
          <cell r="AC1543">
            <v>7400</v>
          </cell>
          <cell r="AD1543">
            <v>6509.7199999999993</v>
          </cell>
          <cell r="AE1543">
            <v>890.28000000000065</v>
          </cell>
          <cell r="AN1543" t="str">
            <v xml:space="preserve">Contrato emergencial nº </v>
          </cell>
          <cell r="AO1543" t="str">
            <v>G</v>
          </cell>
        </row>
        <row r="1544">
          <cell r="D1544" t="str">
            <v>2572/11</v>
          </cell>
          <cell r="E1544" t="str">
            <v>03/10/2011</v>
          </cell>
          <cell r="F1544">
            <v>40998</v>
          </cell>
          <cell r="G1544">
            <v>40877</v>
          </cell>
          <cell r="H1544" t="str">
            <v>2011-0.230.301-8</v>
          </cell>
          <cell r="I1544">
            <v>27971.16</v>
          </cell>
          <cell r="J1544" t="str">
            <v xml:space="preserve">              123611122                  2848                    33903600</v>
          </cell>
          <cell r="K1544" t="str">
            <v>03/10/2011</v>
          </cell>
          <cell r="L1544">
            <v>59</v>
          </cell>
          <cell r="M1544">
            <v>9200</v>
          </cell>
          <cell r="N1544">
            <v>57278</v>
          </cell>
          <cell r="O1544">
            <v>33277</v>
          </cell>
          <cell r="P1544">
            <v>16</v>
          </cell>
          <cell r="Q1544">
            <v>3</v>
          </cell>
          <cell r="U1544">
            <v>0</v>
          </cell>
          <cell r="V1544">
            <v>4700</v>
          </cell>
          <cell r="W1544">
            <v>180</v>
          </cell>
          <cell r="X1544">
            <v>3760</v>
          </cell>
          <cell r="Y1544">
            <v>112896</v>
          </cell>
          <cell r="Z1544">
            <v>5440.55</v>
          </cell>
          <cell r="AA1544">
            <v>3019.45</v>
          </cell>
          <cell r="AB1544">
            <v>155.39533333333333</v>
          </cell>
          <cell r="AC1544">
            <v>4700</v>
          </cell>
          <cell r="AD1544">
            <v>4016.78</v>
          </cell>
          <cell r="AE1544">
            <v>683.2199999999998</v>
          </cell>
          <cell r="AN1544" t="str">
            <v xml:space="preserve">Contrato emergencial nº </v>
          </cell>
          <cell r="AO1544" t="str">
            <v>IP</v>
          </cell>
        </row>
        <row r="1545">
          <cell r="D1545" t="str">
            <v>2576/11</v>
          </cell>
          <cell r="E1545" t="str">
            <v>03/10/2011</v>
          </cell>
          <cell r="F1545">
            <v>40998</v>
          </cell>
          <cell r="G1545">
            <v>40877</v>
          </cell>
          <cell r="H1545" t="str">
            <v>2011-0.230.335-2</v>
          </cell>
          <cell r="I1545">
            <v>30606.240000000002</v>
          </cell>
          <cell r="J1545" t="str">
            <v xml:space="preserve">              123651121                 2847                    33903600</v>
          </cell>
          <cell r="K1545" t="str">
            <v>03/10/2011</v>
          </cell>
          <cell r="L1545">
            <v>59</v>
          </cell>
          <cell r="M1545">
            <v>10100</v>
          </cell>
          <cell r="N1545">
            <v>57273</v>
          </cell>
          <cell r="O1545">
            <v>33281</v>
          </cell>
          <cell r="P1545">
            <v>16</v>
          </cell>
          <cell r="Q1545">
            <v>2</v>
          </cell>
          <cell r="U1545">
            <v>0</v>
          </cell>
          <cell r="V1545">
            <v>5200</v>
          </cell>
          <cell r="W1545">
            <v>180</v>
          </cell>
          <cell r="X1545">
            <v>4160</v>
          </cell>
          <cell r="Y1545">
            <v>114704</v>
          </cell>
          <cell r="Z1545">
            <v>6278.58</v>
          </cell>
          <cell r="AA1545">
            <v>3081.42</v>
          </cell>
          <cell r="AB1545">
            <v>170.03466666666668</v>
          </cell>
          <cell r="AC1545">
            <v>5200</v>
          </cell>
          <cell r="AD1545">
            <v>3726.63</v>
          </cell>
          <cell r="AE1545">
            <v>1473.37</v>
          </cell>
          <cell r="AN1545" t="str">
            <v xml:space="preserve">Contrato emergencial nº </v>
          </cell>
          <cell r="AO1545" t="str">
            <v>JT</v>
          </cell>
        </row>
        <row r="1546">
          <cell r="D1546" t="str">
            <v>2577/11</v>
          </cell>
          <cell r="E1546" t="str">
            <v>03/10/2011</v>
          </cell>
          <cell r="F1546">
            <v>40998</v>
          </cell>
          <cell r="G1546">
            <v>40877</v>
          </cell>
          <cell r="H1546" t="str">
            <v>2011-0.230.338-7</v>
          </cell>
          <cell r="I1546">
            <v>40877.160000000003</v>
          </cell>
          <cell r="J1546" t="str">
            <v xml:space="preserve">              123611122                  2848                    33903600</v>
          </cell>
          <cell r="K1546" t="str">
            <v>03/10/2011</v>
          </cell>
          <cell r="L1546">
            <v>59</v>
          </cell>
          <cell r="M1546">
            <v>13400</v>
          </cell>
          <cell r="N1546">
            <v>57278</v>
          </cell>
          <cell r="O1546">
            <v>33304</v>
          </cell>
          <cell r="P1546">
            <v>16</v>
          </cell>
          <cell r="Q1546">
            <v>3</v>
          </cell>
          <cell r="U1546">
            <v>0</v>
          </cell>
          <cell r="V1546">
            <v>6900</v>
          </cell>
          <cell r="W1546">
            <v>180</v>
          </cell>
          <cell r="X1546">
            <v>5520</v>
          </cell>
          <cell r="Y1546">
            <v>111991</v>
          </cell>
          <cell r="Z1546">
            <v>1110.021999999999</v>
          </cell>
          <cell r="AA1546">
            <v>11309.978000000001</v>
          </cell>
          <cell r="AB1546">
            <v>227.09533333333334</v>
          </cell>
          <cell r="AC1546">
            <v>6900</v>
          </cell>
          <cell r="AD1546">
            <v>5885.0149999999994</v>
          </cell>
          <cell r="AE1546">
            <v>1014.9850000000006</v>
          </cell>
          <cell r="AN1546" t="str">
            <v xml:space="preserve">Contrato emergencial nº </v>
          </cell>
          <cell r="AO1546" t="str">
            <v>MP</v>
          </cell>
        </row>
        <row r="1547">
          <cell r="D1547" t="str">
            <v>2578/11</v>
          </cell>
          <cell r="E1547" t="str">
            <v>03/10/2011</v>
          </cell>
          <cell r="F1547">
            <v>40998</v>
          </cell>
          <cell r="G1547">
            <v>40877</v>
          </cell>
          <cell r="H1547" t="str">
            <v>2011-0.230.341-7</v>
          </cell>
          <cell r="I1547">
            <v>21373.56</v>
          </cell>
          <cell r="J1547" t="str">
            <v xml:space="preserve">              123611122                  2848                    33903600</v>
          </cell>
          <cell r="K1547" t="str">
            <v>03/10/2011</v>
          </cell>
          <cell r="L1547">
            <v>59</v>
          </cell>
          <cell r="M1547">
            <v>7100</v>
          </cell>
          <cell r="N1547">
            <v>57278</v>
          </cell>
          <cell r="O1547">
            <v>33306</v>
          </cell>
          <cell r="P1547">
            <v>16</v>
          </cell>
          <cell r="Q1547">
            <v>3</v>
          </cell>
          <cell r="U1547">
            <v>0</v>
          </cell>
          <cell r="V1547">
            <v>4100</v>
          </cell>
          <cell r="W1547">
            <v>180</v>
          </cell>
          <cell r="X1547">
            <v>3280</v>
          </cell>
          <cell r="Y1547">
            <v>111078</v>
          </cell>
          <cell r="Z1547">
            <v>2576.84</v>
          </cell>
          <cell r="AA1547">
            <v>4803.16</v>
          </cell>
          <cell r="AB1547">
            <v>118.742</v>
          </cell>
          <cell r="AC1547">
            <v>3600</v>
          </cell>
          <cell r="AD1547">
            <v>4054.6174999999998</v>
          </cell>
          <cell r="AE1547">
            <v>-454.61749999999984</v>
          </cell>
          <cell r="AN1547" t="str">
            <v xml:space="preserve">Contrato emergencial nº </v>
          </cell>
          <cell r="AO1547" t="str">
            <v>PE</v>
          </cell>
        </row>
        <row r="1548">
          <cell r="D1548" t="str">
            <v>2580/11</v>
          </cell>
          <cell r="E1548" t="str">
            <v>03/10/2011</v>
          </cell>
          <cell r="F1548">
            <v>40998</v>
          </cell>
          <cell r="G1548">
            <v>40877</v>
          </cell>
          <cell r="H1548" t="str">
            <v>2011-0.230.425-1</v>
          </cell>
          <cell r="I1548">
            <v>39123.599999999999</v>
          </cell>
          <cell r="J1548" t="str">
            <v xml:space="preserve">              123611122                  2848                    33903600</v>
          </cell>
          <cell r="K1548" t="str">
            <v>03/10/2011</v>
          </cell>
          <cell r="L1548">
            <v>59</v>
          </cell>
          <cell r="M1548">
            <v>12900</v>
          </cell>
          <cell r="N1548">
            <v>57278</v>
          </cell>
          <cell r="O1548">
            <v>33313</v>
          </cell>
          <cell r="P1548">
            <v>16</v>
          </cell>
          <cell r="Q1548">
            <v>3</v>
          </cell>
          <cell r="U1548">
            <v>0</v>
          </cell>
          <cell r="V1548">
            <v>6600</v>
          </cell>
          <cell r="W1548">
            <v>180</v>
          </cell>
          <cell r="X1548">
            <v>5280</v>
          </cell>
          <cell r="Y1548">
            <v>111644</v>
          </cell>
          <cell r="Z1548">
            <v>7679.49</v>
          </cell>
          <cell r="AA1548">
            <v>4200.51</v>
          </cell>
          <cell r="AB1548">
            <v>217.35333333333332</v>
          </cell>
          <cell r="AC1548">
            <v>6600</v>
          </cell>
          <cell r="AD1548">
            <v>5615.9500000000007</v>
          </cell>
          <cell r="AE1548">
            <v>984.04999999999927</v>
          </cell>
          <cell r="AN1548" t="str">
            <v xml:space="preserve">Contrato emergencial nº </v>
          </cell>
          <cell r="AO1548" t="str">
            <v>PJ</v>
          </cell>
        </row>
        <row r="1549">
          <cell r="D1549" t="str">
            <v>2582/11</v>
          </cell>
          <cell r="E1549" t="str">
            <v>03/10/2011</v>
          </cell>
          <cell r="F1549">
            <v>40998</v>
          </cell>
          <cell r="G1549">
            <v>40877</v>
          </cell>
          <cell r="H1549" t="str">
            <v>2011-0.230.428-6</v>
          </cell>
          <cell r="I1549">
            <v>42838.74</v>
          </cell>
          <cell r="J1549" t="str">
            <v xml:space="preserve">             123671125                  2863                   33903600</v>
          </cell>
          <cell r="K1549" t="str">
            <v>03/10/2011</v>
          </cell>
          <cell r="L1549">
            <v>59</v>
          </cell>
          <cell r="M1549">
            <v>14100</v>
          </cell>
          <cell r="N1549">
            <v>57287</v>
          </cell>
          <cell r="O1549">
            <v>33314</v>
          </cell>
          <cell r="P1549">
            <v>16</v>
          </cell>
          <cell r="Q1549">
            <v>4</v>
          </cell>
          <cell r="U1549">
            <v>0</v>
          </cell>
          <cell r="V1549">
            <v>7200</v>
          </cell>
          <cell r="W1549">
            <v>180</v>
          </cell>
          <cell r="X1549">
            <v>5760</v>
          </cell>
          <cell r="Y1549">
            <v>111056</v>
          </cell>
          <cell r="Z1549">
            <v>7589.68</v>
          </cell>
          <cell r="AA1549">
            <v>5370.32</v>
          </cell>
          <cell r="AB1549">
            <v>237.99299999999999</v>
          </cell>
          <cell r="AC1549">
            <v>7200</v>
          </cell>
          <cell r="AD1549">
            <v>7106.2000000000007</v>
          </cell>
          <cell r="AE1549">
            <v>93.799999999999272</v>
          </cell>
          <cell r="AN1549" t="str">
            <v xml:space="preserve">Contrato emergencial nº </v>
          </cell>
          <cell r="AO1549" t="str">
            <v>SA</v>
          </cell>
        </row>
        <row r="1550">
          <cell r="D1550" t="str">
            <v>2584/11</v>
          </cell>
          <cell r="E1550" t="str">
            <v>03/10/2011</v>
          </cell>
          <cell r="F1550">
            <v>40998</v>
          </cell>
          <cell r="G1550">
            <v>40877</v>
          </cell>
          <cell r="H1550" t="str">
            <v>2011-0.230.431-6</v>
          </cell>
          <cell r="I1550">
            <v>31418.52</v>
          </cell>
          <cell r="J1550" t="str">
            <v xml:space="preserve">              123651121                 2847                    33903600</v>
          </cell>
          <cell r="K1550" t="str">
            <v>03/10/2011</v>
          </cell>
          <cell r="L1550">
            <v>59</v>
          </cell>
          <cell r="M1550">
            <v>10300</v>
          </cell>
          <cell r="N1550">
            <v>57273</v>
          </cell>
          <cell r="O1550">
            <v>33318</v>
          </cell>
          <cell r="P1550">
            <v>16</v>
          </cell>
          <cell r="Q1550">
            <v>2</v>
          </cell>
          <cell r="U1550">
            <v>0</v>
          </cell>
          <cell r="V1550">
            <v>5300</v>
          </cell>
          <cell r="W1550">
            <v>180</v>
          </cell>
          <cell r="X1550">
            <v>4240</v>
          </cell>
          <cell r="Y1550">
            <v>111057</v>
          </cell>
          <cell r="Z1550">
            <v>6093.97</v>
          </cell>
          <cell r="AA1550">
            <v>3446.0299999999997</v>
          </cell>
          <cell r="AB1550">
            <v>174.54733333333334</v>
          </cell>
          <cell r="AC1550">
            <v>5300</v>
          </cell>
          <cell r="AD1550">
            <v>4750.9500000000007</v>
          </cell>
          <cell r="AE1550">
            <v>549.04999999999927</v>
          </cell>
          <cell r="AN1550" t="str">
            <v xml:space="preserve">Contrato emergencial nº </v>
          </cell>
          <cell r="AO1550" t="str">
            <v>SA</v>
          </cell>
        </row>
        <row r="1551">
          <cell r="D1551" t="str">
            <v>2585/11</v>
          </cell>
          <cell r="E1551" t="str">
            <v>03/10/2011</v>
          </cell>
          <cell r="F1551">
            <v>40998</v>
          </cell>
          <cell r="G1551">
            <v>40877</v>
          </cell>
          <cell r="H1551" t="str">
            <v>2011-0.230.432-4</v>
          </cell>
          <cell r="I1551">
            <v>40877.160000000003</v>
          </cell>
          <cell r="J1551" t="str">
            <v xml:space="preserve">              123651121                 2847                    33903600</v>
          </cell>
          <cell r="K1551" t="str">
            <v>03/10/2011</v>
          </cell>
          <cell r="L1551">
            <v>59</v>
          </cell>
          <cell r="M1551">
            <v>13400</v>
          </cell>
          <cell r="N1551">
            <v>57273</v>
          </cell>
          <cell r="O1551">
            <v>33319</v>
          </cell>
          <cell r="P1551">
            <v>16</v>
          </cell>
          <cell r="Q1551">
            <v>2</v>
          </cell>
          <cell r="U1551">
            <v>0</v>
          </cell>
          <cell r="V1551">
            <v>6900</v>
          </cell>
          <cell r="W1551">
            <v>180</v>
          </cell>
          <cell r="X1551">
            <v>5520</v>
          </cell>
          <cell r="Y1551">
            <v>111060</v>
          </cell>
          <cell r="Z1551">
            <v>8116.42</v>
          </cell>
          <cell r="AA1551">
            <v>4303.58</v>
          </cell>
          <cell r="AB1551">
            <v>227.09533333333334</v>
          </cell>
          <cell r="AC1551">
            <v>6900</v>
          </cell>
          <cell r="AD1551">
            <v>5694.37</v>
          </cell>
          <cell r="AE1551">
            <v>1205.6300000000001</v>
          </cell>
          <cell r="AN1551" t="str">
            <v xml:space="preserve">Contrato emergencial nº </v>
          </cell>
          <cell r="AO1551" t="str">
            <v>SA</v>
          </cell>
        </row>
        <row r="1552">
          <cell r="D1552" t="str">
            <v>2587/11</v>
          </cell>
          <cell r="E1552" t="str">
            <v>03/10/2011</v>
          </cell>
          <cell r="F1552">
            <v>40998</v>
          </cell>
          <cell r="G1552">
            <v>40877</v>
          </cell>
          <cell r="H1552" t="str">
            <v>2011-0.230.434-0</v>
          </cell>
          <cell r="I1552">
            <v>31012.38</v>
          </cell>
          <cell r="J1552" t="str">
            <v xml:space="preserve">              123651121                 2847                    33903600</v>
          </cell>
          <cell r="K1552" t="str">
            <v>03/10/2011</v>
          </cell>
          <cell r="L1552">
            <v>59</v>
          </cell>
          <cell r="M1552">
            <v>10200</v>
          </cell>
          <cell r="N1552">
            <v>57273</v>
          </cell>
          <cell r="O1552">
            <v>33340</v>
          </cell>
          <cell r="P1552">
            <v>16</v>
          </cell>
          <cell r="Q1552">
            <v>2</v>
          </cell>
          <cell r="U1552">
            <v>0</v>
          </cell>
          <cell r="V1552">
            <v>5200</v>
          </cell>
          <cell r="W1552">
            <v>180</v>
          </cell>
          <cell r="X1552">
            <v>4160</v>
          </cell>
          <cell r="Y1552">
            <v>110439</v>
          </cell>
          <cell r="Z1552">
            <v>5660.6119999999992</v>
          </cell>
          <cell r="AA1552">
            <v>3699.3880000000008</v>
          </cell>
          <cell r="AB1552">
            <v>172.291</v>
          </cell>
          <cell r="AC1552">
            <v>5200</v>
          </cell>
          <cell r="AD1552">
            <v>4798</v>
          </cell>
          <cell r="AE1552">
            <v>402</v>
          </cell>
          <cell r="AN1552" t="str">
            <v xml:space="preserve">Contrato emergencial nº </v>
          </cell>
          <cell r="AO1552" t="str">
            <v>CS</v>
          </cell>
        </row>
        <row r="1553">
          <cell r="D1553" t="str">
            <v>2590/11</v>
          </cell>
          <cell r="E1553" t="str">
            <v>03/10/2011</v>
          </cell>
          <cell r="F1553">
            <v>40998</v>
          </cell>
          <cell r="G1553">
            <v>40877</v>
          </cell>
          <cell r="H1553" t="str">
            <v>2011-0.230.437-5</v>
          </cell>
          <cell r="I1553">
            <v>25633.26</v>
          </cell>
          <cell r="J1553" t="str">
            <v xml:space="preserve">              123611122                  2848                    33903600</v>
          </cell>
          <cell r="K1553" t="str">
            <v>03/10/2011</v>
          </cell>
          <cell r="L1553">
            <v>59</v>
          </cell>
          <cell r="M1553">
            <v>8500</v>
          </cell>
          <cell r="N1553">
            <v>57278</v>
          </cell>
          <cell r="O1553">
            <v>33344</v>
          </cell>
          <cell r="P1553">
            <v>16</v>
          </cell>
          <cell r="Q1553">
            <v>3</v>
          </cell>
          <cell r="U1553">
            <v>0</v>
          </cell>
          <cell r="V1553">
            <v>4300</v>
          </cell>
          <cell r="W1553">
            <v>180</v>
          </cell>
          <cell r="X1553">
            <v>3440</v>
          </cell>
          <cell r="Y1553">
            <v>110886</v>
          </cell>
          <cell r="Z1553">
            <v>8500</v>
          </cell>
          <cell r="AA1553">
            <v>-760</v>
          </cell>
          <cell r="AB1553">
            <v>142.40699999999998</v>
          </cell>
          <cell r="AC1553">
            <v>4300</v>
          </cell>
          <cell r="AD1553">
            <v>4033.51</v>
          </cell>
          <cell r="AE1553">
            <v>266.48999999999978</v>
          </cell>
          <cell r="AN1553" t="str">
            <v xml:space="preserve">Contrato emergencial nº </v>
          </cell>
          <cell r="AO1553" t="str">
            <v>CL</v>
          </cell>
        </row>
        <row r="1554">
          <cell r="D1554" t="str">
            <v>2596/11</v>
          </cell>
          <cell r="E1554" t="str">
            <v>03/10/2011</v>
          </cell>
          <cell r="F1554">
            <v>40998</v>
          </cell>
          <cell r="G1554">
            <v>40877</v>
          </cell>
          <cell r="H1554" t="str">
            <v>2011-0.230.446-4</v>
          </cell>
          <cell r="I1554">
            <v>43908.6</v>
          </cell>
          <cell r="J1554" t="str">
            <v xml:space="preserve">              123611122                  2848                    33903600</v>
          </cell>
          <cell r="K1554" t="str">
            <v>03/10/2011</v>
          </cell>
          <cell r="L1554">
            <v>59</v>
          </cell>
          <cell r="M1554">
            <v>14400</v>
          </cell>
          <cell r="N1554">
            <v>57278</v>
          </cell>
          <cell r="O1554">
            <v>33350</v>
          </cell>
          <cell r="P1554">
            <v>2</v>
          </cell>
          <cell r="Q1554">
            <v>0</v>
          </cell>
          <cell r="U1554">
            <v>0</v>
          </cell>
          <cell r="V1554">
            <v>7400</v>
          </cell>
          <cell r="W1554">
            <v>180</v>
          </cell>
          <cell r="X1554">
            <v>5920</v>
          </cell>
          <cell r="Y1554">
            <v>110443</v>
          </cell>
          <cell r="Z1554">
            <v>8946.3993333333328</v>
          </cell>
          <cell r="AA1554">
            <v>4373.6006666666672</v>
          </cell>
          <cell r="AB1554">
            <v>243.93666666666667</v>
          </cell>
          <cell r="AC1554">
            <v>7400</v>
          </cell>
          <cell r="AD1554">
            <v>6074.72</v>
          </cell>
          <cell r="AE1554">
            <v>1325.2799999999997</v>
          </cell>
          <cell r="AN1554" t="str">
            <v xml:space="preserve">Contrato emergencial nº </v>
          </cell>
          <cell r="AO1554" t="str">
            <v>CS</v>
          </cell>
        </row>
        <row r="1555">
          <cell r="D1555" t="str">
            <v>2597/11</v>
          </cell>
          <cell r="E1555" t="str">
            <v>03/10/2011</v>
          </cell>
          <cell r="F1555">
            <v>40998</v>
          </cell>
          <cell r="G1555">
            <v>40877</v>
          </cell>
          <cell r="H1555" t="str">
            <v>2011-0.230.447-2</v>
          </cell>
          <cell r="I1555">
            <v>27971.16</v>
          </cell>
          <cell r="J1555" t="str">
            <v xml:space="preserve">              123651121                 2847                    33903600</v>
          </cell>
          <cell r="K1555" t="str">
            <v>03/10/2011</v>
          </cell>
          <cell r="L1555">
            <v>59</v>
          </cell>
          <cell r="M1555">
            <v>9200</v>
          </cell>
          <cell r="N1555">
            <v>57273</v>
          </cell>
          <cell r="O1555">
            <v>33354</v>
          </cell>
          <cell r="P1555">
            <v>16</v>
          </cell>
          <cell r="Q1555">
            <v>2</v>
          </cell>
          <cell r="U1555">
            <v>0</v>
          </cell>
          <cell r="V1555">
            <v>5100</v>
          </cell>
          <cell r="W1555">
            <v>180</v>
          </cell>
          <cell r="X1555">
            <v>4080</v>
          </cell>
          <cell r="Y1555">
            <v>111645</v>
          </cell>
          <cell r="Z1555">
            <v>4454.2</v>
          </cell>
          <cell r="AA1555">
            <v>4725.8</v>
          </cell>
          <cell r="AB1555">
            <v>155.39533333333333</v>
          </cell>
          <cell r="AC1555">
            <v>4700</v>
          </cell>
          <cell r="AD1555">
            <v>5062.2935555555559</v>
          </cell>
          <cell r="AE1555">
            <v>-362.29355555555594</v>
          </cell>
          <cell r="AN1555" t="str">
            <v xml:space="preserve">Contrato emergencial nº </v>
          </cell>
          <cell r="AO1555" t="str">
            <v>PJ</v>
          </cell>
        </row>
        <row r="1556">
          <cell r="D1556" t="str">
            <v>2600/11</v>
          </cell>
          <cell r="E1556" t="str">
            <v>03/10/2011</v>
          </cell>
          <cell r="F1556">
            <v>40998</v>
          </cell>
          <cell r="G1556">
            <v>40877</v>
          </cell>
          <cell r="H1556" t="str">
            <v>2011-0.230.451-0</v>
          </cell>
          <cell r="I1556">
            <v>37607.879999999997</v>
          </cell>
          <cell r="J1556" t="str">
            <v xml:space="preserve">              123611122                  2848                    33903600</v>
          </cell>
          <cell r="K1556" t="str">
            <v>03/10/2011</v>
          </cell>
          <cell r="L1556">
            <v>59</v>
          </cell>
          <cell r="M1556">
            <v>12400</v>
          </cell>
          <cell r="N1556">
            <v>57278</v>
          </cell>
          <cell r="O1556">
            <v>33356</v>
          </cell>
          <cell r="P1556">
            <v>16</v>
          </cell>
          <cell r="Q1556">
            <v>3</v>
          </cell>
          <cell r="U1556">
            <v>0</v>
          </cell>
          <cell r="V1556">
            <v>6300</v>
          </cell>
          <cell r="W1556">
            <v>180</v>
          </cell>
          <cell r="X1556">
            <v>5040</v>
          </cell>
          <cell r="Y1556">
            <v>113595</v>
          </cell>
          <cell r="Z1556">
            <v>12400</v>
          </cell>
          <cell r="AA1556">
            <v>-1060</v>
          </cell>
          <cell r="AB1556">
            <v>208.93266666666665</v>
          </cell>
          <cell r="AC1556">
            <v>6300</v>
          </cell>
          <cell r="AD1556">
            <v>5054.49</v>
          </cell>
          <cell r="AE1556">
            <v>1245.5100000000002</v>
          </cell>
          <cell r="AN1556" t="str">
            <v xml:space="preserve">Contrato emergencial nº </v>
          </cell>
          <cell r="AO1556" t="str">
            <v>BT</v>
          </cell>
        </row>
        <row r="1557">
          <cell r="D1557" t="str">
            <v>2601/11</v>
          </cell>
          <cell r="E1557" t="str">
            <v>03/10/2011</v>
          </cell>
          <cell r="F1557">
            <v>40998</v>
          </cell>
          <cell r="G1557">
            <v>40877</v>
          </cell>
          <cell r="H1557" t="str">
            <v>2011-0.230.452-9</v>
          </cell>
          <cell r="I1557">
            <v>44324.52</v>
          </cell>
          <cell r="J1557" t="str">
            <v xml:space="preserve">              123651121                 2847                    33903600</v>
          </cell>
          <cell r="K1557" t="str">
            <v>03/10/2011</v>
          </cell>
          <cell r="L1557">
            <v>59</v>
          </cell>
          <cell r="M1557">
            <v>14600</v>
          </cell>
          <cell r="N1557">
            <v>57273</v>
          </cell>
          <cell r="O1557">
            <v>33662</v>
          </cell>
          <cell r="P1557">
            <v>16</v>
          </cell>
          <cell r="Q1557">
            <v>2</v>
          </cell>
          <cell r="U1557">
            <v>0</v>
          </cell>
          <cell r="V1557">
            <v>7400</v>
          </cell>
          <cell r="W1557">
            <v>180</v>
          </cell>
          <cell r="X1557">
            <v>5920</v>
          </cell>
          <cell r="Y1557">
            <v>110455</v>
          </cell>
          <cell r="Z1557">
            <v>8699.7306666666664</v>
          </cell>
          <cell r="AA1557">
            <v>4620.2693333333336</v>
          </cell>
          <cell r="AB1557">
            <v>246.2473333333333</v>
          </cell>
          <cell r="AC1557">
            <v>7400</v>
          </cell>
          <cell r="AD1557">
            <v>5690.41</v>
          </cell>
          <cell r="AE1557">
            <v>1709.5900000000001</v>
          </cell>
          <cell r="AN1557" t="str">
            <v xml:space="preserve">Contrato emergencial nº </v>
          </cell>
          <cell r="AO1557" t="str">
            <v>CS</v>
          </cell>
        </row>
        <row r="1558">
          <cell r="D1558" t="str">
            <v>2606/11</v>
          </cell>
          <cell r="E1558" t="str">
            <v>03/10/2011</v>
          </cell>
          <cell r="F1558">
            <v>40998</v>
          </cell>
          <cell r="G1558">
            <v>40877</v>
          </cell>
          <cell r="H1558" t="str">
            <v>2011-0.230.457-0</v>
          </cell>
          <cell r="I1558">
            <v>38261.760000000002</v>
          </cell>
          <cell r="J1558" t="str">
            <v xml:space="preserve">              123611122                  2848                    33903600</v>
          </cell>
          <cell r="K1558" t="str">
            <v>03/10/2011</v>
          </cell>
          <cell r="L1558">
            <v>59</v>
          </cell>
          <cell r="M1558">
            <v>12600</v>
          </cell>
          <cell r="N1558">
            <v>57278</v>
          </cell>
          <cell r="O1558">
            <v>33663</v>
          </cell>
          <cell r="P1558">
            <v>16</v>
          </cell>
          <cell r="Q1558">
            <v>3</v>
          </cell>
          <cell r="U1558">
            <v>0</v>
          </cell>
          <cell r="V1558">
            <v>6400</v>
          </cell>
          <cell r="W1558">
            <v>180</v>
          </cell>
          <cell r="X1558">
            <v>5120</v>
          </cell>
          <cell r="Y1558">
            <v>111261</v>
          </cell>
          <cell r="Z1558">
            <v>7844.26</v>
          </cell>
          <cell r="AA1558">
            <v>3675.74</v>
          </cell>
          <cell r="AB1558">
            <v>212.56533333333334</v>
          </cell>
          <cell r="AC1558">
            <v>6400</v>
          </cell>
          <cell r="AD1558">
            <v>5174.5200000000004</v>
          </cell>
          <cell r="AE1558">
            <v>1225.4799999999996</v>
          </cell>
          <cell r="AN1558" t="str">
            <v xml:space="preserve">Contrato emergencial nº </v>
          </cell>
          <cell r="AO1558" t="str">
            <v>IQ</v>
          </cell>
        </row>
        <row r="1559">
          <cell r="D1559" t="str">
            <v>2607/11</v>
          </cell>
          <cell r="E1559" t="str">
            <v>03/10/2011</v>
          </cell>
          <cell r="F1559">
            <v>40998</v>
          </cell>
          <cell r="G1559">
            <v>40877</v>
          </cell>
          <cell r="H1559" t="str">
            <v>2011-0.230.458-8</v>
          </cell>
          <cell r="I1559">
            <v>39569.46</v>
          </cell>
          <cell r="J1559" t="str">
            <v xml:space="preserve">              123651121                 2847                    33903600</v>
          </cell>
          <cell r="K1559" t="str">
            <v>03/10/2011</v>
          </cell>
          <cell r="L1559">
            <v>59</v>
          </cell>
          <cell r="M1559">
            <v>13000</v>
          </cell>
          <cell r="N1559">
            <v>57273</v>
          </cell>
          <cell r="O1559">
            <v>33666</v>
          </cell>
          <cell r="P1559">
            <v>16</v>
          </cell>
          <cell r="Q1559">
            <v>2</v>
          </cell>
          <cell r="U1559">
            <v>0</v>
          </cell>
          <cell r="V1559">
            <v>6600</v>
          </cell>
          <cell r="W1559">
            <v>180</v>
          </cell>
          <cell r="X1559">
            <v>5280</v>
          </cell>
          <cell r="Y1559">
            <v>111993</v>
          </cell>
          <cell r="Z1559">
            <v>1533.5076666666664</v>
          </cell>
          <cell r="AA1559">
            <v>10346.492333333334</v>
          </cell>
          <cell r="AB1559">
            <v>219.83033333333333</v>
          </cell>
          <cell r="AC1559">
            <v>6600</v>
          </cell>
          <cell r="AD1559">
            <v>4962.2950000000001</v>
          </cell>
          <cell r="AE1559">
            <v>1637.7049999999999</v>
          </cell>
          <cell r="AN1559" t="str">
            <v xml:space="preserve">Contrato emergencial nº </v>
          </cell>
          <cell r="AO1559" t="str">
            <v>MP</v>
          </cell>
        </row>
        <row r="1560">
          <cell r="D1560" t="str">
            <v>2608/11</v>
          </cell>
          <cell r="E1560" t="str">
            <v>03/10/2011</v>
          </cell>
          <cell r="F1560">
            <v>40998</v>
          </cell>
          <cell r="G1560">
            <v>40877</v>
          </cell>
          <cell r="H1560" t="str">
            <v>2011-0.230.459-6</v>
          </cell>
          <cell r="I1560">
            <v>30150.54</v>
          </cell>
          <cell r="J1560" t="str">
            <v xml:space="preserve">              123651121                 2847                    33903600</v>
          </cell>
          <cell r="K1560" t="str">
            <v>03/10/2011</v>
          </cell>
          <cell r="L1560">
            <v>59</v>
          </cell>
          <cell r="M1560">
            <v>9900</v>
          </cell>
          <cell r="N1560">
            <v>57273</v>
          </cell>
          <cell r="O1560">
            <v>33669</v>
          </cell>
          <cell r="P1560">
            <v>16</v>
          </cell>
          <cell r="Q1560">
            <v>2</v>
          </cell>
          <cell r="U1560">
            <v>0</v>
          </cell>
          <cell r="V1560">
            <v>5100</v>
          </cell>
          <cell r="W1560">
            <v>180</v>
          </cell>
          <cell r="X1560">
            <v>4080</v>
          </cell>
          <cell r="Y1560">
            <v>111995</v>
          </cell>
          <cell r="Z1560">
            <v>4839.2870000000003</v>
          </cell>
          <cell r="AA1560">
            <v>4340.7129999999997</v>
          </cell>
          <cell r="AB1560">
            <v>167.50300000000001</v>
          </cell>
          <cell r="AC1560">
            <v>5100</v>
          </cell>
          <cell r="AD1560">
            <v>4194.63</v>
          </cell>
          <cell r="AE1560">
            <v>905.36999999999989</v>
          </cell>
          <cell r="AN1560" t="str">
            <v xml:space="preserve">Contrato emergencial nº </v>
          </cell>
          <cell r="AO1560" t="str">
            <v>MP</v>
          </cell>
        </row>
        <row r="1561">
          <cell r="D1561" t="str">
            <v>2610/11</v>
          </cell>
          <cell r="E1561" t="str">
            <v>03/10/2011</v>
          </cell>
          <cell r="F1561">
            <v>40998</v>
          </cell>
          <cell r="G1561">
            <v>40877</v>
          </cell>
          <cell r="H1561" t="str">
            <v>2011-0.230.461-8</v>
          </cell>
          <cell r="I1561">
            <v>34338.839999999997</v>
          </cell>
          <cell r="J1561" t="str">
            <v xml:space="preserve">              123611122                  2848                    33903600</v>
          </cell>
          <cell r="K1561" t="str">
            <v>03/10/2011</v>
          </cell>
          <cell r="L1561">
            <v>59</v>
          </cell>
          <cell r="M1561">
            <v>11300</v>
          </cell>
          <cell r="N1561">
            <v>57278</v>
          </cell>
          <cell r="O1561">
            <v>33673</v>
          </cell>
          <cell r="P1561">
            <v>16</v>
          </cell>
          <cell r="Q1561">
            <v>3</v>
          </cell>
          <cell r="U1561">
            <v>0</v>
          </cell>
          <cell r="V1561">
            <v>5800</v>
          </cell>
          <cell r="W1561">
            <v>180</v>
          </cell>
          <cell r="X1561">
            <v>4640</v>
          </cell>
          <cell r="Y1561">
            <v>111063</v>
          </cell>
          <cell r="Z1561">
            <v>7213.39</v>
          </cell>
          <cell r="AA1561">
            <v>3226.6099999999997</v>
          </cell>
          <cell r="AB1561">
            <v>190.7713333333333</v>
          </cell>
          <cell r="AC1561">
            <v>5800</v>
          </cell>
          <cell r="AD1561">
            <v>4403.2975000000006</v>
          </cell>
          <cell r="AE1561">
            <v>1396.7024999999994</v>
          </cell>
          <cell r="AN1561" t="str">
            <v xml:space="preserve">Contrato emergencial nº </v>
          </cell>
          <cell r="AO1561" t="str">
            <v>SA</v>
          </cell>
        </row>
        <row r="1562">
          <cell r="D1562" t="str">
            <v>2614/11</v>
          </cell>
          <cell r="E1562" t="str">
            <v>03/10/2011</v>
          </cell>
          <cell r="F1562">
            <v>40998</v>
          </cell>
          <cell r="G1562">
            <v>40877</v>
          </cell>
          <cell r="H1562" t="str">
            <v>2011-0.230.465-0</v>
          </cell>
          <cell r="I1562">
            <v>30606.240000000002</v>
          </cell>
          <cell r="J1562" t="str">
            <v xml:space="preserve">              123651121                 2847                    33903600</v>
          </cell>
          <cell r="K1562" t="str">
            <v>03/10/2011</v>
          </cell>
          <cell r="L1562">
            <v>59</v>
          </cell>
          <cell r="M1562">
            <v>10100</v>
          </cell>
          <cell r="N1562">
            <v>57273</v>
          </cell>
          <cell r="O1562">
            <v>33676</v>
          </cell>
          <cell r="P1562">
            <v>16</v>
          </cell>
          <cell r="Q1562">
            <v>2</v>
          </cell>
          <cell r="U1562">
            <v>0</v>
          </cell>
          <cell r="V1562">
            <v>5200</v>
          </cell>
          <cell r="W1562">
            <v>180</v>
          </cell>
          <cell r="X1562">
            <v>4160</v>
          </cell>
          <cell r="Y1562">
            <v>105457</v>
          </cell>
          <cell r="Z1562">
            <v>5594.15</v>
          </cell>
          <cell r="AA1562">
            <v>3765.8500000000004</v>
          </cell>
          <cell r="AB1562">
            <v>170.03466666666668</v>
          </cell>
          <cell r="AC1562">
            <v>5200</v>
          </cell>
          <cell r="AD1562">
            <v>4582.5017777777775</v>
          </cell>
          <cell r="AE1562">
            <v>617.49822222222247</v>
          </cell>
          <cell r="AN1562" t="str">
            <v xml:space="preserve">Contrato emergencial nº </v>
          </cell>
          <cell r="AO1562" t="str">
            <v>JT</v>
          </cell>
        </row>
        <row r="1563">
          <cell r="D1563" t="str">
            <v>2616/11</v>
          </cell>
          <cell r="E1563" t="str">
            <v>03/10/2011</v>
          </cell>
          <cell r="F1563">
            <v>40998</v>
          </cell>
          <cell r="G1563">
            <v>40877</v>
          </cell>
          <cell r="H1563" t="str">
            <v>2011-0.230.467-7</v>
          </cell>
          <cell r="I1563">
            <v>27257.94</v>
          </cell>
          <cell r="J1563" t="str">
            <v xml:space="preserve">              123651121                 2847                    33903600</v>
          </cell>
          <cell r="K1563" t="str">
            <v>03/10/2011</v>
          </cell>
          <cell r="L1563">
            <v>59</v>
          </cell>
          <cell r="M1563">
            <v>9000</v>
          </cell>
          <cell r="N1563">
            <v>57273</v>
          </cell>
          <cell r="O1563">
            <v>33679</v>
          </cell>
          <cell r="P1563">
            <v>16</v>
          </cell>
          <cell r="Q1563">
            <v>2</v>
          </cell>
          <cell r="U1563">
            <v>0</v>
          </cell>
          <cell r="V1563">
            <v>5100</v>
          </cell>
          <cell r="W1563">
            <v>180</v>
          </cell>
          <cell r="X1563">
            <v>4080</v>
          </cell>
          <cell r="Y1563">
            <v>111064</v>
          </cell>
          <cell r="Z1563">
            <v>4619.5200000000004</v>
          </cell>
          <cell r="AA1563">
            <v>4560.4799999999996</v>
          </cell>
          <cell r="AB1563">
            <v>151.43299999999999</v>
          </cell>
          <cell r="AC1563">
            <v>4600</v>
          </cell>
          <cell r="AD1563">
            <v>5024.53</v>
          </cell>
          <cell r="AE1563">
            <v>-424.52999999999975</v>
          </cell>
          <cell r="AN1563" t="str">
            <v xml:space="preserve">Contrato emergencial nº </v>
          </cell>
          <cell r="AO1563" t="str">
            <v>SA</v>
          </cell>
        </row>
        <row r="1564">
          <cell r="D1564" t="str">
            <v>2617/11</v>
          </cell>
          <cell r="E1564" t="str">
            <v>03/10/2011</v>
          </cell>
          <cell r="F1564">
            <v>40998</v>
          </cell>
          <cell r="G1564">
            <v>40877</v>
          </cell>
          <cell r="H1564" t="str">
            <v>2011-0.230.468-5</v>
          </cell>
          <cell r="I1564">
            <v>30150.54</v>
          </cell>
          <cell r="J1564" t="str">
            <v xml:space="preserve">              123611122                  2848                    33903600</v>
          </cell>
          <cell r="K1564" t="str">
            <v>03/10/2011</v>
          </cell>
          <cell r="L1564">
            <v>59</v>
          </cell>
          <cell r="M1564">
            <v>9900</v>
          </cell>
          <cell r="N1564">
            <v>57278</v>
          </cell>
          <cell r="O1564">
            <v>33683</v>
          </cell>
          <cell r="P1564">
            <v>16</v>
          </cell>
          <cell r="Q1564">
            <v>3</v>
          </cell>
          <cell r="U1564">
            <v>0</v>
          </cell>
          <cell r="V1564">
            <v>5100</v>
          </cell>
          <cell r="W1564">
            <v>180</v>
          </cell>
          <cell r="X1564">
            <v>4080</v>
          </cell>
          <cell r="Y1564">
            <v>111647</v>
          </cell>
          <cell r="Z1564">
            <v>5943.54</v>
          </cell>
          <cell r="AA1564">
            <v>3236.46</v>
          </cell>
          <cell r="AB1564">
            <v>167.50300000000001</v>
          </cell>
          <cell r="AC1564">
            <v>5100</v>
          </cell>
          <cell r="AD1564">
            <v>4950.288333333333</v>
          </cell>
          <cell r="AE1564">
            <v>149.71166666666704</v>
          </cell>
          <cell r="AN1564" t="str">
            <v xml:space="preserve">Contrato emergencial nº </v>
          </cell>
          <cell r="AO1564" t="str">
            <v>PJ</v>
          </cell>
        </row>
        <row r="1565">
          <cell r="D1565" t="str">
            <v>2619/11</v>
          </cell>
          <cell r="E1565" t="str">
            <v>03/10/2011</v>
          </cell>
          <cell r="F1565">
            <v>40998</v>
          </cell>
          <cell r="G1565">
            <v>40877</v>
          </cell>
          <cell r="H1565" t="str">
            <v>2011-0.230.471-5</v>
          </cell>
          <cell r="I1565">
            <v>44324.52</v>
          </cell>
          <cell r="J1565" t="str">
            <v xml:space="preserve">              123611122                  2848                    33903600</v>
          </cell>
          <cell r="K1565" t="str">
            <v>03/10/2011</v>
          </cell>
          <cell r="L1565">
            <v>59</v>
          </cell>
          <cell r="M1565">
            <v>14600</v>
          </cell>
          <cell r="N1565">
            <v>57278</v>
          </cell>
          <cell r="O1565">
            <v>33686</v>
          </cell>
          <cell r="P1565">
            <v>16</v>
          </cell>
          <cell r="Q1565">
            <v>3</v>
          </cell>
          <cell r="U1565">
            <v>0</v>
          </cell>
          <cell r="V1565">
            <v>7400</v>
          </cell>
          <cell r="W1565">
            <v>180</v>
          </cell>
          <cell r="X1565">
            <v>5920</v>
          </cell>
          <cell r="Y1565">
            <v>111065</v>
          </cell>
          <cell r="Z1565">
            <v>9005.4699999999993</v>
          </cell>
          <cell r="AA1565">
            <v>4314.5300000000007</v>
          </cell>
          <cell r="AB1565">
            <v>246.2473333333333</v>
          </cell>
          <cell r="AC1565">
            <v>7400</v>
          </cell>
          <cell r="AD1565">
            <v>6033.0300000000007</v>
          </cell>
          <cell r="AE1565">
            <v>1366.9699999999993</v>
          </cell>
          <cell r="AN1565" t="str">
            <v xml:space="preserve">Contrato emergencial nº </v>
          </cell>
          <cell r="AO1565" t="str">
            <v>SA</v>
          </cell>
        </row>
        <row r="1566">
          <cell r="D1566" t="str">
            <v>2624/11</v>
          </cell>
          <cell r="E1566" t="str">
            <v>03/10/2011</v>
          </cell>
          <cell r="F1566">
            <v>40998</v>
          </cell>
          <cell r="G1566">
            <v>40877</v>
          </cell>
          <cell r="H1566" t="str">
            <v>2011-0.230.477-4</v>
          </cell>
          <cell r="I1566">
            <v>24414.78</v>
          </cell>
          <cell r="J1566" t="str">
            <v xml:space="preserve">              123651121                 2847                    33903600</v>
          </cell>
          <cell r="K1566" t="str">
            <v>03/10/2011</v>
          </cell>
          <cell r="L1566">
            <v>59</v>
          </cell>
          <cell r="M1566">
            <v>8100</v>
          </cell>
          <cell r="N1566">
            <v>57273</v>
          </cell>
          <cell r="O1566">
            <v>33717</v>
          </cell>
          <cell r="P1566">
            <v>16</v>
          </cell>
          <cell r="Q1566">
            <v>2</v>
          </cell>
          <cell r="U1566">
            <v>0</v>
          </cell>
          <cell r="V1566">
            <v>4800</v>
          </cell>
          <cell r="W1566">
            <v>180</v>
          </cell>
          <cell r="X1566">
            <v>3840</v>
          </cell>
          <cell r="Y1566">
            <v>111649</v>
          </cell>
          <cell r="Z1566">
            <v>3738.63</v>
          </cell>
          <cell r="AA1566">
            <v>4901.37</v>
          </cell>
          <cell r="AB1566">
            <v>135.63766666666666</v>
          </cell>
          <cell r="AC1566">
            <v>4100</v>
          </cell>
          <cell r="AD1566">
            <v>4791.21</v>
          </cell>
          <cell r="AE1566">
            <v>-691.21</v>
          </cell>
          <cell r="AN1566" t="str">
            <v xml:space="preserve">Contrato emergencial nº </v>
          </cell>
          <cell r="AO1566" t="str">
            <v>PJ</v>
          </cell>
        </row>
        <row r="1567">
          <cell r="D1567" t="str">
            <v>2698/11</v>
          </cell>
          <cell r="E1567" t="str">
            <v>03/10/2011</v>
          </cell>
          <cell r="F1567">
            <v>40998</v>
          </cell>
          <cell r="G1567">
            <v>40877</v>
          </cell>
          <cell r="H1567" t="str">
            <v>2011-0.256.659-0</v>
          </cell>
          <cell r="I1567" t="str">
            <v>34.992,66</v>
          </cell>
          <cell r="J1567" t="str">
            <v xml:space="preserve">              123611122                  2848                    33903600</v>
          </cell>
          <cell r="K1567" t="str">
            <v>03/10/2011</v>
          </cell>
          <cell r="L1567">
            <v>59</v>
          </cell>
          <cell r="M1567">
            <v>11500</v>
          </cell>
          <cell r="N1567">
            <v>57278</v>
          </cell>
          <cell r="O1567">
            <v>33222</v>
          </cell>
          <cell r="P1567">
            <v>16</v>
          </cell>
          <cell r="Q1567">
            <v>3</v>
          </cell>
          <cell r="U1567">
            <v>0</v>
          </cell>
          <cell r="V1567">
            <v>5900</v>
          </cell>
          <cell r="W1567">
            <v>180</v>
          </cell>
          <cell r="X1567">
            <v>4720</v>
          </cell>
          <cell r="Y1567">
            <v>114706</v>
          </cell>
          <cell r="Z1567">
            <v>7115.21</v>
          </cell>
          <cell r="AA1567">
            <v>3504.79</v>
          </cell>
          <cell r="AB1567">
            <v>194.40366666666668</v>
          </cell>
          <cell r="AC1567">
            <v>5900</v>
          </cell>
          <cell r="AD1567">
            <v>4335.5266666666666</v>
          </cell>
          <cell r="AE1567">
            <v>1564.4733333333334</v>
          </cell>
          <cell r="AN1567" t="str">
            <v xml:space="preserve">Contrato emergencial nº </v>
          </cell>
          <cell r="AO1567" t="str">
            <v>JT</v>
          </cell>
        </row>
        <row r="1568">
          <cell r="D1568" t="str">
            <v>2699/11</v>
          </cell>
          <cell r="E1568" t="str">
            <v>04/10/2011</v>
          </cell>
          <cell r="F1568">
            <v>40999</v>
          </cell>
          <cell r="G1568">
            <v>40877</v>
          </cell>
          <cell r="H1568" t="str">
            <v>2011-0.256.660-4</v>
          </cell>
          <cell r="I1568" t="str">
            <v>30.606,24</v>
          </cell>
          <cell r="J1568" t="str">
            <v xml:space="preserve">              123611122                  2848                    33903600</v>
          </cell>
          <cell r="K1568" t="str">
            <v>04/10/2011</v>
          </cell>
          <cell r="L1568">
            <v>58</v>
          </cell>
          <cell r="M1568">
            <v>9900</v>
          </cell>
          <cell r="N1568">
            <v>57278</v>
          </cell>
          <cell r="O1568">
            <v>33224</v>
          </cell>
          <cell r="P1568">
            <v>16</v>
          </cell>
          <cell r="Q1568">
            <v>3</v>
          </cell>
          <cell r="U1568">
            <v>0</v>
          </cell>
          <cell r="V1568">
            <v>5200</v>
          </cell>
          <cell r="W1568">
            <v>180</v>
          </cell>
          <cell r="X1568">
            <v>4160</v>
          </cell>
          <cell r="Y1568">
            <v>113875</v>
          </cell>
          <cell r="Z1568">
            <v>6172.45</v>
          </cell>
          <cell r="AA1568">
            <v>3187.55</v>
          </cell>
          <cell r="AB1568">
            <v>170.03466666666668</v>
          </cell>
          <cell r="AC1568">
            <v>5200</v>
          </cell>
          <cell r="AD1568">
            <v>4286.96</v>
          </cell>
          <cell r="AE1568">
            <v>913.04</v>
          </cell>
          <cell r="AN1568" t="str">
            <v xml:space="preserve">Contrato emergencial nº </v>
          </cell>
          <cell r="AO1568" t="str">
            <v>PJ</v>
          </cell>
        </row>
        <row r="1569">
          <cell r="D1569" t="str">
            <v>2700/11</v>
          </cell>
          <cell r="E1569" t="str">
            <v>10/10/2011</v>
          </cell>
          <cell r="F1569">
            <v>41005</v>
          </cell>
          <cell r="G1569">
            <v>40877</v>
          </cell>
          <cell r="H1569" t="str">
            <v>2011-0.256.662-0</v>
          </cell>
          <cell r="I1569" t="str">
            <v>27.565,02</v>
          </cell>
          <cell r="J1569" t="str">
            <v xml:space="preserve">              123651121                 2847                    33903600</v>
          </cell>
          <cell r="K1569" t="str">
            <v>10/10/2011</v>
          </cell>
          <cell r="L1569">
            <v>52</v>
          </cell>
          <cell r="M1569">
            <v>8000</v>
          </cell>
          <cell r="N1569">
            <v>57273</v>
          </cell>
          <cell r="O1569">
            <v>34052</v>
          </cell>
          <cell r="P1569">
            <v>16</v>
          </cell>
          <cell r="Q1569">
            <v>2</v>
          </cell>
          <cell r="U1569">
            <v>0</v>
          </cell>
          <cell r="V1569">
            <v>5400</v>
          </cell>
          <cell r="W1569">
            <v>180</v>
          </cell>
          <cell r="X1569">
            <v>4320</v>
          </cell>
          <cell r="Y1569">
            <v>113188</v>
          </cell>
          <cell r="Z1569">
            <v>8000</v>
          </cell>
          <cell r="AA1569">
            <v>1720</v>
          </cell>
          <cell r="AB1569">
            <v>153.13900000000001</v>
          </cell>
          <cell r="AC1569">
            <v>4600</v>
          </cell>
          <cell r="AD1569">
            <v>5371.2</v>
          </cell>
          <cell r="AE1569">
            <v>-771.19999999999982</v>
          </cell>
          <cell r="AN1569" t="str">
            <v xml:space="preserve">Contrato emergencial nº </v>
          </cell>
          <cell r="AO1569" t="str">
            <v>CL</v>
          </cell>
        </row>
        <row r="1570">
          <cell r="D1570" t="str">
            <v>2701/11</v>
          </cell>
          <cell r="E1570" t="str">
            <v>03/10/2011</v>
          </cell>
          <cell r="F1570">
            <v>40998</v>
          </cell>
          <cell r="G1570">
            <v>40877</v>
          </cell>
          <cell r="H1570" t="str">
            <v>2011-0.256.664-7</v>
          </cell>
          <cell r="I1570" t="str">
            <v>40.877,16</v>
          </cell>
          <cell r="J1570" t="str">
            <v xml:space="preserve">              123611122                  2848                    33903600</v>
          </cell>
          <cell r="K1570" t="str">
            <v>03/10/2011</v>
          </cell>
          <cell r="L1570">
            <v>59</v>
          </cell>
          <cell r="M1570">
            <v>13400</v>
          </cell>
          <cell r="N1570">
            <v>57278</v>
          </cell>
          <cell r="O1570">
            <v>33225</v>
          </cell>
          <cell r="P1570">
            <v>16</v>
          </cell>
          <cell r="Q1570">
            <v>3</v>
          </cell>
          <cell r="U1570">
            <v>0</v>
          </cell>
          <cell r="V1570">
            <v>6900</v>
          </cell>
          <cell r="W1570">
            <v>180</v>
          </cell>
          <cell r="X1570">
            <v>5520</v>
          </cell>
          <cell r="Y1570">
            <v>112926</v>
          </cell>
          <cell r="Z1570">
            <v>8010.32</v>
          </cell>
          <cell r="AA1570">
            <v>4409.68</v>
          </cell>
          <cell r="AB1570">
            <v>227.09533333333334</v>
          </cell>
          <cell r="AC1570">
            <v>6900</v>
          </cell>
          <cell r="AD1570">
            <v>6012</v>
          </cell>
          <cell r="AE1570">
            <v>888</v>
          </cell>
          <cell r="AN1570" t="str">
            <v xml:space="preserve">Contrato emergencial nº </v>
          </cell>
          <cell r="AO1570" t="str">
            <v>PJ</v>
          </cell>
        </row>
        <row r="1571">
          <cell r="D1571" t="str">
            <v>2702/11</v>
          </cell>
          <cell r="E1571" t="str">
            <v>03/10/2011</v>
          </cell>
          <cell r="F1571">
            <v>40998</v>
          </cell>
          <cell r="G1571">
            <v>40877</v>
          </cell>
          <cell r="H1571" t="str">
            <v>2011-0.256.665-5</v>
          </cell>
          <cell r="I1571" t="str">
            <v>31.418,52</v>
          </cell>
          <cell r="J1571" t="str">
            <v xml:space="preserve">              123651121                 2847                    33903600</v>
          </cell>
          <cell r="K1571" t="str">
            <v>03/10/2011</v>
          </cell>
          <cell r="L1571">
            <v>59</v>
          </cell>
          <cell r="M1571">
            <v>10300</v>
          </cell>
          <cell r="N1571">
            <v>57273</v>
          </cell>
          <cell r="O1571">
            <v>33226</v>
          </cell>
          <cell r="P1571">
            <v>16</v>
          </cell>
          <cell r="Q1571">
            <v>2</v>
          </cell>
          <cell r="U1571">
            <v>0</v>
          </cell>
          <cell r="V1571">
            <v>5700</v>
          </cell>
          <cell r="W1571">
            <v>180</v>
          </cell>
          <cell r="X1571">
            <v>4560</v>
          </cell>
          <cell r="Y1571">
            <v>114707</v>
          </cell>
          <cell r="Z1571">
            <v>5464.94</v>
          </cell>
          <cell r="AA1571">
            <v>4795.0600000000004</v>
          </cell>
          <cell r="AB1571">
            <v>174.54733333333334</v>
          </cell>
          <cell r="AC1571">
            <v>5300</v>
          </cell>
          <cell r="AD1571">
            <v>5633.130000000001</v>
          </cell>
          <cell r="AE1571">
            <v>-333.13000000000102</v>
          </cell>
          <cell r="AN1571" t="str">
            <v xml:space="preserve">Contrato emergencial nº </v>
          </cell>
          <cell r="AO1571" t="str">
            <v>JT</v>
          </cell>
        </row>
        <row r="1572">
          <cell r="D1572" t="str">
            <v>2703/11</v>
          </cell>
          <cell r="E1572" t="str">
            <v>04/10/2011</v>
          </cell>
          <cell r="F1572">
            <v>40999</v>
          </cell>
          <cell r="G1572">
            <v>40877</v>
          </cell>
          <cell r="H1572" t="str">
            <v>2011-0.256.666-3</v>
          </cell>
          <cell r="I1572" t="str">
            <v>44.324,52</v>
          </cell>
          <cell r="J1572" t="str">
            <v xml:space="preserve">              123651121                 2847                    33903600</v>
          </cell>
          <cell r="K1572" t="str">
            <v>04/10/2011</v>
          </cell>
          <cell r="L1572">
            <v>58</v>
          </cell>
          <cell r="M1572">
            <v>14300</v>
          </cell>
          <cell r="N1572">
            <v>57273</v>
          </cell>
          <cell r="O1572">
            <v>33227</v>
          </cell>
          <cell r="P1572">
            <v>16</v>
          </cell>
          <cell r="Q1572">
            <v>2</v>
          </cell>
          <cell r="U1572">
            <v>0</v>
          </cell>
          <cell r="V1572">
            <v>7800</v>
          </cell>
          <cell r="W1572">
            <v>180</v>
          </cell>
          <cell r="X1572">
            <v>6240</v>
          </cell>
          <cell r="Y1572">
            <v>113880</v>
          </cell>
          <cell r="Z1572">
            <v>7283.41</v>
          </cell>
          <cell r="AA1572">
            <v>6756.59</v>
          </cell>
          <cell r="AB1572">
            <v>246.2473333333333</v>
          </cell>
          <cell r="AC1572">
            <v>7400</v>
          </cell>
          <cell r="AD1572">
            <v>7744.8599999999988</v>
          </cell>
          <cell r="AE1572">
            <v>-344.85999999999876</v>
          </cell>
          <cell r="AN1572" t="str">
            <v xml:space="preserve">Contrato emergencial nº </v>
          </cell>
          <cell r="AO1572" t="str">
            <v>PJ</v>
          </cell>
        </row>
        <row r="1573">
          <cell r="D1573" t="str">
            <v>2704/11</v>
          </cell>
          <cell r="E1573" t="str">
            <v>05/10/2011</v>
          </cell>
          <cell r="F1573">
            <v>41000</v>
          </cell>
          <cell r="G1573">
            <v>40877</v>
          </cell>
          <cell r="H1573" t="str">
            <v>2011-0.256.667-1</v>
          </cell>
          <cell r="I1573" t="str">
            <v>28.377,30</v>
          </cell>
          <cell r="J1573" t="str">
            <v xml:space="preserve">              123611122                  2848                    33903600</v>
          </cell>
          <cell r="K1573" t="str">
            <v>05/10/2011</v>
          </cell>
          <cell r="L1573">
            <v>57</v>
          </cell>
          <cell r="M1573">
            <v>9000</v>
          </cell>
          <cell r="N1573">
            <v>57278</v>
          </cell>
          <cell r="O1573">
            <v>33233</v>
          </cell>
          <cell r="P1573">
            <v>16</v>
          </cell>
          <cell r="Q1573">
            <v>3</v>
          </cell>
          <cell r="U1573">
            <v>0</v>
          </cell>
          <cell r="V1573">
            <v>4800</v>
          </cell>
          <cell r="W1573">
            <v>180</v>
          </cell>
          <cell r="X1573">
            <v>3840</v>
          </cell>
          <cell r="Y1573">
            <v>113211</v>
          </cell>
          <cell r="Z1573">
            <v>4812.6806666666662</v>
          </cell>
          <cell r="AA1573">
            <v>3827.3193333333338</v>
          </cell>
          <cell r="AB1573">
            <v>157.65166666666667</v>
          </cell>
          <cell r="AC1573">
            <v>4800</v>
          </cell>
          <cell r="AD1573">
            <v>4391.096333333333</v>
          </cell>
          <cell r="AE1573">
            <v>408.90366666666705</v>
          </cell>
          <cell r="AN1573" t="str">
            <v xml:space="preserve">Contrato emergencial nº </v>
          </cell>
          <cell r="AO1573" t="str">
            <v>CS</v>
          </cell>
        </row>
        <row r="1574">
          <cell r="D1574" t="str">
            <v>2705/11</v>
          </cell>
          <cell r="E1574" t="str">
            <v>06/10/2011</v>
          </cell>
          <cell r="F1574">
            <v>41001</v>
          </cell>
          <cell r="G1574">
            <v>40877</v>
          </cell>
          <cell r="H1574" t="str">
            <v>2011-0.256.668-0</v>
          </cell>
          <cell r="I1574" t="str">
            <v>42.838,74</v>
          </cell>
          <cell r="J1574" t="str">
            <v xml:space="preserve">              123651121                 2847                    33903600</v>
          </cell>
          <cell r="K1574" t="str">
            <v>06/10/2011</v>
          </cell>
          <cell r="L1574">
            <v>56</v>
          </cell>
          <cell r="M1574">
            <v>13400</v>
          </cell>
          <cell r="N1574">
            <v>57273</v>
          </cell>
          <cell r="O1574">
            <v>34054</v>
          </cell>
          <cell r="P1574">
            <v>16</v>
          </cell>
          <cell r="Q1574">
            <v>4</v>
          </cell>
          <cell r="U1574">
            <v>5788.1715555555556</v>
          </cell>
          <cell r="V1574">
            <v>7200</v>
          </cell>
          <cell r="W1574">
            <v>180</v>
          </cell>
          <cell r="X1574">
            <v>5760</v>
          </cell>
          <cell r="Y1574">
            <v>0</v>
          </cell>
          <cell r="Z1574">
            <v>0</v>
          </cell>
          <cell r="AA1574">
            <v>18748.171555555557</v>
          </cell>
          <cell r="AB1574">
            <v>237.99299999999999</v>
          </cell>
          <cell r="AC1574">
            <v>7200</v>
          </cell>
          <cell r="AD1574">
            <v>7064.8</v>
          </cell>
          <cell r="AE1574">
            <v>135.19999999999982</v>
          </cell>
          <cell r="AN1574" t="str">
            <v xml:space="preserve">Contrato emergencial nº </v>
          </cell>
          <cell r="AO1574" t="str">
            <v>CL</v>
          </cell>
        </row>
        <row r="1575">
          <cell r="D1575" t="str">
            <v>2706/11</v>
          </cell>
          <cell r="E1575" t="str">
            <v>10/10/2011</v>
          </cell>
          <cell r="F1575">
            <v>41005</v>
          </cell>
          <cell r="G1575">
            <v>40877</v>
          </cell>
          <cell r="H1575" t="str">
            <v>2011-0.256.669-8</v>
          </cell>
          <cell r="I1575" t="str">
            <v>44.978,40</v>
          </cell>
          <cell r="J1575" t="str">
            <v xml:space="preserve">              123611122                  2848                    33903600</v>
          </cell>
          <cell r="K1575" t="str">
            <v>10/10/2011</v>
          </cell>
          <cell r="L1575">
            <v>52</v>
          </cell>
          <cell r="M1575">
            <v>13000</v>
          </cell>
          <cell r="N1575">
            <v>57278</v>
          </cell>
          <cell r="O1575">
            <v>34056</v>
          </cell>
          <cell r="P1575">
            <v>16</v>
          </cell>
          <cell r="Q1575">
            <v>3</v>
          </cell>
          <cell r="U1575">
            <v>0</v>
          </cell>
          <cell r="V1575">
            <v>7500</v>
          </cell>
          <cell r="W1575">
            <v>180</v>
          </cell>
          <cell r="X1575">
            <v>6000</v>
          </cell>
          <cell r="Y1575">
            <v>112998</v>
          </cell>
          <cell r="Z1575">
            <v>8612.0020000000004</v>
          </cell>
          <cell r="AA1575">
            <v>4887.9979999999996</v>
          </cell>
          <cell r="AB1575">
            <v>249.88</v>
          </cell>
          <cell r="AC1575">
            <v>7500</v>
          </cell>
          <cell r="AD1575">
            <v>6328.3899999999994</v>
          </cell>
          <cell r="AE1575">
            <v>1171.6100000000006</v>
          </cell>
          <cell r="AN1575" t="str">
            <v xml:space="preserve">Contrato emergencial nº </v>
          </cell>
          <cell r="AO1575" t="str">
            <v>CS</v>
          </cell>
        </row>
        <row r="1576">
          <cell r="D1576" t="str">
            <v>2707/11</v>
          </cell>
          <cell r="E1576" t="str">
            <v>10/10/2011</v>
          </cell>
          <cell r="F1576">
            <v>41005</v>
          </cell>
          <cell r="G1576">
            <v>40877</v>
          </cell>
          <cell r="H1576" t="str">
            <v>2011-0.256.670-1</v>
          </cell>
          <cell r="I1576" t="str">
            <v>27.971,16</v>
          </cell>
          <cell r="J1576" t="str">
            <v xml:space="preserve">              123651121                 2847                    33903600</v>
          </cell>
          <cell r="K1576" t="str">
            <v>10/10/2011</v>
          </cell>
          <cell r="L1576">
            <v>52</v>
          </cell>
          <cell r="M1576">
            <v>8100</v>
          </cell>
          <cell r="N1576">
            <v>57273</v>
          </cell>
          <cell r="O1576">
            <v>34059</v>
          </cell>
          <cell r="P1576">
            <v>16</v>
          </cell>
          <cell r="Q1576">
            <v>2</v>
          </cell>
          <cell r="U1576">
            <v>0</v>
          </cell>
          <cell r="V1576">
            <v>4700</v>
          </cell>
          <cell r="W1576">
            <v>180</v>
          </cell>
          <cell r="X1576">
            <v>3760</v>
          </cell>
          <cell r="Y1576">
            <v>112897</v>
          </cell>
          <cell r="Z1576">
            <v>5579.42</v>
          </cell>
          <cell r="AA1576">
            <v>2880.58</v>
          </cell>
          <cell r="AB1576">
            <v>155.39533333333333</v>
          </cell>
          <cell r="AC1576">
            <v>4700</v>
          </cell>
          <cell r="AD1576">
            <v>3463.84</v>
          </cell>
          <cell r="AE1576">
            <v>1236.1599999999999</v>
          </cell>
          <cell r="AN1576" t="str">
            <v xml:space="preserve">Contrato emergencial nº </v>
          </cell>
          <cell r="AO1576" t="str">
            <v>IP</v>
          </cell>
        </row>
        <row r="1577">
          <cell r="D1577" t="str">
            <v>2708/11</v>
          </cell>
          <cell r="E1577" t="str">
            <v>10/10/2011</v>
          </cell>
          <cell r="F1577">
            <v>41005</v>
          </cell>
          <cell r="G1577">
            <v>40877</v>
          </cell>
          <cell r="H1577" t="str">
            <v>2011-0.256.671-0</v>
          </cell>
          <cell r="I1577" t="str">
            <v>44.324,52</v>
          </cell>
          <cell r="J1577" t="str">
            <v xml:space="preserve">              123611122                  2848                    33903600</v>
          </cell>
          <cell r="K1577" t="str">
            <v>10/10/2011</v>
          </cell>
          <cell r="L1577">
            <v>52</v>
          </cell>
          <cell r="M1577">
            <v>12900</v>
          </cell>
          <cell r="N1577">
            <v>57278</v>
          </cell>
          <cell r="O1577">
            <v>34060</v>
          </cell>
          <cell r="P1577">
            <v>16</v>
          </cell>
          <cell r="Q1577">
            <v>3</v>
          </cell>
          <cell r="U1577">
            <v>0</v>
          </cell>
          <cell r="V1577">
            <v>7400</v>
          </cell>
          <cell r="W1577">
            <v>180</v>
          </cell>
          <cell r="X1577">
            <v>5920</v>
          </cell>
          <cell r="Y1577">
            <v>113400</v>
          </cell>
          <cell r="Z1577">
            <v>12900</v>
          </cell>
          <cell r="AA1577">
            <v>420</v>
          </cell>
          <cell r="AB1577">
            <v>246.2473333333333</v>
          </cell>
          <cell r="AC1577">
            <v>7400</v>
          </cell>
          <cell r="AD1577">
            <v>5748.7099999999991</v>
          </cell>
          <cell r="AE1577">
            <v>1651.2900000000009</v>
          </cell>
          <cell r="AN1577" t="str">
            <v xml:space="preserve">Contrato emergencial nº </v>
          </cell>
          <cell r="AO1577" t="str">
            <v>CL</v>
          </cell>
        </row>
        <row r="1578">
          <cell r="D1578" t="str">
            <v>2709/11</v>
          </cell>
          <cell r="E1578" t="str">
            <v>10/10/2011</v>
          </cell>
          <cell r="F1578">
            <v>41005</v>
          </cell>
          <cell r="G1578">
            <v>40877</v>
          </cell>
          <cell r="H1578" t="str">
            <v>2011-0.256.676-0</v>
          </cell>
          <cell r="I1578" t="str">
            <v>38.261,76</v>
          </cell>
          <cell r="J1578" t="str">
            <v xml:space="preserve">              123611122                  2848                    33903600</v>
          </cell>
          <cell r="K1578" t="str">
            <v>10/10/2011</v>
          </cell>
          <cell r="L1578">
            <v>52</v>
          </cell>
          <cell r="M1578">
            <v>11100</v>
          </cell>
          <cell r="N1578">
            <v>57278</v>
          </cell>
          <cell r="O1578">
            <v>33237</v>
          </cell>
          <cell r="P1578">
            <v>16</v>
          </cell>
          <cell r="Q1578">
            <v>3</v>
          </cell>
          <cell r="U1578">
            <v>0</v>
          </cell>
          <cell r="V1578">
            <v>6500</v>
          </cell>
          <cell r="W1578">
            <v>180</v>
          </cell>
          <cell r="X1578">
            <v>5200</v>
          </cell>
          <cell r="Y1578">
            <v>113408</v>
          </cell>
          <cell r="Z1578">
            <v>11100</v>
          </cell>
          <cell r="AA1578">
            <v>600</v>
          </cell>
          <cell r="AB1578">
            <v>212.56533333333334</v>
          </cell>
          <cell r="AC1578">
            <v>6400</v>
          </cell>
          <cell r="AD1578">
            <v>6468.9599999999991</v>
          </cell>
          <cell r="AE1578">
            <v>-68.959999999999127</v>
          </cell>
          <cell r="AN1578" t="str">
            <v xml:space="preserve">Contrato emergencial nº </v>
          </cell>
          <cell r="AO1578" t="str">
            <v>CL</v>
          </cell>
        </row>
        <row r="1579">
          <cell r="D1579" t="str">
            <v>2710/11</v>
          </cell>
          <cell r="E1579" t="str">
            <v>13/10/2011</v>
          </cell>
          <cell r="F1579">
            <v>41008</v>
          </cell>
          <cell r="G1579">
            <v>40877</v>
          </cell>
          <cell r="H1579" t="str">
            <v>2011-0.256.677-9</v>
          </cell>
          <cell r="I1579" t="str">
            <v>35.646,48</v>
          </cell>
          <cell r="J1579" t="str">
            <v xml:space="preserve">              123611122                  2848                    33903600</v>
          </cell>
          <cell r="K1579" t="str">
            <v>13/10/2011</v>
          </cell>
          <cell r="L1579">
            <v>49</v>
          </cell>
          <cell r="M1579">
            <v>9800</v>
          </cell>
          <cell r="N1579">
            <v>57278</v>
          </cell>
          <cell r="O1579">
            <v>34066</v>
          </cell>
          <cell r="P1579">
            <v>16</v>
          </cell>
          <cell r="Q1579">
            <v>3</v>
          </cell>
          <cell r="U1579">
            <v>0</v>
          </cell>
          <cell r="V1579">
            <v>7600</v>
          </cell>
          <cell r="W1579">
            <v>180</v>
          </cell>
          <cell r="X1579">
            <v>6080</v>
          </cell>
          <cell r="Y1579">
            <v>113217</v>
          </cell>
          <cell r="Z1579">
            <v>4462.7359999999999</v>
          </cell>
          <cell r="AA1579">
            <v>9217.2639999999992</v>
          </cell>
          <cell r="AB1579">
            <v>198.03600000000003</v>
          </cell>
          <cell r="AC1579">
            <v>6000</v>
          </cell>
          <cell r="AD1579">
            <v>7579.7000000000007</v>
          </cell>
          <cell r="AE1579">
            <v>-1579.7000000000007</v>
          </cell>
          <cell r="AN1579" t="str">
            <v xml:space="preserve">Contrato emergencial nº </v>
          </cell>
          <cell r="AO1579" t="str">
            <v>CS</v>
          </cell>
        </row>
        <row r="1580">
          <cell r="D1580" t="str">
            <v>2711/11</v>
          </cell>
          <cell r="E1580" t="str">
            <v>10/10/2011</v>
          </cell>
          <cell r="F1580">
            <v>41005</v>
          </cell>
          <cell r="G1580">
            <v>40877</v>
          </cell>
          <cell r="H1580" t="str">
            <v>2011-0.256.678-7</v>
          </cell>
          <cell r="I1580" t="str">
            <v>40.877,16</v>
          </cell>
          <cell r="J1580" t="str">
            <v xml:space="preserve">              123651121                 2847                    33903600</v>
          </cell>
          <cell r="K1580" t="str">
            <v>10/10/2011</v>
          </cell>
          <cell r="L1580">
            <v>52</v>
          </cell>
          <cell r="M1580">
            <v>11900</v>
          </cell>
          <cell r="N1580">
            <v>57273</v>
          </cell>
          <cell r="O1580">
            <v>34068</v>
          </cell>
          <cell r="P1580">
            <v>16</v>
          </cell>
          <cell r="Q1580">
            <v>2</v>
          </cell>
          <cell r="U1580">
            <v>0</v>
          </cell>
          <cell r="V1580">
            <v>6900</v>
          </cell>
          <cell r="W1580">
            <v>180</v>
          </cell>
          <cell r="X1580">
            <v>5520</v>
          </cell>
          <cell r="Y1580">
            <v>113001</v>
          </cell>
          <cell r="Z1580">
            <v>7406.8639999999996</v>
          </cell>
          <cell r="AA1580">
            <v>5013.1360000000004</v>
          </cell>
          <cell r="AB1580">
            <v>227.09533333333334</v>
          </cell>
          <cell r="AC1580">
            <v>6900</v>
          </cell>
          <cell r="AD1580">
            <v>6429.48</v>
          </cell>
          <cell r="AE1580">
            <v>470.52000000000044</v>
          </cell>
          <cell r="AN1580" t="str">
            <v xml:space="preserve">Contrato emergencial nº </v>
          </cell>
          <cell r="AO1580" t="str">
            <v>CS</v>
          </cell>
        </row>
        <row r="1581">
          <cell r="D1581" t="str">
            <v>2712/11</v>
          </cell>
          <cell r="E1581" t="str">
            <v>10/10/2011</v>
          </cell>
          <cell r="F1581">
            <v>41005</v>
          </cell>
          <cell r="G1581">
            <v>40877</v>
          </cell>
          <cell r="H1581" t="str">
            <v>2011-0.256.679-5</v>
          </cell>
          <cell r="I1581" t="str">
            <v>44.324,52</v>
          </cell>
          <cell r="J1581" t="str">
            <v xml:space="preserve">              123611122                  2848                    33903600</v>
          </cell>
          <cell r="K1581" t="str">
            <v>10/10/2011</v>
          </cell>
          <cell r="L1581">
            <v>52</v>
          </cell>
          <cell r="M1581">
            <v>12900</v>
          </cell>
          <cell r="N1581">
            <v>57278</v>
          </cell>
          <cell r="O1581">
            <v>34070</v>
          </cell>
          <cell r="P1581">
            <v>16</v>
          </cell>
          <cell r="Q1581">
            <v>3</v>
          </cell>
          <cell r="U1581">
            <v>0</v>
          </cell>
          <cell r="V1581">
            <v>7400</v>
          </cell>
          <cell r="W1581">
            <v>180</v>
          </cell>
          <cell r="X1581">
            <v>5920</v>
          </cell>
          <cell r="Y1581">
            <v>113008</v>
          </cell>
          <cell r="Z1581">
            <v>8311.85</v>
          </cell>
          <cell r="AA1581">
            <v>5008.1499999999996</v>
          </cell>
          <cell r="AB1581">
            <v>246.2473333333333</v>
          </cell>
          <cell r="AC1581">
            <v>7400</v>
          </cell>
          <cell r="AD1581">
            <v>6630.38</v>
          </cell>
          <cell r="AE1581">
            <v>769.61999999999989</v>
          </cell>
          <cell r="AN1581" t="str">
            <v xml:space="preserve">Contrato emergencial nº </v>
          </cell>
          <cell r="AO1581" t="str">
            <v>CS</v>
          </cell>
        </row>
        <row r="1582">
          <cell r="D1582" t="str">
            <v>2713/11</v>
          </cell>
          <cell r="E1582" t="str">
            <v>10/10/2011</v>
          </cell>
          <cell r="F1582">
            <v>41005</v>
          </cell>
          <cell r="G1582">
            <v>40877</v>
          </cell>
          <cell r="H1582" t="str">
            <v>2011-0.256.681-7</v>
          </cell>
          <cell r="I1582" t="str">
            <v>28.377,30</v>
          </cell>
          <cell r="J1582" t="str">
            <v xml:space="preserve">              123651121                 2847                    33903600</v>
          </cell>
          <cell r="K1582" t="str">
            <v>10/10/2011</v>
          </cell>
          <cell r="L1582">
            <v>52</v>
          </cell>
          <cell r="M1582">
            <v>8200</v>
          </cell>
          <cell r="N1582">
            <v>57273</v>
          </cell>
          <cell r="O1582">
            <v>34075</v>
          </cell>
          <cell r="P1582">
            <v>16</v>
          </cell>
          <cell r="Q1582">
            <v>2</v>
          </cell>
          <cell r="U1582">
            <v>4419.9390000000003</v>
          </cell>
          <cell r="V1582">
            <v>4800</v>
          </cell>
          <cell r="W1582">
            <v>180</v>
          </cell>
          <cell r="X1582">
            <v>3840</v>
          </cell>
          <cell r="Y1582">
            <v>0</v>
          </cell>
          <cell r="Z1582">
            <v>0</v>
          </cell>
          <cell r="AA1582">
            <v>13059.939</v>
          </cell>
          <cell r="AB1582">
            <v>157.65166666666667</v>
          </cell>
          <cell r="AC1582">
            <v>4800</v>
          </cell>
          <cell r="AD1582">
            <v>4416.41</v>
          </cell>
          <cell r="AE1582">
            <v>383.59000000000015</v>
          </cell>
          <cell r="AN1582" t="str">
            <v xml:space="preserve">Contrato emergencial nº </v>
          </cell>
          <cell r="AO1582" t="str">
            <v>FO</v>
          </cell>
        </row>
        <row r="1583">
          <cell r="D1583" t="str">
            <v>2714/11</v>
          </cell>
          <cell r="E1583" t="str">
            <v>10/10/2011</v>
          </cell>
          <cell r="F1583">
            <v>41005</v>
          </cell>
          <cell r="G1583">
            <v>40877</v>
          </cell>
          <cell r="H1583" t="str">
            <v>2011-0.256.683-3</v>
          </cell>
          <cell r="I1583" t="str">
            <v>44.324,52</v>
          </cell>
          <cell r="J1583" t="str">
            <v xml:space="preserve">              123651121                 2847                    33903600</v>
          </cell>
          <cell r="K1583" t="str">
            <v>10/10/2011</v>
          </cell>
          <cell r="L1583">
            <v>52</v>
          </cell>
          <cell r="M1583">
            <v>12900</v>
          </cell>
          <cell r="N1583">
            <v>57273</v>
          </cell>
          <cell r="O1583">
            <v>34085</v>
          </cell>
          <cell r="P1583">
            <v>16</v>
          </cell>
          <cell r="Q1583">
            <v>2</v>
          </cell>
          <cell r="U1583">
            <v>3723.0660000000003</v>
          </cell>
          <cell r="V1583">
            <v>7400</v>
          </cell>
          <cell r="W1583">
            <v>180</v>
          </cell>
          <cell r="X1583">
            <v>5920</v>
          </cell>
          <cell r="Y1583">
            <v>0</v>
          </cell>
          <cell r="Z1583">
            <v>0</v>
          </cell>
          <cell r="AA1583">
            <v>17043.065999999999</v>
          </cell>
          <cell r="AB1583">
            <v>246.2473333333333</v>
          </cell>
          <cell r="AC1583">
            <v>7400</v>
          </cell>
          <cell r="AD1583">
            <v>6366.7599999999993</v>
          </cell>
          <cell r="AE1583">
            <v>1033.2400000000007</v>
          </cell>
          <cell r="AN1583" t="str">
            <v xml:space="preserve">Contrato emergencial nº </v>
          </cell>
          <cell r="AO1583" t="str">
            <v>FO</v>
          </cell>
        </row>
        <row r="1584">
          <cell r="D1584" t="str">
            <v>2715/11</v>
          </cell>
          <cell r="E1584" t="str">
            <v>10/10/2011</v>
          </cell>
          <cell r="F1584">
            <v>41005</v>
          </cell>
          <cell r="G1584">
            <v>40877</v>
          </cell>
          <cell r="H1584" t="str">
            <v>2011-0.256.684-1</v>
          </cell>
          <cell r="I1584" t="str">
            <v>28.377,30</v>
          </cell>
          <cell r="J1584" t="str">
            <v xml:space="preserve">              123611122                  2848                    33903600</v>
          </cell>
          <cell r="K1584" t="str">
            <v>10/10/2011</v>
          </cell>
          <cell r="L1584">
            <v>52</v>
          </cell>
          <cell r="M1584">
            <v>8200</v>
          </cell>
          <cell r="N1584">
            <v>57278</v>
          </cell>
          <cell r="O1584">
            <v>34087</v>
          </cell>
          <cell r="P1584">
            <v>16</v>
          </cell>
          <cell r="Q1584">
            <v>3</v>
          </cell>
          <cell r="U1584">
            <v>0</v>
          </cell>
          <cell r="V1584">
            <v>4800</v>
          </cell>
          <cell r="W1584">
            <v>180</v>
          </cell>
          <cell r="X1584">
            <v>3840</v>
          </cell>
          <cell r="Y1584">
            <v>112929</v>
          </cell>
          <cell r="Z1584">
            <v>5680.24</v>
          </cell>
          <cell r="AA1584">
            <v>2959.76</v>
          </cell>
          <cell r="AB1584">
            <v>157.65166666666667</v>
          </cell>
          <cell r="AC1584">
            <v>4800</v>
          </cell>
          <cell r="AD1584">
            <v>2899.0238333333336</v>
          </cell>
          <cell r="AE1584">
            <v>1900.9761666666664</v>
          </cell>
          <cell r="AN1584" t="str">
            <v xml:space="preserve">Contrato emergencial nº </v>
          </cell>
          <cell r="AO1584" t="str">
            <v>PJ</v>
          </cell>
        </row>
        <row r="1585">
          <cell r="D1585" t="str">
            <v>2716/11</v>
          </cell>
          <cell r="E1585" t="str">
            <v>10/10/2011</v>
          </cell>
          <cell r="F1585">
            <v>41005</v>
          </cell>
          <cell r="G1585">
            <v>40877</v>
          </cell>
          <cell r="H1585" t="str">
            <v>2011-0.256.686-8</v>
          </cell>
          <cell r="I1585" t="str">
            <v>44.324,52</v>
          </cell>
          <cell r="J1585" t="str">
            <v xml:space="preserve">              123611122                  2848                    33903600</v>
          </cell>
          <cell r="K1585" t="str">
            <v>10/10/2011</v>
          </cell>
          <cell r="L1585">
            <v>52</v>
          </cell>
          <cell r="M1585">
            <v>12900</v>
          </cell>
          <cell r="N1585">
            <v>57278</v>
          </cell>
          <cell r="O1585">
            <v>33238</v>
          </cell>
          <cell r="P1585">
            <v>16</v>
          </cell>
          <cell r="Q1585">
            <v>3</v>
          </cell>
          <cell r="U1585">
            <v>0</v>
          </cell>
          <cell r="V1585">
            <v>7400</v>
          </cell>
          <cell r="W1585">
            <v>180</v>
          </cell>
          <cell r="X1585">
            <v>5920</v>
          </cell>
          <cell r="Y1585">
            <v>112900</v>
          </cell>
          <cell r="Z1585">
            <v>7725.05</v>
          </cell>
          <cell r="AA1585">
            <v>5594.95</v>
          </cell>
          <cell r="AB1585">
            <v>246.2473333333333</v>
          </cell>
          <cell r="AC1585">
            <v>7400</v>
          </cell>
          <cell r="AD1585">
            <v>7110.2800000000007</v>
          </cell>
          <cell r="AE1585">
            <v>289.71999999999935</v>
          </cell>
          <cell r="AN1585" t="str">
            <v xml:space="preserve">Contrato emergencial nº </v>
          </cell>
          <cell r="AO1585" t="str">
            <v>IP</v>
          </cell>
        </row>
        <row r="1586">
          <cell r="D1586" t="str">
            <v>2717/11</v>
          </cell>
          <cell r="E1586" t="str">
            <v>10/10/2011</v>
          </cell>
          <cell r="F1586">
            <v>41005</v>
          </cell>
          <cell r="G1586">
            <v>40877</v>
          </cell>
          <cell r="H1586" t="str">
            <v>2011-0.256.687-6</v>
          </cell>
          <cell r="I1586" t="str">
            <v>31.012,38</v>
          </cell>
          <cell r="J1586" t="str">
            <v xml:space="preserve">              123611122                  2848                    33903600</v>
          </cell>
          <cell r="K1586" t="str">
            <v>10/10/2011</v>
          </cell>
          <cell r="L1586">
            <v>52</v>
          </cell>
          <cell r="M1586">
            <v>9000</v>
          </cell>
          <cell r="N1586">
            <v>57278</v>
          </cell>
          <cell r="O1586">
            <v>34089</v>
          </cell>
          <cell r="P1586">
            <v>16</v>
          </cell>
          <cell r="Q1586">
            <v>3</v>
          </cell>
          <cell r="U1586">
            <v>0</v>
          </cell>
          <cell r="V1586">
            <v>5600</v>
          </cell>
          <cell r="W1586">
            <v>180</v>
          </cell>
          <cell r="X1586">
            <v>4480</v>
          </cell>
          <cell r="Y1586">
            <v>114708</v>
          </cell>
          <cell r="Z1586">
            <v>5145.34</v>
          </cell>
          <cell r="AA1586">
            <v>4934.66</v>
          </cell>
          <cell r="AB1586">
            <v>172.291</v>
          </cell>
          <cell r="AC1586">
            <v>5200</v>
          </cell>
          <cell r="AD1586">
            <v>5550.6499999999987</v>
          </cell>
          <cell r="AE1586">
            <v>-350.64999999999873</v>
          </cell>
          <cell r="AN1586" t="str">
            <v xml:space="preserve">Contrato emergencial nº </v>
          </cell>
          <cell r="AO1586" t="str">
            <v>JT</v>
          </cell>
        </row>
        <row r="1587">
          <cell r="D1587" t="str">
            <v>2718/11</v>
          </cell>
          <cell r="E1587" t="str">
            <v>10/10/2011</v>
          </cell>
          <cell r="F1587">
            <v>41005</v>
          </cell>
          <cell r="G1587">
            <v>40877</v>
          </cell>
          <cell r="H1587" t="str">
            <v>2011-0.256.689-2</v>
          </cell>
          <cell r="I1587" t="str">
            <v>44.324,52</v>
          </cell>
          <cell r="J1587" t="str">
            <v xml:space="preserve">              123651121                 2847                    33903600</v>
          </cell>
          <cell r="K1587" t="str">
            <v>10/10/2011</v>
          </cell>
          <cell r="L1587">
            <v>52</v>
          </cell>
          <cell r="M1587">
            <v>12900</v>
          </cell>
          <cell r="N1587">
            <v>57273</v>
          </cell>
          <cell r="O1587">
            <v>33240</v>
          </cell>
          <cell r="P1587">
            <v>16</v>
          </cell>
          <cell r="Q1587">
            <v>2</v>
          </cell>
          <cell r="U1587">
            <v>0</v>
          </cell>
          <cell r="V1587">
            <v>7400</v>
          </cell>
          <cell r="W1587">
            <v>180</v>
          </cell>
          <cell r="X1587">
            <v>5920</v>
          </cell>
          <cell r="Y1587">
            <v>113929</v>
          </cell>
          <cell r="Z1587">
            <v>8091.8</v>
          </cell>
          <cell r="AA1587">
            <v>5228.2</v>
          </cell>
          <cell r="AB1587">
            <v>246.2473333333333</v>
          </cell>
          <cell r="AC1587">
            <v>7400</v>
          </cell>
          <cell r="AD1587">
            <v>6944.86</v>
          </cell>
          <cell r="AE1587">
            <v>455.14000000000033</v>
          </cell>
          <cell r="AN1587" t="str">
            <v xml:space="preserve">Contrato emergencial nº </v>
          </cell>
          <cell r="AO1587" t="str">
            <v>PE</v>
          </cell>
        </row>
        <row r="1588">
          <cell r="D1588" t="str">
            <v>2719/11</v>
          </cell>
          <cell r="E1588" t="str">
            <v>10/10/2011</v>
          </cell>
          <cell r="F1588">
            <v>41005</v>
          </cell>
          <cell r="G1588">
            <v>40877</v>
          </cell>
          <cell r="H1588" t="str">
            <v>2011-0.256.690-6</v>
          </cell>
          <cell r="I1588" t="str">
            <v>27.971,16</v>
          </cell>
          <cell r="J1588" t="str">
            <v xml:space="preserve">              123611122                  2848                    33903600</v>
          </cell>
          <cell r="K1588" t="str">
            <v>10/10/2011</v>
          </cell>
          <cell r="L1588">
            <v>52</v>
          </cell>
          <cell r="M1588">
            <v>8100</v>
          </cell>
          <cell r="N1588">
            <v>57278</v>
          </cell>
          <cell r="O1588">
            <v>33255</v>
          </cell>
          <cell r="P1588">
            <v>16</v>
          </cell>
          <cell r="Q1588">
            <v>3</v>
          </cell>
          <cell r="U1588">
            <v>0</v>
          </cell>
          <cell r="V1588">
            <v>5400</v>
          </cell>
          <cell r="W1588">
            <v>180</v>
          </cell>
          <cell r="X1588">
            <v>4320</v>
          </cell>
          <cell r="Y1588">
            <v>112933</v>
          </cell>
          <cell r="Z1588">
            <v>4315.67</v>
          </cell>
          <cell r="AA1588">
            <v>5404.33</v>
          </cell>
          <cell r="AB1588">
            <v>155.39533333333333</v>
          </cell>
          <cell r="AC1588">
            <v>4700</v>
          </cell>
          <cell r="AD1588">
            <v>5335.42</v>
          </cell>
          <cell r="AE1588">
            <v>-635.42000000000007</v>
          </cell>
          <cell r="AN1588" t="str">
            <v xml:space="preserve">Contrato emergencial nº </v>
          </cell>
          <cell r="AO1588" t="str">
            <v>PJ</v>
          </cell>
        </row>
        <row r="1589">
          <cell r="D1589" t="str">
            <v>2721/11</v>
          </cell>
          <cell r="E1589" t="str">
            <v>10/10/2011</v>
          </cell>
          <cell r="F1589">
            <v>41005</v>
          </cell>
          <cell r="G1589">
            <v>40877</v>
          </cell>
          <cell r="H1589" t="str">
            <v>2011-0.256.693-0</v>
          </cell>
          <cell r="I1589" t="str">
            <v>41.531,04</v>
          </cell>
          <cell r="J1589" t="str">
            <v xml:space="preserve">              123651121                 2847                    33903600</v>
          </cell>
          <cell r="K1589" t="str">
            <v>10/10/2011</v>
          </cell>
          <cell r="L1589">
            <v>52</v>
          </cell>
          <cell r="M1589">
            <v>12000</v>
          </cell>
          <cell r="N1589">
            <v>57273</v>
          </cell>
          <cell r="O1589">
            <v>34091</v>
          </cell>
          <cell r="P1589">
            <v>16</v>
          </cell>
          <cell r="Q1589">
            <v>2</v>
          </cell>
          <cell r="U1589">
            <v>0</v>
          </cell>
          <cell r="V1589">
            <v>7000</v>
          </cell>
          <cell r="W1589">
            <v>180</v>
          </cell>
          <cell r="X1589">
            <v>5600</v>
          </cell>
          <cell r="Y1589">
            <v>112935</v>
          </cell>
          <cell r="Z1589">
            <v>7329.81</v>
          </cell>
          <cell r="AA1589">
            <v>5270.19</v>
          </cell>
          <cell r="AB1589">
            <v>230.72800000000001</v>
          </cell>
          <cell r="AC1589">
            <v>7000</v>
          </cell>
          <cell r="AD1589">
            <v>4943.7</v>
          </cell>
          <cell r="AE1589">
            <v>2056.3000000000002</v>
          </cell>
          <cell r="AN1589" t="str">
            <v xml:space="preserve">Contrato emergencial nº </v>
          </cell>
          <cell r="AO1589" t="str">
            <v>PJ</v>
          </cell>
        </row>
        <row r="1590">
          <cell r="D1590" t="str">
            <v>2722/11</v>
          </cell>
          <cell r="E1590" t="str">
            <v>10/10/2011</v>
          </cell>
          <cell r="F1590">
            <v>41005</v>
          </cell>
          <cell r="G1590">
            <v>40877</v>
          </cell>
          <cell r="H1590" t="str">
            <v>2011-0.256.695-7</v>
          </cell>
          <cell r="I1590" t="str">
            <v>31.418,52</v>
          </cell>
          <cell r="J1590" t="str">
            <v xml:space="preserve">              123611122                  2848                    33903600</v>
          </cell>
          <cell r="K1590" t="str">
            <v>10/10/2011</v>
          </cell>
          <cell r="L1590">
            <v>52</v>
          </cell>
          <cell r="M1590">
            <v>9100</v>
          </cell>
          <cell r="N1590">
            <v>57278</v>
          </cell>
          <cell r="O1590">
            <v>33258</v>
          </cell>
          <cell r="P1590">
            <v>16</v>
          </cell>
          <cell r="Q1590">
            <v>3</v>
          </cell>
          <cell r="U1590">
            <v>0</v>
          </cell>
          <cell r="V1590">
            <v>5300</v>
          </cell>
          <cell r="W1590">
            <v>180</v>
          </cell>
          <cell r="X1590">
            <v>4240</v>
          </cell>
          <cell r="Y1590">
            <v>114383</v>
          </cell>
          <cell r="Z1590">
            <v>5713.5</v>
          </cell>
          <cell r="AA1590">
            <v>3826.5</v>
          </cell>
          <cell r="AB1590">
            <v>174.54733333333334</v>
          </cell>
          <cell r="AC1590">
            <v>5300</v>
          </cell>
          <cell r="AD1590">
            <v>4859.8500000000004</v>
          </cell>
          <cell r="AE1590">
            <v>440.14999999999964</v>
          </cell>
          <cell r="AN1590" t="str">
            <v xml:space="preserve">Contrato emergencial nº </v>
          </cell>
          <cell r="AO1590" t="str">
            <v>SA</v>
          </cell>
        </row>
        <row r="1591">
          <cell r="D1591" t="str">
            <v>2723/11</v>
          </cell>
          <cell r="E1591" t="str">
            <v>10/10/2011</v>
          </cell>
          <cell r="F1591">
            <v>41005</v>
          </cell>
          <cell r="G1591">
            <v>40877</v>
          </cell>
          <cell r="H1591" t="str">
            <v>2011-0.256.696-5</v>
          </cell>
          <cell r="I1591" t="str">
            <v>37.607,88</v>
          </cell>
          <cell r="J1591" t="str">
            <v xml:space="preserve">              123611122                  2848                    33903600</v>
          </cell>
          <cell r="K1591" t="str">
            <v>10/10/2011</v>
          </cell>
          <cell r="L1591">
            <v>52</v>
          </cell>
          <cell r="M1591">
            <v>10900</v>
          </cell>
          <cell r="N1591">
            <v>57278</v>
          </cell>
          <cell r="O1591">
            <v>33260</v>
          </cell>
          <cell r="P1591">
            <v>16</v>
          </cell>
          <cell r="Q1591">
            <v>3</v>
          </cell>
          <cell r="U1591">
            <v>0</v>
          </cell>
          <cell r="V1591">
            <v>6300</v>
          </cell>
          <cell r="W1591">
            <v>180</v>
          </cell>
          <cell r="X1591">
            <v>5040</v>
          </cell>
          <cell r="Y1591">
            <v>114393</v>
          </cell>
          <cell r="Z1591">
            <v>6750.96</v>
          </cell>
          <cell r="AA1591">
            <v>4589.04</v>
          </cell>
          <cell r="AB1591">
            <v>208.93266666666665</v>
          </cell>
          <cell r="AC1591">
            <v>6300</v>
          </cell>
          <cell r="AD1591">
            <v>5137.99</v>
          </cell>
          <cell r="AE1591">
            <v>1162.0100000000002</v>
          </cell>
          <cell r="AN1591" t="str">
            <v xml:space="preserve">Contrato emergencial nº </v>
          </cell>
          <cell r="AO1591" t="str">
            <v>SA</v>
          </cell>
        </row>
        <row r="1592">
          <cell r="D1592" t="str">
            <v>2724/11</v>
          </cell>
          <cell r="E1592" t="str">
            <v>10/10/2011</v>
          </cell>
          <cell r="F1592">
            <v>41005</v>
          </cell>
          <cell r="G1592">
            <v>40877</v>
          </cell>
          <cell r="H1592" t="str">
            <v>2011-0.256.698-1</v>
          </cell>
          <cell r="I1592" t="str">
            <v>31.012,38</v>
          </cell>
          <cell r="J1592" t="str">
            <v xml:space="preserve">              123651121                 2847                    33903600</v>
          </cell>
          <cell r="K1592" t="str">
            <v>10/10/2011</v>
          </cell>
          <cell r="L1592">
            <v>52</v>
          </cell>
          <cell r="M1592">
            <v>9000</v>
          </cell>
          <cell r="N1592">
            <v>57273</v>
          </cell>
          <cell r="O1592">
            <v>34092</v>
          </cell>
          <cell r="P1592">
            <v>16</v>
          </cell>
          <cell r="Q1592">
            <v>2</v>
          </cell>
          <cell r="U1592">
            <v>0</v>
          </cell>
          <cell r="V1592">
            <v>5500</v>
          </cell>
          <cell r="W1592">
            <v>180</v>
          </cell>
          <cell r="X1592">
            <v>4400</v>
          </cell>
          <cell r="Y1592">
            <v>113410</v>
          </cell>
          <cell r="Z1592">
            <v>9000</v>
          </cell>
          <cell r="AA1592">
            <v>900</v>
          </cell>
          <cell r="AB1592">
            <v>172.291</v>
          </cell>
          <cell r="AC1592">
            <v>5200</v>
          </cell>
          <cell r="AD1592">
            <v>5452.9</v>
          </cell>
          <cell r="AE1592">
            <v>-252.89999999999964</v>
          </cell>
          <cell r="AN1592" t="str">
            <v xml:space="preserve">Contrato emergencial nº </v>
          </cell>
          <cell r="AO1592" t="str">
            <v>CL</v>
          </cell>
        </row>
        <row r="1593">
          <cell r="D1593" t="str">
            <v>2725/11</v>
          </cell>
          <cell r="E1593" t="str">
            <v>10/10/2011</v>
          </cell>
          <cell r="F1593">
            <v>41005</v>
          </cell>
          <cell r="G1593">
            <v>40877</v>
          </cell>
          <cell r="H1593" t="str">
            <v>2011-0.256.700-7</v>
          </cell>
          <cell r="I1593" t="str">
            <v>31.418,52</v>
          </cell>
          <cell r="J1593" t="str">
            <v xml:space="preserve">              123651121                 2847                    33903600</v>
          </cell>
          <cell r="K1593" t="str">
            <v>10/10/2011</v>
          </cell>
          <cell r="L1593">
            <v>52</v>
          </cell>
          <cell r="M1593">
            <v>9100</v>
          </cell>
          <cell r="N1593">
            <v>57273</v>
          </cell>
          <cell r="O1593">
            <v>33262</v>
          </cell>
          <cell r="P1593">
            <v>16</v>
          </cell>
          <cell r="Q1593">
            <v>2</v>
          </cell>
          <cell r="U1593">
            <v>0</v>
          </cell>
          <cell r="V1593">
            <v>5300</v>
          </cell>
          <cell r="W1593">
            <v>180</v>
          </cell>
          <cell r="X1593">
            <v>4240</v>
          </cell>
          <cell r="Y1593">
            <v>113012</v>
          </cell>
          <cell r="Z1593">
            <v>5512.3339999999998</v>
          </cell>
          <cell r="AA1593">
            <v>4027.6660000000002</v>
          </cell>
          <cell r="AB1593">
            <v>174.54733333333334</v>
          </cell>
          <cell r="AC1593">
            <v>5300</v>
          </cell>
          <cell r="AD1593">
            <v>4278.57</v>
          </cell>
          <cell r="AE1593">
            <v>1021.4300000000003</v>
          </cell>
          <cell r="AN1593" t="str">
            <v xml:space="preserve">Contrato emergencial nº </v>
          </cell>
          <cell r="AO1593" t="str">
            <v>CS</v>
          </cell>
        </row>
        <row r="1594">
          <cell r="D1594" t="str">
            <v>2726/11</v>
          </cell>
          <cell r="E1594" t="str">
            <v>10/10/2011</v>
          </cell>
          <cell r="F1594">
            <v>41005</v>
          </cell>
          <cell r="G1594">
            <v>40877</v>
          </cell>
          <cell r="H1594" t="str">
            <v>2011-0.256.701-5</v>
          </cell>
          <cell r="I1594" t="str">
            <v>30.606,24</v>
          </cell>
          <cell r="J1594" t="str">
            <v xml:space="preserve">              123611122                  2848                    33903600</v>
          </cell>
          <cell r="K1594" t="str">
            <v>10/10/2011</v>
          </cell>
          <cell r="L1594">
            <v>52</v>
          </cell>
          <cell r="M1594">
            <v>8900</v>
          </cell>
          <cell r="N1594">
            <v>57278</v>
          </cell>
          <cell r="O1594">
            <v>33264</v>
          </cell>
          <cell r="P1594">
            <v>16</v>
          </cell>
          <cell r="Q1594">
            <v>3</v>
          </cell>
          <cell r="U1594">
            <v>0</v>
          </cell>
          <cell r="V1594">
            <v>5200</v>
          </cell>
          <cell r="W1594">
            <v>180</v>
          </cell>
          <cell r="X1594">
            <v>4160</v>
          </cell>
          <cell r="Y1594">
            <v>113022</v>
          </cell>
          <cell r="Z1594">
            <v>5926.7079999999996</v>
          </cell>
          <cell r="AA1594">
            <v>3433.2920000000004</v>
          </cell>
          <cell r="AB1594">
            <v>170.03466666666668</v>
          </cell>
          <cell r="AC1594">
            <v>5200</v>
          </cell>
          <cell r="AD1594">
            <v>4299.0599999999995</v>
          </cell>
          <cell r="AE1594">
            <v>900.94000000000051</v>
          </cell>
          <cell r="AN1594" t="str">
            <v xml:space="preserve">Contrato emergencial nº </v>
          </cell>
          <cell r="AO1594" t="str">
            <v>CS</v>
          </cell>
        </row>
        <row r="1595">
          <cell r="D1595" t="str">
            <v>2727/11</v>
          </cell>
          <cell r="E1595" t="str">
            <v>10/10/2011</v>
          </cell>
          <cell r="F1595">
            <v>41005</v>
          </cell>
          <cell r="G1595">
            <v>40877</v>
          </cell>
          <cell r="H1595" t="str">
            <v>2011-0.256.703-1</v>
          </cell>
          <cell r="I1595" t="str">
            <v>24.008,64</v>
          </cell>
          <cell r="J1595" t="str">
            <v xml:space="preserve">              123651121                 2847                    33903600</v>
          </cell>
          <cell r="K1595" t="str">
            <v>10/10/2011</v>
          </cell>
          <cell r="L1595">
            <v>52</v>
          </cell>
          <cell r="M1595">
            <v>7000</v>
          </cell>
          <cell r="N1595">
            <v>57273</v>
          </cell>
          <cell r="O1595">
            <v>34110</v>
          </cell>
          <cell r="P1595">
            <v>16</v>
          </cell>
          <cell r="Q1595">
            <v>2</v>
          </cell>
          <cell r="U1595">
            <v>2637.9330000000004</v>
          </cell>
          <cell r="V1595">
            <v>4100</v>
          </cell>
          <cell r="W1595">
            <v>180</v>
          </cell>
          <cell r="X1595">
            <v>3280</v>
          </cell>
          <cell r="Y1595">
            <v>0</v>
          </cell>
          <cell r="Z1595">
            <v>0</v>
          </cell>
          <cell r="AA1595">
            <v>10017.933000000001</v>
          </cell>
          <cell r="AB1595">
            <v>133.38133333333332</v>
          </cell>
          <cell r="AC1595">
            <v>4100</v>
          </cell>
          <cell r="AD1595">
            <v>3587.0626666666667</v>
          </cell>
          <cell r="AE1595">
            <v>512.9373333333333</v>
          </cell>
          <cell r="AN1595" t="str">
            <v xml:space="preserve">Contrato emergencial nº </v>
          </cell>
          <cell r="AO1595" t="str">
            <v>FO</v>
          </cell>
        </row>
        <row r="1596">
          <cell r="D1596" t="str">
            <v>2728/11</v>
          </cell>
          <cell r="E1596" t="str">
            <v>10/10/2011</v>
          </cell>
          <cell r="F1596">
            <v>41005</v>
          </cell>
          <cell r="G1596">
            <v>40877</v>
          </cell>
          <cell r="H1596" t="str">
            <v>2011-0.256.705-8</v>
          </cell>
          <cell r="I1596" t="str">
            <v>44.324,52</v>
          </cell>
          <cell r="J1596" t="str">
            <v xml:space="preserve">              123611122                  2848                    33903600</v>
          </cell>
          <cell r="K1596" t="str">
            <v>10/10/2011</v>
          </cell>
          <cell r="L1596">
            <v>52</v>
          </cell>
          <cell r="M1596">
            <v>12900</v>
          </cell>
          <cell r="N1596">
            <v>57278</v>
          </cell>
          <cell r="O1596">
            <v>33265</v>
          </cell>
          <cell r="P1596">
            <v>16</v>
          </cell>
          <cell r="Q1596">
            <v>3</v>
          </cell>
          <cell r="U1596">
            <v>3868.2430000000004</v>
          </cell>
          <cell r="V1596">
            <v>7400</v>
          </cell>
          <cell r="W1596">
            <v>180</v>
          </cell>
          <cell r="X1596">
            <v>5920</v>
          </cell>
          <cell r="Y1596">
            <v>0</v>
          </cell>
          <cell r="Z1596">
            <v>0</v>
          </cell>
          <cell r="AA1596">
            <v>17188.243000000002</v>
          </cell>
          <cell r="AB1596">
            <v>246.2473333333333</v>
          </cell>
          <cell r="AC1596">
            <v>7400</v>
          </cell>
          <cell r="AD1596">
            <v>5263.5803333333324</v>
          </cell>
          <cell r="AE1596">
            <v>2136.4196666666676</v>
          </cell>
          <cell r="AN1596" t="str">
            <v xml:space="preserve">Contrato emergencial nº </v>
          </cell>
          <cell r="AO1596" t="str">
            <v>FO</v>
          </cell>
        </row>
        <row r="1597">
          <cell r="D1597" t="str">
            <v>2729/11</v>
          </cell>
          <cell r="E1597" t="str">
            <v>10/10/2011</v>
          </cell>
          <cell r="F1597">
            <v>41005</v>
          </cell>
          <cell r="G1597">
            <v>40877</v>
          </cell>
          <cell r="H1597" t="str">
            <v>2011-0.256.708-2</v>
          </cell>
          <cell r="I1597" t="str">
            <v>44.978,40</v>
          </cell>
          <cell r="J1597" t="str">
            <v xml:space="preserve">              123611122                  2848                    33903600</v>
          </cell>
          <cell r="K1597" t="str">
            <v>10/10/2011</v>
          </cell>
          <cell r="L1597">
            <v>52</v>
          </cell>
          <cell r="M1597">
            <v>13000</v>
          </cell>
          <cell r="N1597">
            <v>57278</v>
          </cell>
          <cell r="O1597">
            <v>34112</v>
          </cell>
          <cell r="P1597">
            <v>16</v>
          </cell>
          <cell r="Q1597">
            <v>3</v>
          </cell>
          <cell r="U1597">
            <v>0</v>
          </cell>
          <cell r="V1597">
            <v>7500</v>
          </cell>
          <cell r="W1597">
            <v>180</v>
          </cell>
          <cell r="X1597">
            <v>6000</v>
          </cell>
          <cell r="Y1597">
            <v>113599</v>
          </cell>
          <cell r="Z1597">
            <v>13000</v>
          </cell>
          <cell r="AA1597">
            <v>500</v>
          </cell>
          <cell r="AB1597">
            <v>249.88</v>
          </cell>
          <cell r="AC1597">
            <v>7500</v>
          </cell>
          <cell r="AD1597">
            <v>5548.49</v>
          </cell>
          <cell r="AE1597">
            <v>1951.5100000000002</v>
          </cell>
          <cell r="AN1597" t="str">
            <v xml:space="preserve">Contrato emergencial nº </v>
          </cell>
          <cell r="AO1597" t="str">
            <v>BT</v>
          </cell>
        </row>
        <row r="1598">
          <cell r="D1598" t="str">
            <v>2730/11</v>
          </cell>
          <cell r="E1598" t="str">
            <v>10/10/2011</v>
          </cell>
          <cell r="F1598">
            <v>41005</v>
          </cell>
          <cell r="G1598">
            <v>40877</v>
          </cell>
          <cell r="H1598" t="str">
            <v>2011-0.256.710-4</v>
          </cell>
          <cell r="I1598" t="str">
            <v>29.080,62</v>
          </cell>
          <cell r="J1598" t="str">
            <v xml:space="preserve">              123651121                 2847                    33903600</v>
          </cell>
          <cell r="K1598" t="str">
            <v>10/10/2011</v>
          </cell>
          <cell r="L1598">
            <v>52</v>
          </cell>
          <cell r="M1598">
            <v>8500</v>
          </cell>
          <cell r="N1598">
            <v>57273</v>
          </cell>
          <cell r="O1598">
            <v>34115</v>
          </cell>
          <cell r="P1598">
            <v>16</v>
          </cell>
          <cell r="Q1598">
            <v>2</v>
          </cell>
          <cell r="U1598">
            <v>0</v>
          </cell>
          <cell r="V1598">
            <v>4900</v>
          </cell>
          <cell r="W1598">
            <v>180</v>
          </cell>
          <cell r="X1598">
            <v>3920</v>
          </cell>
          <cell r="Y1598">
            <v>114290</v>
          </cell>
          <cell r="Z1598">
            <v>5541.82</v>
          </cell>
          <cell r="AA1598">
            <v>3278.1800000000003</v>
          </cell>
          <cell r="AB1598">
            <v>161.559</v>
          </cell>
          <cell r="AC1598">
            <v>4900</v>
          </cell>
          <cell r="AD1598">
            <v>4319.79</v>
          </cell>
          <cell r="AE1598">
            <v>580.21</v>
          </cell>
          <cell r="AN1598" t="str">
            <v xml:space="preserve">Contrato emergencial nº </v>
          </cell>
          <cell r="AO1598" t="str">
            <v>G</v>
          </cell>
        </row>
        <row r="1599">
          <cell r="D1599" t="str">
            <v>2731/11</v>
          </cell>
          <cell r="E1599" t="str">
            <v>10/10/2011</v>
          </cell>
          <cell r="F1599">
            <v>41005</v>
          </cell>
          <cell r="G1599">
            <v>40877</v>
          </cell>
          <cell r="H1599" t="str">
            <v>2011-0.256.712-0</v>
          </cell>
          <cell r="I1599" t="str">
            <v>37.607,88</v>
          </cell>
          <cell r="J1599" t="str">
            <v xml:space="preserve">              123611122                  2848                    33903600</v>
          </cell>
          <cell r="K1599" t="str">
            <v>10/10/2011</v>
          </cell>
          <cell r="L1599">
            <v>52</v>
          </cell>
          <cell r="M1599">
            <v>10900</v>
          </cell>
          <cell r="N1599">
            <v>57278</v>
          </cell>
          <cell r="O1599">
            <v>34117</v>
          </cell>
          <cell r="P1599">
            <v>16</v>
          </cell>
          <cell r="Q1599">
            <v>3</v>
          </cell>
          <cell r="U1599">
            <v>0</v>
          </cell>
          <cell r="V1599">
            <v>6300</v>
          </cell>
          <cell r="W1599">
            <v>180</v>
          </cell>
          <cell r="X1599">
            <v>5040</v>
          </cell>
          <cell r="Y1599">
            <v>114297</v>
          </cell>
          <cell r="Z1599">
            <v>6734.24</v>
          </cell>
          <cell r="AA1599">
            <v>4605.76</v>
          </cell>
          <cell r="AB1599">
            <v>208.93266666666665</v>
          </cell>
          <cell r="AC1599">
            <v>6300</v>
          </cell>
          <cell r="AD1599">
            <v>6013.7300000000005</v>
          </cell>
          <cell r="AE1599">
            <v>286.26999999999953</v>
          </cell>
          <cell r="AN1599" t="str">
            <v xml:space="preserve">Contrato emergencial nº </v>
          </cell>
          <cell r="AO1599" t="str">
            <v>G</v>
          </cell>
        </row>
        <row r="1600">
          <cell r="D1600" t="str">
            <v>2732/11</v>
          </cell>
          <cell r="E1600" t="str">
            <v>10/10/2011</v>
          </cell>
          <cell r="F1600">
            <v>41005</v>
          </cell>
          <cell r="G1600">
            <v>40877</v>
          </cell>
          <cell r="H1600" t="str">
            <v>2011-0.256.714-7</v>
          </cell>
          <cell r="I1600" t="str">
            <v>44.978,40</v>
          </cell>
          <cell r="J1600" t="str">
            <v xml:space="preserve">              123611122                  2848                    33903600</v>
          </cell>
          <cell r="K1600" t="str">
            <v>10/10/2011</v>
          </cell>
          <cell r="L1600">
            <v>52</v>
          </cell>
          <cell r="M1600">
            <v>13000</v>
          </cell>
          <cell r="N1600">
            <v>57278</v>
          </cell>
          <cell r="O1600">
            <v>34118</v>
          </cell>
          <cell r="P1600">
            <v>16</v>
          </cell>
          <cell r="Q1600">
            <v>3</v>
          </cell>
          <cell r="U1600">
            <v>0</v>
          </cell>
          <cell r="V1600">
            <v>7500</v>
          </cell>
          <cell r="W1600">
            <v>180</v>
          </cell>
          <cell r="X1600">
            <v>6000</v>
          </cell>
          <cell r="Y1600">
            <v>114307</v>
          </cell>
          <cell r="Z1600">
            <v>7937.09</v>
          </cell>
          <cell r="AA1600">
            <v>5562.91</v>
          </cell>
          <cell r="AB1600">
            <v>249.88</v>
          </cell>
          <cell r="AC1600">
            <v>7500</v>
          </cell>
          <cell r="AD1600">
            <v>7125.06</v>
          </cell>
          <cell r="AE1600">
            <v>374.9399999999996</v>
          </cell>
          <cell r="AN1600" t="str">
            <v xml:space="preserve">Contrato emergencial nº </v>
          </cell>
          <cell r="AO1600" t="str">
            <v>G</v>
          </cell>
        </row>
        <row r="1601">
          <cell r="D1601" t="str">
            <v>2733/11</v>
          </cell>
          <cell r="E1601" t="str">
            <v>10/10/2011</v>
          </cell>
          <cell r="F1601">
            <v>41005</v>
          </cell>
          <cell r="G1601">
            <v>40877</v>
          </cell>
          <cell r="H1601" t="str">
            <v>2011-0.256.715-5</v>
          </cell>
          <cell r="I1601" t="str">
            <v>37.607,88</v>
          </cell>
          <cell r="J1601" t="str">
            <v xml:space="preserve">             123671125                  2863                   33903600</v>
          </cell>
          <cell r="K1601" t="str">
            <v>10/10/2011</v>
          </cell>
          <cell r="L1601">
            <v>52</v>
          </cell>
          <cell r="M1601">
            <v>10900</v>
          </cell>
          <cell r="N1601">
            <v>57287</v>
          </cell>
          <cell r="O1601">
            <v>34119</v>
          </cell>
          <cell r="P1601">
            <v>16</v>
          </cell>
          <cell r="Q1601">
            <v>4</v>
          </cell>
          <cell r="U1601">
            <v>0</v>
          </cell>
          <cell r="V1601">
            <v>6300</v>
          </cell>
          <cell r="W1601">
            <v>180</v>
          </cell>
          <cell r="X1601">
            <v>5040</v>
          </cell>
          <cell r="Y1601">
            <v>113882</v>
          </cell>
          <cell r="Z1601">
            <v>7449.99</v>
          </cell>
          <cell r="AA1601">
            <v>3890.01</v>
          </cell>
          <cell r="AB1601">
            <v>208.93266666666665</v>
          </cell>
          <cell r="AC1601">
            <v>6300</v>
          </cell>
          <cell r="AD1601">
            <v>4955.375</v>
          </cell>
          <cell r="AE1601">
            <v>1344.625</v>
          </cell>
          <cell r="AN1601" t="str">
            <v xml:space="preserve">Contrato emergencial nº </v>
          </cell>
          <cell r="AO1601" t="str">
            <v>IQ</v>
          </cell>
        </row>
        <row r="1602">
          <cell r="D1602" t="str">
            <v>2734/11</v>
          </cell>
          <cell r="E1602" t="str">
            <v>10/10/2011</v>
          </cell>
          <cell r="F1602">
            <v>41005</v>
          </cell>
          <cell r="G1602">
            <v>40877</v>
          </cell>
          <cell r="H1602" t="str">
            <v>2011-0.256.718-0</v>
          </cell>
          <cell r="I1602" t="str">
            <v>38.261,76</v>
          </cell>
          <cell r="J1602" t="str">
            <v xml:space="preserve">              123651121                 2847                    33903600</v>
          </cell>
          <cell r="K1602" t="str">
            <v>10/10/2011</v>
          </cell>
          <cell r="L1602">
            <v>52</v>
          </cell>
          <cell r="M1602">
            <v>11100</v>
          </cell>
          <cell r="N1602">
            <v>57273</v>
          </cell>
          <cell r="O1602">
            <v>34167</v>
          </cell>
          <cell r="P1602">
            <v>16</v>
          </cell>
          <cell r="Q1602">
            <v>2</v>
          </cell>
          <cell r="U1602">
            <v>0</v>
          </cell>
          <cell r="V1602">
            <v>6400</v>
          </cell>
          <cell r="W1602">
            <v>180</v>
          </cell>
          <cell r="X1602">
            <v>5120</v>
          </cell>
          <cell r="Y1602">
            <v>114709</v>
          </cell>
          <cell r="Z1602">
            <v>7196.55</v>
          </cell>
          <cell r="AA1602">
            <v>4323.45</v>
          </cell>
          <cell r="AB1602">
            <v>212.56533333333334</v>
          </cell>
          <cell r="AC1602">
            <v>6400</v>
          </cell>
          <cell r="AD1602">
            <v>5607.9999999999991</v>
          </cell>
          <cell r="AE1602">
            <v>792.00000000000091</v>
          </cell>
          <cell r="AN1602" t="str">
            <v xml:space="preserve">Contrato emergencial nº </v>
          </cell>
          <cell r="AO1602" t="str">
            <v>JT</v>
          </cell>
        </row>
        <row r="1603">
          <cell r="D1603" t="str">
            <v>2735/11</v>
          </cell>
          <cell r="E1603" t="str">
            <v>10/10/2011</v>
          </cell>
          <cell r="F1603">
            <v>41005</v>
          </cell>
          <cell r="G1603">
            <v>40877</v>
          </cell>
          <cell r="H1603" t="str">
            <v>2011-0.256.721-0</v>
          </cell>
          <cell r="I1603" t="str">
            <v>44.324,52</v>
          </cell>
          <cell r="J1603" t="str">
            <v xml:space="preserve">              123651121                 2847                    33903600</v>
          </cell>
          <cell r="K1603" t="str">
            <v>10/10/2011</v>
          </cell>
          <cell r="L1603">
            <v>52</v>
          </cell>
          <cell r="M1603">
            <v>12900</v>
          </cell>
          <cell r="N1603">
            <v>57273</v>
          </cell>
          <cell r="O1603">
            <v>34169</v>
          </cell>
          <cell r="P1603">
            <v>16</v>
          </cell>
          <cell r="Q1603">
            <v>2</v>
          </cell>
          <cell r="U1603">
            <v>4148.6460000000006</v>
          </cell>
          <cell r="V1603">
            <v>7400</v>
          </cell>
          <cell r="W1603">
            <v>180</v>
          </cell>
          <cell r="X1603">
            <v>5920</v>
          </cell>
          <cell r="Y1603">
            <v>0</v>
          </cell>
          <cell r="Z1603">
            <v>0</v>
          </cell>
          <cell r="AA1603">
            <v>17468.646000000001</v>
          </cell>
          <cell r="AB1603">
            <v>246.2473333333333</v>
          </cell>
          <cell r="AC1603">
            <v>7400</v>
          </cell>
          <cell r="AD1603">
            <v>5809.06</v>
          </cell>
          <cell r="AE1603">
            <v>1590.9399999999996</v>
          </cell>
          <cell r="AN1603" t="str">
            <v xml:space="preserve">Contrato emergencial nº </v>
          </cell>
          <cell r="AO1603" t="str">
            <v>MP</v>
          </cell>
        </row>
        <row r="1604">
          <cell r="D1604" t="str">
            <v>2736/11</v>
          </cell>
          <cell r="E1604" t="str">
            <v>10/10/2011</v>
          </cell>
          <cell r="F1604">
            <v>41005</v>
          </cell>
          <cell r="G1604">
            <v>40877</v>
          </cell>
          <cell r="H1604" t="str">
            <v>2011-0.256.723-6</v>
          </cell>
          <cell r="I1604" t="str">
            <v>37.607,88</v>
          </cell>
          <cell r="J1604" t="str">
            <v xml:space="preserve">              123651121                 2847                    33903600</v>
          </cell>
          <cell r="K1604" t="str">
            <v>10/10/2011</v>
          </cell>
          <cell r="L1604">
            <v>52</v>
          </cell>
          <cell r="M1604">
            <v>10900</v>
          </cell>
          <cell r="N1604">
            <v>57273</v>
          </cell>
          <cell r="O1604">
            <v>34171</v>
          </cell>
          <cell r="P1604">
            <v>16</v>
          </cell>
          <cell r="Q1604">
            <v>2</v>
          </cell>
          <cell r="U1604">
            <v>4207.2860000000001</v>
          </cell>
          <cell r="V1604">
            <v>6300</v>
          </cell>
          <cell r="W1604">
            <v>180</v>
          </cell>
          <cell r="X1604">
            <v>5040</v>
          </cell>
          <cell r="Y1604">
            <v>0</v>
          </cell>
          <cell r="Z1604">
            <v>0</v>
          </cell>
          <cell r="AA1604">
            <v>15547.286</v>
          </cell>
          <cell r="AB1604">
            <v>208.93266666666665</v>
          </cell>
          <cell r="AC1604">
            <v>6300</v>
          </cell>
          <cell r="AD1604">
            <v>6033.38</v>
          </cell>
          <cell r="AE1604">
            <v>266.61999999999989</v>
          </cell>
          <cell r="AN1604" t="str">
            <v xml:space="preserve">Contrato emergencial nº </v>
          </cell>
          <cell r="AO1604" t="str">
            <v>MP</v>
          </cell>
        </row>
        <row r="1605">
          <cell r="D1605" t="str">
            <v>2737/11</v>
          </cell>
          <cell r="E1605" t="str">
            <v>10/10/2011</v>
          </cell>
          <cell r="F1605">
            <v>41005</v>
          </cell>
          <cell r="G1605">
            <v>40877</v>
          </cell>
          <cell r="H1605" t="str">
            <v>2011-0.256.725-2</v>
          </cell>
          <cell r="I1605" t="str">
            <v>44.324,52</v>
          </cell>
          <cell r="J1605" t="str">
            <v xml:space="preserve">              123611122                  2848                    33903600</v>
          </cell>
          <cell r="K1605" t="str">
            <v>10/10/2011</v>
          </cell>
          <cell r="L1605">
            <v>52</v>
          </cell>
          <cell r="M1605">
            <v>12900</v>
          </cell>
          <cell r="N1605">
            <v>57278</v>
          </cell>
          <cell r="O1605">
            <v>33266</v>
          </cell>
          <cell r="P1605">
            <v>16</v>
          </cell>
          <cell r="Q1605">
            <v>3</v>
          </cell>
          <cell r="U1605">
            <v>3921.05</v>
          </cell>
          <cell r="V1605">
            <v>7400</v>
          </cell>
          <cell r="W1605">
            <v>180</v>
          </cell>
          <cell r="X1605">
            <v>5920</v>
          </cell>
          <cell r="Y1605">
            <v>0</v>
          </cell>
          <cell r="Z1605">
            <v>0</v>
          </cell>
          <cell r="AA1605">
            <v>17241.05</v>
          </cell>
          <cell r="AB1605">
            <v>246.2473333333333</v>
          </cell>
          <cell r="AC1605">
            <v>7400</v>
          </cell>
          <cell r="AD1605">
            <v>5471.0099999999993</v>
          </cell>
          <cell r="AE1605">
            <v>1928.9900000000007</v>
          </cell>
          <cell r="AN1605" t="str">
            <v xml:space="preserve">Contrato emergencial nº </v>
          </cell>
          <cell r="AO1605" t="str">
            <v>MP</v>
          </cell>
        </row>
        <row r="1606">
          <cell r="D1606" t="str">
            <v>2738/11</v>
          </cell>
          <cell r="E1606" t="str">
            <v>10/10/2011</v>
          </cell>
          <cell r="F1606">
            <v>41005</v>
          </cell>
          <cell r="G1606">
            <v>40877</v>
          </cell>
          <cell r="H1606" t="str">
            <v>2011-0.256.728-7</v>
          </cell>
          <cell r="I1606" t="str">
            <v>27.971,16</v>
          </cell>
          <cell r="J1606" t="str">
            <v xml:space="preserve">              123611122                  2848                    33903600</v>
          </cell>
          <cell r="K1606" t="str">
            <v>10/10/2011</v>
          </cell>
          <cell r="L1606">
            <v>52</v>
          </cell>
          <cell r="M1606">
            <v>8100</v>
          </cell>
          <cell r="N1606">
            <v>57278</v>
          </cell>
          <cell r="O1606">
            <v>34172</v>
          </cell>
          <cell r="P1606">
            <v>16</v>
          </cell>
          <cell r="Q1606">
            <v>3</v>
          </cell>
          <cell r="U1606">
            <v>3826.326</v>
          </cell>
          <cell r="V1606">
            <v>5600</v>
          </cell>
          <cell r="W1606">
            <v>180</v>
          </cell>
          <cell r="X1606">
            <v>4480</v>
          </cell>
          <cell r="Y1606">
            <v>0</v>
          </cell>
          <cell r="Z1606">
            <v>0</v>
          </cell>
          <cell r="AA1606">
            <v>13906.326000000001</v>
          </cell>
          <cell r="AB1606">
            <v>155.39533333333333</v>
          </cell>
          <cell r="AC1606">
            <v>4700</v>
          </cell>
          <cell r="AD1606">
            <v>5521.18</v>
          </cell>
          <cell r="AE1606">
            <v>-821.18000000000029</v>
          </cell>
          <cell r="AN1606" t="str">
            <v xml:space="preserve">Contrato emergencial nº </v>
          </cell>
          <cell r="AO1606" t="str">
            <v>MP</v>
          </cell>
        </row>
        <row r="1607">
          <cell r="D1607" t="str">
            <v>2739/11</v>
          </cell>
          <cell r="E1607" t="str">
            <v>10/10/2011</v>
          </cell>
          <cell r="F1607">
            <v>41005</v>
          </cell>
          <cell r="G1607">
            <v>40877</v>
          </cell>
          <cell r="H1607" t="str">
            <v>2011-0.256.732-5</v>
          </cell>
          <cell r="I1607" t="str">
            <v>44.324,52</v>
          </cell>
          <cell r="J1607" t="str">
            <v xml:space="preserve">              123611122                  2848                    33903600</v>
          </cell>
          <cell r="K1607" t="str">
            <v>10/10/2011</v>
          </cell>
          <cell r="L1607">
            <v>52</v>
          </cell>
          <cell r="M1607">
            <v>12900</v>
          </cell>
          <cell r="N1607">
            <v>57278</v>
          </cell>
          <cell r="O1607">
            <v>33269</v>
          </cell>
          <cell r="P1607">
            <v>16</v>
          </cell>
          <cell r="Q1607">
            <v>3</v>
          </cell>
          <cell r="U1607">
            <v>4129.8370000000004</v>
          </cell>
          <cell r="V1607">
            <v>7400</v>
          </cell>
          <cell r="W1607">
            <v>180</v>
          </cell>
          <cell r="X1607">
            <v>5920</v>
          </cell>
          <cell r="Y1607">
            <v>0</v>
          </cell>
          <cell r="Z1607">
            <v>0</v>
          </cell>
          <cell r="AA1607">
            <v>17449.837</v>
          </cell>
          <cell r="AB1607">
            <v>246.2473333333333</v>
          </cell>
          <cell r="AC1607">
            <v>7400</v>
          </cell>
          <cell r="AD1607">
            <v>5929.0349999999999</v>
          </cell>
          <cell r="AE1607">
            <v>1470.9650000000001</v>
          </cell>
          <cell r="AN1607" t="str">
            <v xml:space="preserve">Contrato emergencial nº </v>
          </cell>
          <cell r="AO1607" t="str">
            <v>MP</v>
          </cell>
        </row>
        <row r="1608">
          <cell r="D1608" t="str">
            <v>2740/11</v>
          </cell>
          <cell r="E1608" t="str">
            <v>10/10/2011</v>
          </cell>
          <cell r="F1608">
            <v>41005</v>
          </cell>
          <cell r="G1608">
            <v>40877</v>
          </cell>
          <cell r="H1608" t="str">
            <v>2011-0.256.735-0</v>
          </cell>
          <cell r="I1608" t="str">
            <v>44.324,52</v>
          </cell>
          <cell r="J1608" t="str">
            <v xml:space="preserve">              123611122                  2848                    33903600</v>
          </cell>
          <cell r="K1608" t="str">
            <v>10/10/2011</v>
          </cell>
          <cell r="L1608">
            <v>52</v>
          </cell>
          <cell r="M1608">
            <v>12900</v>
          </cell>
          <cell r="N1608">
            <v>57278</v>
          </cell>
          <cell r="O1608">
            <v>34174</v>
          </cell>
          <cell r="P1608">
            <v>16</v>
          </cell>
          <cell r="Q1608">
            <v>3</v>
          </cell>
          <cell r="U1608">
            <v>0</v>
          </cell>
          <cell r="V1608">
            <v>7400</v>
          </cell>
          <cell r="W1608">
            <v>180</v>
          </cell>
          <cell r="X1608">
            <v>5920</v>
          </cell>
          <cell r="Y1608">
            <v>113961</v>
          </cell>
          <cell r="Z1608">
            <v>8783.0400000000009</v>
          </cell>
          <cell r="AA1608">
            <v>4536.9599999999991</v>
          </cell>
          <cell r="AB1608">
            <v>246.2473333333333</v>
          </cell>
          <cell r="AC1608">
            <v>7400</v>
          </cell>
          <cell r="AD1608">
            <v>5951.66</v>
          </cell>
          <cell r="AE1608">
            <v>1448.3400000000001</v>
          </cell>
          <cell r="AN1608" t="str">
            <v xml:space="preserve">Contrato emergencial nº </v>
          </cell>
          <cell r="AO1608" t="str">
            <v>PE</v>
          </cell>
        </row>
        <row r="1609">
          <cell r="D1609" t="str">
            <v>2741/11</v>
          </cell>
          <cell r="E1609" t="str">
            <v>10/10/2011</v>
          </cell>
          <cell r="F1609">
            <v>41005</v>
          </cell>
          <cell r="G1609">
            <v>40877</v>
          </cell>
          <cell r="H1609" t="str">
            <v>2011-0.256.738-4</v>
          </cell>
          <cell r="I1609" t="str">
            <v>31.012,38</v>
          </cell>
          <cell r="J1609" t="str">
            <v xml:space="preserve">              123611122                  2848                    33903600</v>
          </cell>
          <cell r="K1609" t="str">
            <v>10/10/2011</v>
          </cell>
          <cell r="L1609">
            <v>52</v>
          </cell>
          <cell r="M1609">
            <v>9000</v>
          </cell>
          <cell r="N1609">
            <v>57278</v>
          </cell>
          <cell r="O1609">
            <v>33273</v>
          </cell>
          <cell r="P1609">
            <v>16</v>
          </cell>
          <cell r="Q1609">
            <v>3</v>
          </cell>
          <cell r="U1609">
            <v>0</v>
          </cell>
          <cell r="V1609">
            <v>6000</v>
          </cell>
          <cell r="W1609">
            <v>180</v>
          </cell>
          <cell r="X1609">
            <v>4800</v>
          </cell>
          <cell r="Y1609">
            <v>112937</v>
          </cell>
          <cell r="Z1609">
            <v>4953.83</v>
          </cell>
          <cell r="AA1609">
            <v>5846.17</v>
          </cell>
          <cell r="AB1609">
            <v>172.291</v>
          </cell>
          <cell r="AC1609">
            <v>5200</v>
          </cell>
          <cell r="AD1609">
            <v>5913.3650000000007</v>
          </cell>
          <cell r="AE1609">
            <v>-713.36500000000069</v>
          </cell>
          <cell r="AN1609" t="str">
            <v xml:space="preserve">Contrato emergencial nº </v>
          </cell>
          <cell r="AO1609" t="str">
            <v>PJ</v>
          </cell>
        </row>
        <row r="1610">
          <cell r="D1610" t="str">
            <v>2742/11</v>
          </cell>
          <cell r="E1610" t="str">
            <v>10/10/2011</v>
          </cell>
          <cell r="F1610">
            <v>41005</v>
          </cell>
          <cell r="G1610">
            <v>40877</v>
          </cell>
          <cell r="H1610" t="str">
            <v>2011-0.256.740-6</v>
          </cell>
          <cell r="I1610" t="str">
            <v>31.824,66</v>
          </cell>
          <cell r="J1610" t="str">
            <v xml:space="preserve">              123611122                  2848                    33903600</v>
          </cell>
          <cell r="K1610" t="str">
            <v>10/10/2011</v>
          </cell>
          <cell r="L1610">
            <v>52</v>
          </cell>
          <cell r="M1610">
            <v>9200</v>
          </cell>
          <cell r="N1610">
            <v>57278</v>
          </cell>
          <cell r="O1610">
            <v>34176</v>
          </cell>
          <cell r="P1610">
            <v>16</v>
          </cell>
          <cell r="Q1610">
            <v>3</v>
          </cell>
          <cell r="U1610">
            <v>0</v>
          </cell>
          <cell r="V1610">
            <v>5400</v>
          </cell>
          <cell r="W1610">
            <v>180</v>
          </cell>
          <cell r="X1610">
            <v>4320</v>
          </cell>
          <cell r="Y1610">
            <v>114409</v>
          </cell>
          <cell r="Z1610">
            <v>4804.33</v>
          </cell>
          <cell r="AA1610">
            <v>4915.67</v>
          </cell>
          <cell r="AB1610">
            <v>176.80366666666666</v>
          </cell>
          <cell r="AC1610">
            <v>5400</v>
          </cell>
          <cell r="AD1610">
            <v>4696.88</v>
          </cell>
          <cell r="AE1610">
            <v>703.11999999999989</v>
          </cell>
          <cell r="AN1610" t="str">
            <v xml:space="preserve">Contrato emergencial nº </v>
          </cell>
          <cell r="AO1610" t="str">
            <v>SA</v>
          </cell>
        </row>
        <row r="1611">
          <cell r="D1611" t="str">
            <v>2743/11</v>
          </cell>
          <cell r="E1611" t="str">
            <v>10/10/2011</v>
          </cell>
          <cell r="F1611">
            <v>41005</v>
          </cell>
          <cell r="G1611">
            <v>40877</v>
          </cell>
          <cell r="H1611" t="str">
            <v>2011-0.256.741-4</v>
          </cell>
          <cell r="I1611" t="str">
            <v>27.971,16</v>
          </cell>
          <cell r="J1611" t="str">
            <v xml:space="preserve">              123651121                 2847                    33903600</v>
          </cell>
          <cell r="K1611" t="str">
            <v>10/10/2011</v>
          </cell>
          <cell r="L1611">
            <v>52</v>
          </cell>
          <cell r="M1611">
            <v>8100</v>
          </cell>
          <cell r="N1611">
            <v>57273</v>
          </cell>
          <cell r="O1611">
            <v>33275</v>
          </cell>
          <cell r="P1611">
            <v>16</v>
          </cell>
          <cell r="Q1611">
            <v>2</v>
          </cell>
          <cell r="U1611">
            <v>0</v>
          </cell>
          <cell r="V1611">
            <v>4700</v>
          </cell>
          <cell r="W1611">
            <v>180</v>
          </cell>
          <cell r="X1611">
            <v>3760</v>
          </cell>
          <cell r="Y1611">
            <v>114421</v>
          </cell>
          <cell r="Z1611">
            <v>5295.65</v>
          </cell>
          <cell r="AA1611">
            <v>3164.3500000000004</v>
          </cell>
          <cell r="AB1611">
            <v>155.39533333333333</v>
          </cell>
          <cell r="AC1611">
            <v>4700</v>
          </cell>
          <cell r="AD1611">
            <v>3970.8</v>
          </cell>
          <cell r="AE1611">
            <v>729.19999999999982</v>
          </cell>
          <cell r="AN1611" t="str">
            <v xml:space="preserve">Contrato emergencial nº </v>
          </cell>
          <cell r="AO1611" t="str">
            <v>SA</v>
          </cell>
        </row>
        <row r="1612">
          <cell r="D1612" t="str">
            <v>2744/11</v>
          </cell>
          <cell r="E1612" t="str">
            <v>10/10/2011</v>
          </cell>
          <cell r="F1612">
            <v>41005</v>
          </cell>
          <cell r="G1612">
            <v>40877</v>
          </cell>
          <cell r="H1612" t="str">
            <v>2011-0.256.743-0</v>
          </cell>
          <cell r="I1612" t="str">
            <v>31.418,52</v>
          </cell>
          <cell r="J1612" t="str">
            <v xml:space="preserve">              123651121                 2847                    33903600</v>
          </cell>
          <cell r="K1612" t="str">
            <v>10/10/2011</v>
          </cell>
          <cell r="L1612">
            <v>52</v>
          </cell>
          <cell r="M1612">
            <v>9100</v>
          </cell>
          <cell r="N1612">
            <v>57273</v>
          </cell>
          <cell r="O1612">
            <v>33276</v>
          </cell>
          <cell r="P1612">
            <v>16</v>
          </cell>
          <cell r="Q1612">
            <v>2</v>
          </cell>
          <cell r="U1612">
            <v>0</v>
          </cell>
          <cell r="V1612">
            <v>5300</v>
          </cell>
          <cell r="W1612">
            <v>180</v>
          </cell>
          <cell r="X1612">
            <v>4240</v>
          </cell>
          <cell r="Y1612">
            <v>114431</v>
          </cell>
          <cell r="Z1612">
            <v>5506.87</v>
          </cell>
          <cell r="AA1612">
            <v>4033.13</v>
          </cell>
          <cell r="AB1612">
            <v>174.54733333333334</v>
          </cell>
          <cell r="AC1612">
            <v>5300</v>
          </cell>
          <cell r="AD1612">
            <v>4633.09</v>
          </cell>
          <cell r="AE1612">
            <v>666.90999999999985</v>
          </cell>
          <cell r="AN1612" t="str">
            <v xml:space="preserve">Contrato emergencial nº </v>
          </cell>
          <cell r="AO1612" t="str">
            <v>SA</v>
          </cell>
        </row>
        <row r="1613">
          <cell r="D1613" t="str">
            <v>2745/11</v>
          </cell>
          <cell r="E1613" t="str">
            <v>10/10/2011</v>
          </cell>
          <cell r="F1613">
            <v>41005</v>
          </cell>
          <cell r="G1613">
            <v>40877</v>
          </cell>
          <cell r="H1613" t="str">
            <v>2011-0.256.744-9</v>
          </cell>
          <cell r="I1613" t="str">
            <v>40.877,16</v>
          </cell>
          <cell r="J1613" t="str">
            <v xml:space="preserve">              123611122                  2848                    33903600</v>
          </cell>
          <cell r="K1613" t="str">
            <v>10/10/2011</v>
          </cell>
          <cell r="L1613">
            <v>52</v>
          </cell>
          <cell r="M1613">
            <v>11900</v>
          </cell>
          <cell r="N1613">
            <v>57278</v>
          </cell>
          <cell r="O1613">
            <v>34177</v>
          </cell>
          <cell r="P1613">
            <v>16</v>
          </cell>
          <cell r="Q1613">
            <v>3</v>
          </cell>
          <cell r="U1613">
            <v>0</v>
          </cell>
          <cell r="V1613">
            <v>7000</v>
          </cell>
          <cell r="W1613">
            <v>180</v>
          </cell>
          <cell r="X1613">
            <v>5600</v>
          </cell>
          <cell r="Y1613">
            <v>114433</v>
          </cell>
          <cell r="Z1613">
            <v>7062.3</v>
          </cell>
          <cell r="AA1613">
            <v>5537.7</v>
          </cell>
          <cell r="AB1613">
            <v>227.09533333333334</v>
          </cell>
          <cell r="AC1613">
            <v>6900</v>
          </cell>
          <cell r="AD1613">
            <v>6973.86</v>
          </cell>
          <cell r="AE1613">
            <v>-73.859999999999673</v>
          </cell>
          <cell r="AN1613" t="str">
            <v xml:space="preserve">Contrato emergencial nº </v>
          </cell>
          <cell r="AO1613" t="str">
            <v>SA</v>
          </cell>
        </row>
        <row r="1614">
          <cell r="D1614" t="str">
            <v>2746/11</v>
          </cell>
          <cell r="E1614" t="str">
            <v>10/10/2011</v>
          </cell>
          <cell r="F1614">
            <v>41005</v>
          </cell>
          <cell r="G1614">
            <v>40877</v>
          </cell>
          <cell r="H1614" t="str">
            <v>2011-0.256.748-1</v>
          </cell>
          <cell r="I1614" t="str">
            <v>44.324,52</v>
          </cell>
          <cell r="J1614" t="str">
            <v xml:space="preserve">              123611122                  2848                    33903600</v>
          </cell>
          <cell r="K1614" t="str">
            <v>10/10/2011</v>
          </cell>
          <cell r="L1614">
            <v>52</v>
          </cell>
          <cell r="M1614">
            <v>12900</v>
          </cell>
          <cell r="N1614">
            <v>57278</v>
          </cell>
          <cell r="O1614">
            <v>33280</v>
          </cell>
          <cell r="P1614">
            <v>16</v>
          </cell>
          <cell r="Q1614">
            <v>3</v>
          </cell>
          <cell r="U1614">
            <v>0</v>
          </cell>
          <cell r="V1614">
            <v>7400</v>
          </cell>
          <cell r="W1614">
            <v>180</v>
          </cell>
          <cell r="X1614">
            <v>5920</v>
          </cell>
          <cell r="Y1614">
            <v>112964</v>
          </cell>
          <cell r="Z1614">
            <v>8163.27</v>
          </cell>
          <cell r="AA1614">
            <v>5156.7299999999996</v>
          </cell>
          <cell r="AB1614">
            <v>246.2473333333333</v>
          </cell>
          <cell r="AC1614">
            <v>7400</v>
          </cell>
          <cell r="AD1614">
            <v>6777.9</v>
          </cell>
          <cell r="AE1614">
            <v>622.10000000000036</v>
          </cell>
          <cell r="AN1614" t="str">
            <v xml:space="preserve">Contrato emergencial nº </v>
          </cell>
          <cell r="AO1614" t="str">
            <v>SM</v>
          </cell>
        </row>
        <row r="1615">
          <cell r="D1615" t="str">
            <v>2747/11</v>
          </cell>
          <cell r="E1615" t="str">
            <v>10/10/2011</v>
          </cell>
          <cell r="F1615">
            <v>41005</v>
          </cell>
          <cell r="G1615">
            <v>40877</v>
          </cell>
          <cell r="H1615" t="str">
            <v>2011-0.256.751-1</v>
          </cell>
          <cell r="I1615" t="str">
            <v>44.324,52</v>
          </cell>
          <cell r="J1615" t="str">
            <v xml:space="preserve">              123651121                 2847                    33903600</v>
          </cell>
          <cell r="K1615" t="str">
            <v>10/10/2011</v>
          </cell>
          <cell r="L1615">
            <v>52</v>
          </cell>
          <cell r="M1615">
            <v>12900</v>
          </cell>
          <cell r="N1615">
            <v>57273</v>
          </cell>
          <cell r="O1615">
            <v>34179</v>
          </cell>
          <cell r="P1615">
            <v>16</v>
          </cell>
          <cell r="Q1615">
            <v>2</v>
          </cell>
          <cell r="U1615">
            <v>0</v>
          </cell>
          <cell r="V1615">
            <v>10500</v>
          </cell>
          <cell r="W1615">
            <v>180</v>
          </cell>
          <cell r="X1615">
            <v>8400</v>
          </cell>
          <cell r="Y1615">
            <v>112968</v>
          </cell>
          <cell r="Z1615">
            <v>5595.41</v>
          </cell>
          <cell r="AA1615">
            <v>13304.59</v>
          </cell>
          <cell r="AB1615">
            <v>246.2473333333333</v>
          </cell>
          <cell r="AC1615">
            <v>7400</v>
          </cell>
          <cell r="AD1615">
            <v>10460.499999999998</v>
          </cell>
          <cell r="AE1615">
            <v>-3060.4999999999982</v>
          </cell>
          <cell r="AN1615" t="str">
            <v xml:space="preserve">Contrato emergencial nº </v>
          </cell>
          <cell r="AO1615" t="str">
            <v>SM</v>
          </cell>
        </row>
        <row r="1616">
          <cell r="D1616" t="str">
            <v>2748/11</v>
          </cell>
          <cell r="E1616" t="str">
            <v>10/10/2011</v>
          </cell>
          <cell r="F1616">
            <v>41005</v>
          </cell>
          <cell r="G1616">
            <v>40877</v>
          </cell>
          <cell r="H1616" t="str">
            <v>2011-0.256.753-8</v>
          </cell>
          <cell r="I1616" t="str">
            <v>44.324,52</v>
          </cell>
          <cell r="J1616" t="str">
            <v xml:space="preserve">              123651121                 2847                    33903600</v>
          </cell>
          <cell r="K1616" t="str">
            <v>10/10/2011</v>
          </cell>
          <cell r="L1616">
            <v>52</v>
          </cell>
          <cell r="M1616">
            <v>12900</v>
          </cell>
          <cell r="N1616">
            <v>57273</v>
          </cell>
          <cell r="O1616">
            <v>34183</v>
          </cell>
          <cell r="P1616">
            <v>16</v>
          </cell>
          <cell r="Q1616">
            <v>2</v>
          </cell>
          <cell r="U1616">
            <v>0</v>
          </cell>
          <cell r="V1616">
            <v>8500</v>
          </cell>
          <cell r="W1616">
            <v>180</v>
          </cell>
          <cell r="X1616">
            <v>6800</v>
          </cell>
          <cell r="Y1616">
            <v>112970</v>
          </cell>
          <cell r="Z1616">
            <v>6541.33</v>
          </cell>
          <cell r="AA1616">
            <v>8758.67</v>
          </cell>
          <cell r="AB1616">
            <v>246.2473333333333</v>
          </cell>
          <cell r="AC1616">
            <v>7400</v>
          </cell>
          <cell r="AD1616">
            <v>8429.4100000000017</v>
          </cell>
          <cell r="AE1616">
            <v>-1029.4100000000017</v>
          </cell>
          <cell r="AN1616" t="str">
            <v xml:space="preserve">Contrato emergencial nº </v>
          </cell>
          <cell r="AO1616" t="str">
            <v>SM</v>
          </cell>
        </row>
        <row r="1617">
          <cell r="D1617" t="str">
            <v>2749/11</v>
          </cell>
          <cell r="E1617" t="str">
            <v>10/10/2011</v>
          </cell>
          <cell r="F1617">
            <v>41005</v>
          </cell>
          <cell r="G1617">
            <v>40877</v>
          </cell>
          <cell r="H1617" t="str">
            <v>2011-0.256.756-2</v>
          </cell>
          <cell r="I1617" t="str">
            <v>44.324,52</v>
          </cell>
          <cell r="J1617" t="str">
            <v xml:space="preserve">              123651121                 2847                    33903600</v>
          </cell>
          <cell r="K1617" t="str">
            <v>10/10/2011</v>
          </cell>
          <cell r="L1617">
            <v>52</v>
          </cell>
          <cell r="M1617">
            <v>12900</v>
          </cell>
          <cell r="N1617">
            <v>57273</v>
          </cell>
          <cell r="O1617">
            <v>33282</v>
          </cell>
          <cell r="P1617">
            <v>16</v>
          </cell>
          <cell r="Q1617">
            <v>2</v>
          </cell>
          <cell r="U1617">
            <v>0</v>
          </cell>
          <cell r="V1617">
            <v>7400</v>
          </cell>
          <cell r="W1617">
            <v>180</v>
          </cell>
          <cell r="X1617">
            <v>5920</v>
          </cell>
          <cell r="Y1617">
            <v>112972</v>
          </cell>
          <cell r="Z1617">
            <v>8270.6</v>
          </cell>
          <cell r="AA1617">
            <v>5049.3999999999996</v>
          </cell>
          <cell r="AB1617">
            <v>246.2473333333333</v>
          </cell>
          <cell r="AC1617">
            <v>7400</v>
          </cell>
          <cell r="AD1617">
            <v>6625.4000000000005</v>
          </cell>
          <cell r="AE1617">
            <v>774.59999999999945</v>
          </cell>
          <cell r="AN1617" t="str">
            <v xml:space="preserve">Contrato emergencial nº </v>
          </cell>
          <cell r="AO1617" t="str">
            <v>SM</v>
          </cell>
        </row>
        <row r="1618">
          <cell r="D1618" t="str">
            <v>2750/11</v>
          </cell>
          <cell r="E1618" t="str">
            <v>10/10/2011</v>
          </cell>
          <cell r="F1618">
            <v>41005</v>
          </cell>
          <cell r="G1618">
            <v>40877</v>
          </cell>
          <cell r="H1618" t="str">
            <v>2011-0.256.757-0</v>
          </cell>
          <cell r="I1618" t="str">
            <v>44.324,52</v>
          </cell>
          <cell r="J1618" t="str">
            <v xml:space="preserve">              123611122                  2848                    33903600</v>
          </cell>
          <cell r="K1618" t="str">
            <v>10/10/2011</v>
          </cell>
          <cell r="L1618">
            <v>52</v>
          </cell>
          <cell r="M1618">
            <v>12900</v>
          </cell>
          <cell r="N1618">
            <v>57278</v>
          </cell>
          <cell r="O1618">
            <v>33284</v>
          </cell>
          <cell r="P1618">
            <v>16</v>
          </cell>
          <cell r="Q1618">
            <v>3</v>
          </cell>
          <cell r="U1618">
            <v>0</v>
          </cell>
          <cell r="V1618">
            <v>7400</v>
          </cell>
          <cell r="W1618">
            <v>180</v>
          </cell>
          <cell r="X1618">
            <v>5920</v>
          </cell>
          <cell r="Y1618">
            <v>112975</v>
          </cell>
          <cell r="Z1618">
            <v>8249.84</v>
          </cell>
          <cell r="AA1618">
            <v>5070.16</v>
          </cell>
          <cell r="AB1618">
            <v>246.2473333333333</v>
          </cell>
          <cell r="AC1618">
            <v>7400</v>
          </cell>
          <cell r="AD1618">
            <v>6684.92</v>
          </cell>
          <cell r="AE1618">
            <v>715.07999999999993</v>
          </cell>
          <cell r="AN1618" t="str">
            <v xml:space="preserve">Contrato emergencial nº </v>
          </cell>
          <cell r="AO1618" t="str">
            <v>SM</v>
          </cell>
        </row>
        <row r="1619">
          <cell r="D1619" t="str">
            <v>2751/11</v>
          </cell>
          <cell r="E1619" t="str">
            <v>10/10/2011</v>
          </cell>
          <cell r="F1619">
            <v>41005</v>
          </cell>
          <cell r="G1619">
            <v>40877</v>
          </cell>
          <cell r="H1619" t="str">
            <v>2011-0.256.759-7</v>
          </cell>
          <cell r="I1619" t="str">
            <v>31.012,38</v>
          </cell>
          <cell r="J1619" t="str">
            <v xml:space="preserve">              123651121                 2847                    33903600</v>
          </cell>
          <cell r="K1619" t="str">
            <v>10/10/2011</v>
          </cell>
          <cell r="L1619">
            <v>52</v>
          </cell>
          <cell r="M1619">
            <v>9000</v>
          </cell>
          <cell r="N1619">
            <v>57273</v>
          </cell>
          <cell r="O1619">
            <v>34184</v>
          </cell>
          <cell r="P1619">
            <v>16</v>
          </cell>
          <cell r="Q1619">
            <v>2</v>
          </cell>
          <cell r="U1619">
            <v>0</v>
          </cell>
          <cell r="V1619">
            <v>5800</v>
          </cell>
          <cell r="W1619">
            <v>180</v>
          </cell>
          <cell r="X1619">
            <v>4640</v>
          </cell>
          <cell r="Y1619">
            <v>113417</v>
          </cell>
          <cell r="Z1619">
            <v>9000</v>
          </cell>
          <cell r="AA1619">
            <v>1440</v>
          </cell>
          <cell r="AB1619">
            <v>172.291</v>
          </cell>
          <cell r="AC1619">
            <v>5200</v>
          </cell>
          <cell r="AD1619">
            <v>5751.8999999999987</v>
          </cell>
          <cell r="AE1619">
            <v>-551.89999999999873</v>
          </cell>
          <cell r="AN1619" t="str">
            <v xml:space="preserve">Contrato emergencial nº </v>
          </cell>
          <cell r="AO1619" t="str">
            <v>CL</v>
          </cell>
        </row>
        <row r="1620">
          <cell r="D1620" t="str">
            <v>2752/11</v>
          </cell>
          <cell r="E1620" t="str">
            <v>10/10/2011</v>
          </cell>
          <cell r="F1620">
            <v>41005</v>
          </cell>
          <cell r="G1620">
            <v>40877</v>
          </cell>
          <cell r="H1620" t="str">
            <v>2011-0.256.762-7</v>
          </cell>
          <cell r="I1620" t="str">
            <v>44.324,52</v>
          </cell>
          <cell r="J1620" t="str">
            <v xml:space="preserve">              123611122                  2848                    33903600</v>
          </cell>
          <cell r="K1620" t="str">
            <v>10/10/2011</v>
          </cell>
          <cell r="L1620">
            <v>52</v>
          </cell>
          <cell r="M1620">
            <v>12900</v>
          </cell>
          <cell r="N1620">
            <v>57278</v>
          </cell>
          <cell r="O1620">
            <v>33285</v>
          </cell>
          <cell r="P1620">
            <v>16</v>
          </cell>
          <cell r="Q1620">
            <v>3</v>
          </cell>
          <cell r="U1620">
            <v>0</v>
          </cell>
          <cell r="V1620">
            <v>7400</v>
          </cell>
          <cell r="W1620">
            <v>180</v>
          </cell>
          <cell r="X1620">
            <v>5920</v>
          </cell>
          <cell r="Y1620">
            <v>113028</v>
          </cell>
          <cell r="Z1620">
            <v>7939.5059999999994</v>
          </cell>
          <cell r="AA1620">
            <v>5380.4940000000006</v>
          </cell>
          <cell r="AB1620">
            <v>246.2473333333333</v>
          </cell>
          <cell r="AC1620">
            <v>7400</v>
          </cell>
          <cell r="AD1620">
            <v>7071.66</v>
          </cell>
          <cell r="AE1620">
            <v>328.34000000000015</v>
          </cell>
          <cell r="AN1620" t="str">
            <v xml:space="preserve">Contrato emergencial nº </v>
          </cell>
          <cell r="AO1620" t="str">
            <v>CS</v>
          </cell>
        </row>
        <row r="1621">
          <cell r="D1621" t="str">
            <v>2753/11</v>
          </cell>
          <cell r="E1621" t="str">
            <v>10/10/2011</v>
          </cell>
          <cell r="F1621">
            <v>41005</v>
          </cell>
          <cell r="G1621">
            <v>40877</v>
          </cell>
          <cell r="H1621" t="str">
            <v>2011-0.256.764-3</v>
          </cell>
          <cell r="I1621" t="str">
            <v>37.607,88</v>
          </cell>
          <cell r="J1621" t="str">
            <v xml:space="preserve">              123611122                  2848                    33903600</v>
          </cell>
          <cell r="K1621" t="str">
            <v>10/10/2011</v>
          </cell>
          <cell r="L1621">
            <v>52</v>
          </cell>
          <cell r="M1621">
            <v>10900</v>
          </cell>
          <cell r="N1621">
            <v>57278</v>
          </cell>
          <cell r="O1621">
            <v>33290</v>
          </cell>
          <cell r="P1621">
            <v>16</v>
          </cell>
          <cell r="Q1621">
            <v>3</v>
          </cell>
          <cell r="U1621">
            <v>0</v>
          </cell>
          <cell r="V1621">
            <v>7000</v>
          </cell>
          <cell r="W1621">
            <v>180</v>
          </cell>
          <cell r="X1621">
            <v>5600</v>
          </cell>
          <cell r="Y1621">
            <v>113037</v>
          </cell>
          <cell r="Z1621">
            <v>6136.3180000000002</v>
          </cell>
          <cell r="AA1621">
            <v>6463.6819999999998</v>
          </cell>
          <cell r="AB1621">
            <v>208.93266666666665</v>
          </cell>
          <cell r="AC1621">
            <v>6300</v>
          </cell>
          <cell r="AD1621">
            <v>6912.76</v>
          </cell>
          <cell r="AE1621">
            <v>-612.76000000000022</v>
          </cell>
          <cell r="AN1621" t="str">
            <v xml:space="preserve">Contrato emergencial nº </v>
          </cell>
          <cell r="AO1621" t="str">
            <v>CS</v>
          </cell>
        </row>
        <row r="1622">
          <cell r="D1622" t="str">
            <v>2754/11</v>
          </cell>
          <cell r="E1622" t="str">
            <v>10/10/2011</v>
          </cell>
          <cell r="F1622">
            <v>41005</v>
          </cell>
          <cell r="G1622">
            <v>40877</v>
          </cell>
          <cell r="H1622" t="str">
            <v>2011-0.256.767-8</v>
          </cell>
          <cell r="I1622" t="str">
            <v>44.324,52</v>
          </cell>
          <cell r="J1622" t="str">
            <v xml:space="preserve">              123651121                 2847                    33903600</v>
          </cell>
          <cell r="K1622" t="str">
            <v>10/10/2011</v>
          </cell>
          <cell r="L1622">
            <v>52</v>
          </cell>
          <cell r="M1622">
            <v>12900</v>
          </cell>
          <cell r="N1622">
            <v>57273</v>
          </cell>
          <cell r="O1622">
            <v>34186</v>
          </cell>
          <cell r="P1622">
            <v>16</v>
          </cell>
          <cell r="Q1622">
            <v>2</v>
          </cell>
          <cell r="U1622">
            <v>0</v>
          </cell>
          <cell r="V1622">
            <v>7400</v>
          </cell>
          <cell r="W1622">
            <v>180</v>
          </cell>
          <cell r="X1622">
            <v>5920</v>
          </cell>
          <cell r="Y1622">
            <v>113041</v>
          </cell>
          <cell r="Z1622">
            <v>8091.2039999999997</v>
          </cell>
          <cell r="AA1622">
            <v>5228.7960000000003</v>
          </cell>
          <cell r="AB1622">
            <v>246.2473333333333</v>
          </cell>
          <cell r="AC1622">
            <v>7400</v>
          </cell>
          <cell r="AD1622">
            <v>6895.15</v>
          </cell>
          <cell r="AE1622">
            <v>504.85000000000036</v>
          </cell>
          <cell r="AN1622" t="str">
            <v xml:space="preserve">Contrato emergencial nº </v>
          </cell>
          <cell r="AO1622" t="str">
            <v>CS</v>
          </cell>
        </row>
        <row r="1623">
          <cell r="D1623" t="str">
            <v>2755/11</v>
          </cell>
          <cell r="E1623" t="str">
            <v>10/10/2011</v>
          </cell>
          <cell r="F1623">
            <v>41005</v>
          </cell>
          <cell r="G1623">
            <v>40877</v>
          </cell>
          <cell r="H1623" t="str">
            <v>2011-0.256.769-4</v>
          </cell>
          <cell r="I1623" t="str">
            <v>31.418,52</v>
          </cell>
          <cell r="J1623" t="str">
            <v xml:space="preserve">              123651121                 2847                    33903600</v>
          </cell>
          <cell r="K1623" t="str">
            <v>10/10/2011</v>
          </cell>
          <cell r="L1623">
            <v>52</v>
          </cell>
          <cell r="M1623">
            <v>9100</v>
          </cell>
          <cell r="N1623">
            <v>57273</v>
          </cell>
          <cell r="O1623">
            <v>33303</v>
          </cell>
          <cell r="P1623">
            <v>16</v>
          </cell>
          <cell r="Q1623">
            <v>2</v>
          </cell>
          <cell r="U1623">
            <v>0</v>
          </cell>
          <cell r="V1623">
            <v>5300</v>
          </cell>
          <cell r="W1623">
            <v>180</v>
          </cell>
          <cell r="X1623">
            <v>4240</v>
          </cell>
          <cell r="Y1623">
            <v>113047</v>
          </cell>
          <cell r="Z1623">
            <v>5958.4139999999998</v>
          </cell>
          <cell r="AA1623">
            <v>3581.5860000000002</v>
          </cell>
          <cell r="AB1623">
            <v>174.54733333333334</v>
          </cell>
          <cell r="AC1623">
            <v>5300</v>
          </cell>
          <cell r="AD1623">
            <v>4631.1200000000008</v>
          </cell>
          <cell r="AE1623">
            <v>668.8799999999992</v>
          </cell>
          <cell r="AN1623" t="str">
            <v xml:space="preserve">Contrato emergencial nº </v>
          </cell>
          <cell r="AO1623" t="str">
            <v>CS</v>
          </cell>
        </row>
        <row r="1624">
          <cell r="D1624" t="str">
            <v>2756/11</v>
          </cell>
          <cell r="E1624" t="str">
            <v>10/10/2011</v>
          </cell>
          <cell r="F1624">
            <v>41005</v>
          </cell>
          <cell r="G1624">
            <v>40877</v>
          </cell>
          <cell r="H1624" t="str">
            <v>2011-0.256.770-8</v>
          </cell>
          <cell r="I1624" t="str">
            <v>43.670,70</v>
          </cell>
          <cell r="J1624" t="str">
            <v xml:space="preserve">              123651121                 2847                    33903600</v>
          </cell>
          <cell r="K1624" t="str">
            <v>10/10/2011</v>
          </cell>
          <cell r="L1624">
            <v>52</v>
          </cell>
          <cell r="M1624">
            <v>12700</v>
          </cell>
          <cell r="N1624">
            <v>57273</v>
          </cell>
          <cell r="O1624">
            <v>33665</v>
          </cell>
          <cell r="P1624">
            <v>16</v>
          </cell>
          <cell r="Q1624">
            <v>2</v>
          </cell>
          <cell r="U1624">
            <v>0</v>
          </cell>
          <cell r="V1624">
            <v>7300</v>
          </cell>
          <cell r="W1624">
            <v>180</v>
          </cell>
          <cell r="X1624">
            <v>5840</v>
          </cell>
          <cell r="Y1624">
            <v>113049</v>
          </cell>
          <cell r="Z1624">
            <v>7980.8509999999997</v>
          </cell>
          <cell r="AA1624">
            <v>5159.1490000000003</v>
          </cell>
          <cell r="AB1624">
            <v>242.61499999999998</v>
          </cell>
          <cell r="AC1624">
            <v>7300</v>
          </cell>
          <cell r="AD1624">
            <v>6770.32</v>
          </cell>
          <cell r="AE1624">
            <v>529.68000000000029</v>
          </cell>
          <cell r="AN1624" t="str">
            <v xml:space="preserve">Contrato emergencial nº </v>
          </cell>
          <cell r="AO1624" t="str">
            <v>CS</v>
          </cell>
        </row>
        <row r="1625">
          <cell r="D1625" t="str">
            <v>2757/11</v>
          </cell>
          <cell r="E1625" t="str">
            <v>10/10/2011</v>
          </cell>
          <cell r="F1625">
            <v>41005</v>
          </cell>
          <cell r="G1625">
            <v>40877</v>
          </cell>
          <cell r="H1625" t="str">
            <v>2011-0.256.773-2</v>
          </cell>
          <cell r="I1625" t="str">
            <v>29.031,06</v>
          </cell>
          <cell r="J1625" t="str">
            <v xml:space="preserve">              123651121                 2847                    33903600</v>
          </cell>
          <cell r="K1625" t="str">
            <v>10/10/2011</v>
          </cell>
          <cell r="L1625">
            <v>52</v>
          </cell>
          <cell r="M1625">
            <v>8400</v>
          </cell>
          <cell r="N1625">
            <v>57273</v>
          </cell>
          <cell r="O1625">
            <v>33668</v>
          </cell>
          <cell r="P1625">
            <v>16</v>
          </cell>
          <cell r="Q1625">
            <v>2</v>
          </cell>
          <cell r="U1625">
            <v>0</v>
          </cell>
          <cell r="V1625">
            <v>5100</v>
          </cell>
          <cell r="W1625">
            <v>180</v>
          </cell>
          <cell r="X1625">
            <v>4080</v>
          </cell>
          <cell r="Y1625">
            <v>113053</v>
          </cell>
          <cell r="Z1625">
            <v>4932.6270000000004</v>
          </cell>
          <cell r="AA1625">
            <v>4247.3729999999996</v>
          </cell>
          <cell r="AB1625">
            <v>161.28366666666668</v>
          </cell>
          <cell r="AC1625">
            <v>4900</v>
          </cell>
          <cell r="AD1625">
            <v>5023.8899999999994</v>
          </cell>
          <cell r="AE1625">
            <v>-123.88999999999942</v>
          </cell>
          <cell r="AN1625" t="str">
            <v xml:space="preserve">Contrato emergencial nº </v>
          </cell>
          <cell r="AO1625" t="str">
            <v>CS</v>
          </cell>
        </row>
        <row r="1626">
          <cell r="D1626" t="str">
            <v>2759/11</v>
          </cell>
          <cell r="E1626" t="str">
            <v>10/10/2011</v>
          </cell>
          <cell r="F1626">
            <v>41005</v>
          </cell>
          <cell r="G1626">
            <v>40877</v>
          </cell>
          <cell r="H1626" t="str">
            <v>2011-0.256.775-9</v>
          </cell>
          <cell r="I1626" t="str">
            <v>27.812,64</v>
          </cell>
          <cell r="J1626" t="str">
            <v xml:space="preserve">              123611122                  2848                    33903600</v>
          </cell>
          <cell r="K1626" t="str">
            <v>10/10/2011</v>
          </cell>
          <cell r="L1626">
            <v>52</v>
          </cell>
          <cell r="M1626">
            <v>8100</v>
          </cell>
          <cell r="N1626">
            <v>57278</v>
          </cell>
          <cell r="O1626">
            <v>34190</v>
          </cell>
          <cell r="P1626">
            <v>16</v>
          </cell>
          <cell r="Q1626">
            <v>3</v>
          </cell>
          <cell r="U1626">
            <v>0</v>
          </cell>
          <cell r="V1626">
            <v>4700</v>
          </cell>
          <cell r="W1626">
            <v>180</v>
          </cell>
          <cell r="X1626">
            <v>3760</v>
          </cell>
          <cell r="Y1626">
            <v>113057</v>
          </cell>
          <cell r="Z1626">
            <v>5021.4979999999996</v>
          </cell>
          <cell r="AA1626">
            <v>3438.5020000000004</v>
          </cell>
          <cell r="AB1626">
            <v>154.51466666666667</v>
          </cell>
          <cell r="AC1626">
            <v>4700</v>
          </cell>
          <cell r="AD1626">
            <v>4463.96</v>
          </cell>
          <cell r="AE1626">
            <v>236.03999999999996</v>
          </cell>
          <cell r="AN1626" t="str">
            <v xml:space="preserve">Contrato emergencial nº </v>
          </cell>
          <cell r="AO1626" t="str">
            <v>CS</v>
          </cell>
        </row>
        <row r="1627">
          <cell r="D1627" t="str">
            <v>2760/11</v>
          </cell>
          <cell r="E1627" t="str">
            <v>10/10/2011</v>
          </cell>
          <cell r="F1627">
            <v>41005</v>
          </cell>
          <cell r="G1627">
            <v>40877</v>
          </cell>
          <cell r="H1627" t="str">
            <v>2011-0.256.777-5</v>
          </cell>
          <cell r="I1627" t="str">
            <v>27.971,16</v>
          </cell>
          <cell r="J1627" t="str">
            <v xml:space="preserve">              123651121                 2847                    33903600</v>
          </cell>
          <cell r="K1627" t="str">
            <v>10/10/2011</v>
          </cell>
          <cell r="L1627">
            <v>52</v>
          </cell>
          <cell r="M1627">
            <v>8100</v>
          </cell>
          <cell r="N1627">
            <v>57273</v>
          </cell>
          <cell r="O1627">
            <v>34449</v>
          </cell>
          <cell r="P1627">
            <v>16</v>
          </cell>
          <cell r="Q1627">
            <v>2</v>
          </cell>
          <cell r="U1627">
            <v>3320.1980000000003</v>
          </cell>
          <cell r="V1627">
            <v>4700</v>
          </cell>
          <cell r="W1627">
            <v>180</v>
          </cell>
          <cell r="X1627">
            <v>3760</v>
          </cell>
          <cell r="Y1627">
            <v>0</v>
          </cell>
          <cell r="Z1627">
            <v>0</v>
          </cell>
          <cell r="AA1627">
            <v>11780.198</v>
          </cell>
          <cell r="AB1627">
            <v>155.39533333333333</v>
          </cell>
          <cell r="AC1627">
            <v>4700</v>
          </cell>
          <cell r="AD1627">
            <v>4651.1400000000003</v>
          </cell>
          <cell r="AE1627">
            <v>48.859999999999673</v>
          </cell>
          <cell r="AN1627" t="str">
            <v xml:space="preserve">Contrato emergencial nº </v>
          </cell>
          <cell r="AO1627" t="str">
            <v>FO</v>
          </cell>
        </row>
        <row r="1628">
          <cell r="D1628" t="str">
            <v>2762/11</v>
          </cell>
          <cell r="E1628" t="str">
            <v>10/10/2011</v>
          </cell>
          <cell r="F1628">
            <v>41005</v>
          </cell>
          <cell r="G1628">
            <v>40877</v>
          </cell>
          <cell r="H1628" t="str">
            <v>2011-0.256.780-5</v>
          </cell>
          <cell r="I1628" t="str">
            <v>31.012,38</v>
          </cell>
          <cell r="J1628" t="str">
            <v xml:space="preserve">              123611122                  2848                    33903600</v>
          </cell>
          <cell r="K1628" t="str">
            <v>10/10/2011</v>
          </cell>
          <cell r="L1628">
            <v>52</v>
          </cell>
          <cell r="M1628">
            <v>9000</v>
          </cell>
          <cell r="N1628">
            <v>57278</v>
          </cell>
          <cell r="O1628">
            <v>33670</v>
          </cell>
          <cell r="P1628">
            <v>16</v>
          </cell>
          <cell r="Q1628">
            <v>3</v>
          </cell>
          <cell r="U1628">
            <v>2966.7860000000001</v>
          </cell>
          <cell r="V1628">
            <v>5200</v>
          </cell>
          <cell r="W1628">
            <v>180</v>
          </cell>
          <cell r="X1628">
            <v>4160</v>
          </cell>
          <cell r="Y1628">
            <v>0</v>
          </cell>
          <cell r="Z1628">
            <v>0</v>
          </cell>
          <cell r="AA1628">
            <v>12326.786</v>
          </cell>
          <cell r="AB1628">
            <v>172.291</v>
          </cell>
          <cell r="AC1628">
            <v>5200</v>
          </cell>
          <cell r="AD1628">
            <v>4322.6240000000007</v>
          </cell>
          <cell r="AE1628">
            <v>877.37599999999929</v>
          </cell>
          <cell r="AN1628" t="str">
            <v xml:space="preserve">Contrato emergencial nº </v>
          </cell>
          <cell r="AO1628" t="str">
            <v>FO</v>
          </cell>
        </row>
        <row r="1629">
          <cell r="D1629" t="str">
            <v>2763/11</v>
          </cell>
          <cell r="E1629" t="str">
            <v>10/10/2011</v>
          </cell>
          <cell r="F1629">
            <v>41005</v>
          </cell>
          <cell r="G1629">
            <v>40877</v>
          </cell>
          <cell r="H1629" t="str">
            <v>2011-0.256.782-1</v>
          </cell>
          <cell r="I1629" t="str">
            <v>27.971,16</v>
          </cell>
          <cell r="J1629" t="str">
            <v xml:space="preserve">              123611122                  2848                    33903600</v>
          </cell>
          <cell r="K1629" t="str">
            <v>10/10/2011</v>
          </cell>
          <cell r="L1629">
            <v>52</v>
          </cell>
          <cell r="M1629">
            <v>8100</v>
          </cell>
          <cell r="N1629">
            <v>57278</v>
          </cell>
          <cell r="O1629">
            <v>33672</v>
          </cell>
          <cell r="P1629">
            <v>16</v>
          </cell>
          <cell r="Q1629">
            <v>3</v>
          </cell>
          <cell r="U1629">
            <v>3615.2979999999998</v>
          </cell>
          <cell r="V1629">
            <v>4800</v>
          </cell>
          <cell r="W1629">
            <v>180</v>
          </cell>
          <cell r="X1629">
            <v>3840</v>
          </cell>
          <cell r="Y1629">
            <v>0</v>
          </cell>
          <cell r="Z1629">
            <v>0</v>
          </cell>
          <cell r="AA1629">
            <v>12255.297999999999</v>
          </cell>
          <cell r="AB1629">
            <v>155.39533333333333</v>
          </cell>
          <cell r="AC1629">
            <v>4700</v>
          </cell>
          <cell r="AD1629">
            <v>4759.24</v>
          </cell>
          <cell r="AE1629">
            <v>-59.239999999999782</v>
          </cell>
          <cell r="AN1629" t="str">
            <v xml:space="preserve">Contrato emergencial nº </v>
          </cell>
          <cell r="AO1629" t="str">
            <v>FO</v>
          </cell>
        </row>
        <row r="1630">
          <cell r="D1630" t="str">
            <v>2764/11</v>
          </cell>
          <cell r="E1630" t="str">
            <v>10/10/2011</v>
          </cell>
          <cell r="F1630">
            <v>41005</v>
          </cell>
          <cell r="G1630">
            <v>40877</v>
          </cell>
          <cell r="H1630" t="str">
            <v>2011-0.256.783-0</v>
          </cell>
          <cell r="I1630" t="str">
            <v>35.646,48</v>
          </cell>
          <cell r="J1630" t="str">
            <v xml:space="preserve">              123651121                 2847                    33903600</v>
          </cell>
          <cell r="K1630" t="str">
            <v>10/10/2011</v>
          </cell>
          <cell r="L1630">
            <v>52</v>
          </cell>
          <cell r="M1630">
            <v>10300</v>
          </cell>
          <cell r="N1630">
            <v>57273</v>
          </cell>
          <cell r="O1630">
            <v>34450</v>
          </cell>
          <cell r="P1630">
            <v>16</v>
          </cell>
          <cell r="Q1630">
            <v>2</v>
          </cell>
          <cell r="U1630">
            <v>0</v>
          </cell>
          <cell r="V1630">
            <v>6000</v>
          </cell>
          <cell r="W1630">
            <v>180</v>
          </cell>
          <cell r="X1630">
            <v>4800</v>
          </cell>
          <cell r="Y1630">
            <v>114311</v>
          </cell>
          <cell r="Z1630">
            <v>7556.43</v>
          </cell>
          <cell r="AA1630">
            <v>3243.5699999999997</v>
          </cell>
          <cell r="AB1630">
            <v>198.03600000000003</v>
          </cell>
          <cell r="AC1630">
            <v>6000</v>
          </cell>
          <cell r="AD1630">
            <v>3940.63</v>
          </cell>
          <cell r="AE1630">
            <v>2059.37</v>
          </cell>
          <cell r="AN1630" t="str">
            <v xml:space="preserve">Contrato emergencial nº </v>
          </cell>
          <cell r="AO1630" t="str">
            <v>G</v>
          </cell>
        </row>
        <row r="1631">
          <cell r="D1631" t="str">
            <v>2765/11</v>
          </cell>
          <cell r="E1631" t="str">
            <v>10/10/2011</v>
          </cell>
          <cell r="F1631">
            <v>41005</v>
          </cell>
          <cell r="G1631">
            <v>40877</v>
          </cell>
          <cell r="H1631" t="str">
            <v>2011-0.256.785-6</v>
          </cell>
          <cell r="I1631" t="str">
            <v>38.261,76</v>
          </cell>
          <cell r="J1631" t="str">
            <v xml:space="preserve">              123611122                  2848                    33903600</v>
          </cell>
          <cell r="K1631" t="str">
            <v>10/10/2011</v>
          </cell>
          <cell r="L1631">
            <v>52</v>
          </cell>
          <cell r="M1631">
            <v>11100</v>
          </cell>
          <cell r="N1631">
            <v>57278</v>
          </cell>
          <cell r="O1631">
            <v>33674</v>
          </cell>
          <cell r="P1631">
            <v>16</v>
          </cell>
          <cell r="Q1631">
            <v>3</v>
          </cell>
          <cell r="U1631">
            <v>0</v>
          </cell>
          <cell r="V1631">
            <v>6400</v>
          </cell>
          <cell r="W1631">
            <v>180</v>
          </cell>
          <cell r="X1631">
            <v>5120</v>
          </cell>
          <cell r="Y1631">
            <v>114323</v>
          </cell>
          <cell r="Z1631">
            <v>6735.43</v>
          </cell>
          <cell r="AA1631">
            <v>4784.57</v>
          </cell>
          <cell r="AB1631">
            <v>212.56533333333334</v>
          </cell>
          <cell r="AC1631">
            <v>6400</v>
          </cell>
          <cell r="AD1631">
            <v>6400</v>
          </cell>
          <cell r="AE1631">
            <v>0</v>
          </cell>
          <cell r="AN1631" t="str">
            <v xml:space="preserve">Contrato emergencial nº </v>
          </cell>
          <cell r="AO1631" t="str">
            <v>G</v>
          </cell>
        </row>
        <row r="1632">
          <cell r="D1632" t="str">
            <v>2767/11</v>
          </cell>
          <cell r="E1632" t="str">
            <v>10/10/2011</v>
          </cell>
          <cell r="F1632">
            <v>41005</v>
          </cell>
          <cell r="G1632">
            <v>40877</v>
          </cell>
          <cell r="H1632" t="str">
            <v>2011-0.256.788-0</v>
          </cell>
          <cell r="I1632" t="str">
            <v>44.324,52</v>
          </cell>
          <cell r="J1632" t="str">
            <v xml:space="preserve">              123611122                  2848                    33903600</v>
          </cell>
          <cell r="K1632" t="str">
            <v>10/10/2011</v>
          </cell>
          <cell r="L1632">
            <v>52</v>
          </cell>
          <cell r="M1632">
            <v>12900</v>
          </cell>
          <cell r="N1632">
            <v>57278</v>
          </cell>
          <cell r="O1632">
            <v>33675</v>
          </cell>
          <cell r="P1632">
            <v>16</v>
          </cell>
          <cell r="Q1632">
            <v>3</v>
          </cell>
          <cell r="U1632">
            <v>0</v>
          </cell>
          <cell r="V1632">
            <v>7400</v>
          </cell>
          <cell r="W1632">
            <v>180</v>
          </cell>
          <cell r="X1632">
            <v>5920</v>
          </cell>
          <cell r="Y1632">
            <v>114330</v>
          </cell>
          <cell r="Z1632">
            <v>8789.92</v>
          </cell>
          <cell r="AA1632">
            <v>4530.08</v>
          </cell>
          <cell r="AB1632">
            <v>246.2473333333333</v>
          </cell>
          <cell r="AC1632">
            <v>7400</v>
          </cell>
          <cell r="AD1632">
            <v>5883.4</v>
          </cell>
          <cell r="AE1632">
            <v>1516.6000000000004</v>
          </cell>
          <cell r="AN1632" t="str">
            <v xml:space="preserve">Contrato emergencial nº </v>
          </cell>
          <cell r="AO1632" t="str">
            <v>G</v>
          </cell>
        </row>
        <row r="1633">
          <cell r="D1633" t="str">
            <v>2768/11</v>
          </cell>
          <cell r="E1633" t="str">
            <v>10/10/2011</v>
          </cell>
          <cell r="F1633">
            <v>41005</v>
          </cell>
          <cell r="G1633">
            <v>40877</v>
          </cell>
          <cell r="H1633" t="str">
            <v>2011-0.256.792-9</v>
          </cell>
          <cell r="I1633" t="str">
            <v>44.978,40</v>
          </cell>
          <cell r="J1633" t="str">
            <v xml:space="preserve">              123651121                 2847                    33903600</v>
          </cell>
          <cell r="K1633" t="str">
            <v>10/10/2011</v>
          </cell>
          <cell r="L1633">
            <v>52</v>
          </cell>
          <cell r="M1633">
            <v>13000</v>
          </cell>
          <cell r="N1633">
            <v>57273</v>
          </cell>
          <cell r="O1633">
            <v>34452</v>
          </cell>
          <cell r="P1633">
            <v>16</v>
          </cell>
          <cell r="Q1633">
            <v>2</v>
          </cell>
          <cell r="U1633">
            <v>0</v>
          </cell>
          <cell r="V1633">
            <v>7500</v>
          </cell>
          <cell r="W1633">
            <v>180</v>
          </cell>
          <cell r="X1633">
            <v>6000</v>
          </cell>
          <cell r="Y1633">
            <v>114336</v>
          </cell>
          <cell r="Z1633">
            <v>8928.15</v>
          </cell>
          <cell r="AA1633">
            <v>4571.8500000000004</v>
          </cell>
          <cell r="AB1633">
            <v>249.88</v>
          </cell>
          <cell r="AC1633">
            <v>7500</v>
          </cell>
          <cell r="AD1633">
            <v>5763.98</v>
          </cell>
          <cell r="AE1633">
            <v>1736.0200000000004</v>
          </cell>
          <cell r="AN1633" t="str">
            <v xml:space="preserve">Contrato emergencial nº </v>
          </cell>
          <cell r="AO1633" t="str">
            <v>G</v>
          </cell>
        </row>
        <row r="1634">
          <cell r="D1634" t="str">
            <v>2769/11</v>
          </cell>
          <cell r="E1634" t="str">
            <v>10/10/2011</v>
          </cell>
          <cell r="F1634">
            <v>41005</v>
          </cell>
          <cell r="G1634">
            <v>40877</v>
          </cell>
          <cell r="H1634" t="str">
            <v>2011-0.256.797-0</v>
          </cell>
          <cell r="I1634" t="str">
            <v>37.607,88</v>
          </cell>
          <cell r="J1634" t="str">
            <v xml:space="preserve">              123651121                 2847                    33903600</v>
          </cell>
          <cell r="K1634" t="str">
            <v>10/10/2011</v>
          </cell>
          <cell r="L1634">
            <v>52</v>
          </cell>
          <cell r="M1634">
            <v>10900</v>
          </cell>
          <cell r="N1634">
            <v>57273</v>
          </cell>
          <cell r="O1634">
            <v>33678</v>
          </cell>
          <cell r="P1634">
            <v>16</v>
          </cell>
          <cell r="Q1634">
            <v>2</v>
          </cell>
          <cell r="U1634">
            <v>0</v>
          </cell>
          <cell r="V1634">
            <v>6300</v>
          </cell>
          <cell r="W1634">
            <v>180</v>
          </cell>
          <cell r="X1634">
            <v>5040</v>
          </cell>
          <cell r="Y1634">
            <v>112901</v>
          </cell>
          <cell r="Z1634">
            <v>6425.88</v>
          </cell>
          <cell r="AA1634">
            <v>4914.12</v>
          </cell>
          <cell r="AB1634">
            <v>208.93266666666665</v>
          </cell>
          <cell r="AC1634">
            <v>6300</v>
          </cell>
          <cell r="AD1634">
            <v>6159.1</v>
          </cell>
          <cell r="AE1634">
            <v>140.89999999999964</v>
          </cell>
          <cell r="AN1634" t="str">
            <v xml:space="preserve">Contrato emergencial nº </v>
          </cell>
          <cell r="AO1634" t="str">
            <v>IP</v>
          </cell>
        </row>
        <row r="1635">
          <cell r="D1635" t="str">
            <v>2770/11</v>
          </cell>
          <cell r="E1635" t="str">
            <v>10/10/2011</v>
          </cell>
          <cell r="F1635">
            <v>41005</v>
          </cell>
          <cell r="G1635">
            <v>40877</v>
          </cell>
          <cell r="H1635" t="str">
            <v>2011-0.256.800-3</v>
          </cell>
          <cell r="I1635" t="str">
            <v>36.954,12</v>
          </cell>
          <cell r="J1635" t="str">
            <v xml:space="preserve">              123611122                  2848                    33903600</v>
          </cell>
          <cell r="K1635" t="str">
            <v>10/10/2011</v>
          </cell>
          <cell r="L1635">
            <v>52</v>
          </cell>
          <cell r="M1635">
            <v>10700</v>
          </cell>
          <cell r="N1635">
            <v>57278</v>
          </cell>
          <cell r="O1635">
            <v>34455</v>
          </cell>
          <cell r="P1635">
            <v>16</v>
          </cell>
          <cell r="Q1635">
            <v>3</v>
          </cell>
          <cell r="U1635">
            <v>0</v>
          </cell>
          <cell r="V1635">
            <v>6200</v>
          </cell>
          <cell r="W1635">
            <v>180</v>
          </cell>
          <cell r="X1635">
            <v>4960</v>
          </cell>
          <cell r="Y1635">
            <v>113854</v>
          </cell>
          <cell r="Z1635">
            <v>6742.28</v>
          </cell>
          <cell r="AA1635">
            <v>4417.72</v>
          </cell>
          <cell r="AB1635">
            <v>205.30066666666667</v>
          </cell>
          <cell r="AC1635">
            <v>6200</v>
          </cell>
          <cell r="AD1635">
            <v>5718.4100000000008</v>
          </cell>
          <cell r="AE1635">
            <v>481.58999999999924</v>
          </cell>
          <cell r="AN1635" t="str">
            <v xml:space="preserve">Contrato emergencial nº </v>
          </cell>
          <cell r="AO1635" t="str">
            <v>IQ</v>
          </cell>
        </row>
        <row r="1636">
          <cell r="D1636" t="str">
            <v>2771/11</v>
          </cell>
          <cell r="E1636" t="str">
            <v>10/10/2011</v>
          </cell>
          <cell r="F1636">
            <v>41005</v>
          </cell>
          <cell r="G1636">
            <v>40877</v>
          </cell>
          <cell r="H1636" t="str">
            <v>2011-0.256.802-0</v>
          </cell>
          <cell r="I1636" t="str">
            <v>37.607,88</v>
          </cell>
          <cell r="J1636" t="str">
            <v xml:space="preserve">              123611122                  2848                    33903600</v>
          </cell>
          <cell r="K1636" t="str">
            <v>10/10/2011</v>
          </cell>
          <cell r="L1636">
            <v>52</v>
          </cell>
          <cell r="M1636">
            <v>10900</v>
          </cell>
          <cell r="N1636">
            <v>57278</v>
          </cell>
          <cell r="O1636">
            <v>34456</v>
          </cell>
          <cell r="P1636">
            <v>16</v>
          </cell>
          <cell r="Q1636">
            <v>3</v>
          </cell>
          <cell r="U1636">
            <v>0</v>
          </cell>
          <cell r="V1636">
            <v>6300</v>
          </cell>
          <cell r="W1636">
            <v>180</v>
          </cell>
          <cell r="X1636">
            <v>5040</v>
          </cell>
          <cell r="Y1636">
            <v>114710</v>
          </cell>
          <cell r="Z1636">
            <v>7848.24</v>
          </cell>
          <cell r="AA1636">
            <v>3491.76</v>
          </cell>
          <cell r="AB1636">
            <v>208.93266666666665</v>
          </cell>
          <cell r="AC1636">
            <v>6300</v>
          </cell>
          <cell r="AD1636">
            <v>4468.2800000000007</v>
          </cell>
          <cell r="AE1636">
            <v>1831.7199999999993</v>
          </cell>
          <cell r="AN1636" t="str">
            <v xml:space="preserve">Contrato emergencial nº </v>
          </cell>
          <cell r="AO1636" t="str">
            <v>JT</v>
          </cell>
        </row>
        <row r="1637">
          <cell r="D1637" t="str">
            <v>2772/11</v>
          </cell>
          <cell r="E1637" t="str">
            <v>10/10/2011</v>
          </cell>
          <cell r="F1637">
            <v>41005</v>
          </cell>
          <cell r="G1637">
            <v>40877</v>
          </cell>
          <cell r="H1637" t="str">
            <v>2011-0.256.806-2</v>
          </cell>
          <cell r="I1637" t="str">
            <v>37.607,88</v>
          </cell>
          <cell r="J1637" t="str">
            <v xml:space="preserve">              123651121                 2847                    33903600</v>
          </cell>
          <cell r="K1637" t="str">
            <v>10/10/2011</v>
          </cell>
          <cell r="L1637">
            <v>52</v>
          </cell>
          <cell r="M1637">
            <v>10900</v>
          </cell>
          <cell r="N1637">
            <v>57273</v>
          </cell>
          <cell r="O1637">
            <v>33680</v>
          </cell>
          <cell r="P1637">
            <v>16</v>
          </cell>
          <cell r="Q1637">
            <v>2</v>
          </cell>
          <cell r="U1637">
            <v>0</v>
          </cell>
          <cell r="V1637">
            <v>6300</v>
          </cell>
          <cell r="W1637">
            <v>180</v>
          </cell>
          <cell r="X1637">
            <v>5040</v>
          </cell>
          <cell r="Y1637">
            <v>114711</v>
          </cell>
          <cell r="Z1637">
            <v>7357.83</v>
          </cell>
          <cell r="AA1637">
            <v>3982.17</v>
          </cell>
          <cell r="AB1637">
            <v>208.93266666666665</v>
          </cell>
          <cell r="AC1637">
            <v>6300</v>
          </cell>
          <cell r="AD1637">
            <v>5572.0250000000005</v>
          </cell>
          <cell r="AE1637">
            <v>727.97499999999945</v>
          </cell>
          <cell r="AN1637" t="str">
            <v xml:space="preserve">Contrato emergencial nº </v>
          </cell>
          <cell r="AO1637" t="str">
            <v>JT</v>
          </cell>
        </row>
        <row r="1638">
          <cell r="D1638" t="str">
            <v>2773/11</v>
          </cell>
          <cell r="E1638" t="str">
            <v>10/10/2011</v>
          </cell>
          <cell r="F1638">
            <v>41005</v>
          </cell>
          <cell r="G1638">
            <v>40877</v>
          </cell>
          <cell r="H1638" t="str">
            <v>2011-0.256.809-7</v>
          </cell>
          <cell r="I1638" t="str">
            <v>44.978,40</v>
          </cell>
          <cell r="J1638" t="str">
            <v xml:space="preserve">              123651121                 2847                    33903600</v>
          </cell>
          <cell r="K1638" t="str">
            <v>10/10/2011</v>
          </cell>
          <cell r="L1638">
            <v>52</v>
          </cell>
          <cell r="M1638">
            <v>13000</v>
          </cell>
          <cell r="N1638">
            <v>57273</v>
          </cell>
          <cell r="O1638">
            <v>34457</v>
          </cell>
          <cell r="P1638">
            <v>16</v>
          </cell>
          <cell r="Q1638">
            <v>2</v>
          </cell>
          <cell r="U1638">
            <v>5129.2780000000012</v>
          </cell>
          <cell r="V1638">
            <v>7500</v>
          </cell>
          <cell r="W1638">
            <v>180</v>
          </cell>
          <cell r="X1638">
            <v>6000</v>
          </cell>
          <cell r="Y1638">
            <v>0</v>
          </cell>
          <cell r="Z1638">
            <v>0</v>
          </cell>
          <cell r="AA1638">
            <v>18629.278000000002</v>
          </cell>
          <cell r="AB1638">
            <v>249.88</v>
          </cell>
          <cell r="AC1638">
            <v>7500</v>
          </cell>
          <cell r="AD1638">
            <v>7388.69</v>
          </cell>
          <cell r="AE1638">
            <v>111.3100000000004</v>
          </cell>
          <cell r="AN1638" t="str">
            <v xml:space="preserve">Contrato emergencial nº </v>
          </cell>
          <cell r="AO1638" t="str">
            <v>MP</v>
          </cell>
        </row>
        <row r="1639">
          <cell r="D1639" t="str">
            <v>2774/11</v>
          </cell>
          <cell r="E1639" t="str">
            <v>10/10/2011</v>
          </cell>
          <cell r="F1639">
            <v>41005</v>
          </cell>
          <cell r="G1639">
            <v>40877</v>
          </cell>
          <cell r="H1639" t="str">
            <v>2011-0.256.811-9</v>
          </cell>
          <cell r="I1639" t="str">
            <v>37.607,88</v>
          </cell>
          <cell r="J1639" t="str">
            <v xml:space="preserve">              123651121                 2847                    33903600</v>
          </cell>
          <cell r="K1639" t="str">
            <v>10/10/2011</v>
          </cell>
          <cell r="L1639">
            <v>52</v>
          </cell>
          <cell r="M1639">
            <v>10900</v>
          </cell>
          <cell r="N1639">
            <v>57273</v>
          </cell>
          <cell r="O1639">
            <v>33681</v>
          </cell>
          <cell r="P1639">
            <v>16</v>
          </cell>
          <cell r="Q1639">
            <v>2</v>
          </cell>
          <cell r="U1639">
            <v>3547.2813333333334</v>
          </cell>
          <cell r="V1639">
            <v>6300</v>
          </cell>
          <cell r="W1639">
            <v>180</v>
          </cell>
          <cell r="X1639">
            <v>5040</v>
          </cell>
          <cell r="Y1639">
            <v>0</v>
          </cell>
          <cell r="Z1639">
            <v>0</v>
          </cell>
          <cell r="AA1639">
            <v>14887.281333333332</v>
          </cell>
          <cell r="AB1639">
            <v>208.93266666666665</v>
          </cell>
          <cell r="AC1639">
            <v>6300</v>
          </cell>
          <cell r="AD1639">
            <v>4679.1200000000008</v>
          </cell>
          <cell r="AE1639">
            <v>1620.8799999999992</v>
          </cell>
          <cell r="AN1639" t="str">
            <v xml:space="preserve">Contrato emergencial nº </v>
          </cell>
          <cell r="AO1639" t="str">
            <v>MP</v>
          </cell>
        </row>
        <row r="1640">
          <cell r="D1640" t="str">
            <v>2775/11</v>
          </cell>
          <cell r="E1640" t="str">
            <v>10/10/2011</v>
          </cell>
          <cell r="F1640">
            <v>41005</v>
          </cell>
          <cell r="G1640">
            <v>40877</v>
          </cell>
          <cell r="H1640" t="str">
            <v>2011-0.256.813-5</v>
          </cell>
          <cell r="I1640" t="str">
            <v>44.324,52</v>
          </cell>
          <cell r="J1640" t="str">
            <v xml:space="preserve">              123651121                 2847                    33903600</v>
          </cell>
          <cell r="K1640" t="str">
            <v>10/10/2011</v>
          </cell>
          <cell r="L1640">
            <v>52</v>
          </cell>
          <cell r="M1640">
            <v>12900</v>
          </cell>
          <cell r="N1640">
            <v>57273</v>
          </cell>
          <cell r="O1640">
            <v>34458</v>
          </cell>
          <cell r="P1640">
            <v>16</v>
          </cell>
          <cell r="Q1640">
            <v>2</v>
          </cell>
          <cell r="U1640">
            <v>4921.8780000000006</v>
          </cell>
          <cell r="V1640">
            <v>7400</v>
          </cell>
          <cell r="W1640">
            <v>180</v>
          </cell>
          <cell r="X1640">
            <v>5920</v>
          </cell>
          <cell r="Y1640">
            <v>0</v>
          </cell>
          <cell r="Z1640">
            <v>0</v>
          </cell>
          <cell r="AA1640">
            <v>18241.878000000001</v>
          </cell>
          <cell r="AB1640">
            <v>246.2473333333333</v>
          </cell>
          <cell r="AC1640">
            <v>7400</v>
          </cell>
          <cell r="AD1640">
            <v>7400</v>
          </cell>
          <cell r="AE1640">
            <v>0</v>
          </cell>
          <cell r="AN1640" t="str">
            <v xml:space="preserve">Contrato emergencial nº </v>
          </cell>
          <cell r="AO1640" t="str">
            <v>MP</v>
          </cell>
        </row>
        <row r="1641">
          <cell r="D1641" t="str">
            <v>1162/11</v>
          </cell>
          <cell r="H1641" t="str">
            <v>2011-0.081.904-1</v>
          </cell>
          <cell r="J1641" t="str">
            <v xml:space="preserve">              123651121                 2847                    33903600</v>
          </cell>
          <cell r="U1641">
            <v>916.51</v>
          </cell>
          <cell r="AA1641">
            <v>916.51</v>
          </cell>
          <cell r="AB1641">
            <v>0</v>
          </cell>
        </row>
        <row r="1642">
          <cell r="D1642" t="str">
            <v>2776/11</v>
          </cell>
          <cell r="E1642" t="str">
            <v>10/10/2011</v>
          </cell>
          <cell r="F1642">
            <v>41005</v>
          </cell>
          <cell r="G1642">
            <v>40877</v>
          </cell>
          <cell r="H1642" t="str">
            <v>2011-0.256.817-8</v>
          </cell>
          <cell r="I1642" t="str">
            <v>37.607,88</v>
          </cell>
          <cell r="J1642" t="str">
            <v xml:space="preserve">              123651121                 2847                    33903600</v>
          </cell>
          <cell r="K1642" t="str">
            <v>10/10/2011</v>
          </cell>
          <cell r="L1642">
            <v>52</v>
          </cell>
          <cell r="M1642">
            <v>10900</v>
          </cell>
          <cell r="N1642">
            <v>57273</v>
          </cell>
          <cell r="O1642">
            <v>33684</v>
          </cell>
          <cell r="P1642">
            <v>16</v>
          </cell>
          <cell r="Q1642">
            <v>2</v>
          </cell>
          <cell r="U1642">
            <v>3721.1589999999997</v>
          </cell>
          <cell r="V1642">
            <v>6300</v>
          </cell>
          <cell r="W1642">
            <v>180</v>
          </cell>
          <cell r="X1642">
            <v>5040</v>
          </cell>
          <cell r="Y1642">
            <v>0</v>
          </cell>
          <cell r="Z1642">
            <v>0</v>
          </cell>
          <cell r="AA1642">
            <v>15061.159</v>
          </cell>
          <cell r="AB1642">
            <v>208.93266666666665</v>
          </cell>
          <cell r="AC1642">
            <v>6300</v>
          </cell>
          <cell r="AD1642">
            <v>5305.6549999999997</v>
          </cell>
          <cell r="AE1642">
            <v>994.34500000000025</v>
          </cell>
          <cell r="AN1642" t="str">
            <v xml:space="preserve">Contrato emergencial nº </v>
          </cell>
          <cell r="AO1642" t="str">
            <v>MP</v>
          </cell>
        </row>
        <row r="1643">
          <cell r="D1643" t="str">
            <v>2777/11</v>
          </cell>
          <cell r="E1643" t="str">
            <v>10/10/2011</v>
          </cell>
          <cell r="F1643">
            <v>41005</v>
          </cell>
          <cell r="G1643">
            <v>40877</v>
          </cell>
          <cell r="H1643" t="str">
            <v>2011-0.256.820-8</v>
          </cell>
          <cell r="I1643" t="str">
            <v>42.184,92</v>
          </cell>
          <cell r="J1643" t="str">
            <v xml:space="preserve">             123671125                  2863                   33903600</v>
          </cell>
          <cell r="K1643" t="str">
            <v>10/10/2011</v>
          </cell>
          <cell r="L1643">
            <v>52</v>
          </cell>
          <cell r="M1643">
            <v>12200</v>
          </cell>
          <cell r="N1643">
            <v>57287</v>
          </cell>
          <cell r="O1643">
            <v>34461</v>
          </cell>
          <cell r="P1643">
            <v>16</v>
          </cell>
          <cell r="Q1643">
            <v>4</v>
          </cell>
          <cell r="U1643">
            <v>5317.6869999999999</v>
          </cell>
          <cell r="V1643">
            <v>7700</v>
          </cell>
          <cell r="W1643">
            <v>180</v>
          </cell>
          <cell r="X1643">
            <v>6160</v>
          </cell>
          <cell r="Y1643">
            <v>0</v>
          </cell>
          <cell r="Z1643">
            <v>0</v>
          </cell>
          <cell r="AA1643">
            <v>19177.686999999998</v>
          </cell>
          <cell r="AB1643">
            <v>234.36066666666665</v>
          </cell>
          <cell r="AC1643">
            <v>7100</v>
          </cell>
          <cell r="AD1643">
            <v>7643.18</v>
          </cell>
          <cell r="AE1643">
            <v>-543.18000000000029</v>
          </cell>
          <cell r="AN1643" t="str">
            <v xml:space="preserve">Contrato emergencial nº </v>
          </cell>
          <cell r="AO1643" t="str">
            <v>MP</v>
          </cell>
        </row>
        <row r="1644">
          <cell r="D1644" t="str">
            <v>2778/11</v>
          </cell>
          <cell r="E1644" t="str">
            <v>10/10/2011</v>
          </cell>
          <cell r="F1644">
            <v>41005</v>
          </cell>
          <cell r="G1644">
            <v>40877</v>
          </cell>
          <cell r="H1644" t="str">
            <v>2011-0.256.823-2</v>
          </cell>
          <cell r="I1644" t="str">
            <v>37.607,88</v>
          </cell>
          <cell r="J1644" t="str">
            <v xml:space="preserve">              123651121                 2847                    33903600</v>
          </cell>
          <cell r="K1644" t="str">
            <v>10/10/2011</v>
          </cell>
          <cell r="L1644">
            <v>52</v>
          </cell>
          <cell r="M1644">
            <v>10900</v>
          </cell>
          <cell r="N1644">
            <v>57273</v>
          </cell>
          <cell r="O1644">
            <v>33687</v>
          </cell>
          <cell r="P1644">
            <v>16</v>
          </cell>
          <cell r="Q1644">
            <v>2</v>
          </cell>
          <cell r="U1644">
            <v>4176.5360000000001</v>
          </cell>
          <cell r="V1644">
            <v>6300</v>
          </cell>
          <cell r="W1644">
            <v>180</v>
          </cell>
          <cell r="X1644">
            <v>5040</v>
          </cell>
          <cell r="Y1644">
            <v>0</v>
          </cell>
          <cell r="Z1644">
            <v>0</v>
          </cell>
          <cell r="AA1644">
            <v>15516.536</v>
          </cell>
          <cell r="AB1644">
            <v>208.93266666666665</v>
          </cell>
          <cell r="AC1644">
            <v>6300</v>
          </cell>
          <cell r="AD1644">
            <v>5978.68</v>
          </cell>
          <cell r="AE1644">
            <v>321.31999999999971</v>
          </cell>
          <cell r="AN1644" t="str">
            <v xml:space="preserve">Contrato emergencial nº </v>
          </cell>
          <cell r="AO1644" t="str">
            <v>MP</v>
          </cell>
        </row>
        <row r="1645">
          <cell r="D1645" t="str">
            <v>2779/11</v>
          </cell>
          <cell r="E1645" t="str">
            <v>10/10/2011</v>
          </cell>
          <cell r="F1645">
            <v>41005</v>
          </cell>
          <cell r="G1645">
            <v>40877</v>
          </cell>
          <cell r="H1645" t="str">
            <v>2011-0.256.830-5</v>
          </cell>
          <cell r="I1645" t="str">
            <v>29.744,40</v>
          </cell>
          <cell r="J1645" t="str">
            <v xml:space="preserve">              123611122                  2848                    33903600</v>
          </cell>
          <cell r="K1645" t="str">
            <v>10/10/2011</v>
          </cell>
          <cell r="L1645">
            <v>52</v>
          </cell>
          <cell r="M1645">
            <v>8600</v>
          </cell>
          <cell r="N1645">
            <v>57278</v>
          </cell>
          <cell r="O1645">
            <v>33690</v>
          </cell>
          <cell r="P1645">
            <v>16</v>
          </cell>
          <cell r="Q1645">
            <v>3</v>
          </cell>
          <cell r="U1645">
            <v>3024.4610000000002</v>
          </cell>
          <cell r="V1645">
            <v>5000</v>
          </cell>
          <cell r="W1645">
            <v>180</v>
          </cell>
          <cell r="X1645">
            <v>4000</v>
          </cell>
          <cell r="Y1645">
            <v>0</v>
          </cell>
          <cell r="Z1645">
            <v>0</v>
          </cell>
          <cell r="AA1645">
            <v>12024.460999999999</v>
          </cell>
          <cell r="AB1645">
            <v>165.24666666666667</v>
          </cell>
          <cell r="AC1645">
            <v>5000</v>
          </cell>
          <cell r="AD1645">
            <v>4332.7299999999996</v>
          </cell>
          <cell r="AE1645">
            <v>667.27000000000044</v>
          </cell>
          <cell r="AN1645" t="str">
            <v xml:space="preserve">Contrato emergencial nº </v>
          </cell>
          <cell r="AO1645" t="str">
            <v>MP</v>
          </cell>
        </row>
        <row r="1646">
          <cell r="D1646" t="str">
            <v>2780/11</v>
          </cell>
          <cell r="E1646" t="str">
            <v>10/10/2011</v>
          </cell>
          <cell r="F1646">
            <v>41005</v>
          </cell>
          <cell r="G1646">
            <v>40877</v>
          </cell>
          <cell r="H1646" t="str">
            <v>2011-0.256.833-0</v>
          </cell>
          <cell r="I1646" t="str">
            <v>31.418,52</v>
          </cell>
          <cell r="J1646" t="str">
            <v xml:space="preserve">              123611122                  2848                    33903600</v>
          </cell>
          <cell r="K1646" t="str">
            <v>10/10/2011</v>
          </cell>
          <cell r="L1646">
            <v>52</v>
          </cell>
          <cell r="M1646">
            <v>9100</v>
          </cell>
          <cell r="N1646">
            <v>57278</v>
          </cell>
          <cell r="O1646">
            <v>34462</v>
          </cell>
          <cell r="P1646">
            <v>16</v>
          </cell>
          <cell r="Q1646">
            <v>3</v>
          </cell>
          <cell r="U1646">
            <v>3758.3175000000001</v>
          </cell>
          <cell r="V1646">
            <v>5300</v>
          </cell>
          <cell r="W1646">
            <v>180</v>
          </cell>
          <cell r="X1646">
            <v>4240</v>
          </cell>
          <cell r="Y1646">
            <v>0</v>
          </cell>
          <cell r="Z1646">
            <v>0</v>
          </cell>
          <cell r="AA1646">
            <v>13298.317500000001</v>
          </cell>
          <cell r="AB1646">
            <v>174.54733333333334</v>
          </cell>
          <cell r="AC1646">
            <v>5300</v>
          </cell>
          <cell r="AD1646">
            <v>4111.49</v>
          </cell>
          <cell r="AE1646">
            <v>1188.5100000000002</v>
          </cell>
          <cell r="AN1646" t="str">
            <v xml:space="preserve">Contrato emergencial nº </v>
          </cell>
          <cell r="AO1646" t="str">
            <v>MP</v>
          </cell>
        </row>
        <row r="1647">
          <cell r="D1647" t="str">
            <v>2781/11</v>
          </cell>
          <cell r="E1647" t="str">
            <v>10/10/2011</v>
          </cell>
          <cell r="F1647">
            <v>41005</v>
          </cell>
          <cell r="G1647">
            <v>40877</v>
          </cell>
          <cell r="H1647" t="str">
            <v>2011-0.256.839-9</v>
          </cell>
          <cell r="I1647" t="str">
            <v>44.978,40</v>
          </cell>
          <cell r="J1647" t="str">
            <v xml:space="preserve">              123611122                  2848                    33903600</v>
          </cell>
          <cell r="K1647" t="str">
            <v>10/10/2011</v>
          </cell>
          <cell r="L1647">
            <v>52</v>
          </cell>
          <cell r="M1647">
            <v>13000</v>
          </cell>
          <cell r="N1647">
            <v>57278</v>
          </cell>
          <cell r="O1647">
            <v>34465</v>
          </cell>
          <cell r="P1647">
            <v>16</v>
          </cell>
          <cell r="Q1647">
            <v>3</v>
          </cell>
          <cell r="U1647">
            <v>4441.3029999999999</v>
          </cell>
          <cell r="V1647">
            <v>7500</v>
          </cell>
          <cell r="W1647">
            <v>180</v>
          </cell>
          <cell r="X1647">
            <v>6000</v>
          </cell>
          <cell r="Y1647">
            <v>0</v>
          </cell>
          <cell r="Z1647">
            <v>0</v>
          </cell>
          <cell r="AA1647">
            <v>17941.303</v>
          </cell>
          <cell r="AB1647">
            <v>249.88</v>
          </cell>
          <cell r="AC1647">
            <v>7500</v>
          </cell>
          <cell r="AD1647">
            <v>6353.29</v>
          </cell>
          <cell r="AE1647">
            <v>1146.71</v>
          </cell>
          <cell r="AN1647" t="str">
            <v xml:space="preserve">Contrato emergencial nº </v>
          </cell>
          <cell r="AO1647" t="str">
            <v>MP</v>
          </cell>
        </row>
        <row r="1648">
          <cell r="D1648" t="str">
            <v>2782/11</v>
          </cell>
          <cell r="E1648" t="str">
            <v>10/10/2011</v>
          </cell>
          <cell r="F1648">
            <v>41005</v>
          </cell>
          <cell r="G1648">
            <v>40877</v>
          </cell>
          <cell r="H1648" t="str">
            <v>2011-0.256.842-9</v>
          </cell>
          <cell r="I1648" t="str">
            <v>38.261,76</v>
          </cell>
          <cell r="J1648" t="str">
            <v xml:space="preserve">              123651121                 2847                    33903600</v>
          </cell>
          <cell r="K1648" t="str">
            <v>10/10/2011</v>
          </cell>
          <cell r="L1648">
            <v>52</v>
          </cell>
          <cell r="M1648">
            <v>11100</v>
          </cell>
          <cell r="N1648">
            <v>57273</v>
          </cell>
          <cell r="O1648">
            <v>34467</v>
          </cell>
          <cell r="P1648">
            <v>16</v>
          </cell>
          <cell r="Q1648">
            <v>2</v>
          </cell>
          <cell r="U1648">
            <v>3627.9</v>
          </cell>
          <cell r="V1648">
            <v>6400</v>
          </cell>
          <cell r="W1648">
            <v>180</v>
          </cell>
          <cell r="X1648">
            <v>5120</v>
          </cell>
          <cell r="Y1648">
            <v>0</v>
          </cell>
          <cell r="Z1648">
            <v>0</v>
          </cell>
          <cell r="AA1648">
            <v>15147.9</v>
          </cell>
          <cell r="AB1648">
            <v>212.56533333333334</v>
          </cell>
          <cell r="AC1648">
            <v>6400</v>
          </cell>
          <cell r="AD1648">
            <v>5244.6699999999992</v>
          </cell>
          <cell r="AE1648">
            <v>1155.3300000000008</v>
          </cell>
          <cell r="AN1648" t="str">
            <v xml:space="preserve">Contrato emergencial nº </v>
          </cell>
          <cell r="AO1648" t="str">
            <v>PE</v>
          </cell>
        </row>
        <row r="1649">
          <cell r="D1649" t="str">
            <v>2783/11</v>
          </cell>
          <cell r="E1649" t="str">
            <v>10/10/2011</v>
          </cell>
          <cell r="F1649">
            <v>41005</v>
          </cell>
          <cell r="G1649">
            <v>40877</v>
          </cell>
          <cell r="H1649" t="str">
            <v>2011-0.256.846-1</v>
          </cell>
          <cell r="I1649" t="str">
            <v>30.606,24</v>
          </cell>
          <cell r="J1649" t="str">
            <v xml:space="preserve">              123651121                 2847                    33903600</v>
          </cell>
          <cell r="K1649" t="str">
            <v>10/10/2011</v>
          </cell>
          <cell r="L1649">
            <v>52</v>
          </cell>
          <cell r="M1649">
            <v>8900</v>
          </cell>
          <cell r="N1649">
            <v>57273</v>
          </cell>
          <cell r="O1649">
            <v>33693</v>
          </cell>
          <cell r="P1649">
            <v>16</v>
          </cell>
          <cell r="Q1649">
            <v>2</v>
          </cell>
          <cell r="U1649">
            <v>2891.46</v>
          </cell>
          <cell r="V1649">
            <v>5200</v>
          </cell>
          <cell r="W1649">
            <v>180</v>
          </cell>
          <cell r="X1649">
            <v>4160</v>
          </cell>
          <cell r="Y1649">
            <v>0</v>
          </cell>
          <cell r="Z1649">
            <v>0</v>
          </cell>
          <cell r="AA1649">
            <v>12251.46</v>
          </cell>
          <cell r="AB1649">
            <v>170.03466666666668</v>
          </cell>
          <cell r="AC1649">
            <v>5200</v>
          </cell>
          <cell r="AD1649">
            <v>4197.34</v>
          </cell>
          <cell r="AE1649">
            <v>1002.6599999999999</v>
          </cell>
          <cell r="AN1649" t="str">
            <v xml:space="preserve">Contrato emergencial nº </v>
          </cell>
          <cell r="AO1649" t="str">
            <v>PE</v>
          </cell>
        </row>
        <row r="1650">
          <cell r="D1650" t="str">
            <v>2784/11</v>
          </cell>
          <cell r="E1650" t="str">
            <v>10/10/2011</v>
          </cell>
          <cell r="F1650">
            <v>41005</v>
          </cell>
          <cell r="G1650">
            <v>40877</v>
          </cell>
          <cell r="H1650" t="str">
            <v>2011-0.256.848-8</v>
          </cell>
          <cell r="I1650" t="str">
            <v>27.971,16</v>
          </cell>
          <cell r="J1650" t="str">
            <v xml:space="preserve">             123671125                  2863                   33903600</v>
          </cell>
          <cell r="K1650" t="str">
            <v>10/10/2011</v>
          </cell>
          <cell r="L1650">
            <v>52</v>
          </cell>
          <cell r="M1650">
            <v>8100</v>
          </cell>
          <cell r="N1650">
            <v>57287</v>
          </cell>
          <cell r="O1650">
            <v>33696</v>
          </cell>
          <cell r="P1650">
            <v>16</v>
          </cell>
          <cell r="Q1650">
            <v>4</v>
          </cell>
          <cell r="U1650">
            <v>3817.2</v>
          </cell>
          <cell r="V1650">
            <v>5600</v>
          </cell>
          <cell r="W1650">
            <v>180</v>
          </cell>
          <cell r="X1650">
            <v>4480</v>
          </cell>
          <cell r="Y1650">
            <v>0</v>
          </cell>
          <cell r="Z1650">
            <v>0</v>
          </cell>
          <cell r="AA1650">
            <v>13897.2</v>
          </cell>
          <cell r="AB1650">
            <v>155.39533333333333</v>
          </cell>
          <cell r="AC1650">
            <v>4700</v>
          </cell>
          <cell r="AD1650">
            <v>5556.34</v>
          </cell>
          <cell r="AE1650">
            <v>-856.34000000000015</v>
          </cell>
          <cell r="AN1650" t="str">
            <v xml:space="preserve">Contrato emergencial nº </v>
          </cell>
          <cell r="AO1650" t="str">
            <v>PE</v>
          </cell>
        </row>
        <row r="1651">
          <cell r="D1651" t="str">
            <v>2785/11</v>
          </cell>
          <cell r="E1651" t="str">
            <v>17/10/2011</v>
          </cell>
          <cell r="F1651">
            <v>41012</v>
          </cell>
          <cell r="G1651">
            <v>40877</v>
          </cell>
          <cell r="H1651" t="str">
            <v>2011-0.256.849-6</v>
          </cell>
          <cell r="I1651" t="str">
            <v>41.531,04</v>
          </cell>
          <cell r="J1651" t="str">
            <v xml:space="preserve">              123651121                 2847                    33903600</v>
          </cell>
          <cell r="K1651" t="str">
            <v>17/10/2011</v>
          </cell>
          <cell r="L1651">
            <v>45</v>
          </cell>
          <cell r="M1651">
            <v>10400</v>
          </cell>
          <cell r="N1651">
            <v>57273</v>
          </cell>
          <cell r="O1651">
            <v>34468</v>
          </cell>
          <cell r="P1651">
            <v>16</v>
          </cell>
          <cell r="Q1651">
            <v>2</v>
          </cell>
          <cell r="U1651">
            <v>0</v>
          </cell>
          <cell r="V1651">
            <v>7000</v>
          </cell>
          <cell r="W1651">
            <v>180</v>
          </cell>
          <cell r="X1651">
            <v>5600</v>
          </cell>
          <cell r="Y1651">
            <v>113936</v>
          </cell>
          <cell r="Z1651">
            <v>7503.13</v>
          </cell>
          <cell r="AA1651">
            <v>5096.87</v>
          </cell>
          <cell r="AB1651">
            <v>230.72800000000001</v>
          </cell>
          <cell r="AC1651">
            <v>7000</v>
          </cell>
          <cell r="AD1651">
            <v>6221.4100000000008</v>
          </cell>
          <cell r="AE1651">
            <v>778.58999999999924</v>
          </cell>
          <cell r="AN1651" t="str">
            <v xml:space="preserve">Contrato emergencial nº </v>
          </cell>
          <cell r="AO1651" t="str">
            <v>PE</v>
          </cell>
        </row>
        <row r="1652">
          <cell r="D1652" t="str">
            <v>2786/11</v>
          </cell>
          <cell r="E1652" t="str">
            <v>10/10/2011</v>
          </cell>
          <cell r="F1652">
            <v>41005</v>
          </cell>
          <cell r="G1652">
            <v>40877</v>
          </cell>
          <cell r="H1652" t="str">
            <v>2011-0.256.852-6</v>
          </cell>
          <cell r="I1652" t="str">
            <v>44.324,52</v>
          </cell>
          <cell r="J1652" t="str">
            <v xml:space="preserve">              123611122                  2848                    33903600</v>
          </cell>
          <cell r="K1652" t="str">
            <v>10/10/2011</v>
          </cell>
          <cell r="L1652">
            <v>52</v>
          </cell>
          <cell r="M1652">
            <v>12900</v>
          </cell>
          <cell r="N1652">
            <v>57278</v>
          </cell>
          <cell r="O1652">
            <v>33699</v>
          </cell>
          <cell r="P1652">
            <v>16</v>
          </cell>
          <cell r="Q1652">
            <v>3</v>
          </cell>
          <cell r="U1652">
            <v>0</v>
          </cell>
          <cell r="V1652">
            <v>7400</v>
          </cell>
          <cell r="W1652">
            <v>180</v>
          </cell>
          <cell r="X1652">
            <v>5920</v>
          </cell>
          <cell r="Y1652">
            <v>113025</v>
          </cell>
          <cell r="Z1652">
            <v>8945.0300000000007</v>
          </cell>
          <cell r="AA1652">
            <v>4374.9699999999993</v>
          </cell>
          <cell r="AB1652">
            <v>246.2473333333333</v>
          </cell>
          <cell r="AC1652">
            <v>7400</v>
          </cell>
          <cell r="AD1652">
            <v>5741.53</v>
          </cell>
          <cell r="AE1652">
            <v>1658.4700000000003</v>
          </cell>
          <cell r="AN1652" t="str">
            <v xml:space="preserve">Contrato emergencial nº </v>
          </cell>
          <cell r="AO1652" t="str">
            <v>PJ</v>
          </cell>
        </row>
        <row r="1653">
          <cell r="D1653" t="str">
            <v>2787/11</v>
          </cell>
          <cell r="E1653" t="str">
            <v>10/10/2011</v>
          </cell>
          <cell r="F1653">
            <v>41005</v>
          </cell>
          <cell r="G1653">
            <v>40877</v>
          </cell>
          <cell r="H1653" t="str">
            <v>2011-0.256.853-4</v>
          </cell>
          <cell r="I1653" t="str">
            <v>22.185,90</v>
          </cell>
          <cell r="J1653" t="str">
            <v xml:space="preserve">              123651121                 2847                    33903600</v>
          </cell>
          <cell r="K1653" t="str">
            <v>10/10/2011</v>
          </cell>
          <cell r="L1653">
            <v>52</v>
          </cell>
          <cell r="M1653">
            <v>6500</v>
          </cell>
          <cell r="N1653">
            <v>57273</v>
          </cell>
          <cell r="O1653">
            <v>33700</v>
          </cell>
          <cell r="P1653">
            <v>16</v>
          </cell>
          <cell r="Q1653">
            <v>2</v>
          </cell>
          <cell r="U1653">
            <v>0</v>
          </cell>
          <cell r="V1653">
            <v>3700</v>
          </cell>
          <cell r="W1653">
            <v>180</v>
          </cell>
          <cell r="X1653">
            <v>2960</v>
          </cell>
          <cell r="Y1653">
            <v>113034</v>
          </cell>
          <cell r="Z1653">
            <v>4290.04</v>
          </cell>
          <cell r="AA1653">
            <v>2369.96</v>
          </cell>
          <cell r="AB1653">
            <v>123.25500000000001</v>
          </cell>
          <cell r="AC1653">
            <v>3700</v>
          </cell>
          <cell r="AD1653">
            <v>3186.8900000000008</v>
          </cell>
          <cell r="AE1653">
            <v>513.10999999999922</v>
          </cell>
          <cell r="AN1653" t="str">
            <v xml:space="preserve">Contrato emergencial nº </v>
          </cell>
          <cell r="AO1653" t="str">
            <v>PJ</v>
          </cell>
        </row>
        <row r="1654">
          <cell r="D1654" t="str">
            <v>2788/11</v>
          </cell>
          <cell r="E1654" t="str">
            <v>10/10/2011</v>
          </cell>
          <cell r="F1654">
            <v>41005</v>
          </cell>
          <cell r="G1654">
            <v>40877</v>
          </cell>
          <cell r="H1654" t="str">
            <v>2011-0.256.854-2</v>
          </cell>
          <cell r="I1654" t="str">
            <v>39.569,46</v>
          </cell>
          <cell r="J1654" t="str">
            <v xml:space="preserve">              123651121                 2847                    33903600</v>
          </cell>
          <cell r="K1654" t="str">
            <v>10/10/2011</v>
          </cell>
          <cell r="L1654">
            <v>52</v>
          </cell>
          <cell r="M1654">
            <v>11500</v>
          </cell>
          <cell r="N1654">
            <v>57273</v>
          </cell>
          <cell r="O1654">
            <v>34471</v>
          </cell>
          <cell r="P1654">
            <v>16</v>
          </cell>
          <cell r="Q1654">
            <v>2</v>
          </cell>
          <cell r="U1654">
            <v>0</v>
          </cell>
          <cell r="V1654">
            <v>6600</v>
          </cell>
          <cell r="W1654">
            <v>180</v>
          </cell>
          <cell r="X1654">
            <v>5280</v>
          </cell>
          <cell r="Y1654">
            <v>113038</v>
          </cell>
          <cell r="Z1654">
            <v>7040.03</v>
          </cell>
          <cell r="AA1654">
            <v>4839.97</v>
          </cell>
          <cell r="AB1654">
            <v>219.83033333333333</v>
          </cell>
          <cell r="AC1654">
            <v>6600</v>
          </cell>
          <cell r="AD1654">
            <v>6439.6900000000005</v>
          </cell>
          <cell r="AE1654">
            <v>160.30999999999949</v>
          </cell>
          <cell r="AN1654" t="str">
            <v xml:space="preserve">Contrato emergencial nº </v>
          </cell>
          <cell r="AO1654" t="str">
            <v>PJ</v>
          </cell>
        </row>
        <row r="1655">
          <cell r="D1655" t="str">
            <v>2789/11</v>
          </cell>
          <cell r="E1655" t="str">
            <v>10/10/2011</v>
          </cell>
          <cell r="F1655">
            <v>41005</v>
          </cell>
          <cell r="G1655">
            <v>40877</v>
          </cell>
          <cell r="H1655" t="str">
            <v>2011-0.256.855-0</v>
          </cell>
          <cell r="I1655" t="str">
            <v>22.284,96</v>
          </cell>
          <cell r="J1655" t="str">
            <v xml:space="preserve">              123651121                 2847                    33903600</v>
          </cell>
          <cell r="K1655" t="str">
            <v>10/10/2011</v>
          </cell>
          <cell r="L1655">
            <v>52</v>
          </cell>
          <cell r="M1655">
            <v>6500</v>
          </cell>
          <cell r="N1655">
            <v>57273</v>
          </cell>
          <cell r="O1655">
            <v>33704</v>
          </cell>
          <cell r="P1655">
            <v>16</v>
          </cell>
          <cell r="Q1655">
            <v>2</v>
          </cell>
          <cell r="U1655">
            <v>0</v>
          </cell>
          <cell r="V1655">
            <v>3800</v>
          </cell>
          <cell r="W1655">
            <v>180</v>
          </cell>
          <cell r="X1655">
            <v>3040</v>
          </cell>
          <cell r="Y1655">
            <v>114449</v>
          </cell>
          <cell r="Z1655">
            <v>3804.38</v>
          </cell>
          <cell r="AA1655">
            <v>3035.62</v>
          </cell>
          <cell r="AB1655">
            <v>123.80533333333332</v>
          </cell>
          <cell r="AC1655">
            <v>3800</v>
          </cell>
          <cell r="AD1655">
            <v>3778.1800000000003</v>
          </cell>
          <cell r="AE1655">
            <v>21.819999999999709</v>
          </cell>
          <cell r="AN1655" t="str">
            <v xml:space="preserve">Contrato emergencial nº </v>
          </cell>
          <cell r="AO1655" t="str">
            <v>SA</v>
          </cell>
        </row>
        <row r="1656">
          <cell r="D1656" t="str">
            <v>2790/11</v>
          </cell>
          <cell r="E1656" t="str">
            <v>10/10/2011</v>
          </cell>
          <cell r="F1656">
            <v>41005</v>
          </cell>
          <cell r="G1656">
            <v>40877</v>
          </cell>
          <cell r="H1656" t="str">
            <v>2011-0.257.135-7</v>
          </cell>
          <cell r="I1656" t="str">
            <v>21.779,76</v>
          </cell>
          <cell r="J1656" t="str">
            <v xml:space="preserve">              123651121                 2847                    33903600</v>
          </cell>
          <cell r="K1656" t="str">
            <v>10/10/2011</v>
          </cell>
          <cell r="L1656">
            <v>52</v>
          </cell>
          <cell r="M1656">
            <v>6300</v>
          </cell>
          <cell r="N1656">
            <v>57273</v>
          </cell>
          <cell r="O1656">
            <v>33705</v>
          </cell>
          <cell r="P1656">
            <v>16</v>
          </cell>
          <cell r="Q1656">
            <v>2</v>
          </cell>
          <cell r="U1656">
            <v>0</v>
          </cell>
          <cell r="V1656">
            <v>3700</v>
          </cell>
          <cell r="W1656">
            <v>180</v>
          </cell>
          <cell r="X1656">
            <v>2960</v>
          </cell>
          <cell r="Y1656">
            <v>114455</v>
          </cell>
          <cell r="Z1656">
            <v>4046.02</v>
          </cell>
          <cell r="AA1656">
            <v>2613.98</v>
          </cell>
          <cell r="AB1656">
            <v>120.99866666666665</v>
          </cell>
          <cell r="AC1656">
            <v>3700</v>
          </cell>
          <cell r="AD1656">
            <v>3251.4</v>
          </cell>
          <cell r="AE1656">
            <v>448.59999999999991</v>
          </cell>
          <cell r="AN1656" t="str">
            <v xml:space="preserve">Contrato emergencial nº </v>
          </cell>
          <cell r="AO1656" t="str">
            <v>SA</v>
          </cell>
        </row>
        <row r="1657">
          <cell r="D1657" t="str">
            <v>2791/11</v>
          </cell>
          <cell r="E1657" t="str">
            <v>10/10/2011</v>
          </cell>
          <cell r="F1657">
            <v>41005</v>
          </cell>
          <cell r="G1657">
            <v>40877</v>
          </cell>
          <cell r="H1657" t="str">
            <v>2011-0.256.858-5</v>
          </cell>
          <cell r="I1657" t="str">
            <v>44.978,40</v>
          </cell>
          <cell r="J1657" t="str">
            <v xml:space="preserve">              123651121                 2847                    33903600</v>
          </cell>
          <cell r="K1657" t="str">
            <v>10/10/2011</v>
          </cell>
          <cell r="L1657">
            <v>52</v>
          </cell>
          <cell r="M1657">
            <v>13000</v>
          </cell>
          <cell r="N1657">
            <v>57273</v>
          </cell>
          <cell r="O1657">
            <v>33706</v>
          </cell>
          <cell r="P1657">
            <v>16</v>
          </cell>
          <cell r="Q1657">
            <v>2</v>
          </cell>
          <cell r="U1657">
            <v>0</v>
          </cell>
          <cell r="V1657">
            <v>7500</v>
          </cell>
          <cell r="W1657">
            <v>180</v>
          </cell>
          <cell r="X1657">
            <v>6000</v>
          </cell>
          <cell r="Y1657">
            <v>114460</v>
          </cell>
          <cell r="Z1657">
            <v>8799.07</v>
          </cell>
          <cell r="AA1657">
            <v>4700.93</v>
          </cell>
          <cell r="AB1657">
            <v>249.88</v>
          </cell>
          <cell r="AC1657">
            <v>7500</v>
          </cell>
          <cell r="AD1657">
            <v>6069.6399999999994</v>
          </cell>
          <cell r="AE1657">
            <v>1430.3600000000006</v>
          </cell>
          <cell r="AN1657" t="str">
            <v xml:space="preserve">Contrato emergencial nº </v>
          </cell>
          <cell r="AO1657" t="str">
            <v>SA</v>
          </cell>
        </row>
        <row r="1658">
          <cell r="D1658" t="str">
            <v>2792/11</v>
          </cell>
          <cell r="E1658" t="str">
            <v>10/10/2011</v>
          </cell>
          <cell r="F1658">
            <v>41005</v>
          </cell>
          <cell r="G1658">
            <v>40877</v>
          </cell>
          <cell r="H1658" t="str">
            <v>2011-0.256.859-3</v>
          </cell>
          <cell r="I1658" t="str">
            <v>30.606,24</v>
          </cell>
          <cell r="J1658" t="str">
            <v xml:space="preserve">              123651121                 2847                    33903600</v>
          </cell>
          <cell r="K1658" t="str">
            <v>10/10/2011</v>
          </cell>
          <cell r="L1658">
            <v>52</v>
          </cell>
          <cell r="M1658">
            <v>8900</v>
          </cell>
          <cell r="N1658">
            <v>57273</v>
          </cell>
          <cell r="O1658">
            <v>34819</v>
          </cell>
          <cell r="P1658">
            <v>16</v>
          </cell>
          <cell r="Q1658">
            <v>2</v>
          </cell>
          <cell r="U1658">
            <v>0</v>
          </cell>
          <cell r="V1658">
            <v>5200</v>
          </cell>
          <cell r="W1658">
            <v>180</v>
          </cell>
          <cell r="X1658">
            <v>4160</v>
          </cell>
          <cell r="Y1658">
            <v>114465</v>
          </cell>
          <cell r="Z1658">
            <v>6105.77</v>
          </cell>
          <cell r="AA1658">
            <v>3254.2299999999996</v>
          </cell>
          <cell r="AB1658">
            <v>170.03466666666668</v>
          </cell>
          <cell r="AC1658">
            <v>5200</v>
          </cell>
          <cell r="AD1658">
            <v>4007.835</v>
          </cell>
          <cell r="AE1658">
            <v>1192.165</v>
          </cell>
          <cell r="AN1658" t="str">
            <v xml:space="preserve">Contrato emergencial nº </v>
          </cell>
          <cell r="AO1658" t="str">
            <v>SA</v>
          </cell>
        </row>
        <row r="1659">
          <cell r="D1659" t="str">
            <v>2793/11</v>
          </cell>
          <cell r="E1659" t="str">
            <v>10/10/2011</v>
          </cell>
          <cell r="F1659">
            <v>41005</v>
          </cell>
          <cell r="G1659">
            <v>40877</v>
          </cell>
          <cell r="H1659" t="str">
            <v>2011-0.256.861-5</v>
          </cell>
          <cell r="I1659" t="str">
            <v>37.607,88</v>
          </cell>
          <cell r="J1659" t="str">
            <v xml:space="preserve">              123611122                  2848                    33903600</v>
          </cell>
          <cell r="K1659" t="str">
            <v>10/10/2011</v>
          </cell>
          <cell r="L1659">
            <v>52</v>
          </cell>
          <cell r="M1659">
            <v>10900</v>
          </cell>
          <cell r="N1659">
            <v>57278</v>
          </cell>
          <cell r="O1659">
            <v>34821</v>
          </cell>
          <cell r="P1659">
            <v>16</v>
          </cell>
          <cell r="Q1659">
            <v>3</v>
          </cell>
          <cell r="U1659">
            <v>0</v>
          </cell>
          <cell r="V1659">
            <v>6300</v>
          </cell>
          <cell r="W1659">
            <v>180</v>
          </cell>
          <cell r="X1659">
            <v>5040</v>
          </cell>
          <cell r="Y1659">
            <v>114473</v>
          </cell>
          <cell r="Z1659">
            <v>7302.64</v>
          </cell>
          <cell r="AA1659">
            <v>4037.3599999999997</v>
          </cell>
          <cell r="AB1659">
            <v>208.93266666666665</v>
          </cell>
          <cell r="AC1659">
            <v>6300</v>
          </cell>
          <cell r="AD1659">
            <v>5165.6925000000001</v>
          </cell>
          <cell r="AE1659">
            <v>1134.3074999999999</v>
          </cell>
          <cell r="AN1659" t="str">
            <v xml:space="preserve">Contrato emergencial nº </v>
          </cell>
          <cell r="AO1659" t="str">
            <v>SA</v>
          </cell>
        </row>
        <row r="1660">
          <cell r="D1660" t="str">
            <v>2794/11</v>
          </cell>
          <cell r="E1660" t="str">
            <v>10/10/2011</v>
          </cell>
          <cell r="F1660">
            <v>41005</v>
          </cell>
          <cell r="G1660">
            <v>40877</v>
          </cell>
          <cell r="H1660" t="str">
            <v>2011-0.256.863-1</v>
          </cell>
          <cell r="I1660" t="str">
            <v>31.418,52</v>
          </cell>
          <cell r="J1660" t="str">
            <v xml:space="preserve">              123611122                  2848                    33903600</v>
          </cell>
          <cell r="K1660" t="str">
            <v>10/10/2011</v>
          </cell>
          <cell r="L1660">
            <v>52</v>
          </cell>
          <cell r="M1660">
            <v>9100</v>
          </cell>
          <cell r="N1660">
            <v>57278</v>
          </cell>
          <cell r="O1660">
            <v>34823</v>
          </cell>
          <cell r="P1660">
            <v>16</v>
          </cell>
          <cell r="Q1660">
            <v>3</v>
          </cell>
          <cell r="U1660">
            <v>0</v>
          </cell>
          <cell r="V1660">
            <v>5300</v>
          </cell>
          <cell r="W1660">
            <v>180</v>
          </cell>
          <cell r="X1660">
            <v>4240</v>
          </cell>
          <cell r="Y1660">
            <v>114489</v>
          </cell>
          <cell r="Z1660">
            <v>5420.47</v>
          </cell>
          <cell r="AA1660">
            <v>4119.53</v>
          </cell>
          <cell r="AB1660">
            <v>174.54733333333334</v>
          </cell>
          <cell r="AC1660">
            <v>5300</v>
          </cell>
          <cell r="AD1660">
            <v>5282.1249999999991</v>
          </cell>
          <cell r="AE1660">
            <v>17.875000000000909</v>
          </cell>
          <cell r="AN1660" t="str">
            <v xml:space="preserve">Contrato emergencial nº </v>
          </cell>
          <cell r="AO1660" t="str">
            <v>SA</v>
          </cell>
        </row>
        <row r="1661">
          <cell r="D1661" t="str">
            <v>2795/11</v>
          </cell>
          <cell r="E1661" t="str">
            <v>10/10/2011</v>
          </cell>
          <cell r="F1661">
            <v>41005</v>
          </cell>
          <cell r="G1661">
            <v>40877</v>
          </cell>
          <cell r="H1661" t="str">
            <v>2011-0.256.864-0</v>
          </cell>
          <cell r="I1661" t="str">
            <v>45.186,36</v>
          </cell>
          <cell r="J1661" t="str">
            <v xml:space="preserve">              123611122                  2848                    33903600</v>
          </cell>
          <cell r="K1661" t="str">
            <v>10/10/2011</v>
          </cell>
          <cell r="L1661">
            <v>52</v>
          </cell>
          <cell r="M1661">
            <v>13100</v>
          </cell>
          <cell r="N1661">
            <v>57278</v>
          </cell>
          <cell r="O1661">
            <v>34826</v>
          </cell>
          <cell r="P1661">
            <v>16</v>
          </cell>
          <cell r="Q1661">
            <v>3</v>
          </cell>
          <cell r="U1661">
            <v>0</v>
          </cell>
          <cell r="V1661">
            <v>7600</v>
          </cell>
          <cell r="W1661">
            <v>180</v>
          </cell>
          <cell r="X1661">
            <v>6080</v>
          </cell>
          <cell r="Y1661">
            <v>114503</v>
          </cell>
          <cell r="Z1661">
            <v>9009.6200000000008</v>
          </cell>
          <cell r="AA1661">
            <v>4670.3799999999992</v>
          </cell>
          <cell r="AB1661">
            <v>251.03533333333334</v>
          </cell>
          <cell r="AC1661">
            <v>7600</v>
          </cell>
          <cell r="AD1661">
            <v>5893.5599999999995</v>
          </cell>
          <cell r="AE1661">
            <v>1706.4400000000005</v>
          </cell>
          <cell r="AN1661" t="str">
            <v xml:space="preserve">Contrato emergencial nº </v>
          </cell>
          <cell r="AO1661" t="str">
            <v>SA</v>
          </cell>
        </row>
        <row r="1662">
          <cell r="D1662" t="str">
            <v>2796/11</v>
          </cell>
          <cell r="E1662" t="str">
            <v>10/10/2011</v>
          </cell>
          <cell r="F1662">
            <v>41005</v>
          </cell>
          <cell r="G1662">
            <v>40877</v>
          </cell>
          <cell r="H1662" t="str">
            <v>2011-0.256.865-8</v>
          </cell>
          <cell r="I1662" t="str">
            <v>27.565,02</v>
          </cell>
          <cell r="J1662" t="str">
            <v xml:space="preserve">              123651121                 2847                    33903600</v>
          </cell>
          <cell r="K1662" t="str">
            <v>10/10/2011</v>
          </cell>
          <cell r="L1662">
            <v>52</v>
          </cell>
          <cell r="M1662">
            <v>8000</v>
          </cell>
          <cell r="N1662">
            <v>57273</v>
          </cell>
          <cell r="O1662">
            <v>35284</v>
          </cell>
          <cell r="P1662">
            <v>16</v>
          </cell>
          <cell r="Q1662">
            <v>2</v>
          </cell>
          <cell r="U1662">
            <v>0</v>
          </cell>
          <cell r="V1662">
            <v>4600</v>
          </cell>
          <cell r="W1662">
            <v>180</v>
          </cell>
          <cell r="X1662">
            <v>3680</v>
          </cell>
          <cell r="Y1662">
            <v>112979</v>
          </cell>
          <cell r="Z1662">
            <v>4716.6099999999997</v>
          </cell>
          <cell r="AA1662">
            <v>3563.3900000000003</v>
          </cell>
          <cell r="AB1662">
            <v>153.13900000000001</v>
          </cell>
          <cell r="AC1662">
            <v>4600</v>
          </cell>
          <cell r="AD1662">
            <v>4546.2700000000004</v>
          </cell>
          <cell r="AE1662">
            <v>53.729999999999563</v>
          </cell>
          <cell r="AN1662" t="str">
            <v xml:space="preserve">Contrato emergencial nº </v>
          </cell>
          <cell r="AO1662" t="str">
            <v>SM</v>
          </cell>
        </row>
        <row r="1663">
          <cell r="D1663" t="str">
            <v>2798/11</v>
          </cell>
          <cell r="E1663" t="str">
            <v>10/10/2011</v>
          </cell>
          <cell r="F1663">
            <v>41005</v>
          </cell>
          <cell r="G1663">
            <v>40877</v>
          </cell>
          <cell r="H1663" t="str">
            <v>2011-0.256.869-0</v>
          </cell>
          <cell r="I1663" t="str">
            <v>44.978,40</v>
          </cell>
          <cell r="J1663" t="str">
            <v xml:space="preserve">              123651121                 2847                    33903600</v>
          </cell>
          <cell r="K1663" t="str">
            <v>10/10/2011</v>
          </cell>
          <cell r="L1663">
            <v>52</v>
          </cell>
          <cell r="M1663">
            <v>13000</v>
          </cell>
          <cell r="N1663">
            <v>57273</v>
          </cell>
          <cell r="O1663">
            <v>35350</v>
          </cell>
          <cell r="P1663">
            <v>16</v>
          </cell>
          <cell r="Q1663">
            <v>2</v>
          </cell>
          <cell r="U1663">
            <v>0</v>
          </cell>
          <cell r="V1663">
            <v>9800</v>
          </cell>
          <cell r="W1663">
            <v>180</v>
          </cell>
          <cell r="X1663">
            <v>7840</v>
          </cell>
          <cell r="Y1663">
            <v>112981</v>
          </cell>
          <cell r="Z1663">
            <v>6195.8</v>
          </cell>
          <cell r="AA1663">
            <v>11444.2</v>
          </cell>
          <cell r="AB1663">
            <v>249.88</v>
          </cell>
          <cell r="AC1663">
            <v>7500</v>
          </cell>
          <cell r="AD1663">
            <v>9741.2900000000009</v>
          </cell>
          <cell r="AE1663">
            <v>-2241.2900000000009</v>
          </cell>
          <cell r="AN1663" t="str">
            <v xml:space="preserve">Contrato emergencial nº </v>
          </cell>
          <cell r="AO1663" t="str">
            <v>SM</v>
          </cell>
        </row>
        <row r="1664">
          <cell r="D1664" t="str">
            <v>2799/11</v>
          </cell>
          <cell r="E1664" t="str">
            <v>10/10/2011</v>
          </cell>
          <cell r="F1664">
            <v>41005</v>
          </cell>
          <cell r="G1664">
            <v>40877</v>
          </cell>
          <cell r="H1664" t="str">
            <v>2011-0.256.871-2</v>
          </cell>
          <cell r="I1664" t="str">
            <v>30.606,24</v>
          </cell>
          <cell r="J1664" t="str">
            <v xml:space="preserve">              123611122                  2848                    33903600</v>
          </cell>
          <cell r="K1664" t="str">
            <v>10/10/2011</v>
          </cell>
          <cell r="L1664">
            <v>52</v>
          </cell>
          <cell r="M1664">
            <v>8900</v>
          </cell>
          <cell r="N1664">
            <v>57278</v>
          </cell>
          <cell r="O1664">
            <v>35353</v>
          </cell>
          <cell r="P1664">
            <v>16</v>
          </cell>
          <cell r="Q1664">
            <v>3</v>
          </cell>
          <cell r="U1664">
            <v>0</v>
          </cell>
          <cell r="V1664">
            <v>5200</v>
          </cell>
          <cell r="W1664">
            <v>180</v>
          </cell>
          <cell r="X1664">
            <v>4160</v>
          </cell>
          <cell r="Y1664">
            <v>114362</v>
          </cell>
          <cell r="Z1664">
            <v>5562.7</v>
          </cell>
          <cell r="AA1664">
            <v>3797.3</v>
          </cell>
          <cell r="AB1664">
            <v>170.03466666666668</v>
          </cell>
          <cell r="AC1664">
            <v>5200</v>
          </cell>
          <cell r="AD1664">
            <v>4728.6000000000004</v>
          </cell>
          <cell r="AE1664">
            <v>471.39999999999964</v>
          </cell>
          <cell r="AN1664" t="str">
            <v xml:space="preserve">Contrato emergencial nº </v>
          </cell>
          <cell r="AO1664" t="str">
            <v>G</v>
          </cell>
        </row>
        <row r="1665">
          <cell r="D1665" t="str">
            <v>2800/11</v>
          </cell>
          <cell r="E1665" t="str">
            <v>10/10/2011</v>
          </cell>
          <cell r="F1665">
            <v>41005</v>
          </cell>
          <cell r="G1665">
            <v>40877</v>
          </cell>
          <cell r="H1665" t="str">
            <v>2011-0.256.873-9</v>
          </cell>
          <cell r="I1665" t="str">
            <v>44.324,52</v>
          </cell>
          <cell r="J1665" t="str">
            <v xml:space="preserve">              123651121                 2847                    33903600</v>
          </cell>
          <cell r="K1665" t="str">
            <v>10/10/2011</v>
          </cell>
          <cell r="L1665">
            <v>52</v>
          </cell>
          <cell r="M1665">
            <v>12900</v>
          </cell>
          <cell r="N1665">
            <v>57273</v>
          </cell>
          <cell r="O1665">
            <v>35356</v>
          </cell>
          <cell r="P1665">
            <v>16</v>
          </cell>
          <cell r="Q1665">
            <v>2</v>
          </cell>
          <cell r="U1665">
            <v>0</v>
          </cell>
          <cell r="V1665">
            <v>8400</v>
          </cell>
          <cell r="W1665">
            <v>180</v>
          </cell>
          <cell r="X1665">
            <v>6720</v>
          </cell>
          <cell r="Y1665">
            <v>113062</v>
          </cell>
          <cell r="Z1665">
            <v>7088.79</v>
          </cell>
          <cell r="AA1665">
            <v>8031.21</v>
          </cell>
          <cell r="AB1665">
            <v>246.2473333333333</v>
          </cell>
          <cell r="AC1665">
            <v>7400</v>
          </cell>
          <cell r="AD1665">
            <v>8366.68</v>
          </cell>
          <cell r="AE1665">
            <v>-966.68000000000029</v>
          </cell>
          <cell r="AN1665" t="str">
            <v xml:space="preserve">Contrato emergencial nº </v>
          </cell>
          <cell r="AO1665" t="str">
            <v>CS</v>
          </cell>
        </row>
        <row r="1666">
          <cell r="D1666" t="str">
            <v>2801/11</v>
          </cell>
          <cell r="E1666" t="str">
            <v>10/10/2011</v>
          </cell>
          <cell r="F1666">
            <v>41005</v>
          </cell>
          <cell r="G1666">
            <v>40877</v>
          </cell>
          <cell r="H1666" t="str">
            <v>2011-0.256.874-7</v>
          </cell>
          <cell r="I1666" t="str">
            <v>44.324,52</v>
          </cell>
          <cell r="J1666" t="str">
            <v xml:space="preserve">              123611122                  2848                    33903600</v>
          </cell>
          <cell r="K1666" t="str">
            <v>10/10/2011</v>
          </cell>
          <cell r="L1666">
            <v>52</v>
          </cell>
          <cell r="M1666">
            <v>12900</v>
          </cell>
          <cell r="N1666">
            <v>57278</v>
          </cell>
          <cell r="O1666">
            <v>35360</v>
          </cell>
          <cell r="P1666">
            <v>16</v>
          </cell>
          <cell r="Q1666">
            <v>3</v>
          </cell>
          <cell r="U1666">
            <v>0</v>
          </cell>
          <cell r="V1666">
            <v>7400</v>
          </cell>
          <cell r="W1666">
            <v>180</v>
          </cell>
          <cell r="X1666">
            <v>5920</v>
          </cell>
          <cell r="Y1666">
            <v>113065</v>
          </cell>
          <cell r="Z1666">
            <v>8950.25</v>
          </cell>
          <cell r="AA1666">
            <v>4369.75</v>
          </cell>
          <cell r="AB1666">
            <v>246.2473333333333</v>
          </cell>
          <cell r="AC1666">
            <v>7400</v>
          </cell>
          <cell r="AD1666">
            <v>5682.5</v>
          </cell>
          <cell r="AE1666">
            <v>1717.5</v>
          </cell>
          <cell r="AN1666" t="str">
            <v xml:space="preserve">Contrato emergencial nº </v>
          </cell>
          <cell r="AO1666" t="str">
            <v>CS</v>
          </cell>
        </row>
        <row r="1667">
          <cell r="D1667" t="str">
            <v>2802/11</v>
          </cell>
          <cell r="E1667" t="str">
            <v>10/10/2011</v>
          </cell>
          <cell r="F1667">
            <v>41005</v>
          </cell>
          <cell r="G1667">
            <v>40877</v>
          </cell>
          <cell r="H1667" t="str">
            <v>2011-0.256.876-3</v>
          </cell>
          <cell r="I1667" t="str">
            <v>42.184,92</v>
          </cell>
          <cell r="J1667" t="str">
            <v xml:space="preserve">             123671125                  2863                   33903600</v>
          </cell>
          <cell r="K1667" t="str">
            <v>10/10/2011</v>
          </cell>
          <cell r="L1667">
            <v>52</v>
          </cell>
          <cell r="M1667">
            <v>12200</v>
          </cell>
          <cell r="N1667">
            <v>57287</v>
          </cell>
          <cell r="O1667">
            <v>35372</v>
          </cell>
          <cell r="P1667">
            <v>16</v>
          </cell>
          <cell r="Q1667">
            <v>4</v>
          </cell>
          <cell r="U1667">
            <v>0</v>
          </cell>
          <cell r="V1667">
            <v>7100</v>
          </cell>
          <cell r="W1667">
            <v>180</v>
          </cell>
          <cell r="X1667">
            <v>5680</v>
          </cell>
          <cell r="Y1667">
            <v>114411</v>
          </cell>
          <cell r="Z1667">
            <v>3312.77</v>
          </cell>
          <cell r="AA1667">
            <v>9467.23</v>
          </cell>
          <cell r="AB1667">
            <v>234.36066666666665</v>
          </cell>
          <cell r="AC1667">
            <v>7100</v>
          </cell>
          <cell r="AD1667">
            <v>6530.6500000000005</v>
          </cell>
          <cell r="AE1667">
            <v>569.34999999999945</v>
          </cell>
          <cell r="AN1667" t="str">
            <v xml:space="preserve">Contrato emergencial nº </v>
          </cell>
          <cell r="AO1667" t="str">
            <v>G</v>
          </cell>
        </row>
        <row r="1668">
          <cell r="D1668" t="str">
            <v>2803/11</v>
          </cell>
          <cell r="E1668" t="str">
            <v>10/10/2011</v>
          </cell>
          <cell r="F1668">
            <v>41005</v>
          </cell>
          <cell r="G1668">
            <v>40877</v>
          </cell>
          <cell r="H1668" t="str">
            <v>2011-0.256.877-1</v>
          </cell>
          <cell r="I1668" t="str">
            <v>37.607,88</v>
          </cell>
          <cell r="J1668" t="str">
            <v xml:space="preserve">              123651121                 2847                    33903600</v>
          </cell>
          <cell r="K1668" t="str">
            <v>10/10/2011</v>
          </cell>
          <cell r="L1668">
            <v>52</v>
          </cell>
          <cell r="M1668">
            <v>10900</v>
          </cell>
          <cell r="N1668">
            <v>57273</v>
          </cell>
          <cell r="O1668">
            <v>35373</v>
          </cell>
          <cell r="P1668">
            <v>16</v>
          </cell>
          <cell r="Q1668">
            <v>2</v>
          </cell>
          <cell r="U1668">
            <v>0</v>
          </cell>
          <cell r="V1668">
            <v>7600</v>
          </cell>
          <cell r="W1668">
            <v>180</v>
          </cell>
          <cell r="X1668">
            <v>6080</v>
          </cell>
          <cell r="Y1668">
            <v>114377</v>
          </cell>
          <cell r="Z1668">
            <v>5918.71</v>
          </cell>
          <cell r="AA1668">
            <v>7761.29</v>
          </cell>
          <cell r="AB1668">
            <v>208.93266666666665</v>
          </cell>
          <cell r="AC1668">
            <v>6300</v>
          </cell>
          <cell r="AD1668">
            <v>7598.98</v>
          </cell>
          <cell r="AE1668">
            <v>-1298.9799999999996</v>
          </cell>
          <cell r="AN1668" t="str">
            <v xml:space="preserve">Contrato emergencial nº </v>
          </cell>
          <cell r="AO1668" t="str">
            <v>G</v>
          </cell>
        </row>
        <row r="1669">
          <cell r="D1669" t="str">
            <v>2804/11</v>
          </cell>
          <cell r="E1669" t="str">
            <v>10/10/2011</v>
          </cell>
          <cell r="F1669">
            <v>41005</v>
          </cell>
          <cell r="G1669">
            <v>40877</v>
          </cell>
          <cell r="H1669" t="str">
            <v>2011-0.256.880-1</v>
          </cell>
          <cell r="I1669" t="str">
            <v>37.607,88</v>
          </cell>
          <cell r="J1669" t="str">
            <v xml:space="preserve">              123651121                 2847                    33903600</v>
          </cell>
          <cell r="K1669" t="str">
            <v>10/10/2011</v>
          </cell>
          <cell r="L1669">
            <v>52</v>
          </cell>
          <cell r="M1669">
            <v>10900</v>
          </cell>
          <cell r="N1669">
            <v>57273</v>
          </cell>
          <cell r="O1669">
            <v>35375</v>
          </cell>
          <cell r="P1669">
            <v>16</v>
          </cell>
          <cell r="Q1669">
            <v>2</v>
          </cell>
          <cell r="U1669">
            <v>0</v>
          </cell>
          <cell r="V1669">
            <v>6300</v>
          </cell>
          <cell r="W1669">
            <v>180</v>
          </cell>
          <cell r="X1669">
            <v>5040</v>
          </cell>
          <cell r="Y1669">
            <v>114507</v>
          </cell>
          <cell r="Z1669">
            <v>6613.44</v>
          </cell>
          <cell r="AA1669">
            <v>4726.5600000000004</v>
          </cell>
          <cell r="AB1669">
            <v>208.93266666666665</v>
          </cell>
          <cell r="AC1669">
            <v>6300</v>
          </cell>
          <cell r="AD1669">
            <v>6175.5200000000013</v>
          </cell>
          <cell r="AE1669">
            <v>124.47999999999865</v>
          </cell>
          <cell r="AN1669" t="str">
            <v xml:space="preserve">Contrato emergencial nº </v>
          </cell>
          <cell r="AO1669" t="str">
            <v>SA</v>
          </cell>
        </row>
        <row r="1670">
          <cell r="D1670" t="str">
            <v>2805/11</v>
          </cell>
          <cell r="E1670" t="str">
            <v>10/10/2011</v>
          </cell>
          <cell r="F1670">
            <v>41005</v>
          </cell>
          <cell r="G1670">
            <v>40877</v>
          </cell>
          <cell r="H1670" t="str">
            <v>2011-0.256.883-6</v>
          </cell>
          <cell r="I1670" t="str">
            <v>43.670,70</v>
          </cell>
          <cell r="J1670" t="str">
            <v xml:space="preserve">              123611122                  2848                    33903600</v>
          </cell>
          <cell r="K1670" t="str">
            <v>10/10/2011</v>
          </cell>
          <cell r="L1670">
            <v>52</v>
          </cell>
          <cell r="M1670">
            <v>12700</v>
          </cell>
          <cell r="N1670">
            <v>57278</v>
          </cell>
          <cell r="O1670">
            <v>35377</v>
          </cell>
          <cell r="P1670">
            <v>16</v>
          </cell>
          <cell r="Q1670">
            <v>3</v>
          </cell>
          <cell r="U1670">
            <v>0</v>
          </cell>
          <cell r="V1670">
            <v>7300</v>
          </cell>
          <cell r="W1670">
            <v>180</v>
          </cell>
          <cell r="X1670">
            <v>5840</v>
          </cell>
          <cell r="Y1670">
            <v>112984</v>
          </cell>
          <cell r="Z1670">
            <v>8371.2099999999991</v>
          </cell>
          <cell r="AA1670">
            <v>4768.7900000000009</v>
          </cell>
          <cell r="AB1670">
            <v>242.61499999999998</v>
          </cell>
          <cell r="AC1670">
            <v>7300</v>
          </cell>
          <cell r="AD1670">
            <v>6192.33</v>
          </cell>
          <cell r="AE1670">
            <v>1107.67</v>
          </cell>
          <cell r="AN1670" t="str">
            <v xml:space="preserve">Contrato emergencial nº </v>
          </cell>
          <cell r="AO1670" t="str">
            <v>SM</v>
          </cell>
        </row>
        <row r="1671">
          <cell r="D1671" t="str">
            <v>2806/11</v>
          </cell>
          <cell r="E1671" t="str">
            <v>10/10/2011</v>
          </cell>
          <cell r="F1671">
            <v>41005</v>
          </cell>
          <cell r="G1671">
            <v>40877</v>
          </cell>
          <cell r="H1671" t="str">
            <v>2011-0.256.886-0</v>
          </cell>
          <cell r="I1671" t="str">
            <v>37.607,88</v>
          </cell>
          <cell r="J1671" t="str">
            <v xml:space="preserve">              123611122                  2848                    33903600</v>
          </cell>
          <cell r="K1671" t="str">
            <v>10/10/2011</v>
          </cell>
          <cell r="L1671">
            <v>52</v>
          </cell>
          <cell r="M1671">
            <v>10900</v>
          </cell>
          <cell r="N1671">
            <v>57278</v>
          </cell>
          <cell r="O1671">
            <v>35380</v>
          </cell>
          <cell r="P1671">
            <v>16</v>
          </cell>
          <cell r="Q1671">
            <v>3</v>
          </cell>
          <cell r="U1671">
            <v>0</v>
          </cell>
          <cell r="V1671">
            <v>6300</v>
          </cell>
          <cell r="W1671">
            <v>180</v>
          </cell>
          <cell r="X1671">
            <v>5040</v>
          </cell>
          <cell r="Y1671">
            <v>112987</v>
          </cell>
          <cell r="Z1671">
            <v>6641.71</v>
          </cell>
          <cell r="AA1671">
            <v>4698.29</v>
          </cell>
          <cell r="AB1671">
            <v>208.93266666666665</v>
          </cell>
          <cell r="AC1671">
            <v>6300</v>
          </cell>
          <cell r="AD1671">
            <v>6005.08</v>
          </cell>
          <cell r="AE1671">
            <v>294.92000000000007</v>
          </cell>
          <cell r="AN1671" t="str">
            <v xml:space="preserve">Contrato emergencial nº </v>
          </cell>
          <cell r="AO1671" t="str">
            <v>SM</v>
          </cell>
        </row>
        <row r="1672">
          <cell r="D1672" t="str">
            <v>2807/11</v>
          </cell>
          <cell r="E1672" t="str">
            <v>10/10/2011</v>
          </cell>
          <cell r="F1672">
            <v>41005</v>
          </cell>
          <cell r="G1672">
            <v>40877</v>
          </cell>
          <cell r="H1672" t="str">
            <v>2011-0.256.889-5</v>
          </cell>
          <cell r="I1672" t="str">
            <v>26.495,10</v>
          </cell>
          <cell r="J1672" t="str">
            <v xml:space="preserve">             123671125                  2863                   33903600</v>
          </cell>
          <cell r="K1672" t="str">
            <v>10/10/2011</v>
          </cell>
          <cell r="L1672">
            <v>52</v>
          </cell>
          <cell r="M1672">
            <v>7700</v>
          </cell>
          <cell r="N1672">
            <v>57287</v>
          </cell>
          <cell r="O1672">
            <v>35383</v>
          </cell>
          <cell r="P1672">
            <v>16</v>
          </cell>
          <cell r="Q1672">
            <v>4</v>
          </cell>
          <cell r="U1672">
            <v>2660.0230000000001</v>
          </cell>
          <cell r="V1672">
            <v>4500</v>
          </cell>
          <cell r="W1672">
            <v>180</v>
          </cell>
          <cell r="X1672">
            <v>3600</v>
          </cell>
          <cell r="Y1672">
            <v>0</v>
          </cell>
          <cell r="Z1672">
            <v>0</v>
          </cell>
          <cell r="AA1672">
            <v>10760.023000000001</v>
          </cell>
          <cell r="AB1672">
            <v>147.19499999999999</v>
          </cell>
          <cell r="AC1672">
            <v>4500</v>
          </cell>
          <cell r="AD1672">
            <v>3815.2900000000004</v>
          </cell>
          <cell r="AE1672">
            <v>684.70999999999958</v>
          </cell>
          <cell r="AN1672" t="str">
            <v xml:space="preserve">Contrato emergencial nº </v>
          </cell>
          <cell r="AO1672" t="str">
            <v>MP</v>
          </cell>
        </row>
        <row r="1673">
          <cell r="D1673" t="str">
            <v>2808/11</v>
          </cell>
          <cell r="E1673" t="str">
            <v>10/10/2011</v>
          </cell>
          <cell r="F1673">
            <v>41005</v>
          </cell>
          <cell r="G1673">
            <v>40877</v>
          </cell>
          <cell r="H1673" t="str">
            <v>2011-0.256.892-5</v>
          </cell>
          <cell r="I1673" t="str">
            <v>38.261,76</v>
          </cell>
          <cell r="J1673" t="str">
            <v xml:space="preserve">              123651121                 2847                    33903600</v>
          </cell>
          <cell r="K1673" t="str">
            <v>10/10/2011</v>
          </cell>
          <cell r="L1673">
            <v>52</v>
          </cell>
          <cell r="M1673">
            <v>11100</v>
          </cell>
          <cell r="N1673">
            <v>57273</v>
          </cell>
          <cell r="O1673">
            <v>35387</v>
          </cell>
          <cell r="P1673">
            <v>16</v>
          </cell>
          <cell r="Q1673">
            <v>2</v>
          </cell>
          <cell r="U1673">
            <v>0</v>
          </cell>
          <cell r="V1673">
            <v>6400</v>
          </cell>
          <cell r="W1673">
            <v>180</v>
          </cell>
          <cell r="X1673">
            <v>5120</v>
          </cell>
          <cell r="Y1673">
            <v>113045</v>
          </cell>
          <cell r="Z1673">
            <v>7395.25</v>
          </cell>
          <cell r="AA1673">
            <v>4124.75</v>
          </cell>
          <cell r="AB1673">
            <v>212.56533333333334</v>
          </cell>
          <cell r="AC1673">
            <v>6400</v>
          </cell>
          <cell r="AD1673">
            <v>5389.02</v>
          </cell>
          <cell r="AE1673">
            <v>1010.9799999999996</v>
          </cell>
          <cell r="AN1673" t="str">
            <v xml:space="preserve">Contrato emergencial nº </v>
          </cell>
          <cell r="AO1673" t="str">
            <v>PJ</v>
          </cell>
        </row>
        <row r="1674">
          <cell r="D1674" t="str">
            <v>2809/11</v>
          </cell>
          <cell r="E1674" t="str">
            <v>10/10/2011</v>
          </cell>
          <cell r="F1674">
            <v>41005</v>
          </cell>
          <cell r="G1674">
            <v>40877</v>
          </cell>
          <cell r="H1674" t="str">
            <v>2011-0.256.896-8</v>
          </cell>
          <cell r="I1674" t="str">
            <v>31.418,52</v>
          </cell>
          <cell r="J1674" t="str">
            <v xml:space="preserve">              123611122                  2848                    33903600</v>
          </cell>
          <cell r="K1674" t="str">
            <v>10/10/2011</v>
          </cell>
          <cell r="L1674">
            <v>52</v>
          </cell>
          <cell r="M1674">
            <v>9100</v>
          </cell>
          <cell r="N1674">
            <v>57278</v>
          </cell>
          <cell r="O1674">
            <v>35389</v>
          </cell>
          <cell r="P1674">
            <v>16</v>
          </cell>
          <cell r="Q1674">
            <v>3</v>
          </cell>
          <cell r="U1674">
            <v>0</v>
          </cell>
          <cell r="V1674">
            <v>6500</v>
          </cell>
          <cell r="W1674">
            <v>180</v>
          </cell>
          <cell r="X1674">
            <v>5200</v>
          </cell>
          <cell r="Y1674">
            <v>113067</v>
          </cell>
          <cell r="Z1674">
            <v>4632.9340000000002</v>
          </cell>
          <cell r="AA1674">
            <v>7067.0659999999998</v>
          </cell>
          <cell r="AB1674">
            <v>174.54733333333334</v>
          </cell>
          <cell r="AC1674">
            <v>5300</v>
          </cell>
          <cell r="AD1674">
            <v>6483.26</v>
          </cell>
          <cell r="AE1674">
            <v>-1183.2600000000002</v>
          </cell>
          <cell r="AN1674" t="str">
            <v xml:space="preserve">Contrato emergencial nº </v>
          </cell>
          <cell r="AO1674" t="str">
            <v>CS</v>
          </cell>
        </row>
        <row r="1675">
          <cell r="D1675" t="str">
            <v>2810/11</v>
          </cell>
          <cell r="E1675" t="str">
            <v>10/10/2011</v>
          </cell>
          <cell r="F1675">
            <v>41005</v>
          </cell>
          <cell r="G1675">
            <v>40877</v>
          </cell>
          <cell r="H1675" t="str">
            <v>2011-0.256.899-2</v>
          </cell>
          <cell r="I1675" t="str">
            <v>44.978,40</v>
          </cell>
          <cell r="J1675" t="str">
            <v xml:space="preserve">              123611122                  2848                    33903600</v>
          </cell>
          <cell r="K1675" t="str">
            <v>10/10/2011</v>
          </cell>
          <cell r="L1675">
            <v>52</v>
          </cell>
          <cell r="M1675">
            <v>13000</v>
          </cell>
          <cell r="N1675">
            <v>57278</v>
          </cell>
          <cell r="O1675">
            <v>35391</v>
          </cell>
          <cell r="P1675">
            <v>16</v>
          </cell>
          <cell r="Q1675">
            <v>3</v>
          </cell>
          <cell r="U1675">
            <v>0</v>
          </cell>
          <cell r="V1675">
            <v>7500</v>
          </cell>
          <cell r="W1675">
            <v>180</v>
          </cell>
          <cell r="X1675">
            <v>6000</v>
          </cell>
          <cell r="Y1675">
            <v>113932</v>
          </cell>
          <cell r="Z1675">
            <v>8777.7099999999991</v>
          </cell>
          <cell r="AA1675">
            <v>4722.2900000000009</v>
          </cell>
          <cell r="AB1675">
            <v>249.88</v>
          </cell>
          <cell r="AC1675">
            <v>7500</v>
          </cell>
          <cell r="AD1675">
            <v>6181.62</v>
          </cell>
          <cell r="AE1675">
            <v>1318.38</v>
          </cell>
          <cell r="AN1675" t="str">
            <v xml:space="preserve">Contrato emergencial nº </v>
          </cell>
          <cell r="AO1675" t="str">
            <v>PE</v>
          </cell>
        </row>
        <row r="1676">
          <cell r="D1676" t="str">
            <v>2811/11</v>
          </cell>
          <cell r="E1676" t="str">
            <v>10/10/2011</v>
          </cell>
          <cell r="F1676">
            <v>41005</v>
          </cell>
          <cell r="G1676">
            <v>40877</v>
          </cell>
          <cell r="H1676" t="str">
            <v>2011-0.256.901-8</v>
          </cell>
          <cell r="I1676" t="str">
            <v>20.967,42</v>
          </cell>
          <cell r="J1676" t="str">
            <v xml:space="preserve">              123611122                  2848                    33903600</v>
          </cell>
          <cell r="K1676" t="str">
            <v>10/10/2011</v>
          </cell>
          <cell r="L1676">
            <v>52</v>
          </cell>
          <cell r="M1676">
            <v>6100</v>
          </cell>
          <cell r="N1676">
            <v>57278</v>
          </cell>
          <cell r="O1676">
            <v>35394</v>
          </cell>
          <cell r="P1676">
            <v>16</v>
          </cell>
          <cell r="Q1676">
            <v>3</v>
          </cell>
          <cell r="U1676">
            <v>0</v>
          </cell>
          <cell r="V1676">
            <v>5100</v>
          </cell>
          <cell r="W1676">
            <v>180</v>
          </cell>
          <cell r="X1676">
            <v>4080</v>
          </cell>
          <cell r="Y1676">
            <v>113070</v>
          </cell>
          <cell r="Z1676">
            <v>4121.84</v>
          </cell>
          <cell r="AA1676">
            <v>5058.16</v>
          </cell>
          <cell r="AB1676">
            <v>116.48566666666666</v>
          </cell>
          <cell r="AC1676">
            <v>3500</v>
          </cell>
          <cell r="AD1676">
            <v>5078.7</v>
          </cell>
          <cell r="AE1676">
            <v>-1578.6999999999998</v>
          </cell>
          <cell r="AN1676" t="str">
            <v xml:space="preserve">Contrato emergencial nº </v>
          </cell>
          <cell r="AO1676" t="str">
            <v>PJ</v>
          </cell>
        </row>
        <row r="1677">
          <cell r="D1677" t="str">
            <v>2812/11</v>
          </cell>
          <cell r="E1677" t="str">
            <v>10/10/2011</v>
          </cell>
          <cell r="F1677">
            <v>41005</v>
          </cell>
          <cell r="G1677">
            <v>40877</v>
          </cell>
          <cell r="H1677" t="str">
            <v>2011-0.256.918-2</v>
          </cell>
          <cell r="I1677" t="str">
            <v>44.978,40</v>
          </cell>
          <cell r="J1677" t="str">
            <v xml:space="preserve">              123611122                  2848                    33903600</v>
          </cell>
          <cell r="K1677" t="str">
            <v>10/10/2011</v>
          </cell>
          <cell r="L1677">
            <v>52</v>
          </cell>
          <cell r="M1677">
            <v>13000</v>
          </cell>
          <cell r="N1677">
            <v>57278</v>
          </cell>
          <cell r="O1677">
            <v>35398</v>
          </cell>
          <cell r="P1677">
            <v>16</v>
          </cell>
          <cell r="Q1677">
            <v>3</v>
          </cell>
          <cell r="U1677">
            <v>0</v>
          </cell>
          <cell r="V1677">
            <v>7500</v>
          </cell>
          <cell r="W1677">
            <v>180</v>
          </cell>
          <cell r="X1677">
            <v>6000</v>
          </cell>
          <cell r="Y1677">
            <v>113071</v>
          </cell>
          <cell r="Z1677">
            <v>7987.8519999999999</v>
          </cell>
          <cell r="AA1677">
            <v>5512.1480000000001</v>
          </cell>
          <cell r="AB1677">
            <v>249.88</v>
          </cell>
          <cell r="AC1677">
            <v>7500</v>
          </cell>
          <cell r="AD1677">
            <v>7208.14</v>
          </cell>
          <cell r="AE1677">
            <v>291.85999999999967</v>
          </cell>
          <cell r="AN1677" t="str">
            <v xml:space="preserve">Contrato emergencial nº </v>
          </cell>
          <cell r="AO1677" t="str">
            <v>CS</v>
          </cell>
        </row>
        <row r="1678">
          <cell r="D1678" t="str">
            <v>2813/11</v>
          </cell>
          <cell r="E1678" t="str">
            <v>10/10/2011</v>
          </cell>
          <cell r="F1678">
            <v>41005</v>
          </cell>
          <cell r="G1678">
            <v>40877</v>
          </cell>
          <cell r="H1678" t="str">
            <v>2011-0.256.921-2</v>
          </cell>
          <cell r="I1678" t="str">
            <v>44.324,52</v>
          </cell>
          <cell r="J1678" t="str">
            <v xml:space="preserve">              123651121                 2847                    33903600</v>
          </cell>
          <cell r="K1678" t="str">
            <v>10/10/2011</v>
          </cell>
          <cell r="L1678">
            <v>52</v>
          </cell>
          <cell r="M1678">
            <v>12900</v>
          </cell>
          <cell r="N1678">
            <v>57273</v>
          </cell>
          <cell r="O1678">
            <v>35407</v>
          </cell>
          <cell r="P1678">
            <v>16</v>
          </cell>
          <cell r="Q1678">
            <v>2</v>
          </cell>
          <cell r="U1678">
            <v>4172.4620000000004</v>
          </cell>
          <cell r="V1678">
            <v>7400</v>
          </cell>
          <cell r="W1678">
            <v>180</v>
          </cell>
          <cell r="X1678">
            <v>5920</v>
          </cell>
          <cell r="Y1678">
            <v>0</v>
          </cell>
          <cell r="Z1678">
            <v>0</v>
          </cell>
          <cell r="AA1678">
            <v>17492.462</v>
          </cell>
          <cell r="AB1678">
            <v>246.2473333333333</v>
          </cell>
          <cell r="AC1678">
            <v>7400</v>
          </cell>
          <cell r="AD1678">
            <v>6029.66</v>
          </cell>
          <cell r="AE1678">
            <v>1370.3400000000001</v>
          </cell>
          <cell r="AN1678" t="str">
            <v xml:space="preserve">Contrato emergencial nº </v>
          </cell>
          <cell r="AO1678" t="str">
            <v>MP</v>
          </cell>
        </row>
        <row r="1679">
          <cell r="D1679" t="str">
            <v>2814/11</v>
          </cell>
          <cell r="E1679" t="str">
            <v>10/10/2011</v>
          </cell>
          <cell r="F1679">
            <v>41005</v>
          </cell>
          <cell r="G1679">
            <v>40877</v>
          </cell>
          <cell r="H1679" t="str">
            <v>2011-0.256.925-5</v>
          </cell>
          <cell r="I1679" t="str">
            <v>31.012,38</v>
          </cell>
          <cell r="J1679" t="str">
            <v xml:space="preserve">              123611122                  2848                    33903600</v>
          </cell>
          <cell r="K1679" t="str">
            <v>10/10/2011</v>
          </cell>
          <cell r="L1679">
            <v>52</v>
          </cell>
          <cell r="M1679">
            <v>9000</v>
          </cell>
          <cell r="N1679">
            <v>57278</v>
          </cell>
          <cell r="O1679">
            <v>35409</v>
          </cell>
          <cell r="P1679">
            <v>16</v>
          </cell>
          <cell r="Q1679">
            <v>3</v>
          </cell>
          <cell r="U1679">
            <v>0</v>
          </cell>
          <cell r="V1679">
            <v>5300</v>
          </cell>
          <cell r="W1679">
            <v>180</v>
          </cell>
          <cell r="X1679">
            <v>4240</v>
          </cell>
          <cell r="Y1679">
            <v>113977</v>
          </cell>
          <cell r="Z1679">
            <v>5427.54</v>
          </cell>
          <cell r="AA1679">
            <v>4112.46</v>
          </cell>
          <cell r="AB1679">
            <v>172.291</v>
          </cell>
          <cell r="AC1679">
            <v>5200</v>
          </cell>
          <cell r="AD1679">
            <v>5201.4699999999993</v>
          </cell>
          <cell r="AE1679">
            <v>-1.4699999999993452</v>
          </cell>
          <cell r="AN1679" t="str">
            <v xml:space="preserve">Contrato emergencial nº </v>
          </cell>
          <cell r="AO1679" t="str">
            <v>PE</v>
          </cell>
        </row>
        <row r="1680">
          <cell r="D1680" t="str">
            <v>2815/11</v>
          </cell>
          <cell r="E1680" t="str">
            <v>10/10/2011</v>
          </cell>
          <cell r="F1680">
            <v>41005</v>
          </cell>
          <cell r="G1680">
            <v>40877</v>
          </cell>
          <cell r="H1680" t="str">
            <v>2011-0.256.927-1</v>
          </cell>
          <cell r="I1680" t="str">
            <v>30.606,24</v>
          </cell>
          <cell r="J1680" t="str">
            <v xml:space="preserve">              123611122                  2848                    33903600</v>
          </cell>
          <cell r="K1680" t="str">
            <v>10/10/2011</v>
          </cell>
          <cell r="L1680">
            <v>52</v>
          </cell>
          <cell r="M1680">
            <v>8900</v>
          </cell>
          <cell r="N1680">
            <v>57278</v>
          </cell>
          <cell r="O1680">
            <v>35410</v>
          </cell>
          <cell r="P1680">
            <v>16</v>
          </cell>
          <cell r="Q1680">
            <v>3</v>
          </cell>
          <cell r="U1680">
            <v>0</v>
          </cell>
          <cell r="V1680">
            <v>5700</v>
          </cell>
          <cell r="W1680">
            <v>180</v>
          </cell>
          <cell r="X1680">
            <v>4560</v>
          </cell>
          <cell r="Y1680">
            <v>112988</v>
          </cell>
          <cell r="Z1680">
            <v>4948.8500000000004</v>
          </cell>
          <cell r="AA1680">
            <v>5311.15</v>
          </cell>
          <cell r="AB1680">
            <v>170.03466666666668</v>
          </cell>
          <cell r="AC1680">
            <v>5200</v>
          </cell>
          <cell r="AD1680">
            <v>5661.95</v>
          </cell>
          <cell r="AE1680">
            <v>-461.94999999999982</v>
          </cell>
          <cell r="AN1680" t="str">
            <v xml:space="preserve">Contrato emergencial nº </v>
          </cell>
          <cell r="AO1680" t="str">
            <v>SM</v>
          </cell>
        </row>
        <row r="1681">
          <cell r="D1681" t="str">
            <v>2816/11</v>
          </cell>
          <cell r="E1681" t="str">
            <v>10/10/2011</v>
          </cell>
          <cell r="F1681">
            <v>41005</v>
          </cell>
          <cell r="G1681">
            <v>40877</v>
          </cell>
          <cell r="H1681" t="str">
            <v>2011-0.256.931-0</v>
          </cell>
          <cell r="I1681" t="str">
            <v>46.078,02</v>
          </cell>
          <cell r="J1681" t="str">
            <v xml:space="preserve">              123611122                  2848                    33903600</v>
          </cell>
          <cell r="K1681" t="str">
            <v>10/10/2011</v>
          </cell>
          <cell r="L1681">
            <v>52</v>
          </cell>
          <cell r="M1681">
            <v>13400</v>
          </cell>
          <cell r="N1681">
            <v>57278</v>
          </cell>
          <cell r="O1681">
            <v>35413</v>
          </cell>
          <cell r="P1681">
            <v>16</v>
          </cell>
          <cell r="Q1681">
            <v>3</v>
          </cell>
          <cell r="U1681">
            <v>0</v>
          </cell>
          <cell r="V1681">
            <v>7700</v>
          </cell>
          <cell r="W1681">
            <v>180</v>
          </cell>
          <cell r="X1681">
            <v>6160</v>
          </cell>
          <cell r="Y1681">
            <v>113074</v>
          </cell>
          <cell r="Z1681">
            <v>9184.07</v>
          </cell>
          <cell r="AA1681">
            <v>4675.93</v>
          </cell>
          <cell r="AB1681">
            <v>255.98899999999998</v>
          </cell>
          <cell r="AC1681">
            <v>7700</v>
          </cell>
          <cell r="AD1681">
            <v>5454.03</v>
          </cell>
          <cell r="AE1681">
            <v>2245.9700000000003</v>
          </cell>
          <cell r="AN1681" t="str">
            <v xml:space="preserve">Contrato emergencial nº </v>
          </cell>
          <cell r="AO1681" t="str">
            <v>PJ</v>
          </cell>
        </row>
        <row r="1682">
          <cell r="D1682" t="str">
            <v>2817/11</v>
          </cell>
          <cell r="E1682" t="str">
            <v>10/10/2011</v>
          </cell>
          <cell r="F1682">
            <v>41005</v>
          </cell>
          <cell r="G1682">
            <v>40877</v>
          </cell>
          <cell r="H1682" t="str">
            <v>2011-0.256.964-6</v>
          </cell>
          <cell r="I1682" t="str">
            <v>37.607,88</v>
          </cell>
          <cell r="J1682" t="str">
            <v xml:space="preserve">              123651121                 2847                    33903600</v>
          </cell>
          <cell r="K1682" t="str">
            <v>10/10/2011</v>
          </cell>
          <cell r="L1682">
            <v>52</v>
          </cell>
          <cell r="M1682">
            <v>10900</v>
          </cell>
          <cell r="N1682">
            <v>57273</v>
          </cell>
          <cell r="O1682">
            <v>35416</v>
          </cell>
          <cell r="P1682">
            <v>16</v>
          </cell>
          <cell r="Q1682">
            <v>2</v>
          </cell>
          <cell r="U1682">
            <v>0</v>
          </cell>
          <cell r="V1682">
            <v>6700</v>
          </cell>
          <cell r="W1682">
            <v>180</v>
          </cell>
          <cell r="X1682">
            <v>5360</v>
          </cell>
          <cell r="Y1682">
            <v>113079</v>
          </cell>
          <cell r="Z1682">
            <v>6120.5</v>
          </cell>
          <cell r="AA1682">
            <v>5939.5</v>
          </cell>
          <cell r="AB1682">
            <v>208.93266666666665</v>
          </cell>
          <cell r="AC1682">
            <v>6300</v>
          </cell>
          <cell r="AD1682">
            <v>6657.1876666666667</v>
          </cell>
          <cell r="AE1682">
            <v>-357.1876666666667</v>
          </cell>
          <cell r="AN1682" t="str">
            <v xml:space="preserve">Contrato emergencial nº </v>
          </cell>
          <cell r="AO1682" t="str">
            <v>PJ</v>
          </cell>
        </row>
        <row r="1683">
          <cell r="D1683" t="str">
            <v>2818/11</v>
          </cell>
          <cell r="E1683" t="str">
            <v>10/10/2011</v>
          </cell>
          <cell r="F1683">
            <v>41005</v>
          </cell>
          <cell r="G1683">
            <v>40877</v>
          </cell>
          <cell r="H1683" t="str">
            <v>2011-0.256.969-7</v>
          </cell>
          <cell r="I1683" t="str">
            <v>21.373,56</v>
          </cell>
          <cell r="J1683" t="str">
            <v xml:space="preserve">              123611122                  2848                    33903600</v>
          </cell>
          <cell r="K1683" t="str">
            <v>10/10/2011</v>
          </cell>
          <cell r="L1683">
            <v>52</v>
          </cell>
          <cell r="M1683">
            <v>6200</v>
          </cell>
          <cell r="N1683">
            <v>57278</v>
          </cell>
          <cell r="O1683">
            <v>35419</v>
          </cell>
          <cell r="P1683">
            <v>16</v>
          </cell>
          <cell r="Q1683">
            <v>3</v>
          </cell>
          <cell r="U1683">
            <v>0</v>
          </cell>
          <cell r="V1683">
            <v>3600</v>
          </cell>
          <cell r="W1683">
            <v>180</v>
          </cell>
          <cell r="X1683">
            <v>2880</v>
          </cell>
          <cell r="Y1683">
            <v>114380</v>
          </cell>
          <cell r="Z1683">
            <v>3781.43</v>
          </cell>
          <cell r="AA1683">
            <v>2698.57</v>
          </cell>
          <cell r="AB1683">
            <v>118.742</v>
          </cell>
          <cell r="AC1683">
            <v>3600</v>
          </cell>
          <cell r="AD1683">
            <v>3590.6800000000003</v>
          </cell>
          <cell r="AE1683">
            <v>9.319999999999709</v>
          </cell>
          <cell r="AN1683" t="str">
            <v xml:space="preserve">Contrato emergencial nº </v>
          </cell>
          <cell r="AO1683" t="str">
            <v>G</v>
          </cell>
        </row>
        <row r="1684">
          <cell r="D1684" t="str">
            <v>2819/11</v>
          </cell>
          <cell r="E1684" t="str">
            <v>10/10/2011</v>
          </cell>
          <cell r="F1684">
            <v>41005</v>
          </cell>
          <cell r="G1684">
            <v>40877</v>
          </cell>
          <cell r="H1684" t="str">
            <v>2011-0.256.975-1</v>
          </cell>
          <cell r="I1684" t="str">
            <v>44.324,52</v>
          </cell>
          <cell r="J1684" t="str">
            <v xml:space="preserve">              123651121                 2847                    33903600</v>
          </cell>
          <cell r="K1684" t="str">
            <v>10/10/2011</v>
          </cell>
          <cell r="L1684">
            <v>52</v>
          </cell>
          <cell r="M1684">
            <v>12900</v>
          </cell>
          <cell r="N1684">
            <v>57273</v>
          </cell>
          <cell r="O1684">
            <v>35421</v>
          </cell>
          <cell r="P1684">
            <v>16</v>
          </cell>
          <cell r="Q1684">
            <v>2</v>
          </cell>
          <cell r="U1684">
            <v>6068.674</v>
          </cell>
          <cell r="V1684">
            <v>8500</v>
          </cell>
          <cell r="W1684">
            <v>180</v>
          </cell>
          <cell r="X1684">
            <v>6800</v>
          </cell>
          <cell r="Y1684">
            <v>0</v>
          </cell>
          <cell r="Z1684">
            <v>0</v>
          </cell>
          <cell r="AA1684">
            <v>21368.673999999999</v>
          </cell>
          <cell r="AB1684">
            <v>246.2473333333333</v>
          </cell>
          <cell r="AC1684">
            <v>7400</v>
          </cell>
          <cell r="AD1684">
            <v>8435.89</v>
          </cell>
          <cell r="AE1684">
            <v>-1035.8899999999994</v>
          </cell>
          <cell r="AN1684" t="str">
            <v xml:space="preserve">Contrato emergencial nº </v>
          </cell>
          <cell r="AO1684" t="str">
            <v>MP</v>
          </cell>
        </row>
        <row r="1685">
          <cell r="D1685" t="str">
            <v>2820/11</v>
          </cell>
          <cell r="E1685" t="str">
            <v>11/10/2011</v>
          </cell>
          <cell r="F1685">
            <v>41006</v>
          </cell>
          <cell r="G1685">
            <v>40877</v>
          </cell>
          <cell r="H1685" t="str">
            <v>2011-0.256.978-6</v>
          </cell>
          <cell r="I1685" t="str">
            <v>24.266,22</v>
          </cell>
          <cell r="J1685" t="str">
            <v xml:space="preserve">              123651121                 2847                    33903600</v>
          </cell>
          <cell r="K1685" t="str">
            <v>11/10/2011</v>
          </cell>
          <cell r="L1685">
            <v>51</v>
          </cell>
          <cell r="M1685">
            <v>6900</v>
          </cell>
          <cell r="N1685">
            <v>57273</v>
          </cell>
          <cell r="O1685">
            <v>35423</v>
          </cell>
          <cell r="P1685">
            <v>16</v>
          </cell>
          <cell r="Q1685">
            <v>2</v>
          </cell>
          <cell r="U1685">
            <v>3051.53</v>
          </cell>
          <cell r="V1685">
            <v>4700</v>
          </cell>
          <cell r="W1685">
            <v>180</v>
          </cell>
          <cell r="X1685">
            <v>3760</v>
          </cell>
          <cell r="Y1685">
            <v>0</v>
          </cell>
          <cell r="Z1685">
            <v>0</v>
          </cell>
          <cell r="AA1685">
            <v>11511.53</v>
          </cell>
          <cell r="AB1685">
            <v>134.81233333333333</v>
          </cell>
          <cell r="AC1685">
            <v>4100</v>
          </cell>
          <cell r="AD1685">
            <v>4607.29</v>
          </cell>
          <cell r="AE1685">
            <v>-507.28999999999996</v>
          </cell>
          <cell r="AN1685" t="str">
            <v xml:space="preserve">Contrato emergencial nº </v>
          </cell>
          <cell r="AO1685" t="str">
            <v>JT</v>
          </cell>
        </row>
        <row r="1686">
          <cell r="D1686" t="str">
            <v>2821/11</v>
          </cell>
          <cell r="E1686" t="str">
            <v>10/10/2011</v>
          </cell>
          <cell r="F1686">
            <v>41005</v>
          </cell>
          <cell r="G1686">
            <v>40877</v>
          </cell>
          <cell r="H1686" t="str">
            <v>2011-0.256.980-8</v>
          </cell>
          <cell r="I1686" t="str">
            <v>36.300,30</v>
          </cell>
          <cell r="J1686" t="str">
            <v xml:space="preserve">              123651121                 2847                    33903600</v>
          </cell>
          <cell r="K1686" t="str">
            <v>10/10/2011</v>
          </cell>
          <cell r="L1686">
            <v>52</v>
          </cell>
          <cell r="M1686">
            <v>10500</v>
          </cell>
          <cell r="N1686">
            <v>57273</v>
          </cell>
          <cell r="O1686">
            <v>35427</v>
          </cell>
          <cell r="P1686">
            <v>16</v>
          </cell>
          <cell r="Q1686">
            <v>2</v>
          </cell>
          <cell r="U1686">
            <v>0</v>
          </cell>
          <cell r="V1686">
            <v>6200</v>
          </cell>
          <cell r="W1686">
            <v>180</v>
          </cell>
          <cell r="X1686">
            <v>4960</v>
          </cell>
          <cell r="Y1686">
            <v>113078</v>
          </cell>
          <cell r="Z1686">
            <v>6074.701</v>
          </cell>
          <cell r="AA1686">
            <v>5085.299</v>
          </cell>
          <cell r="AB1686">
            <v>201.66833333333335</v>
          </cell>
          <cell r="AC1686">
            <v>6100</v>
          </cell>
          <cell r="AD1686">
            <v>6173.4843333333329</v>
          </cell>
          <cell r="AE1686">
            <v>-73.48433333333287</v>
          </cell>
          <cell r="AN1686" t="str">
            <v xml:space="preserve">Contrato emergencial nº </v>
          </cell>
          <cell r="AO1686" t="str">
            <v>CS</v>
          </cell>
        </row>
        <row r="1687">
          <cell r="D1687" t="str">
            <v>2822/11</v>
          </cell>
          <cell r="E1687" t="str">
            <v>10/10/2011</v>
          </cell>
          <cell r="F1687">
            <v>41005</v>
          </cell>
          <cell r="G1687">
            <v>40877</v>
          </cell>
          <cell r="H1687" t="str">
            <v>2011-0.256.890-9</v>
          </cell>
          <cell r="I1687" t="str">
            <v>38.261,76</v>
          </cell>
          <cell r="J1687" t="str">
            <v xml:space="preserve">              123651121                 2847                    33903600</v>
          </cell>
          <cell r="K1687" t="str">
            <v>10/10/2011</v>
          </cell>
          <cell r="L1687">
            <v>52</v>
          </cell>
          <cell r="M1687">
            <v>11100</v>
          </cell>
          <cell r="N1687">
            <v>57273</v>
          </cell>
          <cell r="O1687">
            <v>35431</v>
          </cell>
          <cell r="P1687">
            <v>16</v>
          </cell>
          <cell r="Q1687">
            <v>2</v>
          </cell>
          <cell r="U1687">
            <v>0</v>
          </cell>
          <cell r="V1687">
            <v>6400</v>
          </cell>
          <cell r="W1687">
            <v>180</v>
          </cell>
          <cell r="X1687">
            <v>5120</v>
          </cell>
          <cell r="Y1687">
            <v>113426</v>
          </cell>
          <cell r="Z1687">
            <v>11100</v>
          </cell>
          <cell r="AA1687">
            <v>420</v>
          </cell>
          <cell r="AB1687">
            <v>212.56533333333334</v>
          </cell>
          <cell r="AC1687">
            <v>6400</v>
          </cell>
          <cell r="AD1687">
            <v>4913.1786666666658</v>
          </cell>
          <cell r="AE1687">
            <v>1486.8213333333342</v>
          </cell>
          <cell r="AN1687" t="str">
            <v xml:space="preserve">Contrato emergencial nº </v>
          </cell>
          <cell r="AO1687" t="str">
            <v>CL</v>
          </cell>
        </row>
        <row r="1688">
          <cell r="D1688" t="str">
            <v>2823/11</v>
          </cell>
          <cell r="E1688" t="str">
            <v>10/10/2011</v>
          </cell>
          <cell r="F1688">
            <v>41005</v>
          </cell>
          <cell r="G1688">
            <v>40877</v>
          </cell>
          <cell r="H1688" t="str">
            <v>2011-0.256.904-2</v>
          </cell>
          <cell r="I1688" t="str">
            <v>38.261,76</v>
          </cell>
          <cell r="J1688" t="str">
            <v xml:space="preserve">              123651121                 2847                    33903600</v>
          </cell>
          <cell r="K1688" t="str">
            <v>10/10/2011</v>
          </cell>
          <cell r="L1688">
            <v>52</v>
          </cell>
          <cell r="M1688">
            <v>11100</v>
          </cell>
          <cell r="N1688">
            <v>57273</v>
          </cell>
          <cell r="O1688">
            <v>35433</v>
          </cell>
          <cell r="P1688">
            <v>16</v>
          </cell>
          <cell r="Q1688">
            <v>2</v>
          </cell>
          <cell r="U1688">
            <v>0</v>
          </cell>
          <cell r="V1688">
            <v>6400</v>
          </cell>
          <cell r="W1688">
            <v>180</v>
          </cell>
          <cell r="X1688">
            <v>5120</v>
          </cell>
          <cell r="Y1688">
            <v>113088</v>
          </cell>
          <cell r="Z1688">
            <v>6786.63</v>
          </cell>
          <cell r="AA1688">
            <v>4733.37</v>
          </cell>
          <cell r="AB1688">
            <v>212.56533333333334</v>
          </cell>
          <cell r="AC1688">
            <v>6400</v>
          </cell>
          <cell r="AD1688">
            <v>6165.76</v>
          </cell>
          <cell r="AE1688">
            <v>234.23999999999978</v>
          </cell>
          <cell r="AN1688" t="str">
            <v xml:space="preserve">Contrato emergencial nº </v>
          </cell>
          <cell r="AO1688" t="str">
            <v>PJ</v>
          </cell>
        </row>
        <row r="1689">
          <cell r="D1689" t="str">
            <v>2824/11</v>
          </cell>
          <cell r="E1689" t="str">
            <v>10/10/2011</v>
          </cell>
          <cell r="F1689">
            <v>41005</v>
          </cell>
          <cell r="G1689">
            <v>40877</v>
          </cell>
          <cell r="H1689" t="str">
            <v>2011-0.256.905-0</v>
          </cell>
          <cell r="I1689" t="str">
            <v>28.169,22</v>
          </cell>
          <cell r="J1689" t="str">
            <v xml:space="preserve">              123611122                  2848                    33903600</v>
          </cell>
          <cell r="K1689" t="str">
            <v>10/10/2011</v>
          </cell>
          <cell r="L1689">
            <v>52</v>
          </cell>
          <cell r="M1689">
            <v>8200</v>
          </cell>
          <cell r="N1689">
            <v>57278</v>
          </cell>
          <cell r="O1689">
            <v>35439</v>
          </cell>
          <cell r="P1689">
            <v>16</v>
          </cell>
          <cell r="Q1689">
            <v>3</v>
          </cell>
          <cell r="U1689">
            <v>0</v>
          </cell>
          <cell r="V1689">
            <v>5200</v>
          </cell>
          <cell r="W1689">
            <v>180</v>
          </cell>
          <cell r="X1689">
            <v>4160</v>
          </cell>
          <cell r="Y1689">
            <v>113081</v>
          </cell>
          <cell r="Z1689">
            <v>4616.335</v>
          </cell>
          <cell r="AA1689">
            <v>4743.665</v>
          </cell>
          <cell r="AB1689">
            <v>156.49566666666666</v>
          </cell>
          <cell r="AC1689">
            <v>4700</v>
          </cell>
          <cell r="AD1689">
            <v>5114.07</v>
          </cell>
          <cell r="AE1689">
            <v>-414.06999999999971</v>
          </cell>
          <cell r="AN1689" t="str">
            <v xml:space="preserve">Contrato emergencial nº </v>
          </cell>
          <cell r="AO1689" t="str">
            <v>CS</v>
          </cell>
        </row>
        <row r="1690">
          <cell r="D1690" t="str">
            <v>2825/11</v>
          </cell>
          <cell r="E1690" t="str">
            <v>10/10/2011</v>
          </cell>
          <cell r="F1690">
            <v>41005</v>
          </cell>
          <cell r="G1690">
            <v>40877</v>
          </cell>
          <cell r="H1690" t="str">
            <v>2011-0.256.907-7</v>
          </cell>
          <cell r="I1690" t="str">
            <v>45.424,26</v>
          </cell>
          <cell r="J1690" t="str">
            <v xml:space="preserve">              123611122                  2848                    33903600</v>
          </cell>
          <cell r="K1690" t="str">
            <v>10/10/2011</v>
          </cell>
          <cell r="L1690">
            <v>52</v>
          </cell>
          <cell r="M1690">
            <v>13200</v>
          </cell>
          <cell r="N1690">
            <v>57278</v>
          </cell>
          <cell r="O1690">
            <v>35444</v>
          </cell>
          <cell r="P1690">
            <v>16</v>
          </cell>
          <cell r="Q1690">
            <v>3</v>
          </cell>
          <cell r="U1690">
            <v>0</v>
          </cell>
          <cell r="V1690">
            <v>7600</v>
          </cell>
          <cell r="W1690">
            <v>180</v>
          </cell>
          <cell r="X1690">
            <v>6080</v>
          </cell>
          <cell r="Y1690">
            <v>113085</v>
          </cell>
          <cell r="Z1690">
            <v>8921.6350000000002</v>
          </cell>
          <cell r="AA1690">
            <v>4758.3649999999998</v>
          </cell>
          <cell r="AB1690">
            <v>252.357</v>
          </cell>
          <cell r="AC1690">
            <v>7600</v>
          </cell>
          <cell r="AD1690">
            <v>6098.07</v>
          </cell>
          <cell r="AE1690">
            <v>1501.9300000000003</v>
          </cell>
          <cell r="AN1690" t="str">
            <v xml:space="preserve">Contrato emergencial nº </v>
          </cell>
          <cell r="AO1690" t="str">
            <v>CS</v>
          </cell>
        </row>
        <row r="1691">
          <cell r="D1691" t="str">
            <v>2826/11</v>
          </cell>
          <cell r="E1691" t="str">
            <v>10/10/2011</v>
          </cell>
          <cell r="F1691">
            <v>41005</v>
          </cell>
          <cell r="G1691">
            <v>40877</v>
          </cell>
          <cell r="H1691" t="str">
            <v>2011-0.256.909-3</v>
          </cell>
          <cell r="I1691" t="str">
            <v>38.261,76</v>
          </cell>
          <cell r="J1691" t="str">
            <v xml:space="preserve">              123651121                 2847                    33903600</v>
          </cell>
          <cell r="K1691" t="str">
            <v>10/10/2011</v>
          </cell>
          <cell r="L1691">
            <v>52</v>
          </cell>
          <cell r="M1691">
            <v>11100</v>
          </cell>
          <cell r="N1691">
            <v>57273</v>
          </cell>
          <cell r="O1691">
            <v>35447</v>
          </cell>
          <cell r="P1691">
            <v>16</v>
          </cell>
          <cell r="Q1691">
            <v>2</v>
          </cell>
          <cell r="U1691">
            <v>0</v>
          </cell>
          <cell r="V1691">
            <v>6400</v>
          </cell>
          <cell r="W1691">
            <v>180</v>
          </cell>
          <cell r="X1691">
            <v>5120</v>
          </cell>
          <cell r="Y1691">
            <v>114385</v>
          </cell>
          <cell r="Z1691">
            <v>7012.76</v>
          </cell>
          <cell r="AA1691">
            <v>4507.24</v>
          </cell>
          <cell r="AB1691">
            <v>212.56533333333334</v>
          </cell>
          <cell r="AC1691">
            <v>6400</v>
          </cell>
          <cell r="AD1691">
            <v>5860.0599999999995</v>
          </cell>
          <cell r="AE1691">
            <v>539.94000000000051</v>
          </cell>
          <cell r="AN1691" t="str">
            <v xml:space="preserve">Contrato emergencial nº </v>
          </cell>
          <cell r="AO1691" t="str">
            <v>G</v>
          </cell>
        </row>
        <row r="1692">
          <cell r="D1692" t="str">
            <v>2827/11</v>
          </cell>
          <cell r="E1692" t="str">
            <v>10/10/2011</v>
          </cell>
          <cell r="F1692">
            <v>41005</v>
          </cell>
          <cell r="G1692">
            <v>40877</v>
          </cell>
          <cell r="H1692" t="str">
            <v>2011-0.256.911-5</v>
          </cell>
          <cell r="I1692" t="str">
            <v>26.901,30</v>
          </cell>
          <cell r="J1692" t="str">
            <v xml:space="preserve">              123651121                 2847                    33903600</v>
          </cell>
          <cell r="K1692" t="str">
            <v>10/10/2011</v>
          </cell>
          <cell r="L1692">
            <v>52</v>
          </cell>
          <cell r="M1692">
            <v>7800</v>
          </cell>
          <cell r="N1692">
            <v>57273</v>
          </cell>
          <cell r="O1692">
            <v>35450</v>
          </cell>
          <cell r="P1692">
            <v>16</v>
          </cell>
          <cell r="Q1692">
            <v>2</v>
          </cell>
          <cell r="U1692">
            <v>0</v>
          </cell>
          <cell r="V1692">
            <v>4500</v>
          </cell>
          <cell r="W1692">
            <v>180</v>
          </cell>
          <cell r="X1692">
            <v>3600</v>
          </cell>
          <cell r="Y1692">
            <v>114401</v>
          </cell>
          <cell r="Z1692">
            <v>4604.21</v>
          </cell>
          <cell r="AA1692">
            <v>3495.79</v>
          </cell>
          <cell r="AB1692">
            <v>149.45166666666665</v>
          </cell>
          <cell r="AC1692">
            <v>4500</v>
          </cell>
          <cell r="AD1692">
            <v>4500</v>
          </cell>
          <cell r="AE1692">
            <v>0</v>
          </cell>
          <cell r="AN1692" t="str">
            <v xml:space="preserve">Contrato emergencial nº </v>
          </cell>
          <cell r="AO1692" t="str">
            <v>G</v>
          </cell>
        </row>
        <row r="1693">
          <cell r="D1693" t="str">
            <v>2828/11</v>
          </cell>
          <cell r="E1693" t="str">
            <v>10/10/2011</v>
          </cell>
          <cell r="F1693">
            <v>41005</v>
          </cell>
          <cell r="G1693">
            <v>40877</v>
          </cell>
          <cell r="H1693" t="str">
            <v>2011-0.256.913-1</v>
          </cell>
          <cell r="I1693" t="str">
            <v>40.877,16</v>
          </cell>
          <cell r="J1693" t="str">
            <v xml:space="preserve">              123651121                 2847                    33903600</v>
          </cell>
          <cell r="K1693" t="str">
            <v>10/10/2011</v>
          </cell>
          <cell r="L1693">
            <v>52</v>
          </cell>
          <cell r="M1693">
            <v>11900</v>
          </cell>
          <cell r="N1693">
            <v>57273</v>
          </cell>
          <cell r="O1693">
            <v>35452</v>
          </cell>
          <cell r="P1693">
            <v>16</v>
          </cell>
          <cell r="Q1693">
            <v>2</v>
          </cell>
          <cell r="U1693">
            <v>0</v>
          </cell>
          <cell r="V1693">
            <v>6900</v>
          </cell>
          <cell r="W1693">
            <v>180</v>
          </cell>
          <cell r="X1693">
            <v>5520</v>
          </cell>
          <cell r="Y1693">
            <v>114417</v>
          </cell>
          <cell r="Z1693">
            <v>7877.18</v>
          </cell>
          <cell r="AA1693">
            <v>4542.82</v>
          </cell>
          <cell r="AB1693">
            <v>227.09533333333334</v>
          </cell>
          <cell r="AC1693">
            <v>6900</v>
          </cell>
          <cell r="AD1693">
            <v>5483.9118888888879</v>
          </cell>
          <cell r="AE1693">
            <v>1416.0881111111121</v>
          </cell>
          <cell r="AN1693" t="str">
            <v xml:space="preserve">Contrato emergencial nº </v>
          </cell>
          <cell r="AO1693" t="str">
            <v>G</v>
          </cell>
        </row>
        <row r="1694">
          <cell r="D1694" t="str">
            <v>2829/11</v>
          </cell>
          <cell r="E1694" t="str">
            <v>10/10/2011</v>
          </cell>
          <cell r="F1694">
            <v>41005</v>
          </cell>
          <cell r="G1694">
            <v>40877</v>
          </cell>
          <cell r="H1694" t="str">
            <v>2011-0.256.916-6</v>
          </cell>
          <cell r="I1694" t="str">
            <v>44.324,52</v>
          </cell>
          <cell r="J1694" t="str">
            <v xml:space="preserve">              123611122                  2848                    33903600</v>
          </cell>
          <cell r="K1694" t="str">
            <v>10/10/2011</v>
          </cell>
          <cell r="L1694">
            <v>52</v>
          </cell>
          <cell r="M1694">
            <v>12900</v>
          </cell>
          <cell r="N1694">
            <v>57278</v>
          </cell>
          <cell r="O1694">
            <v>35455</v>
          </cell>
          <cell r="P1694">
            <v>16</v>
          </cell>
          <cell r="Q1694">
            <v>3</v>
          </cell>
          <cell r="U1694">
            <v>0</v>
          </cell>
          <cell r="V1694">
            <v>7400</v>
          </cell>
          <cell r="W1694">
            <v>180</v>
          </cell>
          <cell r="X1694">
            <v>5920</v>
          </cell>
          <cell r="Y1694">
            <v>114419</v>
          </cell>
          <cell r="Z1694">
            <v>8778.67</v>
          </cell>
          <cell r="AA1694">
            <v>4541.33</v>
          </cell>
          <cell r="AB1694">
            <v>246.2473333333333</v>
          </cell>
          <cell r="AC1694">
            <v>7400</v>
          </cell>
          <cell r="AD1694">
            <v>5940.66</v>
          </cell>
          <cell r="AE1694">
            <v>1459.3400000000001</v>
          </cell>
          <cell r="AN1694" t="str">
            <v xml:space="preserve">Contrato emergencial nº </v>
          </cell>
          <cell r="AO1694" t="str">
            <v>G</v>
          </cell>
        </row>
        <row r="1695">
          <cell r="D1695" t="str">
            <v>2830/11</v>
          </cell>
          <cell r="E1695" t="str">
            <v>10/10/2011</v>
          </cell>
          <cell r="F1695">
            <v>41005</v>
          </cell>
          <cell r="G1695">
            <v>40877</v>
          </cell>
          <cell r="H1695" t="str">
            <v>2011-0.256.920-4</v>
          </cell>
          <cell r="I1695" t="str">
            <v>37.607,88</v>
          </cell>
          <cell r="J1695" t="str">
            <v xml:space="preserve">              123611122                  2848                    33903600</v>
          </cell>
          <cell r="K1695" t="str">
            <v>10/10/2011</v>
          </cell>
          <cell r="L1695">
            <v>52</v>
          </cell>
          <cell r="M1695">
            <v>10900</v>
          </cell>
          <cell r="N1695">
            <v>57278</v>
          </cell>
          <cell r="O1695">
            <v>35475</v>
          </cell>
          <cell r="P1695">
            <v>16</v>
          </cell>
          <cell r="Q1695">
            <v>3</v>
          </cell>
          <cell r="U1695">
            <v>0</v>
          </cell>
          <cell r="V1695">
            <v>6300</v>
          </cell>
          <cell r="W1695">
            <v>180</v>
          </cell>
          <cell r="X1695">
            <v>5040</v>
          </cell>
          <cell r="Y1695">
            <v>113601</v>
          </cell>
          <cell r="Z1695">
            <v>10900</v>
          </cell>
          <cell r="AA1695">
            <v>440</v>
          </cell>
          <cell r="AB1695">
            <v>208.93266666666665</v>
          </cell>
          <cell r="AC1695">
            <v>6300</v>
          </cell>
          <cell r="AD1695">
            <v>5165.3500000000004</v>
          </cell>
          <cell r="AE1695">
            <v>1134.6499999999996</v>
          </cell>
          <cell r="AN1695" t="str">
            <v xml:space="preserve">Contrato emergencial nº </v>
          </cell>
          <cell r="AO1695" t="str">
            <v>BT</v>
          </cell>
        </row>
        <row r="1696">
          <cell r="D1696" t="str">
            <v>2831/11</v>
          </cell>
          <cell r="E1696" t="str">
            <v>10/10/2011</v>
          </cell>
          <cell r="F1696">
            <v>41005</v>
          </cell>
          <cell r="G1696">
            <v>40877</v>
          </cell>
          <cell r="H1696" t="str">
            <v>2011-0.256.926-3</v>
          </cell>
          <cell r="I1696" t="str">
            <v>44.324,52</v>
          </cell>
          <cell r="J1696" t="str">
            <v xml:space="preserve">              123611122                  2848                    33903600</v>
          </cell>
          <cell r="K1696" t="str">
            <v>10/10/2011</v>
          </cell>
          <cell r="L1696">
            <v>52</v>
          </cell>
          <cell r="M1696">
            <v>12900</v>
          </cell>
          <cell r="N1696">
            <v>57278</v>
          </cell>
          <cell r="O1696">
            <v>35476</v>
          </cell>
          <cell r="P1696">
            <v>16</v>
          </cell>
          <cell r="Q1696">
            <v>3</v>
          </cell>
          <cell r="U1696">
            <v>0</v>
          </cell>
          <cell r="V1696">
            <v>7400</v>
          </cell>
          <cell r="W1696">
            <v>180</v>
          </cell>
          <cell r="X1696">
            <v>5920</v>
          </cell>
          <cell r="Y1696">
            <v>112992</v>
          </cell>
          <cell r="Z1696">
            <v>8420.0499999999993</v>
          </cell>
          <cell r="AA1696">
            <v>4899.9500000000007</v>
          </cell>
          <cell r="AB1696">
            <v>246.2473333333333</v>
          </cell>
          <cell r="AC1696">
            <v>7400</v>
          </cell>
          <cell r="AD1696">
            <v>6409.16</v>
          </cell>
          <cell r="AE1696">
            <v>990.84000000000015</v>
          </cell>
          <cell r="AN1696" t="str">
            <v xml:space="preserve">Contrato emergencial nº </v>
          </cell>
          <cell r="AO1696" t="str">
            <v>SM</v>
          </cell>
        </row>
        <row r="1697">
          <cell r="D1697" t="str">
            <v>2832/11</v>
          </cell>
          <cell r="E1697" t="str">
            <v>10/10/2011</v>
          </cell>
          <cell r="F1697">
            <v>41005</v>
          </cell>
          <cell r="G1697">
            <v>40877</v>
          </cell>
          <cell r="H1697" t="str">
            <v>2011-0.256.930-1</v>
          </cell>
          <cell r="I1697" t="str">
            <v>26.078,56</v>
          </cell>
          <cell r="J1697" t="str">
            <v xml:space="preserve">              123611122                  2848                    33903600</v>
          </cell>
          <cell r="K1697" t="str">
            <v>10/10/2011</v>
          </cell>
          <cell r="L1697">
            <v>52</v>
          </cell>
          <cell r="M1697">
            <v>7600</v>
          </cell>
          <cell r="N1697">
            <v>57278</v>
          </cell>
          <cell r="O1697">
            <v>35477</v>
          </cell>
          <cell r="P1697">
            <v>16</v>
          </cell>
          <cell r="Q1697">
            <v>3</v>
          </cell>
          <cell r="U1697">
            <v>0</v>
          </cell>
          <cell r="V1697">
            <v>6800</v>
          </cell>
          <cell r="W1697">
            <v>180</v>
          </cell>
          <cell r="X1697">
            <v>5440</v>
          </cell>
          <cell r="Y1697">
            <v>112994</v>
          </cell>
          <cell r="Z1697">
            <v>2884.11</v>
          </cell>
          <cell r="AA1697">
            <v>9355.89</v>
          </cell>
          <cell r="AB1697">
            <v>144.8808888888889</v>
          </cell>
          <cell r="AC1697">
            <v>4400</v>
          </cell>
          <cell r="AD1697">
            <v>6731.550000000002</v>
          </cell>
          <cell r="AE1697">
            <v>-2331.550000000002</v>
          </cell>
          <cell r="AN1697" t="str">
            <v xml:space="preserve">Contrato emergencial nº </v>
          </cell>
          <cell r="AO1697" t="str">
            <v>SM</v>
          </cell>
        </row>
        <row r="1698">
          <cell r="D1698" t="str">
            <v>2833/11</v>
          </cell>
          <cell r="E1698" t="str">
            <v>10/10/2011</v>
          </cell>
          <cell r="F1698">
            <v>41005</v>
          </cell>
          <cell r="G1698">
            <v>40877</v>
          </cell>
          <cell r="H1698" t="str">
            <v>2011-0.256.934-4</v>
          </cell>
          <cell r="I1698" t="str">
            <v>31.824,66</v>
          </cell>
          <cell r="J1698" t="str">
            <v xml:space="preserve">              123651121                 2847                    33903600</v>
          </cell>
          <cell r="K1698" t="str">
            <v>10/10/2011</v>
          </cell>
          <cell r="L1698">
            <v>52</v>
          </cell>
          <cell r="M1698">
            <v>9200</v>
          </cell>
          <cell r="N1698">
            <v>57273</v>
          </cell>
          <cell r="O1698">
            <v>35479</v>
          </cell>
          <cell r="P1698">
            <v>16</v>
          </cell>
          <cell r="Q1698">
            <v>2</v>
          </cell>
          <cell r="U1698">
            <v>0</v>
          </cell>
          <cell r="V1698">
            <v>5400</v>
          </cell>
          <cell r="W1698">
            <v>180</v>
          </cell>
          <cell r="X1698">
            <v>4320</v>
          </cell>
          <cell r="Y1698">
            <v>113918</v>
          </cell>
          <cell r="Z1698">
            <v>6174.89</v>
          </cell>
          <cell r="AA1698">
            <v>3545.1099999999997</v>
          </cell>
          <cell r="AB1698">
            <v>176.80366666666666</v>
          </cell>
          <cell r="AC1698">
            <v>5400</v>
          </cell>
          <cell r="AD1698">
            <v>4295.93</v>
          </cell>
          <cell r="AE1698">
            <v>1104.0699999999997</v>
          </cell>
          <cell r="AN1698" t="str">
            <v xml:space="preserve">Contrato emergencial nº </v>
          </cell>
          <cell r="AO1698" t="str">
            <v>PE</v>
          </cell>
        </row>
        <row r="1699">
          <cell r="D1699" t="str">
            <v>2834/11</v>
          </cell>
          <cell r="E1699" t="str">
            <v>10/10/2011</v>
          </cell>
          <cell r="F1699">
            <v>41005</v>
          </cell>
          <cell r="G1699">
            <v>40877</v>
          </cell>
          <cell r="H1699" t="str">
            <v>2011-0.256.940-9</v>
          </cell>
          <cell r="I1699" t="str">
            <v>31.012,38</v>
          </cell>
          <cell r="J1699" t="str">
            <v xml:space="preserve">              123651121                 2847                    33903600</v>
          </cell>
          <cell r="K1699" t="str">
            <v>10/10/2011</v>
          </cell>
          <cell r="L1699">
            <v>52</v>
          </cell>
          <cell r="M1699">
            <v>9000</v>
          </cell>
          <cell r="N1699">
            <v>57273</v>
          </cell>
          <cell r="O1699">
            <v>35483</v>
          </cell>
          <cell r="P1699">
            <v>16</v>
          </cell>
          <cell r="Q1699">
            <v>2</v>
          </cell>
          <cell r="U1699">
            <v>4089.41</v>
          </cell>
          <cell r="V1699">
            <v>5800</v>
          </cell>
          <cell r="W1699">
            <v>180</v>
          </cell>
          <cell r="X1699">
            <v>4640</v>
          </cell>
          <cell r="Y1699">
            <v>0</v>
          </cell>
          <cell r="Z1699">
            <v>0</v>
          </cell>
          <cell r="AA1699">
            <v>14529.41</v>
          </cell>
          <cell r="AB1699">
            <v>172.291</v>
          </cell>
          <cell r="AC1699">
            <v>5200</v>
          </cell>
          <cell r="AD1699">
            <v>5733.5</v>
          </cell>
          <cell r="AE1699">
            <v>-533.5</v>
          </cell>
          <cell r="AN1699" t="str">
            <v xml:space="preserve">Contrato emergencial nº </v>
          </cell>
          <cell r="AO1699" t="str">
            <v>PE</v>
          </cell>
        </row>
        <row r="1700">
          <cell r="D1700" t="str">
            <v>2835/11</v>
          </cell>
          <cell r="E1700" t="str">
            <v>10/10/2011</v>
          </cell>
          <cell r="F1700">
            <v>41005</v>
          </cell>
          <cell r="G1700">
            <v>40877</v>
          </cell>
          <cell r="H1700" t="str">
            <v>2011-0.256.943-3</v>
          </cell>
          <cell r="I1700" t="str">
            <v>23.047,74</v>
          </cell>
          <cell r="J1700" t="str">
            <v xml:space="preserve">              123651121                 2847                    33903600</v>
          </cell>
          <cell r="K1700" t="str">
            <v>10/10/2011</v>
          </cell>
          <cell r="L1700">
            <v>52</v>
          </cell>
          <cell r="M1700">
            <v>6700</v>
          </cell>
          <cell r="N1700">
            <v>57273</v>
          </cell>
          <cell r="O1700">
            <v>35486</v>
          </cell>
          <cell r="P1700">
            <v>16</v>
          </cell>
          <cell r="Q1700">
            <v>2</v>
          </cell>
          <cell r="U1700">
            <v>0</v>
          </cell>
          <cell r="V1700">
            <v>4300</v>
          </cell>
          <cell r="W1700">
            <v>180</v>
          </cell>
          <cell r="X1700">
            <v>3440</v>
          </cell>
          <cell r="Y1700">
            <v>113862</v>
          </cell>
          <cell r="Z1700">
            <v>3786.89</v>
          </cell>
          <cell r="AA1700">
            <v>3953.11</v>
          </cell>
          <cell r="AB1700">
            <v>128.04300000000001</v>
          </cell>
          <cell r="AC1700">
            <v>3900</v>
          </cell>
          <cell r="AD1700">
            <v>4218.16</v>
          </cell>
          <cell r="AE1700">
            <v>-318.15999999999985</v>
          </cell>
          <cell r="AN1700" t="str">
            <v xml:space="preserve">Contrato emergencial nº </v>
          </cell>
          <cell r="AO1700" t="str">
            <v>IQ</v>
          </cell>
        </row>
        <row r="1701">
          <cell r="D1701" t="str">
            <v>2836/11</v>
          </cell>
          <cell r="E1701" t="str">
            <v>10/10/2011</v>
          </cell>
          <cell r="F1701">
            <v>41005</v>
          </cell>
          <cell r="G1701">
            <v>40877</v>
          </cell>
          <cell r="H1701" t="str">
            <v>2011-0.256.958-1</v>
          </cell>
          <cell r="I1701" t="str">
            <v>31.418,52</v>
          </cell>
          <cell r="J1701" t="str">
            <v xml:space="preserve">              123611122                  2848                    33903600</v>
          </cell>
          <cell r="K1701" t="str">
            <v>10/10/2011</v>
          </cell>
          <cell r="L1701">
            <v>52</v>
          </cell>
          <cell r="M1701">
            <v>9100</v>
          </cell>
          <cell r="N1701">
            <v>57278</v>
          </cell>
          <cell r="O1701">
            <v>35501</v>
          </cell>
          <cell r="P1701">
            <v>16</v>
          </cell>
          <cell r="Q1701">
            <v>3</v>
          </cell>
          <cell r="U1701">
            <v>0</v>
          </cell>
          <cell r="V1701">
            <v>5300</v>
          </cell>
          <cell r="W1701">
            <v>180</v>
          </cell>
          <cell r="X1701">
            <v>4240</v>
          </cell>
          <cell r="Y1701">
            <v>114513</v>
          </cell>
          <cell r="Z1701">
            <v>5614.05</v>
          </cell>
          <cell r="AA1701">
            <v>3925.95</v>
          </cell>
          <cell r="AB1701">
            <v>174.54733333333334</v>
          </cell>
          <cell r="AC1701">
            <v>5300</v>
          </cell>
          <cell r="AD1701">
            <v>4297.4750000000004</v>
          </cell>
          <cell r="AE1701">
            <v>1002.5249999999996</v>
          </cell>
          <cell r="AN1701" t="str">
            <v xml:space="preserve">Contrato emergencial nº </v>
          </cell>
          <cell r="AO1701" t="str">
            <v>SA</v>
          </cell>
        </row>
        <row r="1702">
          <cell r="D1702" t="str">
            <v>2837/11</v>
          </cell>
          <cell r="E1702" t="str">
            <v>10/10/2011</v>
          </cell>
          <cell r="F1702">
            <v>41005</v>
          </cell>
          <cell r="G1702">
            <v>40877</v>
          </cell>
          <cell r="H1702" t="str">
            <v>2011-0.256.963-8</v>
          </cell>
          <cell r="I1702" t="str">
            <v>44.324,52</v>
          </cell>
          <cell r="J1702" t="str">
            <v xml:space="preserve">              123651121                 2847                    33903600</v>
          </cell>
          <cell r="K1702" t="str">
            <v>10/10/2011</v>
          </cell>
          <cell r="L1702">
            <v>52</v>
          </cell>
          <cell r="M1702">
            <v>12900</v>
          </cell>
          <cell r="N1702">
            <v>57273</v>
          </cell>
          <cell r="O1702">
            <v>35517</v>
          </cell>
          <cell r="P1702">
            <v>16</v>
          </cell>
          <cell r="Q1702">
            <v>2</v>
          </cell>
          <cell r="U1702">
            <v>0</v>
          </cell>
          <cell r="V1702">
            <v>8500</v>
          </cell>
          <cell r="W1702">
            <v>180</v>
          </cell>
          <cell r="X1702">
            <v>6800</v>
          </cell>
          <cell r="Y1702">
            <v>113090</v>
          </cell>
          <cell r="Z1702">
            <v>7054.6059999999998</v>
          </cell>
          <cell r="AA1702">
            <v>8245.3940000000002</v>
          </cell>
          <cell r="AB1702">
            <v>246.2473333333333</v>
          </cell>
          <cell r="AC1702">
            <v>7400</v>
          </cell>
          <cell r="AD1702">
            <v>8408.8000000000011</v>
          </cell>
          <cell r="AE1702">
            <v>-1008.8000000000011</v>
          </cell>
          <cell r="AN1702" t="str">
            <v xml:space="preserve">Contrato emergencial nº </v>
          </cell>
          <cell r="AO1702" t="str">
            <v>CS</v>
          </cell>
        </row>
        <row r="1703">
          <cell r="D1703" t="str">
            <v>2838/11</v>
          </cell>
          <cell r="E1703" t="str">
            <v>10/10/2011</v>
          </cell>
          <cell r="F1703">
            <v>41005</v>
          </cell>
          <cell r="G1703">
            <v>40877</v>
          </cell>
          <cell r="H1703" t="str">
            <v>2011-0.256.965-4</v>
          </cell>
          <cell r="I1703" t="str">
            <v>22.691,10</v>
          </cell>
          <cell r="J1703" t="str">
            <v xml:space="preserve">              123611122                  2848                    33903600</v>
          </cell>
          <cell r="K1703" t="str">
            <v>10/10/2011</v>
          </cell>
          <cell r="L1703">
            <v>52</v>
          </cell>
          <cell r="M1703">
            <v>6600</v>
          </cell>
          <cell r="N1703">
            <v>57278</v>
          </cell>
          <cell r="O1703">
            <v>35522</v>
          </cell>
          <cell r="P1703">
            <v>16</v>
          </cell>
          <cell r="Q1703">
            <v>3</v>
          </cell>
          <cell r="U1703">
            <v>0</v>
          </cell>
          <cell r="V1703">
            <v>4900</v>
          </cell>
          <cell r="W1703">
            <v>180</v>
          </cell>
          <cell r="X1703">
            <v>3920</v>
          </cell>
          <cell r="Y1703" t="str">
            <v>113968/113973</v>
          </cell>
          <cell r="Z1703">
            <v>9860.2099999999991</v>
          </cell>
          <cell r="AA1703">
            <v>-1040.2099999999991</v>
          </cell>
          <cell r="AB1703">
            <v>126.06166666666665</v>
          </cell>
          <cell r="AC1703">
            <v>3800</v>
          </cell>
          <cell r="AD1703">
            <v>4894.13</v>
          </cell>
          <cell r="AE1703">
            <v>-1094.1300000000001</v>
          </cell>
          <cell r="AN1703" t="str">
            <v xml:space="preserve">Contrato emergencial nº </v>
          </cell>
          <cell r="AO1703" t="str">
            <v>PE</v>
          </cell>
        </row>
        <row r="1704">
          <cell r="D1704" t="str">
            <v>2839/11</v>
          </cell>
          <cell r="E1704" t="str">
            <v>10/10/2011</v>
          </cell>
          <cell r="F1704">
            <v>41005</v>
          </cell>
          <cell r="G1704">
            <v>40877</v>
          </cell>
          <cell r="H1704" t="str">
            <v>2011-0.256.970-0</v>
          </cell>
          <cell r="I1704" t="str">
            <v>31.012,38</v>
          </cell>
          <cell r="J1704" t="str">
            <v xml:space="preserve">              123611122                  2848                    33903600</v>
          </cell>
          <cell r="K1704" t="str">
            <v>10/10/2011</v>
          </cell>
          <cell r="L1704">
            <v>52</v>
          </cell>
          <cell r="M1704">
            <v>9000</v>
          </cell>
          <cell r="N1704">
            <v>57278</v>
          </cell>
          <cell r="O1704">
            <v>35523</v>
          </cell>
          <cell r="P1704">
            <v>16</v>
          </cell>
          <cell r="Q1704">
            <v>3</v>
          </cell>
          <cell r="U1704">
            <v>0</v>
          </cell>
          <cell r="V1704">
            <v>5600</v>
          </cell>
          <cell r="W1704">
            <v>180</v>
          </cell>
          <cell r="X1704">
            <v>4480</v>
          </cell>
          <cell r="Y1704">
            <v>113429</v>
          </cell>
          <cell r="Z1704">
            <v>9000</v>
          </cell>
          <cell r="AA1704">
            <v>1080</v>
          </cell>
          <cell r="AB1704">
            <v>172.291</v>
          </cell>
          <cell r="AC1704">
            <v>5200</v>
          </cell>
          <cell r="AD1704">
            <v>5571.05</v>
          </cell>
          <cell r="AE1704">
            <v>-371.05000000000018</v>
          </cell>
          <cell r="AN1704" t="str">
            <v xml:space="preserve">Contrato emergencial nº </v>
          </cell>
          <cell r="AO1704" t="str">
            <v>CL</v>
          </cell>
        </row>
        <row r="1705">
          <cell r="D1705" t="str">
            <v>2841/11</v>
          </cell>
          <cell r="E1705" t="str">
            <v>10/10/2011</v>
          </cell>
          <cell r="F1705">
            <v>41005</v>
          </cell>
          <cell r="G1705">
            <v>40877</v>
          </cell>
          <cell r="H1705" t="str">
            <v>2011-0.256.986-7</v>
          </cell>
          <cell r="I1705" t="str">
            <v>31.012,38</v>
          </cell>
          <cell r="J1705" t="str">
            <v xml:space="preserve">              123651121                 2847                    33903600</v>
          </cell>
          <cell r="K1705" t="str">
            <v>10/10/2011</v>
          </cell>
          <cell r="L1705">
            <v>52</v>
          </cell>
          <cell r="M1705">
            <v>9000</v>
          </cell>
          <cell r="N1705">
            <v>57273</v>
          </cell>
          <cell r="O1705">
            <v>35528</v>
          </cell>
          <cell r="P1705">
            <v>16</v>
          </cell>
          <cell r="Q1705">
            <v>2</v>
          </cell>
          <cell r="U1705">
            <v>0</v>
          </cell>
          <cell r="V1705">
            <v>5200</v>
          </cell>
          <cell r="W1705">
            <v>180</v>
          </cell>
          <cell r="X1705">
            <v>4160</v>
          </cell>
          <cell r="Y1705">
            <v>113093</v>
          </cell>
          <cell r="Z1705">
            <v>5781.87</v>
          </cell>
          <cell r="AA1705">
            <v>3578.13</v>
          </cell>
          <cell r="AB1705">
            <v>172.291</v>
          </cell>
          <cell r="AC1705">
            <v>5200</v>
          </cell>
          <cell r="AD1705">
            <v>4621.8050000000003</v>
          </cell>
          <cell r="AE1705">
            <v>578.19499999999971</v>
          </cell>
          <cell r="AN1705" t="str">
            <v xml:space="preserve">Contrato emergencial nº </v>
          </cell>
          <cell r="AO1705" t="str">
            <v>PJ</v>
          </cell>
        </row>
        <row r="1706">
          <cell r="D1706" t="str">
            <v>2842/11</v>
          </cell>
          <cell r="E1706" t="str">
            <v>10/10/2011</v>
          </cell>
          <cell r="F1706">
            <v>41005</v>
          </cell>
          <cell r="G1706">
            <v>40877</v>
          </cell>
          <cell r="H1706" t="str">
            <v>2011-0.256.992-1</v>
          </cell>
          <cell r="I1706" t="str">
            <v>31.418,52</v>
          </cell>
          <cell r="J1706" t="str">
            <v xml:space="preserve">              123651121                 2847                    33903600</v>
          </cell>
          <cell r="K1706" t="str">
            <v>10/10/2011</v>
          </cell>
          <cell r="L1706">
            <v>52</v>
          </cell>
          <cell r="M1706">
            <v>9100</v>
          </cell>
          <cell r="N1706">
            <v>57273</v>
          </cell>
          <cell r="O1706">
            <v>35530</v>
          </cell>
          <cell r="P1706">
            <v>16</v>
          </cell>
          <cell r="Q1706">
            <v>2</v>
          </cell>
          <cell r="U1706">
            <v>0</v>
          </cell>
          <cell r="V1706">
            <v>5600</v>
          </cell>
          <cell r="W1706">
            <v>180</v>
          </cell>
          <cell r="X1706">
            <v>4480</v>
          </cell>
          <cell r="Y1706">
            <v>113101</v>
          </cell>
          <cell r="Z1706">
            <v>5235.8</v>
          </cell>
          <cell r="AA1706">
            <v>4844.2</v>
          </cell>
          <cell r="AB1706">
            <v>174.54733333333334</v>
          </cell>
          <cell r="AC1706">
            <v>5300</v>
          </cell>
          <cell r="AD1706">
            <v>5564.5700000000006</v>
          </cell>
          <cell r="AE1706">
            <v>-264.57000000000062</v>
          </cell>
          <cell r="AN1706" t="str">
            <v xml:space="preserve">Contrato emergencial nº </v>
          </cell>
          <cell r="AO1706" t="str">
            <v>PJ</v>
          </cell>
        </row>
        <row r="1707">
          <cell r="D1707" t="str">
            <v>2843/11</v>
          </cell>
          <cell r="E1707" t="str">
            <v>10/10/2011</v>
          </cell>
          <cell r="F1707">
            <v>41005</v>
          </cell>
          <cell r="G1707">
            <v>40877</v>
          </cell>
          <cell r="H1707" t="str">
            <v>2011-0.257.022-9</v>
          </cell>
          <cell r="I1707" t="str">
            <v>31.012,38</v>
          </cell>
          <cell r="J1707" t="str">
            <v xml:space="preserve">              123611122                  2848                    33903600</v>
          </cell>
          <cell r="K1707" t="str">
            <v>10/10/2011</v>
          </cell>
          <cell r="L1707">
            <v>52</v>
          </cell>
          <cell r="M1707">
            <v>9000</v>
          </cell>
          <cell r="N1707">
            <v>57278</v>
          </cell>
          <cell r="O1707">
            <v>35534</v>
          </cell>
          <cell r="P1707">
            <v>16</v>
          </cell>
          <cell r="Q1707">
            <v>3</v>
          </cell>
          <cell r="U1707">
            <v>0</v>
          </cell>
          <cell r="V1707">
            <v>5200</v>
          </cell>
          <cell r="W1707">
            <v>180</v>
          </cell>
          <cell r="X1707">
            <v>4160</v>
          </cell>
          <cell r="Y1707">
            <v>113443</v>
          </cell>
          <cell r="Z1707">
            <v>9000</v>
          </cell>
          <cell r="AA1707">
            <v>360</v>
          </cell>
          <cell r="AB1707">
            <v>172.291</v>
          </cell>
          <cell r="AC1707">
            <v>5200</v>
          </cell>
          <cell r="AD1707">
            <v>5141.5550000000003</v>
          </cell>
          <cell r="AE1707">
            <v>58.444999999999709</v>
          </cell>
          <cell r="AN1707" t="str">
            <v xml:space="preserve">Contrato emergencial nº </v>
          </cell>
          <cell r="AO1707" t="str">
            <v>CL</v>
          </cell>
        </row>
        <row r="1708">
          <cell r="D1708" t="str">
            <v>2844/11</v>
          </cell>
          <cell r="E1708" t="str">
            <v>10/10/2011</v>
          </cell>
          <cell r="F1708">
            <v>41005</v>
          </cell>
          <cell r="G1708">
            <v>40877</v>
          </cell>
          <cell r="H1708" t="str">
            <v>2011-0.257.025-3</v>
          </cell>
          <cell r="I1708" t="str">
            <v>31.012,38</v>
          </cell>
          <cell r="J1708" t="str">
            <v xml:space="preserve">              123611122                  2848                    33903600</v>
          </cell>
          <cell r="K1708" t="str">
            <v>10/10/2011</v>
          </cell>
          <cell r="L1708">
            <v>52</v>
          </cell>
          <cell r="M1708">
            <v>9000</v>
          </cell>
          <cell r="N1708">
            <v>57278</v>
          </cell>
          <cell r="O1708">
            <v>35552</v>
          </cell>
          <cell r="P1708">
            <v>16</v>
          </cell>
          <cell r="Q1708">
            <v>3</v>
          </cell>
          <cell r="U1708">
            <v>0</v>
          </cell>
          <cell r="V1708">
            <v>6100</v>
          </cell>
          <cell r="W1708">
            <v>180</v>
          </cell>
          <cell r="X1708">
            <v>4880</v>
          </cell>
          <cell r="Y1708">
            <v>112997</v>
          </cell>
          <cell r="Z1708">
            <v>4810.01</v>
          </cell>
          <cell r="AA1708">
            <v>6169.99</v>
          </cell>
          <cell r="AB1708">
            <v>172.291</v>
          </cell>
          <cell r="AC1708">
            <v>5200</v>
          </cell>
          <cell r="AD1708">
            <v>6009.55</v>
          </cell>
          <cell r="AE1708">
            <v>-809.55000000000018</v>
          </cell>
          <cell r="AN1708" t="str">
            <v xml:space="preserve">Contrato emergencial nº </v>
          </cell>
          <cell r="AO1708" t="str">
            <v>SM</v>
          </cell>
        </row>
        <row r="1709">
          <cell r="D1709" t="str">
            <v>2845/11</v>
          </cell>
          <cell r="E1709" t="str">
            <v>10/10/2011</v>
          </cell>
          <cell r="F1709">
            <v>41005</v>
          </cell>
          <cell r="G1709">
            <v>40877</v>
          </cell>
          <cell r="H1709" t="str">
            <v>2011-0.257.030-0</v>
          </cell>
          <cell r="I1709" t="str">
            <v>41.531,04</v>
          </cell>
          <cell r="J1709" t="str">
            <v xml:space="preserve">              123651121                 2847                    33903600</v>
          </cell>
          <cell r="K1709" t="str">
            <v>10/10/2011</v>
          </cell>
          <cell r="L1709">
            <v>52</v>
          </cell>
          <cell r="M1709">
            <v>12000</v>
          </cell>
          <cell r="N1709">
            <v>57273</v>
          </cell>
          <cell r="O1709">
            <v>35557</v>
          </cell>
          <cell r="P1709">
            <v>16</v>
          </cell>
          <cell r="Q1709">
            <v>4</v>
          </cell>
          <cell r="U1709">
            <v>4916.6673333333329</v>
          </cell>
          <cell r="V1709">
            <v>7000</v>
          </cell>
          <cell r="W1709">
            <v>180</v>
          </cell>
          <cell r="X1709">
            <v>5600</v>
          </cell>
          <cell r="Y1709">
            <v>0</v>
          </cell>
          <cell r="Z1709">
            <v>0</v>
          </cell>
          <cell r="AA1709">
            <v>17516.667333333331</v>
          </cell>
          <cell r="AB1709">
            <v>230.72800000000001</v>
          </cell>
          <cell r="AC1709">
            <v>7000</v>
          </cell>
          <cell r="AD1709">
            <v>6788.1849999999995</v>
          </cell>
          <cell r="AE1709">
            <v>211.81500000000051</v>
          </cell>
          <cell r="AN1709" t="str">
            <v xml:space="preserve">Contrato emergencial nº </v>
          </cell>
          <cell r="AO1709" t="str">
            <v>CL</v>
          </cell>
        </row>
        <row r="1710">
          <cell r="D1710" t="str">
            <v>2846/11</v>
          </cell>
          <cell r="E1710" t="str">
            <v>10/10/2011</v>
          </cell>
          <cell r="F1710">
            <v>41005</v>
          </cell>
          <cell r="G1710">
            <v>40877</v>
          </cell>
          <cell r="H1710" t="str">
            <v>2011-0.257.088-1</v>
          </cell>
          <cell r="I1710" t="str">
            <v>37.607,88</v>
          </cell>
          <cell r="J1710" t="str">
            <v xml:space="preserve">              123651121                 2847                    33903600</v>
          </cell>
          <cell r="K1710" t="str">
            <v>10/10/2011</v>
          </cell>
          <cell r="L1710">
            <v>52</v>
          </cell>
          <cell r="M1710">
            <v>10900</v>
          </cell>
          <cell r="N1710">
            <v>57273</v>
          </cell>
          <cell r="O1710">
            <v>35558</v>
          </cell>
          <cell r="P1710">
            <v>16</v>
          </cell>
          <cell r="Q1710">
            <v>2</v>
          </cell>
          <cell r="U1710">
            <v>0</v>
          </cell>
          <cell r="V1710">
            <v>6300</v>
          </cell>
          <cell r="W1710">
            <v>180</v>
          </cell>
          <cell r="X1710">
            <v>5040</v>
          </cell>
          <cell r="Y1710">
            <v>113480</v>
          </cell>
          <cell r="Z1710">
            <v>10900</v>
          </cell>
          <cell r="AA1710">
            <v>440</v>
          </cell>
          <cell r="AB1710">
            <v>208.93266666666665</v>
          </cell>
          <cell r="AC1710">
            <v>6300</v>
          </cell>
          <cell r="AD1710">
            <v>5900.3499999999995</v>
          </cell>
          <cell r="AE1710">
            <v>399.65000000000055</v>
          </cell>
          <cell r="AN1710" t="str">
            <v xml:space="preserve">Contrato emergencial nº </v>
          </cell>
          <cell r="AO1710" t="str">
            <v>CL</v>
          </cell>
        </row>
        <row r="1711">
          <cell r="D1711" t="str">
            <v>2847/11</v>
          </cell>
          <cell r="E1711" t="str">
            <v>10/10/2011</v>
          </cell>
          <cell r="F1711">
            <v>41005</v>
          </cell>
          <cell r="G1711">
            <v>40877</v>
          </cell>
          <cell r="H1711" t="str">
            <v>2011-0.257.089-0</v>
          </cell>
          <cell r="I1711" t="str">
            <v>42.184,92</v>
          </cell>
          <cell r="J1711" t="str">
            <v xml:space="preserve">             123671125                  2863                   33903600</v>
          </cell>
          <cell r="K1711" t="str">
            <v>10/10/2011</v>
          </cell>
          <cell r="L1711">
            <v>52</v>
          </cell>
          <cell r="M1711">
            <v>12200</v>
          </cell>
          <cell r="N1711">
            <v>57287</v>
          </cell>
          <cell r="O1711">
            <v>35561</v>
          </cell>
          <cell r="P1711">
            <v>16</v>
          </cell>
          <cell r="Q1711">
            <v>4</v>
          </cell>
          <cell r="U1711">
            <v>0</v>
          </cell>
          <cell r="V1711">
            <v>7100</v>
          </cell>
          <cell r="W1711">
            <v>180</v>
          </cell>
          <cell r="X1711">
            <v>5680</v>
          </cell>
          <cell r="Y1711">
            <v>113885</v>
          </cell>
          <cell r="Z1711">
            <v>7279.83</v>
          </cell>
          <cell r="AA1711">
            <v>5500.17</v>
          </cell>
          <cell r="AB1711">
            <v>234.36066666666665</v>
          </cell>
          <cell r="AC1711">
            <v>7100</v>
          </cell>
          <cell r="AD1711">
            <v>7064.86</v>
          </cell>
          <cell r="AE1711">
            <v>35.140000000000327</v>
          </cell>
          <cell r="AN1711" t="str">
            <v xml:space="preserve">Contrato emergencial nº </v>
          </cell>
          <cell r="AO1711" t="str">
            <v>IQ</v>
          </cell>
        </row>
        <row r="1712">
          <cell r="D1712" t="str">
            <v>2848/11</v>
          </cell>
          <cell r="E1712" t="str">
            <v>10/10/2011</v>
          </cell>
          <cell r="F1712">
            <v>41005</v>
          </cell>
          <cell r="G1712">
            <v>40877</v>
          </cell>
          <cell r="H1712" t="str">
            <v>2011-0.257.100-4</v>
          </cell>
          <cell r="I1712" t="str">
            <v>31.012,38</v>
          </cell>
          <cell r="J1712" t="str">
            <v xml:space="preserve">              123651121                 2847                    33903600</v>
          </cell>
          <cell r="K1712" t="str">
            <v>10/10/2011</v>
          </cell>
          <cell r="L1712">
            <v>52</v>
          </cell>
          <cell r="M1712">
            <v>9000</v>
          </cell>
          <cell r="N1712">
            <v>57273</v>
          </cell>
          <cell r="O1712">
            <v>35564</v>
          </cell>
          <cell r="P1712">
            <v>16</v>
          </cell>
          <cell r="Q1712">
            <v>2</v>
          </cell>
          <cell r="U1712">
            <v>0</v>
          </cell>
          <cell r="V1712">
            <v>5400</v>
          </cell>
          <cell r="W1712">
            <v>180</v>
          </cell>
          <cell r="X1712">
            <v>4320</v>
          </cell>
          <cell r="Y1712">
            <v>113117</v>
          </cell>
          <cell r="Z1712">
            <v>5095.45</v>
          </cell>
          <cell r="AA1712">
            <v>4624.55</v>
          </cell>
          <cell r="AB1712">
            <v>172.291</v>
          </cell>
          <cell r="AC1712">
            <v>5200</v>
          </cell>
          <cell r="AD1712">
            <v>5361.1299999999992</v>
          </cell>
          <cell r="AE1712">
            <v>-161.1299999999992</v>
          </cell>
          <cell r="AN1712" t="str">
            <v xml:space="preserve">Contrato emergencial nº </v>
          </cell>
          <cell r="AO1712" t="str">
            <v>PJ</v>
          </cell>
        </row>
        <row r="1713">
          <cell r="D1713" t="str">
            <v>2849/11</v>
          </cell>
          <cell r="E1713" t="str">
            <v>10/10/2011</v>
          </cell>
          <cell r="F1713">
            <v>41005</v>
          </cell>
          <cell r="G1713">
            <v>40877</v>
          </cell>
          <cell r="H1713" t="str">
            <v>2011-0.257.102-0</v>
          </cell>
          <cell r="I1713" t="str">
            <v>31.012,38</v>
          </cell>
          <cell r="J1713" t="str">
            <v xml:space="preserve">              123611122                  2848                    33903600</v>
          </cell>
          <cell r="K1713" t="str">
            <v>10/10/2011</v>
          </cell>
          <cell r="L1713">
            <v>52</v>
          </cell>
          <cell r="M1713">
            <v>9000</v>
          </cell>
          <cell r="N1713">
            <v>57278</v>
          </cell>
          <cell r="O1713">
            <v>35565</v>
          </cell>
          <cell r="P1713">
            <v>16</v>
          </cell>
          <cell r="Q1713">
            <v>3</v>
          </cell>
          <cell r="U1713">
            <v>0</v>
          </cell>
          <cell r="V1713">
            <v>5200</v>
          </cell>
          <cell r="W1713">
            <v>180</v>
          </cell>
          <cell r="X1713">
            <v>4160</v>
          </cell>
          <cell r="Y1713">
            <v>113096</v>
          </cell>
          <cell r="Z1713">
            <v>5530.2389999999996</v>
          </cell>
          <cell r="AA1713">
            <v>3829.7610000000004</v>
          </cell>
          <cell r="AB1713">
            <v>172.291</v>
          </cell>
          <cell r="AC1713">
            <v>5200</v>
          </cell>
          <cell r="AD1713">
            <v>4999.2299999999996</v>
          </cell>
          <cell r="AE1713">
            <v>200.77000000000044</v>
          </cell>
          <cell r="AN1713" t="str">
            <v xml:space="preserve">Contrato emergencial nº </v>
          </cell>
          <cell r="AO1713" t="str">
            <v>CS</v>
          </cell>
        </row>
        <row r="1714">
          <cell r="D1714" t="str">
            <v>2850/11</v>
          </cell>
          <cell r="E1714" t="str">
            <v>13/10/2011</v>
          </cell>
          <cell r="F1714">
            <v>41008</v>
          </cell>
          <cell r="G1714">
            <v>40877</v>
          </cell>
          <cell r="H1714" t="str">
            <v>2011-0.257.105-5</v>
          </cell>
          <cell r="I1714" t="str">
            <v>31.418,52</v>
          </cell>
          <cell r="J1714" t="str">
            <v xml:space="preserve">              123611122                  2848                    33903600</v>
          </cell>
          <cell r="K1714" t="str">
            <v>13/10/2011</v>
          </cell>
          <cell r="L1714">
            <v>49</v>
          </cell>
          <cell r="M1714">
            <v>8600</v>
          </cell>
          <cell r="N1714">
            <v>57278</v>
          </cell>
          <cell r="O1714">
            <v>35567</v>
          </cell>
          <cell r="P1714">
            <v>16</v>
          </cell>
          <cell r="Q1714">
            <v>3</v>
          </cell>
          <cell r="U1714">
            <v>0</v>
          </cell>
          <cell r="V1714">
            <v>5400</v>
          </cell>
          <cell r="W1714">
            <v>180</v>
          </cell>
          <cell r="X1714">
            <v>4320</v>
          </cell>
          <cell r="Y1714">
            <v>113485</v>
          </cell>
          <cell r="Z1714">
            <v>8600</v>
          </cell>
          <cell r="AA1714">
            <v>1120</v>
          </cell>
          <cell r="AB1714">
            <v>174.54733333333334</v>
          </cell>
          <cell r="AC1714">
            <v>5300</v>
          </cell>
          <cell r="AD1714">
            <v>5347.0550000000003</v>
          </cell>
          <cell r="AE1714">
            <v>-47.055000000000291</v>
          </cell>
          <cell r="AN1714" t="str">
            <v xml:space="preserve">Contrato emergencial nº </v>
          </cell>
          <cell r="AO1714" t="str">
            <v>CL</v>
          </cell>
        </row>
        <row r="1715">
          <cell r="D1715" t="str">
            <v>2851/11</v>
          </cell>
          <cell r="E1715" t="str">
            <v>10/10/2011</v>
          </cell>
          <cell r="F1715">
            <v>41005</v>
          </cell>
          <cell r="G1715">
            <v>40877</v>
          </cell>
          <cell r="H1715" t="str">
            <v>2011-0.257.108-0</v>
          </cell>
          <cell r="I1715" t="str">
            <v>27.971,16</v>
          </cell>
          <cell r="J1715" t="str">
            <v xml:space="preserve">              123651121                 2847                    33903600</v>
          </cell>
          <cell r="K1715" t="str">
            <v>10/10/2011</v>
          </cell>
          <cell r="L1715">
            <v>52</v>
          </cell>
          <cell r="M1715">
            <v>8100</v>
          </cell>
          <cell r="N1715">
            <v>57273</v>
          </cell>
          <cell r="O1715">
            <v>35569</v>
          </cell>
          <cell r="P1715">
            <v>16</v>
          </cell>
          <cell r="Q1715">
            <v>2</v>
          </cell>
          <cell r="U1715">
            <v>0</v>
          </cell>
          <cell r="V1715">
            <v>4700</v>
          </cell>
          <cell r="W1715">
            <v>180</v>
          </cell>
          <cell r="X1715">
            <v>3760</v>
          </cell>
          <cell r="Y1715">
            <v>113165</v>
          </cell>
          <cell r="Z1715">
            <v>5087.6000000000004</v>
          </cell>
          <cell r="AA1715">
            <v>3372.3999999999996</v>
          </cell>
          <cell r="AB1715">
            <v>155.39533333333333</v>
          </cell>
          <cell r="AC1715">
            <v>4700</v>
          </cell>
          <cell r="AD1715">
            <v>4466.16</v>
          </cell>
          <cell r="AE1715">
            <v>233.84000000000015</v>
          </cell>
          <cell r="AN1715" t="str">
            <v xml:space="preserve">Contrato emergencial nº </v>
          </cell>
          <cell r="AO1715" t="str">
            <v>PJ</v>
          </cell>
        </row>
        <row r="1716">
          <cell r="D1716" t="str">
            <v>2852/11</v>
          </cell>
          <cell r="E1716" t="str">
            <v>10/10/2011</v>
          </cell>
          <cell r="F1716">
            <v>41005</v>
          </cell>
          <cell r="G1716">
            <v>40877</v>
          </cell>
          <cell r="H1716" t="str">
            <v>2011-0.257.111-0</v>
          </cell>
          <cell r="I1716" t="str">
            <v>28.377,30</v>
          </cell>
          <cell r="J1716" t="str">
            <v xml:space="preserve">              123611122                  2848                    33903600</v>
          </cell>
          <cell r="K1716" t="str">
            <v>10/10/2011</v>
          </cell>
          <cell r="L1716">
            <v>52</v>
          </cell>
          <cell r="M1716">
            <v>8200</v>
          </cell>
          <cell r="N1716">
            <v>57278</v>
          </cell>
          <cell r="O1716">
            <v>35570</v>
          </cell>
          <cell r="P1716">
            <v>16</v>
          </cell>
          <cell r="Q1716">
            <v>3</v>
          </cell>
          <cell r="U1716">
            <v>0</v>
          </cell>
          <cell r="V1716">
            <v>4800</v>
          </cell>
          <cell r="W1716">
            <v>180</v>
          </cell>
          <cell r="X1716">
            <v>3840</v>
          </cell>
          <cell r="Y1716">
            <v>114712</v>
          </cell>
          <cell r="Z1716">
            <v>5802.99</v>
          </cell>
          <cell r="AA1716">
            <v>2837.01</v>
          </cell>
          <cell r="AB1716">
            <v>157.65166666666667</v>
          </cell>
          <cell r="AC1716">
            <v>4800</v>
          </cell>
          <cell r="AD1716">
            <v>3508.335</v>
          </cell>
          <cell r="AE1716">
            <v>1291.665</v>
          </cell>
          <cell r="AN1716" t="str">
            <v xml:space="preserve">Contrato emergencial nº </v>
          </cell>
          <cell r="AO1716" t="str">
            <v>JT</v>
          </cell>
        </row>
        <row r="1717">
          <cell r="D1717" t="str">
            <v>2853/11</v>
          </cell>
          <cell r="E1717" t="str">
            <v>10/10/2011</v>
          </cell>
          <cell r="F1717">
            <v>41005</v>
          </cell>
          <cell r="G1717">
            <v>40877</v>
          </cell>
          <cell r="H1717" t="str">
            <v>2011-0.257.115-2</v>
          </cell>
          <cell r="I1717" t="str">
            <v>31.418,52</v>
          </cell>
          <cell r="J1717" t="str">
            <v xml:space="preserve">              123611122                  2848                    33903600</v>
          </cell>
          <cell r="K1717" t="str">
            <v>10/10/2011</v>
          </cell>
          <cell r="L1717">
            <v>52</v>
          </cell>
          <cell r="M1717">
            <v>9100</v>
          </cell>
          <cell r="N1717">
            <v>57278</v>
          </cell>
          <cell r="O1717">
            <v>35572</v>
          </cell>
          <cell r="P1717">
            <v>16</v>
          </cell>
          <cell r="Q1717">
            <v>3</v>
          </cell>
          <cell r="U1717">
            <v>0</v>
          </cell>
          <cell r="V1717">
            <v>5300</v>
          </cell>
          <cell r="W1717">
            <v>180</v>
          </cell>
          <cell r="X1717">
            <v>4240</v>
          </cell>
          <cell r="Y1717">
            <v>114519</v>
          </cell>
          <cell r="Z1717">
            <v>5643.67</v>
          </cell>
          <cell r="AA1717">
            <v>3896.33</v>
          </cell>
          <cell r="AB1717">
            <v>174.54733333333334</v>
          </cell>
          <cell r="AC1717">
            <v>5300</v>
          </cell>
          <cell r="AD1717">
            <v>4968.6075000000001</v>
          </cell>
          <cell r="AE1717">
            <v>331.39249999999993</v>
          </cell>
          <cell r="AN1717" t="str">
            <v xml:space="preserve">Contrato emergencial nº </v>
          </cell>
          <cell r="AO1717" t="str">
            <v>SA</v>
          </cell>
        </row>
        <row r="1718">
          <cell r="D1718" t="str">
            <v>2854/11</v>
          </cell>
          <cell r="E1718" t="str">
            <v>10/10/2011</v>
          </cell>
          <cell r="F1718">
            <v>41005</v>
          </cell>
          <cell r="G1718">
            <v>40877</v>
          </cell>
          <cell r="H1718" t="str">
            <v>2011-0.257.117-9</v>
          </cell>
          <cell r="I1718" t="str">
            <v>40.877,16</v>
          </cell>
          <cell r="J1718" t="str">
            <v xml:space="preserve">              123611122                  2848                    33903600</v>
          </cell>
          <cell r="K1718" t="str">
            <v>10/10/2011</v>
          </cell>
          <cell r="L1718">
            <v>52</v>
          </cell>
          <cell r="M1718">
            <v>11900</v>
          </cell>
          <cell r="N1718">
            <v>57278</v>
          </cell>
          <cell r="O1718">
            <v>35573</v>
          </cell>
          <cell r="P1718">
            <v>16</v>
          </cell>
          <cell r="Q1718">
            <v>3</v>
          </cell>
          <cell r="U1718">
            <v>0</v>
          </cell>
          <cell r="V1718">
            <v>6900</v>
          </cell>
          <cell r="W1718">
            <v>180</v>
          </cell>
          <cell r="X1718">
            <v>5520</v>
          </cell>
          <cell r="Y1718">
            <v>114713</v>
          </cell>
          <cell r="Z1718">
            <v>7631.08</v>
          </cell>
          <cell r="AA1718">
            <v>4788.92</v>
          </cell>
          <cell r="AB1718">
            <v>227.09533333333334</v>
          </cell>
          <cell r="AC1718">
            <v>6900</v>
          </cell>
          <cell r="AD1718">
            <v>6464.5749999999998</v>
          </cell>
          <cell r="AE1718">
            <v>435.42500000000018</v>
          </cell>
          <cell r="AN1718" t="str">
            <v xml:space="preserve">Contrato emergencial nº </v>
          </cell>
          <cell r="AO1718" t="str">
            <v>JT</v>
          </cell>
        </row>
        <row r="1719">
          <cell r="D1719" t="str">
            <v>2855/11</v>
          </cell>
          <cell r="E1719" t="str">
            <v>11/10/2011</v>
          </cell>
          <cell r="F1719">
            <v>41006</v>
          </cell>
          <cell r="G1719">
            <v>40877</v>
          </cell>
          <cell r="H1719" t="str">
            <v>2011-0.257.120-9</v>
          </cell>
          <cell r="I1719" t="str">
            <v>40.877,16</v>
          </cell>
          <cell r="J1719" t="str">
            <v xml:space="preserve">              123611122                  2848                    33903600</v>
          </cell>
          <cell r="K1719" t="str">
            <v>11/10/2011</v>
          </cell>
          <cell r="L1719">
            <v>51</v>
          </cell>
          <cell r="M1719">
            <v>11600</v>
          </cell>
          <cell r="N1719">
            <v>57278</v>
          </cell>
          <cell r="O1719">
            <v>35574</v>
          </cell>
          <cell r="P1719">
            <v>16</v>
          </cell>
          <cell r="Q1719">
            <v>3</v>
          </cell>
          <cell r="U1719">
            <v>3428.99</v>
          </cell>
          <cell r="V1719">
            <v>6900</v>
          </cell>
          <cell r="W1719">
            <v>180</v>
          </cell>
          <cell r="X1719">
            <v>5520</v>
          </cell>
          <cell r="Z1719">
            <v>0</v>
          </cell>
          <cell r="AA1719">
            <v>15848.99</v>
          </cell>
          <cell r="AB1719">
            <v>227.09533333333334</v>
          </cell>
          <cell r="AC1719">
            <v>6900</v>
          </cell>
          <cell r="AD1719">
            <v>5191.8500000000004</v>
          </cell>
          <cell r="AE1719">
            <v>1708.1499999999996</v>
          </cell>
          <cell r="AN1719" t="str">
            <v xml:space="preserve">Contrato emergencial nº </v>
          </cell>
          <cell r="AO1719" t="str">
            <v>SA</v>
          </cell>
        </row>
        <row r="1720">
          <cell r="D1720" t="str">
            <v>2856/11</v>
          </cell>
          <cell r="E1720" t="str">
            <v>10/10/2011</v>
          </cell>
          <cell r="F1720">
            <v>41005</v>
          </cell>
          <cell r="G1720">
            <v>40877</v>
          </cell>
          <cell r="H1720" t="str">
            <v>2011-0.257.123-3</v>
          </cell>
          <cell r="I1720" t="str">
            <v>35.438,46</v>
          </cell>
          <cell r="J1720" t="str">
            <v xml:space="preserve">              123611122                  2848                    33903600</v>
          </cell>
          <cell r="K1720" t="str">
            <v>10/10/2011</v>
          </cell>
          <cell r="L1720">
            <v>52</v>
          </cell>
          <cell r="M1720">
            <v>10300</v>
          </cell>
          <cell r="N1720">
            <v>57278</v>
          </cell>
          <cell r="O1720">
            <v>35579</v>
          </cell>
          <cell r="P1720">
            <v>16</v>
          </cell>
          <cell r="Q1720">
            <v>3</v>
          </cell>
          <cell r="U1720">
            <v>0</v>
          </cell>
          <cell r="V1720">
            <v>7400</v>
          </cell>
          <cell r="W1720">
            <v>180</v>
          </cell>
          <cell r="X1720">
            <v>5920</v>
          </cell>
          <cell r="Y1720">
            <v>113946</v>
          </cell>
          <cell r="Z1720">
            <v>5227.51</v>
          </cell>
          <cell r="AA1720">
            <v>8092.49</v>
          </cell>
          <cell r="AB1720">
            <v>196.88033333333334</v>
          </cell>
          <cell r="AC1720">
            <v>6000</v>
          </cell>
          <cell r="AD1720">
            <v>7389.8</v>
          </cell>
          <cell r="AE1720">
            <v>-1389.8000000000002</v>
          </cell>
          <cell r="AN1720" t="str">
            <v xml:space="preserve">Contrato emergencial nº </v>
          </cell>
          <cell r="AO1720" t="str">
            <v>PE</v>
          </cell>
        </row>
        <row r="1721">
          <cell r="D1721" t="str">
            <v>2857/11</v>
          </cell>
          <cell r="E1721" t="str">
            <v>10/10/2011</v>
          </cell>
          <cell r="F1721">
            <v>41005</v>
          </cell>
          <cell r="G1721">
            <v>40877</v>
          </cell>
          <cell r="H1721" t="str">
            <v>2011-0.257.125-0</v>
          </cell>
          <cell r="I1721" t="str">
            <v>37.607,88</v>
          </cell>
          <cell r="J1721" t="str">
            <v xml:space="preserve">              123611122                  2848                    33903600</v>
          </cell>
          <cell r="K1721" t="str">
            <v>10/10/2011</v>
          </cell>
          <cell r="L1721">
            <v>52</v>
          </cell>
          <cell r="M1721">
            <v>10900</v>
          </cell>
          <cell r="N1721">
            <v>57278</v>
          </cell>
          <cell r="O1721">
            <v>35580</v>
          </cell>
          <cell r="P1721">
            <v>16</v>
          </cell>
          <cell r="Q1721">
            <v>3</v>
          </cell>
          <cell r="U1721">
            <v>3517.0520000000001</v>
          </cell>
          <cell r="V1721">
            <v>6300</v>
          </cell>
          <cell r="W1721">
            <v>180</v>
          </cell>
          <cell r="X1721">
            <v>5040</v>
          </cell>
          <cell r="Y1721">
            <v>0</v>
          </cell>
          <cell r="Z1721">
            <v>0</v>
          </cell>
          <cell r="AA1721">
            <v>14857.052</v>
          </cell>
          <cell r="AB1721">
            <v>208.93266666666665</v>
          </cell>
          <cell r="AC1721">
            <v>6300</v>
          </cell>
          <cell r="AD1721">
            <v>5064.41</v>
          </cell>
          <cell r="AE1721">
            <v>1235.5900000000001</v>
          </cell>
          <cell r="AN1721" t="str">
            <v xml:space="preserve">Contrato emergencial nº </v>
          </cell>
          <cell r="AO1721" t="str">
            <v>MP</v>
          </cell>
        </row>
        <row r="1722">
          <cell r="D1722" t="str">
            <v>2858/11</v>
          </cell>
          <cell r="E1722" t="str">
            <v>10/10/2011</v>
          </cell>
          <cell r="F1722">
            <v>41005</v>
          </cell>
          <cell r="G1722">
            <v>40877</v>
          </cell>
          <cell r="H1722" t="str">
            <v>2011-0.257.128-4</v>
          </cell>
          <cell r="I1722" t="str">
            <v>30.606,24</v>
          </cell>
          <cell r="J1722" t="str">
            <v xml:space="preserve">              123611122                  2848                    33903600</v>
          </cell>
          <cell r="K1722" t="str">
            <v>10/10/2011</v>
          </cell>
          <cell r="L1722">
            <v>52</v>
          </cell>
          <cell r="M1722">
            <v>8900</v>
          </cell>
          <cell r="N1722">
            <v>57278</v>
          </cell>
          <cell r="O1722">
            <v>35582</v>
          </cell>
          <cell r="P1722">
            <v>16</v>
          </cell>
          <cell r="Q1722">
            <v>3</v>
          </cell>
          <cell r="U1722">
            <v>0</v>
          </cell>
          <cell r="V1722">
            <v>6400</v>
          </cell>
          <cell r="W1722">
            <v>180</v>
          </cell>
          <cell r="X1722">
            <v>5120</v>
          </cell>
          <cell r="Y1722">
            <v>114715</v>
          </cell>
          <cell r="Z1722">
            <v>4525.2700000000004</v>
          </cell>
          <cell r="AA1722">
            <v>6994.73</v>
          </cell>
          <cell r="AB1722">
            <v>170.03466666666668</v>
          </cell>
          <cell r="AC1722">
            <v>5200</v>
          </cell>
          <cell r="AD1722">
            <v>6330.5200000000013</v>
          </cell>
          <cell r="AE1722">
            <v>-1130.5200000000013</v>
          </cell>
          <cell r="AN1722" t="str">
            <v xml:space="preserve">Contrato emergencial nº </v>
          </cell>
          <cell r="AO1722" t="str">
            <v>JT</v>
          </cell>
        </row>
        <row r="1723">
          <cell r="D1723" t="str">
            <v>2859/11</v>
          </cell>
          <cell r="E1723" t="str">
            <v>13/10/2011</v>
          </cell>
          <cell r="F1723">
            <v>41008</v>
          </cell>
          <cell r="G1723">
            <v>40877</v>
          </cell>
          <cell r="H1723" t="str">
            <v>2011-0.257.133-0</v>
          </cell>
          <cell r="I1723" t="str">
            <v>27.971,16</v>
          </cell>
          <cell r="J1723" t="str">
            <v xml:space="preserve">              123651121                 2847                    33903600</v>
          </cell>
          <cell r="K1723" t="str">
            <v>13/10/2011</v>
          </cell>
          <cell r="L1723">
            <v>49</v>
          </cell>
          <cell r="M1723">
            <v>7700</v>
          </cell>
          <cell r="N1723">
            <v>57273</v>
          </cell>
          <cell r="O1723">
            <v>35585</v>
          </cell>
          <cell r="P1723">
            <v>16</v>
          </cell>
          <cell r="Q1723">
            <v>2</v>
          </cell>
          <cell r="U1723">
            <v>0</v>
          </cell>
          <cell r="V1723">
            <v>5500</v>
          </cell>
          <cell r="W1723">
            <v>180</v>
          </cell>
          <cell r="X1723">
            <v>4400</v>
          </cell>
          <cell r="Y1723">
            <v>114412</v>
          </cell>
          <cell r="Z1723">
            <v>4700</v>
          </cell>
          <cell r="AA1723">
            <v>5200</v>
          </cell>
          <cell r="AB1723">
            <v>155.39533333333333</v>
          </cell>
          <cell r="AC1723">
            <v>4700</v>
          </cell>
          <cell r="AD1723">
            <v>5419.4549999999999</v>
          </cell>
          <cell r="AE1723">
            <v>-719.45499999999993</v>
          </cell>
          <cell r="AN1723" t="str">
            <v xml:space="preserve">Contrato emergencial nº </v>
          </cell>
          <cell r="AO1723" t="str">
            <v>PE</v>
          </cell>
        </row>
        <row r="1724">
          <cell r="D1724" t="str">
            <v>2860/11</v>
          </cell>
          <cell r="E1724" t="str">
            <v>17/10/2011</v>
          </cell>
          <cell r="F1724">
            <v>41012</v>
          </cell>
          <cell r="G1724">
            <v>40877</v>
          </cell>
          <cell r="H1724" t="str">
            <v>2011-0.257.134-9</v>
          </cell>
          <cell r="I1724" t="str">
            <v>30.606,24</v>
          </cell>
          <cell r="J1724" t="str">
            <v xml:space="preserve">              123651121                 2847                    33903600</v>
          </cell>
          <cell r="K1724" t="str">
            <v>17/10/2011</v>
          </cell>
          <cell r="L1724">
            <v>45</v>
          </cell>
          <cell r="M1724">
            <v>7700</v>
          </cell>
          <cell r="N1724">
            <v>57273</v>
          </cell>
          <cell r="O1724">
            <v>35587</v>
          </cell>
          <cell r="P1724">
            <v>16</v>
          </cell>
          <cell r="Q1724">
            <v>2</v>
          </cell>
          <cell r="U1724">
            <v>0</v>
          </cell>
          <cell r="V1724">
            <v>8900</v>
          </cell>
          <cell r="W1724">
            <v>180</v>
          </cell>
          <cell r="X1724">
            <v>7120</v>
          </cell>
          <cell r="Y1724">
            <v>113000</v>
          </cell>
          <cell r="Z1724">
            <v>5157.74</v>
          </cell>
          <cell r="AA1724">
            <v>10862.26</v>
          </cell>
          <cell r="AB1724">
            <v>170.03466666666668</v>
          </cell>
          <cell r="AC1724">
            <v>5200</v>
          </cell>
          <cell r="AD1724">
            <v>8888.6</v>
          </cell>
          <cell r="AE1724">
            <v>-3688.6000000000004</v>
          </cell>
          <cell r="AN1724" t="str">
            <v xml:space="preserve">Contrato emergencial nº </v>
          </cell>
          <cell r="AO1724" t="str">
            <v>SM</v>
          </cell>
        </row>
        <row r="1725">
          <cell r="D1725" t="str">
            <v>2861/11</v>
          </cell>
          <cell r="E1725" t="str">
            <v>17/10/2011</v>
          </cell>
          <cell r="F1725">
            <v>41012</v>
          </cell>
          <cell r="G1725">
            <v>40877</v>
          </cell>
          <cell r="H1725" t="str">
            <v>2011-0.257.139-0</v>
          </cell>
          <cell r="I1725" t="str">
            <v>37.607,88</v>
          </cell>
          <cell r="J1725" t="str">
            <v xml:space="preserve">              123651121                 2847                    33903600</v>
          </cell>
          <cell r="K1725" t="str">
            <v>17/10/2011</v>
          </cell>
          <cell r="L1725">
            <v>45</v>
          </cell>
          <cell r="M1725">
            <v>9500</v>
          </cell>
          <cell r="N1725">
            <v>57273</v>
          </cell>
          <cell r="O1725">
            <v>35591</v>
          </cell>
          <cell r="P1725">
            <v>16</v>
          </cell>
          <cell r="Q1725">
            <v>2</v>
          </cell>
          <cell r="U1725">
            <v>0</v>
          </cell>
          <cell r="V1725">
            <v>6300</v>
          </cell>
          <cell r="W1725">
            <v>180</v>
          </cell>
          <cell r="X1725">
            <v>5040</v>
          </cell>
          <cell r="Y1725">
            <v>113602</v>
          </cell>
          <cell r="Z1725">
            <v>9500</v>
          </cell>
          <cell r="AA1725">
            <v>1840</v>
          </cell>
          <cell r="AB1725">
            <v>208.93266666666665</v>
          </cell>
          <cell r="AC1725">
            <v>6300</v>
          </cell>
          <cell r="AD1725">
            <v>4902.74</v>
          </cell>
          <cell r="AE1725">
            <v>1397.2600000000002</v>
          </cell>
          <cell r="AN1725" t="str">
            <v xml:space="preserve">Contrato emergencial nº </v>
          </cell>
          <cell r="AO1725" t="str">
            <v>BT</v>
          </cell>
        </row>
        <row r="1726">
          <cell r="D1726" t="str">
            <v>2862/11</v>
          </cell>
          <cell r="E1726" t="str">
            <v>17/10/2011</v>
          </cell>
          <cell r="F1726">
            <v>41012</v>
          </cell>
          <cell r="G1726">
            <v>40877</v>
          </cell>
          <cell r="H1726" t="str">
            <v>2011-0.257.142-0</v>
          </cell>
          <cell r="I1726" t="str">
            <v>22.185,90</v>
          </cell>
          <cell r="J1726" t="str">
            <v xml:space="preserve">              123611122                  2848                    33903600</v>
          </cell>
          <cell r="K1726" t="str">
            <v>17/10/2011</v>
          </cell>
          <cell r="L1726">
            <v>45</v>
          </cell>
          <cell r="M1726">
            <v>5600</v>
          </cell>
          <cell r="N1726">
            <v>57278</v>
          </cell>
          <cell r="O1726">
            <v>35593</v>
          </cell>
          <cell r="P1726">
            <v>16</v>
          </cell>
          <cell r="Q1726">
            <v>3</v>
          </cell>
          <cell r="U1726">
            <v>0</v>
          </cell>
          <cell r="V1726">
            <v>3700</v>
          </cell>
          <cell r="W1726">
            <v>180</v>
          </cell>
          <cell r="X1726">
            <v>2960</v>
          </cell>
          <cell r="Y1726">
            <v>113603</v>
          </cell>
          <cell r="Z1726">
            <v>5600</v>
          </cell>
          <cell r="AA1726">
            <v>1060</v>
          </cell>
          <cell r="AB1726">
            <v>123.25500000000001</v>
          </cell>
          <cell r="AC1726">
            <v>3700</v>
          </cell>
          <cell r="AD1726">
            <v>3480.8900000000003</v>
          </cell>
          <cell r="AE1726">
            <v>219.10999999999967</v>
          </cell>
          <cell r="AN1726" t="str">
            <v xml:space="preserve">Contrato emergencial nº </v>
          </cell>
          <cell r="AO1726" t="str">
            <v>BT</v>
          </cell>
        </row>
        <row r="1727">
          <cell r="D1727" t="str">
            <v>2863/11</v>
          </cell>
          <cell r="E1727" t="str">
            <v>17/10/2011</v>
          </cell>
          <cell r="F1727">
            <v>41012</v>
          </cell>
          <cell r="G1727">
            <v>40877</v>
          </cell>
          <cell r="H1727" t="str">
            <v>2011-0.257.147-0</v>
          </cell>
          <cell r="I1727" t="str">
            <v>20.511,72</v>
          </cell>
          <cell r="J1727" t="str">
            <v xml:space="preserve">              123611122                  2848                    33903600</v>
          </cell>
          <cell r="K1727" t="str">
            <v>17/10/2011</v>
          </cell>
          <cell r="L1727">
            <v>45</v>
          </cell>
          <cell r="M1727">
            <v>5200</v>
          </cell>
          <cell r="N1727">
            <v>57278</v>
          </cell>
          <cell r="O1727">
            <v>35596</v>
          </cell>
          <cell r="P1727">
            <v>16</v>
          </cell>
          <cell r="Q1727">
            <v>3</v>
          </cell>
          <cell r="U1727">
            <v>0</v>
          </cell>
          <cell r="V1727">
            <v>3900</v>
          </cell>
          <cell r="W1727">
            <v>180</v>
          </cell>
          <cell r="X1727">
            <v>3120</v>
          </cell>
          <cell r="Y1727">
            <v>113505</v>
          </cell>
          <cell r="Z1727">
            <v>5200</v>
          </cell>
          <cell r="AA1727">
            <v>1820</v>
          </cell>
          <cell r="AB1727">
            <v>113.95400000000001</v>
          </cell>
          <cell r="AC1727">
            <v>3500</v>
          </cell>
          <cell r="AD1727">
            <v>3839.62</v>
          </cell>
          <cell r="AE1727">
            <v>-339.61999999999989</v>
          </cell>
          <cell r="AN1727" t="str">
            <v xml:space="preserve">Contrato emergencial nº </v>
          </cell>
          <cell r="AO1727" t="str">
            <v>CL</v>
          </cell>
        </row>
        <row r="1728">
          <cell r="D1728" t="str">
            <v>2864/11</v>
          </cell>
          <cell r="E1728" t="str">
            <v>17/10/2011</v>
          </cell>
          <cell r="F1728">
            <v>41012</v>
          </cell>
          <cell r="G1728">
            <v>40877</v>
          </cell>
          <cell r="H1728" t="str">
            <v>2011-0.257.459-3</v>
          </cell>
          <cell r="I1728" t="str">
            <v>37.607,88</v>
          </cell>
          <cell r="J1728" t="str">
            <v xml:space="preserve">              123611122                  2848                    33903600</v>
          </cell>
          <cell r="K1728" t="str">
            <v>17/10/2011</v>
          </cell>
          <cell r="L1728">
            <v>45</v>
          </cell>
          <cell r="M1728">
            <v>9500</v>
          </cell>
          <cell r="N1728">
            <v>57278</v>
          </cell>
          <cell r="O1728">
            <v>35598</v>
          </cell>
          <cell r="P1728">
            <v>16</v>
          </cell>
          <cell r="Q1728">
            <v>3</v>
          </cell>
          <cell r="U1728">
            <v>0</v>
          </cell>
          <cell r="V1728">
            <v>6300</v>
          </cell>
          <cell r="W1728">
            <v>180</v>
          </cell>
          <cell r="X1728">
            <v>5040</v>
          </cell>
          <cell r="Y1728">
            <v>113513</v>
          </cell>
          <cell r="Z1728">
            <v>9500</v>
          </cell>
          <cell r="AA1728">
            <v>1840</v>
          </cell>
          <cell r="AB1728">
            <v>208.93266666666665</v>
          </cell>
          <cell r="AC1728">
            <v>6300</v>
          </cell>
          <cell r="AD1728">
            <v>4952.24</v>
          </cell>
          <cell r="AE1728">
            <v>1347.7600000000002</v>
          </cell>
          <cell r="AN1728" t="str">
            <v xml:space="preserve">Contrato emergencial nº </v>
          </cell>
          <cell r="AO1728" t="str">
            <v>CL</v>
          </cell>
        </row>
        <row r="1729">
          <cell r="D1729" t="str">
            <v>2865/11</v>
          </cell>
          <cell r="E1729" t="str">
            <v>17/10/2011</v>
          </cell>
          <cell r="F1729">
            <v>41012</v>
          </cell>
          <cell r="G1729">
            <v>40877</v>
          </cell>
          <cell r="H1729" t="str">
            <v>2011-0.257.460-7</v>
          </cell>
          <cell r="I1729" t="str">
            <v>44.978,40</v>
          </cell>
          <cell r="J1729" t="str">
            <v xml:space="preserve">              123651121                 2847                    33903600</v>
          </cell>
          <cell r="K1729" t="str">
            <v>17/10/2011</v>
          </cell>
          <cell r="L1729">
            <v>45</v>
          </cell>
          <cell r="M1729">
            <v>11300</v>
          </cell>
          <cell r="N1729">
            <v>57273</v>
          </cell>
          <cell r="O1729">
            <v>35600</v>
          </cell>
          <cell r="P1729">
            <v>16</v>
          </cell>
          <cell r="Q1729">
            <v>2</v>
          </cell>
          <cell r="U1729">
            <v>0</v>
          </cell>
          <cell r="V1729">
            <v>7500</v>
          </cell>
          <cell r="W1729">
            <v>180</v>
          </cell>
          <cell r="X1729">
            <v>6000</v>
          </cell>
          <cell r="Y1729">
            <v>113526</v>
          </cell>
          <cell r="Z1729">
            <v>11300</v>
          </cell>
          <cell r="AA1729">
            <v>2200</v>
          </cell>
          <cell r="AB1729">
            <v>249.88</v>
          </cell>
          <cell r="AC1729">
            <v>7500</v>
          </cell>
          <cell r="AD1729">
            <v>6722.7275000000009</v>
          </cell>
          <cell r="AE1729">
            <v>777.27249999999913</v>
          </cell>
          <cell r="AN1729" t="str">
            <v xml:space="preserve">Contrato emergencial nº </v>
          </cell>
          <cell r="AO1729" t="str">
            <v>CL</v>
          </cell>
        </row>
        <row r="1730">
          <cell r="D1730" t="str">
            <v>2866/11</v>
          </cell>
          <cell r="E1730" t="str">
            <v>17/10/2011</v>
          </cell>
          <cell r="F1730">
            <v>41012</v>
          </cell>
          <cell r="G1730">
            <v>40877</v>
          </cell>
          <cell r="H1730" t="str">
            <v>2011-0.257.463-1</v>
          </cell>
          <cell r="I1730" t="str">
            <v>22.185,90</v>
          </cell>
          <cell r="J1730" t="str">
            <v xml:space="preserve">              123651121                 2847                    33903600</v>
          </cell>
          <cell r="K1730" t="str">
            <v>17/10/2011</v>
          </cell>
          <cell r="L1730">
            <v>45</v>
          </cell>
          <cell r="M1730">
            <v>5600</v>
          </cell>
          <cell r="N1730">
            <v>57273</v>
          </cell>
          <cell r="O1730">
            <v>35602</v>
          </cell>
          <cell r="P1730">
            <v>16</v>
          </cell>
          <cell r="Q1730">
            <v>2</v>
          </cell>
          <cell r="U1730">
            <v>0</v>
          </cell>
          <cell r="V1730">
            <v>3700</v>
          </cell>
          <cell r="W1730">
            <v>180</v>
          </cell>
          <cell r="X1730">
            <v>2960</v>
          </cell>
          <cell r="Y1730">
            <v>113103</v>
          </cell>
          <cell r="Z1730">
            <v>3957.4799999999996</v>
          </cell>
          <cell r="AA1730">
            <v>2702.5200000000004</v>
          </cell>
          <cell r="AB1730">
            <v>123.25500000000001</v>
          </cell>
          <cell r="AC1730">
            <v>3700</v>
          </cell>
          <cell r="AD1730">
            <v>3385.8450000000007</v>
          </cell>
          <cell r="AE1730">
            <v>314.15499999999929</v>
          </cell>
          <cell r="AN1730" t="str">
            <v xml:space="preserve">Contrato emergencial nº </v>
          </cell>
          <cell r="AO1730" t="str">
            <v>CS</v>
          </cell>
        </row>
        <row r="1731">
          <cell r="D1731" t="str">
            <v>2867/11</v>
          </cell>
          <cell r="E1731" t="str">
            <v>17/10/2011</v>
          </cell>
          <cell r="F1731">
            <v>41012</v>
          </cell>
          <cell r="G1731">
            <v>40877</v>
          </cell>
          <cell r="H1731" t="str">
            <v>2011-0.257.468-2</v>
          </cell>
          <cell r="I1731" t="str">
            <v>44.324,52</v>
          </cell>
          <cell r="J1731" t="str">
            <v xml:space="preserve">              123651121                 2847                    33903600</v>
          </cell>
          <cell r="K1731" t="str">
            <v>17/10/2011</v>
          </cell>
          <cell r="L1731">
            <v>45</v>
          </cell>
          <cell r="M1731">
            <v>11100</v>
          </cell>
          <cell r="N1731">
            <v>57273</v>
          </cell>
          <cell r="O1731">
            <v>35605</v>
          </cell>
          <cell r="P1731">
            <v>16</v>
          </cell>
          <cell r="Q1731">
            <v>2</v>
          </cell>
          <cell r="U1731">
            <v>0</v>
          </cell>
          <cell r="V1731">
            <v>7400</v>
          </cell>
          <cell r="W1731">
            <v>180</v>
          </cell>
          <cell r="X1731">
            <v>5920</v>
          </cell>
          <cell r="Y1731">
            <v>113107</v>
          </cell>
          <cell r="Z1731">
            <v>7854.9693333333335</v>
          </cell>
          <cell r="AA1731">
            <v>5465.0306666666665</v>
          </cell>
          <cell r="AB1731">
            <v>246.2473333333333</v>
          </cell>
          <cell r="AC1731">
            <v>7400</v>
          </cell>
          <cell r="AD1731">
            <v>6908.2800000000007</v>
          </cell>
          <cell r="AE1731">
            <v>491.71999999999935</v>
          </cell>
          <cell r="AN1731" t="str">
            <v xml:space="preserve">Contrato emergencial nº </v>
          </cell>
          <cell r="AO1731" t="str">
            <v>CS</v>
          </cell>
        </row>
        <row r="1732">
          <cell r="D1732" t="str">
            <v>2868/11</v>
          </cell>
          <cell r="E1732" t="str">
            <v>17/10/2011</v>
          </cell>
          <cell r="F1732">
            <v>41012</v>
          </cell>
          <cell r="G1732">
            <v>40877</v>
          </cell>
          <cell r="H1732" t="str">
            <v>2011-0.257.474-7</v>
          </cell>
          <cell r="I1732" t="str">
            <v>26.039,46</v>
          </cell>
          <cell r="J1732" t="str">
            <v xml:space="preserve">              123651121                 2847                    33903600</v>
          </cell>
          <cell r="K1732" t="str">
            <v>17/10/2011</v>
          </cell>
          <cell r="L1732">
            <v>45</v>
          </cell>
          <cell r="M1732">
            <v>6600</v>
          </cell>
          <cell r="N1732">
            <v>57273</v>
          </cell>
          <cell r="O1732">
            <v>35607</v>
          </cell>
          <cell r="P1732">
            <v>16</v>
          </cell>
          <cell r="Q1732">
            <v>2</v>
          </cell>
          <cell r="U1732">
            <v>1983.9450000000002</v>
          </cell>
          <cell r="V1732">
            <v>4400</v>
          </cell>
          <cell r="W1732">
            <v>180</v>
          </cell>
          <cell r="X1732">
            <v>3520</v>
          </cell>
          <cell r="Y1732">
            <v>0</v>
          </cell>
          <cell r="Z1732">
            <v>0</v>
          </cell>
          <cell r="AA1732">
            <v>9903.9449999999997</v>
          </cell>
          <cell r="AB1732">
            <v>144.66366666666667</v>
          </cell>
          <cell r="AC1732">
            <v>4400</v>
          </cell>
          <cell r="AD1732">
            <v>4001.19</v>
          </cell>
          <cell r="AE1732">
            <v>398.80999999999995</v>
          </cell>
          <cell r="AN1732" t="str">
            <v xml:space="preserve">Contrato emergencial nº </v>
          </cell>
          <cell r="AO1732" t="str">
            <v>FO</v>
          </cell>
        </row>
        <row r="1733">
          <cell r="D1733" t="str">
            <v>2869/11</v>
          </cell>
          <cell r="E1733" t="str">
            <v>17/10/2011</v>
          </cell>
          <cell r="F1733">
            <v>41012</v>
          </cell>
          <cell r="G1733">
            <v>40877</v>
          </cell>
          <cell r="H1733" t="str">
            <v>2011-0.257.478-0</v>
          </cell>
          <cell r="I1733" t="str">
            <v>24.414,78</v>
          </cell>
          <cell r="J1733" t="str">
            <v xml:space="preserve">              123651121                 2847                    33903600</v>
          </cell>
          <cell r="K1733" t="str">
            <v>17/10/2011</v>
          </cell>
          <cell r="L1733">
            <v>45</v>
          </cell>
          <cell r="M1733">
            <v>6200</v>
          </cell>
          <cell r="N1733">
            <v>57273</v>
          </cell>
          <cell r="O1733">
            <v>35609</v>
          </cell>
          <cell r="P1733">
            <v>16</v>
          </cell>
          <cell r="Q1733">
            <v>2</v>
          </cell>
          <cell r="U1733">
            <v>2046.8150000000001</v>
          </cell>
          <cell r="V1733">
            <v>4200</v>
          </cell>
          <cell r="W1733">
            <v>180</v>
          </cell>
          <cell r="X1733">
            <v>3360</v>
          </cell>
          <cell r="Y1733">
            <v>0</v>
          </cell>
          <cell r="Z1733">
            <v>0</v>
          </cell>
          <cell r="AA1733">
            <v>9606.8150000000005</v>
          </cell>
          <cell r="AB1733">
            <v>135.63766666666666</v>
          </cell>
          <cell r="AC1733">
            <v>4100</v>
          </cell>
          <cell r="AD1733">
            <v>4154.38</v>
          </cell>
          <cell r="AE1733">
            <v>-54.380000000000109</v>
          </cell>
          <cell r="AN1733" t="str">
            <v xml:space="preserve">Contrato emergencial nº </v>
          </cell>
          <cell r="AO1733" t="str">
            <v>FO</v>
          </cell>
        </row>
        <row r="1734">
          <cell r="D1734" t="str">
            <v>2870/11</v>
          </cell>
          <cell r="E1734" t="str">
            <v>17/10/2011</v>
          </cell>
          <cell r="F1734">
            <v>41012</v>
          </cell>
          <cell r="G1734">
            <v>40877</v>
          </cell>
          <cell r="H1734" t="str">
            <v>2011-0.257.488-7</v>
          </cell>
          <cell r="I1734" t="str">
            <v>37.607,88</v>
          </cell>
          <cell r="J1734" t="str">
            <v xml:space="preserve">              123651121                 2847                    33903600</v>
          </cell>
          <cell r="K1734" t="str">
            <v>17/10/2011</v>
          </cell>
          <cell r="L1734">
            <v>45</v>
          </cell>
          <cell r="M1734">
            <v>9500</v>
          </cell>
          <cell r="N1734">
            <v>57273</v>
          </cell>
          <cell r="O1734">
            <v>35614</v>
          </cell>
          <cell r="P1734">
            <v>16</v>
          </cell>
          <cell r="Q1734">
            <v>2</v>
          </cell>
          <cell r="U1734">
            <v>2478.0300000000002</v>
          </cell>
          <cell r="V1734">
            <v>6300</v>
          </cell>
          <cell r="W1734">
            <v>180</v>
          </cell>
          <cell r="X1734">
            <v>5040</v>
          </cell>
          <cell r="Y1734">
            <v>0</v>
          </cell>
          <cell r="Z1734">
            <v>0</v>
          </cell>
          <cell r="AA1734">
            <v>13818.03</v>
          </cell>
          <cell r="AB1734">
            <v>208.93266666666665</v>
          </cell>
          <cell r="AC1734">
            <v>6300</v>
          </cell>
          <cell r="AD1734">
            <v>5255.4170000000004</v>
          </cell>
          <cell r="AE1734">
            <v>1044.5829999999996</v>
          </cell>
          <cell r="AN1734" t="str">
            <v xml:space="preserve">Contrato emergencial nº </v>
          </cell>
          <cell r="AO1734" t="str">
            <v>FO</v>
          </cell>
        </row>
        <row r="1735">
          <cell r="D1735" t="str">
            <v>2871/11</v>
          </cell>
          <cell r="E1735" t="str">
            <v>17/10/2011</v>
          </cell>
          <cell r="F1735">
            <v>41012</v>
          </cell>
          <cell r="G1735">
            <v>40877</v>
          </cell>
          <cell r="H1735" t="str">
            <v>2011-0.257.497-6</v>
          </cell>
          <cell r="I1735" t="str">
            <v>37.607,88</v>
          </cell>
          <cell r="J1735" t="str">
            <v xml:space="preserve">              123651121                 2847                    33903600</v>
          </cell>
          <cell r="K1735" t="str">
            <v>17/10/2011</v>
          </cell>
          <cell r="L1735">
            <v>45</v>
          </cell>
          <cell r="M1735">
            <v>9500</v>
          </cell>
          <cell r="N1735">
            <v>57273</v>
          </cell>
          <cell r="O1735">
            <v>35616</v>
          </cell>
          <cell r="P1735">
            <v>16</v>
          </cell>
          <cell r="Q1735">
            <v>2</v>
          </cell>
          <cell r="U1735">
            <v>0</v>
          </cell>
          <cell r="V1735">
            <v>6300</v>
          </cell>
          <cell r="W1735">
            <v>180</v>
          </cell>
          <cell r="X1735">
            <v>5040</v>
          </cell>
          <cell r="Y1735">
            <v>114440</v>
          </cell>
          <cell r="Z1735">
            <v>6599.14</v>
          </cell>
          <cell r="AA1735">
            <v>4740.8599999999997</v>
          </cell>
          <cell r="AB1735">
            <v>208.93266666666665</v>
          </cell>
          <cell r="AC1735">
            <v>6300</v>
          </cell>
          <cell r="AD1735">
            <v>6168.9800000000014</v>
          </cell>
          <cell r="AE1735">
            <v>131.01999999999862</v>
          </cell>
          <cell r="AN1735" t="str">
            <v xml:space="preserve">Contrato emergencial nº </v>
          </cell>
          <cell r="AO1735" t="str">
            <v>G</v>
          </cell>
        </row>
        <row r="1736">
          <cell r="D1736" t="str">
            <v>2872/11</v>
          </cell>
          <cell r="E1736" t="str">
            <v>17/10/2011</v>
          </cell>
          <cell r="F1736">
            <v>41012</v>
          </cell>
          <cell r="G1736">
            <v>40877</v>
          </cell>
          <cell r="H1736" t="str">
            <v>2011-0.257.502-6</v>
          </cell>
          <cell r="I1736" t="str">
            <v>31.012,38</v>
          </cell>
          <cell r="J1736" t="str">
            <v xml:space="preserve">              123651121                 2847                    33903600</v>
          </cell>
          <cell r="K1736" t="str">
            <v>17/10/2011</v>
          </cell>
          <cell r="L1736">
            <v>45</v>
          </cell>
          <cell r="M1736">
            <v>7800</v>
          </cell>
          <cell r="N1736">
            <v>57273</v>
          </cell>
          <cell r="O1736">
            <v>35623</v>
          </cell>
          <cell r="P1736">
            <v>16</v>
          </cell>
          <cell r="Q1736">
            <v>2</v>
          </cell>
          <cell r="U1736">
            <v>0</v>
          </cell>
          <cell r="V1736">
            <v>5200</v>
          </cell>
          <cell r="W1736">
            <v>180</v>
          </cell>
          <cell r="X1736">
            <v>4160</v>
          </cell>
          <cell r="Y1736">
            <v>114720</v>
          </cell>
          <cell r="Z1736">
            <v>5667.42</v>
          </cell>
          <cell r="AA1736">
            <v>3692.58</v>
          </cell>
          <cell r="AB1736">
            <v>172.291</v>
          </cell>
          <cell r="AC1736">
            <v>5200</v>
          </cell>
          <cell r="AD1736">
            <v>5055.3126666666667</v>
          </cell>
          <cell r="AE1736">
            <v>144.6873333333333</v>
          </cell>
          <cell r="AN1736" t="str">
            <v xml:space="preserve">Contrato emergencial nº </v>
          </cell>
          <cell r="AO1736" t="str">
            <v>JT</v>
          </cell>
        </row>
        <row r="1737">
          <cell r="D1737" t="str">
            <v>2873/11</v>
          </cell>
          <cell r="E1737" t="str">
            <v>17/10/2011</v>
          </cell>
          <cell r="F1737">
            <v>41012</v>
          </cell>
          <cell r="G1737">
            <v>40877</v>
          </cell>
          <cell r="H1737" t="str">
            <v>2011-0.257.505-0</v>
          </cell>
          <cell r="I1737" t="str">
            <v>38.261,76</v>
          </cell>
          <cell r="J1737" t="str">
            <v xml:space="preserve">              123651121                 2847                    33903600</v>
          </cell>
          <cell r="K1737" t="str">
            <v>17/10/2011</v>
          </cell>
          <cell r="L1737">
            <v>45</v>
          </cell>
          <cell r="M1737">
            <v>9600</v>
          </cell>
          <cell r="N1737">
            <v>57273</v>
          </cell>
          <cell r="O1737">
            <v>35629</v>
          </cell>
          <cell r="P1737">
            <v>16</v>
          </cell>
          <cell r="Q1737">
            <v>2</v>
          </cell>
          <cell r="U1737">
            <v>0</v>
          </cell>
          <cell r="V1737">
            <v>6400</v>
          </cell>
          <cell r="W1737">
            <v>180</v>
          </cell>
          <cell r="X1737">
            <v>5120</v>
          </cell>
          <cell r="Y1737">
            <v>114724</v>
          </cell>
          <cell r="Z1737">
            <v>7088.84</v>
          </cell>
          <cell r="AA1737">
            <v>4431.16</v>
          </cell>
          <cell r="AB1737">
            <v>212.56533333333334</v>
          </cell>
          <cell r="AC1737">
            <v>6400</v>
          </cell>
          <cell r="AD1737">
            <v>5398.34</v>
          </cell>
          <cell r="AE1737">
            <v>1001.6599999999999</v>
          </cell>
          <cell r="AN1737" t="str">
            <v xml:space="preserve">Contrato emergencial nº </v>
          </cell>
          <cell r="AO1737" t="str">
            <v>JT</v>
          </cell>
        </row>
        <row r="1738">
          <cell r="D1738" t="str">
            <v>2874/11</v>
          </cell>
          <cell r="E1738" t="str">
            <v>17/10/2011</v>
          </cell>
          <cell r="F1738">
            <v>41012</v>
          </cell>
          <cell r="G1738">
            <v>40877</v>
          </cell>
          <cell r="H1738" t="str">
            <v>2011-0.257.508-5</v>
          </cell>
          <cell r="I1738" t="str">
            <v>27.971,16</v>
          </cell>
          <cell r="J1738" t="str">
            <v xml:space="preserve">              123651121                 2847                    33903600</v>
          </cell>
          <cell r="K1738" t="str">
            <v>17/10/2011</v>
          </cell>
          <cell r="L1738">
            <v>45</v>
          </cell>
          <cell r="M1738">
            <v>7000</v>
          </cell>
          <cell r="N1738">
            <v>57273</v>
          </cell>
          <cell r="O1738">
            <v>35633</v>
          </cell>
          <cell r="P1738">
            <v>16</v>
          </cell>
          <cell r="Q1738">
            <v>2</v>
          </cell>
          <cell r="U1738">
            <v>1930.0246666666667</v>
          </cell>
          <cell r="V1738">
            <v>4700</v>
          </cell>
          <cell r="W1738">
            <v>180</v>
          </cell>
          <cell r="X1738">
            <v>3760</v>
          </cell>
          <cell r="Y1738">
            <v>0</v>
          </cell>
          <cell r="Z1738">
            <v>0</v>
          </cell>
          <cell r="AA1738">
            <v>10390.024666666666</v>
          </cell>
          <cell r="AB1738">
            <v>155.39533333333333</v>
          </cell>
          <cell r="AC1738">
            <v>4700</v>
          </cell>
          <cell r="AD1738">
            <v>4700</v>
          </cell>
          <cell r="AE1738">
            <v>0</v>
          </cell>
          <cell r="AN1738" t="str">
            <v xml:space="preserve">Contrato emergencial nº </v>
          </cell>
          <cell r="AO1738" t="str">
            <v>MP</v>
          </cell>
        </row>
        <row r="1739">
          <cell r="D1739" t="str">
            <v>2875/11</v>
          </cell>
          <cell r="E1739" t="str">
            <v>17/10/2011</v>
          </cell>
          <cell r="F1739">
            <v>41012</v>
          </cell>
          <cell r="G1739">
            <v>40877</v>
          </cell>
          <cell r="H1739" t="str">
            <v>2011-0.257.901-3</v>
          </cell>
          <cell r="I1739" t="str">
            <v>31.012,38</v>
          </cell>
          <cell r="J1739" t="str">
            <v xml:space="preserve">              123651121                 2847                    33903600</v>
          </cell>
          <cell r="K1739" t="str">
            <v>17/10/2011</v>
          </cell>
          <cell r="L1739">
            <v>45</v>
          </cell>
          <cell r="M1739">
            <v>7800</v>
          </cell>
          <cell r="N1739">
            <v>57273</v>
          </cell>
          <cell r="O1739">
            <v>35636</v>
          </cell>
          <cell r="P1739">
            <v>16</v>
          </cell>
          <cell r="Q1739">
            <v>2</v>
          </cell>
          <cell r="U1739">
            <v>1970.1213333333335</v>
          </cell>
          <cell r="V1739">
            <v>5200</v>
          </cell>
          <cell r="W1739">
            <v>180</v>
          </cell>
          <cell r="X1739">
            <v>4160</v>
          </cell>
          <cell r="Y1739">
            <v>0</v>
          </cell>
          <cell r="Z1739">
            <v>0</v>
          </cell>
          <cell r="AA1739">
            <v>11330.121333333333</v>
          </cell>
          <cell r="AB1739">
            <v>172.291</v>
          </cell>
          <cell r="AC1739">
            <v>5200</v>
          </cell>
          <cell r="AD1739">
            <v>4153.38</v>
          </cell>
          <cell r="AE1739">
            <v>1046.6199999999999</v>
          </cell>
          <cell r="AN1739" t="str">
            <v xml:space="preserve">Contrato emergencial nº </v>
          </cell>
          <cell r="AO1739" t="str">
            <v>MP</v>
          </cell>
        </row>
        <row r="1740">
          <cell r="D1740" t="str">
            <v>2876/11</v>
          </cell>
          <cell r="E1740" t="str">
            <v>17/10/2011</v>
          </cell>
          <cell r="F1740">
            <v>41012</v>
          </cell>
          <cell r="G1740">
            <v>40877</v>
          </cell>
          <cell r="H1740" t="str">
            <v>2011-0.257.904-8</v>
          </cell>
          <cell r="I1740" t="str">
            <v>44.324,52</v>
          </cell>
          <cell r="J1740" t="str">
            <v xml:space="preserve">              123611122                  2848                    33903600</v>
          </cell>
          <cell r="K1740" t="str">
            <v>17/10/2011</v>
          </cell>
          <cell r="L1740">
            <v>45</v>
          </cell>
          <cell r="M1740">
            <v>11100</v>
          </cell>
          <cell r="N1740">
            <v>57278</v>
          </cell>
          <cell r="O1740">
            <v>35689</v>
          </cell>
          <cell r="P1740">
            <v>16</v>
          </cell>
          <cell r="Q1740">
            <v>3</v>
          </cell>
          <cell r="U1740">
            <v>3292.5913333333333</v>
          </cell>
          <cell r="V1740">
            <v>7400</v>
          </cell>
          <cell r="W1740">
            <v>180</v>
          </cell>
          <cell r="X1740">
            <v>5920</v>
          </cell>
          <cell r="Y1740">
            <v>0</v>
          </cell>
          <cell r="Z1740">
            <v>0</v>
          </cell>
          <cell r="AA1740">
            <v>16612.591333333334</v>
          </cell>
          <cell r="AB1740">
            <v>246.2473333333333</v>
          </cell>
          <cell r="AC1740">
            <v>7400</v>
          </cell>
          <cell r="AD1740">
            <v>6976.3600000000006</v>
          </cell>
          <cell r="AE1740">
            <v>423.63999999999942</v>
          </cell>
          <cell r="AN1740" t="str">
            <v xml:space="preserve">Contrato emergencial nº </v>
          </cell>
          <cell r="AO1740" t="str">
            <v>MP</v>
          </cell>
        </row>
        <row r="1741">
          <cell r="D1741" t="str">
            <v>2877/11</v>
          </cell>
          <cell r="E1741" t="str">
            <v>17/10/2011</v>
          </cell>
          <cell r="F1741">
            <v>41012</v>
          </cell>
          <cell r="G1741">
            <v>40877</v>
          </cell>
          <cell r="H1741" t="str">
            <v>2011-0.257.909-9</v>
          </cell>
          <cell r="I1741" t="str">
            <v>30.606,24</v>
          </cell>
          <cell r="J1741" t="str">
            <v xml:space="preserve">              123611122                  2848                    33903600</v>
          </cell>
          <cell r="K1741" t="str">
            <v>17/10/2011</v>
          </cell>
          <cell r="L1741">
            <v>45</v>
          </cell>
          <cell r="M1741">
            <v>7700</v>
          </cell>
          <cell r="N1741">
            <v>57278</v>
          </cell>
          <cell r="O1741">
            <v>35693</v>
          </cell>
          <cell r="P1741">
            <v>16</v>
          </cell>
          <cell r="Q1741">
            <v>3</v>
          </cell>
          <cell r="U1741">
            <v>2681.18</v>
          </cell>
          <cell r="V1741">
            <v>5800</v>
          </cell>
          <cell r="W1741">
            <v>180</v>
          </cell>
          <cell r="X1741">
            <v>4640</v>
          </cell>
          <cell r="Y1741">
            <v>0</v>
          </cell>
          <cell r="Z1741">
            <v>0</v>
          </cell>
          <cell r="AA1741">
            <v>13121.18</v>
          </cell>
          <cell r="AB1741">
            <v>170.03466666666668</v>
          </cell>
          <cell r="AC1741">
            <v>5200</v>
          </cell>
          <cell r="AD1741">
            <v>5769.5599999999995</v>
          </cell>
          <cell r="AE1741">
            <v>-569.55999999999949</v>
          </cell>
          <cell r="AN1741" t="str">
            <v xml:space="preserve">Contrato emergencial nº </v>
          </cell>
          <cell r="AO1741" t="str">
            <v>PE</v>
          </cell>
        </row>
        <row r="1742">
          <cell r="D1742" t="str">
            <v>2878/11</v>
          </cell>
          <cell r="E1742" t="str">
            <v>17/10/2011</v>
          </cell>
          <cell r="F1742">
            <v>41012</v>
          </cell>
          <cell r="G1742">
            <v>40877</v>
          </cell>
          <cell r="H1742" t="str">
            <v>2011-0.257.914-5</v>
          </cell>
          <cell r="I1742" t="str">
            <v>37.607,88</v>
          </cell>
          <cell r="J1742" t="str">
            <v xml:space="preserve">              123651121                 2847                    33903600</v>
          </cell>
          <cell r="K1742" t="str">
            <v>17/10/2011</v>
          </cell>
          <cell r="L1742">
            <v>45</v>
          </cell>
          <cell r="M1742">
            <v>9500</v>
          </cell>
          <cell r="N1742">
            <v>57273</v>
          </cell>
          <cell r="O1742">
            <v>35697</v>
          </cell>
          <cell r="P1742">
            <v>16</v>
          </cell>
          <cell r="Q1742">
            <v>2</v>
          </cell>
          <cell r="U1742">
            <v>0</v>
          </cell>
          <cell r="V1742">
            <v>6300</v>
          </cell>
          <cell r="W1742">
            <v>180</v>
          </cell>
          <cell r="X1742">
            <v>5040</v>
          </cell>
          <cell r="Y1742">
            <v>114526</v>
          </cell>
          <cell r="Z1742">
            <v>7144.86</v>
          </cell>
          <cell r="AA1742">
            <v>4195.1400000000003</v>
          </cell>
          <cell r="AB1742">
            <v>208.93266666666665</v>
          </cell>
          <cell r="AC1742">
            <v>6300</v>
          </cell>
          <cell r="AD1742">
            <v>6300</v>
          </cell>
          <cell r="AE1742">
            <v>0</v>
          </cell>
          <cell r="AN1742" t="str">
            <v xml:space="preserve">Contrato emergencial nº </v>
          </cell>
          <cell r="AO1742" t="str">
            <v>SA</v>
          </cell>
        </row>
        <row r="1743">
          <cell r="D1743" t="str">
            <v>2879/11</v>
          </cell>
          <cell r="E1743" t="str">
            <v>17/10/2011</v>
          </cell>
          <cell r="F1743">
            <v>41012</v>
          </cell>
          <cell r="G1743">
            <v>40877</v>
          </cell>
          <cell r="H1743" t="str">
            <v>2011-0.257.919-6</v>
          </cell>
          <cell r="I1743" t="str">
            <v>36.954,12</v>
          </cell>
          <cell r="J1743" t="str">
            <v xml:space="preserve">              123651121                 2847                    33903600</v>
          </cell>
          <cell r="K1743" t="str">
            <v>17/10/2011</v>
          </cell>
          <cell r="L1743">
            <v>45</v>
          </cell>
          <cell r="M1743">
            <v>9300</v>
          </cell>
          <cell r="N1743">
            <v>57273</v>
          </cell>
          <cell r="O1743">
            <v>35700</v>
          </cell>
          <cell r="P1743">
            <v>16</v>
          </cell>
          <cell r="Q1743">
            <v>2</v>
          </cell>
          <cell r="U1743">
            <v>0</v>
          </cell>
          <cell r="V1743">
            <v>6200</v>
          </cell>
          <cell r="W1743">
            <v>180</v>
          </cell>
          <cell r="X1743">
            <v>4960</v>
          </cell>
          <cell r="Y1743">
            <v>114529</v>
          </cell>
          <cell r="Z1743">
            <v>7023.49</v>
          </cell>
          <cell r="AA1743">
            <v>4136.51</v>
          </cell>
          <cell r="AB1743">
            <v>205.30066666666667</v>
          </cell>
          <cell r="AC1743">
            <v>6200</v>
          </cell>
          <cell r="AD1743">
            <v>4870.33</v>
          </cell>
          <cell r="AE1743">
            <v>1329.67</v>
          </cell>
          <cell r="AN1743" t="str">
            <v xml:space="preserve">Contrato emergencial nº </v>
          </cell>
          <cell r="AO1743" t="str">
            <v>SA</v>
          </cell>
        </row>
        <row r="1744">
          <cell r="D1744" t="str">
            <v>2880/11</v>
          </cell>
          <cell r="E1744" t="str">
            <v>24/10/2011</v>
          </cell>
          <cell r="F1744">
            <v>41019</v>
          </cell>
          <cell r="G1744">
            <v>40877</v>
          </cell>
          <cell r="H1744" t="str">
            <v>2011-0.257.960-9</v>
          </cell>
          <cell r="I1744" t="str">
            <v>44.978,40</v>
          </cell>
          <cell r="J1744" t="str">
            <v xml:space="preserve">              123611122                  2848                    33903600</v>
          </cell>
          <cell r="K1744" t="str">
            <v>24/10/2011</v>
          </cell>
          <cell r="L1744">
            <v>38</v>
          </cell>
          <cell r="M1744">
            <v>9500</v>
          </cell>
          <cell r="N1744">
            <v>57278</v>
          </cell>
          <cell r="O1744">
            <v>35282</v>
          </cell>
          <cell r="P1744">
            <v>16</v>
          </cell>
          <cell r="Q1744">
            <v>3</v>
          </cell>
          <cell r="U1744">
            <v>0</v>
          </cell>
          <cell r="V1744">
            <v>7500</v>
          </cell>
          <cell r="W1744">
            <v>180</v>
          </cell>
          <cell r="X1744">
            <v>6000</v>
          </cell>
          <cell r="Y1744">
            <v>114532</v>
          </cell>
          <cell r="Z1744">
            <v>8041.08</v>
          </cell>
          <cell r="AA1744">
            <v>5458.92</v>
          </cell>
          <cell r="AB1744">
            <v>249.88</v>
          </cell>
          <cell r="AC1744">
            <v>7500</v>
          </cell>
          <cell r="AD1744">
            <v>6184.6399999999994</v>
          </cell>
          <cell r="AE1744">
            <v>1315.3600000000006</v>
          </cell>
          <cell r="AN1744" t="str">
            <v xml:space="preserve">Contrato emergencial nº </v>
          </cell>
          <cell r="AO1744" t="str">
            <v>SA</v>
          </cell>
        </row>
        <row r="1745">
          <cell r="D1745" t="str">
            <v>2881/11</v>
          </cell>
          <cell r="E1745" t="str">
            <v>17/10/2011</v>
          </cell>
          <cell r="F1745">
            <v>41012</v>
          </cell>
          <cell r="G1745">
            <v>40877</v>
          </cell>
          <cell r="H1745" t="str">
            <v>2011-0.257.968-4</v>
          </cell>
          <cell r="I1745" t="str">
            <v>24.414,78</v>
          </cell>
          <cell r="J1745" t="str">
            <v xml:space="preserve">              123611122                  2848                    33903600</v>
          </cell>
          <cell r="K1745" t="str">
            <v>17/10/2011</v>
          </cell>
          <cell r="L1745">
            <v>45</v>
          </cell>
          <cell r="M1745">
            <v>6200</v>
          </cell>
          <cell r="N1745">
            <v>57278</v>
          </cell>
          <cell r="O1745">
            <v>35701</v>
          </cell>
          <cell r="P1745">
            <v>16</v>
          </cell>
          <cell r="Q1745">
            <v>3</v>
          </cell>
          <cell r="U1745">
            <v>0</v>
          </cell>
          <cell r="V1745">
            <v>4100</v>
          </cell>
          <cell r="W1745">
            <v>180</v>
          </cell>
          <cell r="X1745">
            <v>3280</v>
          </cell>
          <cell r="Y1745">
            <v>114570</v>
          </cell>
          <cell r="Z1745">
            <v>4363.78</v>
          </cell>
          <cell r="AA1745">
            <v>3016.2200000000003</v>
          </cell>
          <cell r="AB1745">
            <v>135.63766666666666</v>
          </cell>
          <cell r="AC1745">
            <v>4100</v>
          </cell>
          <cell r="AD1745">
            <v>3877.0000000000005</v>
          </cell>
          <cell r="AE1745">
            <v>222.99999999999955</v>
          </cell>
          <cell r="AN1745" t="str">
            <v xml:space="preserve">Contrato emergencial nº </v>
          </cell>
          <cell r="AO1745" t="str">
            <v>SA</v>
          </cell>
        </row>
        <row r="1746">
          <cell r="D1746" t="str">
            <v>2882/11</v>
          </cell>
          <cell r="E1746" t="str">
            <v>17/10/2011</v>
          </cell>
          <cell r="F1746">
            <v>41012</v>
          </cell>
          <cell r="G1746">
            <v>40877</v>
          </cell>
          <cell r="H1746" t="str">
            <v>2011-0.258.043-7</v>
          </cell>
          <cell r="I1746" t="str">
            <v>38.261,76</v>
          </cell>
          <cell r="J1746" t="str">
            <v xml:space="preserve">              123651121                 2847                    33903600</v>
          </cell>
          <cell r="K1746" t="str">
            <v>17/10/2011</v>
          </cell>
          <cell r="L1746">
            <v>45</v>
          </cell>
          <cell r="M1746">
            <v>9600</v>
          </cell>
          <cell r="N1746">
            <v>57273</v>
          </cell>
          <cell r="O1746">
            <v>35708</v>
          </cell>
          <cell r="P1746">
            <v>16</v>
          </cell>
          <cell r="Q1746">
            <v>2</v>
          </cell>
          <cell r="U1746">
            <v>0</v>
          </cell>
          <cell r="V1746">
            <v>6400</v>
          </cell>
          <cell r="W1746">
            <v>180</v>
          </cell>
          <cell r="X1746">
            <v>5120</v>
          </cell>
          <cell r="Y1746">
            <v>113529</v>
          </cell>
          <cell r="Z1746">
            <v>9600</v>
          </cell>
          <cell r="AA1746">
            <v>1920</v>
          </cell>
          <cell r="AB1746">
            <v>212.56533333333334</v>
          </cell>
          <cell r="AC1746">
            <v>6400</v>
          </cell>
          <cell r="AD1746">
            <v>4841.4546666666665</v>
          </cell>
          <cell r="AE1746">
            <v>1558.5453333333335</v>
          </cell>
          <cell r="AN1746" t="str">
            <v xml:space="preserve">Contrato emergencial nº </v>
          </cell>
          <cell r="AO1746" t="str">
            <v>CL</v>
          </cell>
        </row>
        <row r="1747">
          <cell r="D1747" t="str">
            <v>2883/11</v>
          </cell>
          <cell r="E1747" t="str">
            <v>17/10/2011</v>
          </cell>
          <cell r="F1747">
            <v>41012</v>
          </cell>
          <cell r="G1747">
            <v>40877</v>
          </cell>
          <cell r="H1747" t="str">
            <v>2011-0.258.049-6</v>
          </cell>
          <cell r="I1747" t="str">
            <v>45.186,36</v>
          </cell>
          <cell r="J1747" t="str">
            <v xml:space="preserve">              123651121                 2847                    33903600</v>
          </cell>
          <cell r="K1747" t="str">
            <v>17/10/2011</v>
          </cell>
          <cell r="L1747">
            <v>45</v>
          </cell>
          <cell r="M1747">
            <v>11300</v>
          </cell>
          <cell r="N1747">
            <v>57273</v>
          </cell>
          <cell r="O1747">
            <v>35709</v>
          </cell>
          <cell r="P1747">
            <v>16</v>
          </cell>
          <cell r="Q1747">
            <v>2</v>
          </cell>
          <cell r="U1747">
            <v>0</v>
          </cell>
          <cell r="V1747">
            <v>7600</v>
          </cell>
          <cell r="W1747">
            <v>180</v>
          </cell>
          <cell r="X1747">
            <v>6080</v>
          </cell>
          <cell r="Y1747">
            <v>113533</v>
          </cell>
          <cell r="Z1747">
            <v>11300</v>
          </cell>
          <cell r="AA1747">
            <v>2380</v>
          </cell>
          <cell r="AB1747">
            <v>251.03533333333334</v>
          </cell>
          <cell r="AC1747">
            <v>7600</v>
          </cell>
          <cell r="AD1747">
            <v>6882.6758888888889</v>
          </cell>
          <cell r="AE1747">
            <v>717.32411111111105</v>
          </cell>
          <cell r="AN1747" t="str">
            <v xml:space="preserve">Contrato emergencial nº </v>
          </cell>
          <cell r="AO1747" t="str">
            <v>CL</v>
          </cell>
        </row>
        <row r="1748">
          <cell r="D1748" t="str">
            <v>2884/11</v>
          </cell>
          <cell r="E1748" t="str">
            <v>17/10/2011</v>
          </cell>
          <cell r="F1748">
            <v>41012</v>
          </cell>
          <cell r="G1748">
            <v>40877</v>
          </cell>
          <cell r="H1748" t="str">
            <v>2011-0.258.054-2</v>
          </cell>
          <cell r="I1748" t="str">
            <v>37.607,88</v>
          </cell>
          <cell r="J1748" t="str">
            <v xml:space="preserve">              123611122                  2848                    33903600</v>
          </cell>
          <cell r="K1748" t="str">
            <v>17/10/2011</v>
          </cell>
          <cell r="L1748">
            <v>45</v>
          </cell>
          <cell r="M1748">
            <v>9500</v>
          </cell>
          <cell r="N1748">
            <v>57278</v>
          </cell>
          <cell r="O1748">
            <v>35712</v>
          </cell>
          <cell r="P1748">
            <v>16</v>
          </cell>
          <cell r="Q1748">
            <v>3</v>
          </cell>
          <cell r="U1748">
            <v>0</v>
          </cell>
          <cell r="V1748">
            <v>6300</v>
          </cell>
          <cell r="W1748">
            <v>180</v>
          </cell>
          <cell r="X1748">
            <v>5040</v>
          </cell>
          <cell r="Y1748">
            <v>113537</v>
          </cell>
          <cell r="Z1748">
            <v>9500</v>
          </cell>
          <cell r="AA1748">
            <v>1840</v>
          </cell>
          <cell r="AB1748">
            <v>208.93266666666665</v>
          </cell>
          <cell r="AC1748">
            <v>6300</v>
          </cell>
          <cell r="AD1748">
            <v>6246.7049999999999</v>
          </cell>
          <cell r="AE1748">
            <v>53.295000000000073</v>
          </cell>
          <cell r="AN1748" t="str">
            <v xml:space="preserve">Contrato emergencial nº </v>
          </cell>
          <cell r="AO1748" t="str">
            <v>CL</v>
          </cell>
        </row>
        <row r="1749">
          <cell r="D1749" t="str">
            <v>2885/11</v>
          </cell>
          <cell r="E1749" t="str">
            <v>17/10/2011</v>
          </cell>
          <cell r="F1749">
            <v>41012</v>
          </cell>
          <cell r="G1749">
            <v>40877</v>
          </cell>
          <cell r="H1749" t="str">
            <v>2011-0.258.062-3</v>
          </cell>
          <cell r="I1749" t="str">
            <v>44.324,52</v>
          </cell>
          <cell r="J1749" t="str">
            <v xml:space="preserve">              123611122                  2848                    33903600</v>
          </cell>
          <cell r="K1749" t="str">
            <v>17/10/2011</v>
          </cell>
          <cell r="L1749">
            <v>45</v>
          </cell>
          <cell r="M1749">
            <v>11100</v>
          </cell>
          <cell r="N1749">
            <v>57278</v>
          </cell>
          <cell r="O1749">
            <v>35715</v>
          </cell>
          <cell r="P1749">
            <v>16</v>
          </cell>
          <cell r="Q1749">
            <v>3</v>
          </cell>
          <cell r="U1749">
            <v>0</v>
          </cell>
          <cell r="V1749">
            <v>7400</v>
          </cell>
          <cell r="W1749">
            <v>180</v>
          </cell>
          <cell r="X1749">
            <v>5920</v>
          </cell>
          <cell r="Y1749">
            <v>113111</v>
          </cell>
          <cell r="Z1749">
            <v>7757.8653333333332</v>
          </cell>
          <cell r="AA1749">
            <v>5562.1346666666668</v>
          </cell>
          <cell r="AB1749">
            <v>246.2473333333333</v>
          </cell>
          <cell r="AC1749">
            <v>7400</v>
          </cell>
          <cell r="AD1749">
            <v>7100.3600000000006</v>
          </cell>
          <cell r="AE1749">
            <v>299.63999999999942</v>
          </cell>
          <cell r="AN1749" t="str">
            <v xml:space="preserve">Contrato emergencial nº </v>
          </cell>
          <cell r="AO1749" t="str">
            <v>CS</v>
          </cell>
        </row>
        <row r="1750">
          <cell r="D1750" t="str">
            <v>2886/11</v>
          </cell>
          <cell r="E1750" t="str">
            <v>17/10/2011</v>
          </cell>
          <cell r="F1750">
            <v>41012</v>
          </cell>
          <cell r="G1750">
            <v>40877</v>
          </cell>
          <cell r="H1750" t="str">
            <v>2011-0.258.068-2</v>
          </cell>
          <cell r="I1750" t="str">
            <v>37.607,88</v>
          </cell>
          <cell r="J1750" t="str">
            <v xml:space="preserve">              123651121                 2847                    33903600</v>
          </cell>
          <cell r="K1750" t="str">
            <v>17/10/2011</v>
          </cell>
          <cell r="L1750">
            <v>45</v>
          </cell>
          <cell r="M1750">
            <v>9500</v>
          </cell>
          <cell r="N1750">
            <v>918</v>
          </cell>
          <cell r="O1750">
            <v>35716</v>
          </cell>
          <cell r="P1750">
            <v>16</v>
          </cell>
          <cell r="Q1750">
            <v>4</v>
          </cell>
          <cell r="U1750">
            <v>0</v>
          </cell>
          <cell r="V1750">
            <v>6300</v>
          </cell>
          <cell r="W1750">
            <v>180</v>
          </cell>
          <cell r="X1750">
            <v>5040</v>
          </cell>
          <cell r="Y1750">
            <v>113125</v>
          </cell>
          <cell r="Z1750">
            <v>6939.9879999999994</v>
          </cell>
          <cell r="AA1750">
            <v>4400.0120000000006</v>
          </cell>
          <cell r="AB1750">
            <v>208.93266666666665</v>
          </cell>
          <cell r="AC1750">
            <v>6300</v>
          </cell>
          <cell r="AD1750">
            <v>5430.7399999999989</v>
          </cell>
          <cell r="AE1750">
            <v>869.26000000000113</v>
          </cell>
          <cell r="AN1750" t="str">
            <v xml:space="preserve">Contrato emergencial nº </v>
          </cell>
          <cell r="AO1750" t="str">
            <v>CS</v>
          </cell>
        </row>
        <row r="1751">
          <cell r="D1751" t="str">
            <v>2887/11</v>
          </cell>
          <cell r="E1751" t="str">
            <v>17/10/2011</v>
          </cell>
          <cell r="F1751">
            <v>41012</v>
          </cell>
          <cell r="G1751">
            <v>40877</v>
          </cell>
          <cell r="H1751" t="str">
            <v>2011-0.258.077-1</v>
          </cell>
          <cell r="I1751" t="str">
            <v>34.992,66</v>
          </cell>
          <cell r="J1751" t="str">
            <v xml:space="preserve">              123611122                  2848                    33903600</v>
          </cell>
          <cell r="K1751" t="str">
            <v>17/10/2011</v>
          </cell>
          <cell r="L1751">
            <v>45</v>
          </cell>
          <cell r="M1751">
            <v>8800</v>
          </cell>
          <cell r="N1751">
            <v>57278</v>
          </cell>
          <cell r="O1751">
            <v>36053</v>
          </cell>
          <cell r="P1751">
            <v>16</v>
          </cell>
          <cell r="Q1751">
            <v>3</v>
          </cell>
          <cell r="U1751">
            <v>0</v>
          </cell>
          <cell r="V1751">
            <v>6800</v>
          </cell>
          <cell r="W1751">
            <v>180</v>
          </cell>
          <cell r="X1751">
            <v>5440</v>
          </cell>
          <cell r="Y1751">
            <v>113128</v>
          </cell>
          <cell r="Z1751">
            <v>5633.9139999999998</v>
          </cell>
          <cell r="AA1751">
            <v>6606.0860000000002</v>
          </cell>
          <cell r="AB1751">
            <v>194.40366666666668</v>
          </cell>
          <cell r="AC1751">
            <v>5900</v>
          </cell>
          <cell r="AD1751">
            <v>6771.5900000000011</v>
          </cell>
          <cell r="AE1751">
            <v>-871.59000000000106</v>
          </cell>
          <cell r="AN1751" t="str">
            <v xml:space="preserve">Contrato emergencial nº </v>
          </cell>
          <cell r="AO1751" t="str">
            <v>CS</v>
          </cell>
        </row>
        <row r="1752">
          <cell r="D1752" t="str">
            <v>2888/11</v>
          </cell>
          <cell r="E1752" t="str">
            <v>17/10/2011</v>
          </cell>
          <cell r="F1752">
            <v>41012</v>
          </cell>
          <cell r="G1752">
            <v>40877</v>
          </cell>
          <cell r="H1752" t="str">
            <v>2011-0.258.088-7</v>
          </cell>
          <cell r="I1752" t="str">
            <v>44.324,52</v>
          </cell>
          <cell r="J1752" t="str">
            <v xml:space="preserve">              123611122                  2848                    33903600</v>
          </cell>
          <cell r="K1752" t="str">
            <v>17/10/2011</v>
          </cell>
          <cell r="L1752">
            <v>45</v>
          </cell>
          <cell r="M1752">
            <v>11100</v>
          </cell>
          <cell r="N1752">
            <v>57278</v>
          </cell>
          <cell r="O1752">
            <v>36057</v>
          </cell>
          <cell r="P1752">
            <v>16</v>
          </cell>
          <cell r="Q1752">
            <v>3</v>
          </cell>
          <cell r="U1752">
            <v>0</v>
          </cell>
          <cell r="V1752">
            <v>7400</v>
          </cell>
          <cell r="W1752">
            <v>180</v>
          </cell>
          <cell r="X1752">
            <v>5920</v>
          </cell>
          <cell r="Y1752">
            <v>113134</v>
          </cell>
          <cell r="Z1752">
            <v>7943.2586666666666</v>
          </cell>
          <cell r="AA1752">
            <v>5376.7413333333334</v>
          </cell>
          <cell r="AB1752">
            <v>246.2473333333333</v>
          </cell>
          <cell r="AC1752">
            <v>7400</v>
          </cell>
          <cell r="AD1752">
            <v>6756.16</v>
          </cell>
          <cell r="AE1752">
            <v>643.84000000000015</v>
          </cell>
          <cell r="AN1752" t="str">
            <v xml:space="preserve">Contrato emergencial nº </v>
          </cell>
          <cell r="AO1752" t="str">
            <v>CS</v>
          </cell>
        </row>
        <row r="1753">
          <cell r="D1753" t="str">
            <v>2889/11</v>
          </cell>
          <cell r="E1753" t="str">
            <v>17/10/2011</v>
          </cell>
          <cell r="F1753">
            <v>41012</v>
          </cell>
          <cell r="G1753">
            <v>40877</v>
          </cell>
          <cell r="H1753" t="str">
            <v>2011-0.258.612-5</v>
          </cell>
          <cell r="I1753" t="str">
            <v>39.569,46</v>
          </cell>
          <cell r="J1753" t="str">
            <v xml:space="preserve">              123651121                 2847                    33903600</v>
          </cell>
          <cell r="K1753" t="str">
            <v>17/10/2011</v>
          </cell>
          <cell r="L1753">
            <v>45</v>
          </cell>
          <cell r="M1753">
            <v>9900</v>
          </cell>
          <cell r="N1753">
            <v>57273</v>
          </cell>
          <cell r="O1753">
            <v>36060</v>
          </cell>
          <cell r="P1753">
            <v>16</v>
          </cell>
          <cell r="Q1753">
            <v>2</v>
          </cell>
          <cell r="U1753">
            <v>2597.62</v>
          </cell>
          <cell r="V1753">
            <v>6600</v>
          </cell>
          <cell r="W1753">
            <v>180</v>
          </cell>
          <cell r="X1753">
            <v>5280</v>
          </cell>
          <cell r="Y1753">
            <v>0</v>
          </cell>
          <cell r="Z1753">
            <v>0</v>
          </cell>
          <cell r="AA1753">
            <v>14477.619999999999</v>
          </cell>
          <cell r="AB1753">
            <v>219.83033333333333</v>
          </cell>
          <cell r="AC1753">
            <v>6600</v>
          </cell>
          <cell r="AD1753">
            <v>5233.6400000000003</v>
          </cell>
          <cell r="AE1753">
            <v>1366.3599999999997</v>
          </cell>
          <cell r="AN1753" t="str">
            <v xml:space="preserve">Contrato emergencial nº </v>
          </cell>
          <cell r="AO1753" t="str">
            <v>FO</v>
          </cell>
        </row>
        <row r="1754">
          <cell r="D1754" t="str">
            <v>2890/11</v>
          </cell>
          <cell r="E1754" t="str">
            <v>17/10/2011</v>
          </cell>
          <cell r="F1754">
            <v>41012</v>
          </cell>
          <cell r="G1754">
            <v>40877</v>
          </cell>
          <cell r="H1754" t="str">
            <v>2011-0.258.613-3</v>
          </cell>
          <cell r="I1754" t="str">
            <v>37.607,88</v>
          </cell>
          <cell r="J1754" t="str">
            <v xml:space="preserve">              123651121                 2847                    33903600</v>
          </cell>
          <cell r="K1754" t="str">
            <v>17/10/2011</v>
          </cell>
          <cell r="L1754">
            <v>45</v>
          </cell>
          <cell r="M1754">
            <v>9500</v>
          </cell>
          <cell r="N1754">
            <v>57273</v>
          </cell>
          <cell r="O1754">
            <v>36078</v>
          </cell>
          <cell r="P1754">
            <v>16</v>
          </cell>
          <cell r="Q1754">
            <v>2</v>
          </cell>
          <cell r="U1754">
            <v>2009.87</v>
          </cell>
          <cell r="V1754">
            <v>6300</v>
          </cell>
          <cell r="W1754">
            <v>180</v>
          </cell>
          <cell r="X1754">
            <v>5040</v>
          </cell>
          <cell r="Y1754">
            <v>0</v>
          </cell>
          <cell r="Z1754">
            <v>0</v>
          </cell>
          <cell r="AA1754">
            <v>13349.869999999999</v>
          </cell>
          <cell r="AB1754">
            <v>208.93266666666665</v>
          </cell>
          <cell r="AC1754">
            <v>6300</v>
          </cell>
          <cell r="AD1754">
            <v>4934.5800000000008</v>
          </cell>
          <cell r="AE1754">
            <v>1365.4199999999992</v>
          </cell>
          <cell r="AN1754" t="str">
            <v xml:space="preserve">Contrato emergencial nº </v>
          </cell>
          <cell r="AO1754" t="str">
            <v>FO</v>
          </cell>
        </row>
        <row r="1755">
          <cell r="D1755" t="str">
            <v>2891/11</v>
          </cell>
          <cell r="E1755" t="str">
            <v>17/10/2011</v>
          </cell>
          <cell r="F1755">
            <v>41012</v>
          </cell>
          <cell r="G1755">
            <v>40877</v>
          </cell>
          <cell r="H1755" t="str">
            <v>2011-0.258.615-0</v>
          </cell>
          <cell r="I1755" t="str">
            <v>37.607,88</v>
          </cell>
          <cell r="J1755" t="str">
            <v xml:space="preserve">              123651121                 2847                    33903600</v>
          </cell>
          <cell r="K1755" t="str">
            <v>17/10/2011</v>
          </cell>
          <cell r="L1755">
            <v>45</v>
          </cell>
          <cell r="M1755">
            <v>9500</v>
          </cell>
          <cell r="N1755">
            <v>57273</v>
          </cell>
          <cell r="O1755">
            <v>36080</v>
          </cell>
          <cell r="P1755">
            <v>16</v>
          </cell>
          <cell r="Q1755">
            <v>2</v>
          </cell>
          <cell r="U1755">
            <v>2861.49</v>
          </cell>
          <cell r="V1755">
            <v>6300</v>
          </cell>
          <cell r="W1755">
            <v>180</v>
          </cell>
          <cell r="X1755">
            <v>5040</v>
          </cell>
          <cell r="Y1755">
            <v>0</v>
          </cell>
          <cell r="Z1755">
            <v>0</v>
          </cell>
          <cell r="AA1755">
            <v>14201.49</v>
          </cell>
          <cell r="AB1755">
            <v>208.93266666666665</v>
          </cell>
          <cell r="AC1755">
            <v>6300</v>
          </cell>
          <cell r="AD1755">
            <v>5552.8874999999998</v>
          </cell>
          <cell r="AE1755">
            <v>747.11250000000018</v>
          </cell>
          <cell r="AN1755" t="str">
            <v xml:space="preserve">Contrato emergencial nº </v>
          </cell>
          <cell r="AO1755" t="str">
            <v>FO</v>
          </cell>
        </row>
        <row r="1756">
          <cell r="D1756" t="str">
            <v>2892/11</v>
          </cell>
          <cell r="E1756" t="str">
            <v>17/10/2011</v>
          </cell>
          <cell r="F1756">
            <v>41012</v>
          </cell>
          <cell r="G1756">
            <v>40877</v>
          </cell>
          <cell r="H1756" t="str">
            <v>2011-0.258.617-6</v>
          </cell>
          <cell r="I1756" t="str">
            <v>37.607,88</v>
          </cell>
          <cell r="J1756" t="str">
            <v xml:space="preserve">             123671125                  2863                   33903600</v>
          </cell>
          <cell r="K1756" t="str">
            <v>17/10/2011</v>
          </cell>
          <cell r="L1756">
            <v>45</v>
          </cell>
          <cell r="M1756">
            <v>9500</v>
          </cell>
          <cell r="N1756">
            <v>57287</v>
          </cell>
          <cell r="O1756">
            <v>36082</v>
          </cell>
          <cell r="P1756">
            <v>16</v>
          </cell>
          <cell r="Q1756">
            <v>4</v>
          </cell>
          <cell r="U1756">
            <v>2434.66</v>
          </cell>
          <cell r="V1756">
            <v>6300</v>
          </cell>
          <cell r="W1756">
            <v>180</v>
          </cell>
          <cell r="X1756">
            <v>5040</v>
          </cell>
          <cell r="Y1756">
            <v>0</v>
          </cell>
          <cell r="Z1756">
            <v>0</v>
          </cell>
          <cell r="AA1756">
            <v>13774.66</v>
          </cell>
          <cell r="AB1756">
            <v>208.93266666666665</v>
          </cell>
          <cell r="AC1756">
            <v>6300</v>
          </cell>
          <cell r="AD1756">
            <v>4959.799</v>
          </cell>
          <cell r="AE1756">
            <v>1340.201</v>
          </cell>
          <cell r="AN1756" t="str">
            <v xml:space="preserve">Contrato emergencial nº </v>
          </cell>
          <cell r="AO1756" t="str">
            <v>FO</v>
          </cell>
        </row>
        <row r="1757">
          <cell r="D1757" t="str">
            <v>2893/11</v>
          </cell>
          <cell r="E1757" t="str">
            <v>17/10/2011</v>
          </cell>
          <cell r="F1757">
            <v>41012</v>
          </cell>
          <cell r="G1757">
            <v>40877</v>
          </cell>
          <cell r="H1757" t="str">
            <v>2011-0.258.618-4</v>
          </cell>
          <cell r="I1757" t="str">
            <v>44.324,52</v>
          </cell>
          <cell r="J1757" t="str">
            <v xml:space="preserve">              123611122                  2848                    33903600</v>
          </cell>
          <cell r="K1757" t="str">
            <v>17/10/2011</v>
          </cell>
          <cell r="L1757">
            <v>45</v>
          </cell>
          <cell r="M1757">
            <v>11100</v>
          </cell>
          <cell r="N1757">
            <v>57278</v>
          </cell>
          <cell r="O1757">
            <v>36083</v>
          </cell>
          <cell r="P1757">
            <v>16</v>
          </cell>
          <cell r="Q1757">
            <v>3</v>
          </cell>
          <cell r="U1757">
            <v>3183.68</v>
          </cell>
          <cell r="V1757">
            <v>7400</v>
          </cell>
          <cell r="W1757">
            <v>180</v>
          </cell>
          <cell r="X1757">
            <v>5920</v>
          </cell>
          <cell r="Y1757">
            <v>0</v>
          </cell>
          <cell r="Z1757">
            <v>0</v>
          </cell>
          <cell r="AA1757">
            <v>16503.68</v>
          </cell>
          <cell r="AB1757">
            <v>246.2473333333333</v>
          </cell>
          <cell r="AC1757">
            <v>7400</v>
          </cell>
          <cell r="AD1757">
            <v>6366.2599999999993</v>
          </cell>
          <cell r="AE1757">
            <v>1033.7400000000007</v>
          </cell>
          <cell r="AN1757" t="str">
            <v xml:space="preserve">Contrato emergencial nº </v>
          </cell>
          <cell r="AO1757" t="str">
            <v>FO</v>
          </cell>
        </row>
        <row r="1758">
          <cell r="D1758" t="str">
            <v>2894/11</v>
          </cell>
          <cell r="E1758" t="str">
            <v>17/10/2011</v>
          </cell>
          <cell r="F1758">
            <v>41012</v>
          </cell>
          <cell r="G1758">
            <v>40877</v>
          </cell>
          <cell r="H1758" t="str">
            <v>2011-0.258.619-2</v>
          </cell>
          <cell r="I1758" t="str">
            <v>24.266,22</v>
          </cell>
          <cell r="J1758" t="str">
            <v xml:space="preserve">              123611122                  2848                    33903600</v>
          </cell>
          <cell r="K1758" t="str">
            <v>17/10/2011</v>
          </cell>
          <cell r="L1758">
            <v>45</v>
          </cell>
          <cell r="M1758">
            <v>6100</v>
          </cell>
          <cell r="N1758">
            <v>57278</v>
          </cell>
          <cell r="O1758">
            <v>36086</v>
          </cell>
          <cell r="P1758">
            <v>16</v>
          </cell>
          <cell r="Q1758">
            <v>3</v>
          </cell>
          <cell r="U1758">
            <v>2090.7950000000001</v>
          </cell>
          <cell r="V1758">
            <v>4200</v>
          </cell>
          <cell r="W1758">
            <v>180</v>
          </cell>
          <cell r="X1758">
            <v>3360</v>
          </cell>
          <cell r="Y1758">
            <v>0</v>
          </cell>
          <cell r="Z1758">
            <v>0</v>
          </cell>
          <cell r="AA1758">
            <v>9650.7950000000001</v>
          </cell>
          <cell r="AB1758">
            <v>134.81233333333333</v>
          </cell>
          <cell r="AC1758">
            <v>4100</v>
          </cell>
          <cell r="AD1758">
            <v>4192.24</v>
          </cell>
          <cell r="AE1758">
            <v>-92.239999999999782</v>
          </cell>
          <cell r="AN1758" t="str">
            <v xml:space="preserve">Contrato emergencial nº </v>
          </cell>
          <cell r="AO1758" t="str">
            <v>FO</v>
          </cell>
        </row>
        <row r="1759">
          <cell r="D1759" t="str">
            <v>2895/11</v>
          </cell>
          <cell r="E1759" t="str">
            <v>17/10/2011</v>
          </cell>
          <cell r="F1759">
            <v>41012</v>
          </cell>
          <cell r="G1759">
            <v>40877</v>
          </cell>
          <cell r="H1759" t="str">
            <v>2011-0.258.620-6</v>
          </cell>
          <cell r="I1759" t="str">
            <v>31.012,38</v>
          </cell>
          <cell r="J1759" t="str">
            <v xml:space="preserve">              123651121                 2847                    33903600</v>
          </cell>
          <cell r="K1759" t="str">
            <v>17/10/2011</v>
          </cell>
          <cell r="L1759">
            <v>45</v>
          </cell>
          <cell r="M1759">
            <v>7800</v>
          </cell>
          <cell r="N1759">
            <v>57273</v>
          </cell>
          <cell r="O1759">
            <v>35348</v>
          </cell>
          <cell r="P1759">
            <v>16</v>
          </cell>
          <cell r="Q1759">
            <v>2</v>
          </cell>
          <cell r="U1759">
            <v>0</v>
          </cell>
          <cell r="V1759">
            <v>5400</v>
          </cell>
          <cell r="W1759">
            <v>180</v>
          </cell>
          <cell r="X1759">
            <v>4320</v>
          </cell>
          <cell r="Y1759">
            <v>114448</v>
          </cell>
          <cell r="Z1759">
            <v>5410.18</v>
          </cell>
          <cell r="AA1759">
            <v>4309.82</v>
          </cell>
          <cell r="AB1759">
            <v>172.291</v>
          </cell>
          <cell r="AC1759">
            <v>5200</v>
          </cell>
          <cell r="AD1759">
            <v>5318.85</v>
          </cell>
          <cell r="AE1759">
            <v>-118.85000000000036</v>
          </cell>
          <cell r="AN1759" t="str">
            <v xml:space="preserve">Contrato emergencial nº </v>
          </cell>
          <cell r="AO1759" t="str">
            <v>G</v>
          </cell>
        </row>
        <row r="1760">
          <cell r="D1760" t="str">
            <v>2896/11</v>
          </cell>
          <cell r="E1760" t="str">
            <v>17/10/2011</v>
          </cell>
          <cell r="F1760">
            <v>41012</v>
          </cell>
          <cell r="G1760">
            <v>40877</v>
          </cell>
          <cell r="H1760" t="str">
            <v>2011-0.258.621-4</v>
          </cell>
          <cell r="I1760" t="str">
            <v>37.607,88</v>
          </cell>
          <cell r="J1760" t="str">
            <v xml:space="preserve">              123651121                 2847                    33903600</v>
          </cell>
          <cell r="K1760" t="str">
            <v>17/10/2011</v>
          </cell>
          <cell r="L1760">
            <v>45</v>
          </cell>
          <cell r="M1760">
            <v>9500</v>
          </cell>
          <cell r="N1760">
            <v>57273</v>
          </cell>
          <cell r="O1760">
            <v>35351</v>
          </cell>
          <cell r="P1760">
            <v>16</v>
          </cell>
          <cell r="Q1760">
            <v>2</v>
          </cell>
          <cell r="U1760">
            <v>0</v>
          </cell>
          <cell r="V1760">
            <v>6300</v>
          </cell>
          <cell r="W1760">
            <v>180</v>
          </cell>
          <cell r="X1760">
            <v>5040</v>
          </cell>
          <cell r="Y1760">
            <v>114452</v>
          </cell>
          <cell r="Z1760">
            <v>1164.6600000000001</v>
          </cell>
          <cell r="AA1760">
            <v>10175.34</v>
          </cell>
          <cell r="AB1760">
            <v>208.93266666666665</v>
          </cell>
          <cell r="AC1760">
            <v>6300</v>
          </cell>
          <cell r="AD1760">
            <v>5829.94</v>
          </cell>
          <cell r="AE1760">
            <v>470.0600000000004</v>
          </cell>
          <cell r="AN1760" t="str">
            <v xml:space="preserve">Contrato emergencial nº </v>
          </cell>
          <cell r="AO1760" t="str">
            <v>G</v>
          </cell>
        </row>
        <row r="1761">
          <cell r="D1761" t="str">
            <v>2897/11</v>
          </cell>
          <cell r="E1761" t="str">
            <v>17/10/2011</v>
          </cell>
          <cell r="F1761">
            <v>41012</v>
          </cell>
          <cell r="G1761">
            <v>40877</v>
          </cell>
          <cell r="H1761" t="str">
            <v>2011-0.258.623-0</v>
          </cell>
          <cell r="I1761" t="str">
            <v>37.607,88</v>
          </cell>
          <cell r="J1761" t="str">
            <v xml:space="preserve">              123611122                  2848                    33903600</v>
          </cell>
          <cell r="K1761" t="str">
            <v>17/10/2011</v>
          </cell>
          <cell r="L1761">
            <v>45</v>
          </cell>
          <cell r="M1761">
            <v>9500</v>
          </cell>
          <cell r="N1761">
            <v>57278</v>
          </cell>
          <cell r="O1761">
            <v>35355</v>
          </cell>
          <cell r="P1761">
            <v>16</v>
          </cell>
          <cell r="Q1761">
            <v>3</v>
          </cell>
          <cell r="U1761">
            <v>0</v>
          </cell>
          <cell r="V1761">
            <v>6300</v>
          </cell>
          <cell r="W1761">
            <v>180</v>
          </cell>
          <cell r="X1761">
            <v>5040</v>
          </cell>
          <cell r="Y1761">
            <v>114456</v>
          </cell>
          <cell r="Z1761">
            <v>7156.62</v>
          </cell>
          <cell r="AA1761">
            <v>4183.38</v>
          </cell>
          <cell r="AB1761">
            <v>208.93266666666665</v>
          </cell>
          <cell r="AC1761">
            <v>6300</v>
          </cell>
          <cell r="AD1761">
            <v>5026.9800000000005</v>
          </cell>
          <cell r="AE1761">
            <v>1273.0199999999995</v>
          </cell>
          <cell r="AN1761" t="str">
            <v xml:space="preserve">Contrato emergencial nº </v>
          </cell>
          <cell r="AO1761" t="str">
            <v>G</v>
          </cell>
        </row>
        <row r="1762">
          <cell r="D1762" t="str">
            <v>2898/11</v>
          </cell>
          <cell r="E1762" t="str">
            <v>17/10/2011</v>
          </cell>
          <cell r="F1762">
            <v>41012</v>
          </cell>
          <cell r="G1762">
            <v>40877</v>
          </cell>
          <cell r="H1762" t="str">
            <v>2011-0.258.624-9</v>
          </cell>
          <cell r="I1762" t="str">
            <v>37.607,88</v>
          </cell>
          <cell r="J1762" t="str">
            <v xml:space="preserve">              123611122                  2848                    33903600</v>
          </cell>
          <cell r="K1762" t="str">
            <v>17/10/2011</v>
          </cell>
          <cell r="L1762">
            <v>45</v>
          </cell>
          <cell r="M1762">
            <v>9500</v>
          </cell>
          <cell r="N1762">
            <v>57278</v>
          </cell>
          <cell r="O1762">
            <v>35358</v>
          </cell>
          <cell r="P1762">
            <v>16</v>
          </cell>
          <cell r="Q1762">
            <v>3</v>
          </cell>
          <cell r="U1762">
            <v>0</v>
          </cell>
          <cell r="V1762">
            <v>6300</v>
          </cell>
          <cell r="W1762">
            <v>180</v>
          </cell>
          <cell r="X1762">
            <v>5040</v>
          </cell>
          <cell r="Y1762">
            <v>112903</v>
          </cell>
          <cell r="Z1762">
            <v>7028.57</v>
          </cell>
          <cell r="AA1762">
            <v>4311.43</v>
          </cell>
          <cell r="AB1762">
            <v>208.93266666666665</v>
          </cell>
          <cell r="AC1762">
            <v>6300</v>
          </cell>
          <cell r="AD1762">
            <v>4957.3600000000006</v>
          </cell>
          <cell r="AE1762">
            <v>1342.6399999999994</v>
          </cell>
          <cell r="AN1762" t="str">
            <v xml:space="preserve">Contrato emergencial nº </v>
          </cell>
          <cell r="AO1762" t="str">
            <v>IP</v>
          </cell>
        </row>
        <row r="1763">
          <cell r="D1763" t="str">
            <v>2899/11</v>
          </cell>
          <cell r="E1763" t="str">
            <v>17/10/2011</v>
          </cell>
          <cell r="F1763">
            <v>41012</v>
          </cell>
          <cell r="G1763">
            <v>40877</v>
          </cell>
          <cell r="H1763" t="str">
            <v>2011-0.258.625-7</v>
          </cell>
          <cell r="I1763" t="str">
            <v>38.261,76</v>
          </cell>
          <cell r="J1763" t="str">
            <v xml:space="preserve">              123651121                 2847                    33903600</v>
          </cell>
          <cell r="K1763" t="str">
            <v>17/10/2011</v>
          </cell>
          <cell r="L1763">
            <v>45</v>
          </cell>
          <cell r="M1763">
            <v>9600</v>
          </cell>
          <cell r="N1763">
            <v>57273</v>
          </cell>
          <cell r="O1763">
            <v>35361</v>
          </cell>
          <cell r="P1763">
            <v>16</v>
          </cell>
          <cell r="Q1763">
            <v>2</v>
          </cell>
          <cell r="U1763">
            <v>2897.7596666666668</v>
          </cell>
          <cell r="V1763">
            <v>6400</v>
          </cell>
          <cell r="W1763">
            <v>180</v>
          </cell>
          <cell r="X1763">
            <v>5120</v>
          </cell>
          <cell r="Y1763">
            <v>0</v>
          </cell>
          <cell r="Z1763">
            <v>0</v>
          </cell>
          <cell r="AA1763">
            <v>14417.759666666667</v>
          </cell>
          <cell r="AB1763">
            <v>212.56533333333334</v>
          </cell>
          <cell r="AC1763">
            <v>6400</v>
          </cell>
          <cell r="AD1763">
            <v>6156.5050000000001</v>
          </cell>
          <cell r="AE1763">
            <v>243.49499999999989</v>
          </cell>
          <cell r="AN1763" t="str">
            <v xml:space="preserve">Contrato emergencial nº </v>
          </cell>
          <cell r="AO1763" t="str">
            <v>MP</v>
          </cell>
        </row>
        <row r="1764">
          <cell r="D1764" t="str">
            <v>2900/11</v>
          </cell>
          <cell r="E1764" t="str">
            <v>17/10/2011</v>
          </cell>
          <cell r="F1764">
            <v>41012</v>
          </cell>
          <cell r="G1764">
            <v>40877</v>
          </cell>
          <cell r="H1764" t="str">
            <v>2011-0.258.629-0</v>
          </cell>
          <cell r="I1764" t="str">
            <v>38.261,76</v>
          </cell>
          <cell r="J1764" t="str">
            <v xml:space="preserve">              123611122                  2848                    33903600</v>
          </cell>
          <cell r="K1764" t="str">
            <v>17/10/2011</v>
          </cell>
          <cell r="L1764">
            <v>45</v>
          </cell>
          <cell r="M1764">
            <v>9600</v>
          </cell>
          <cell r="N1764">
            <v>57278</v>
          </cell>
          <cell r="O1764">
            <v>35363</v>
          </cell>
          <cell r="P1764">
            <v>16</v>
          </cell>
          <cell r="Q1764">
            <v>3</v>
          </cell>
          <cell r="U1764">
            <v>0</v>
          </cell>
          <cell r="V1764">
            <v>6400</v>
          </cell>
          <cell r="W1764">
            <v>180</v>
          </cell>
          <cell r="X1764">
            <v>5120</v>
          </cell>
          <cell r="Y1764">
            <v>114728</v>
          </cell>
          <cell r="Z1764">
            <v>7596.63</v>
          </cell>
          <cell r="AA1764">
            <v>3923.37</v>
          </cell>
          <cell r="AB1764">
            <v>212.56533333333334</v>
          </cell>
          <cell r="AC1764">
            <v>6400</v>
          </cell>
          <cell r="AD1764">
            <v>4350.08</v>
          </cell>
          <cell r="AE1764">
            <v>2049.92</v>
          </cell>
          <cell r="AN1764" t="str">
            <v xml:space="preserve">Contrato emergencial nº </v>
          </cell>
          <cell r="AO1764" t="str">
            <v>JT</v>
          </cell>
        </row>
        <row r="1765">
          <cell r="D1765" t="str">
            <v>2901/11</v>
          </cell>
          <cell r="E1765" t="str">
            <v>17/10/2011</v>
          </cell>
          <cell r="F1765">
            <v>41012</v>
          </cell>
          <cell r="G1765">
            <v>40877</v>
          </cell>
          <cell r="H1765" t="str">
            <v>2011-0.258.630-3</v>
          </cell>
          <cell r="I1765" t="str">
            <v>40.877,16</v>
          </cell>
          <cell r="J1765" t="str">
            <v xml:space="preserve">              123651121                 2847                    33903600</v>
          </cell>
          <cell r="K1765" t="str">
            <v>17/10/2011</v>
          </cell>
          <cell r="L1765">
            <v>45</v>
          </cell>
          <cell r="M1765">
            <v>10300</v>
          </cell>
          <cell r="N1765">
            <v>57273</v>
          </cell>
          <cell r="O1765">
            <v>35364</v>
          </cell>
          <cell r="P1765">
            <v>16</v>
          </cell>
          <cell r="Q1765">
            <v>2</v>
          </cell>
          <cell r="U1765">
            <v>0</v>
          </cell>
          <cell r="V1765">
            <v>6900</v>
          </cell>
          <cell r="W1765">
            <v>180</v>
          </cell>
          <cell r="X1765">
            <v>5520</v>
          </cell>
          <cell r="Y1765">
            <v>114733</v>
          </cell>
          <cell r="Z1765">
            <v>7697.34</v>
          </cell>
          <cell r="AA1765">
            <v>4722.66</v>
          </cell>
          <cell r="AB1765">
            <v>227.09533333333334</v>
          </cell>
          <cell r="AC1765">
            <v>6900</v>
          </cell>
          <cell r="AD1765">
            <v>5755.62</v>
          </cell>
          <cell r="AE1765">
            <v>1144.3800000000001</v>
          </cell>
          <cell r="AN1765" t="str">
            <v xml:space="preserve">Contrato emergencial nº </v>
          </cell>
          <cell r="AO1765" t="str">
            <v>JT</v>
          </cell>
        </row>
        <row r="1766">
          <cell r="D1766" t="str">
            <v>2902/11</v>
          </cell>
          <cell r="E1766" t="str">
            <v>17/10/2011</v>
          </cell>
          <cell r="F1766">
            <v>41012</v>
          </cell>
          <cell r="G1766">
            <v>40877</v>
          </cell>
          <cell r="H1766" t="str">
            <v>2011-0.258.631-1</v>
          </cell>
          <cell r="I1766" t="str">
            <v>34.992,66</v>
          </cell>
          <cell r="J1766" t="str">
            <v xml:space="preserve">              123651121                 2847                    33903600</v>
          </cell>
          <cell r="K1766" t="str">
            <v>17/10/2011</v>
          </cell>
          <cell r="L1766">
            <v>45</v>
          </cell>
          <cell r="M1766">
            <v>8800</v>
          </cell>
          <cell r="N1766">
            <v>57273</v>
          </cell>
          <cell r="O1766">
            <v>35366</v>
          </cell>
          <cell r="P1766">
            <v>16</v>
          </cell>
          <cell r="Q1766">
            <v>2</v>
          </cell>
          <cell r="U1766">
            <v>0</v>
          </cell>
          <cell r="V1766">
            <v>5900</v>
          </cell>
          <cell r="W1766">
            <v>180</v>
          </cell>
          <cell r="X1766">
            <v>4720</v>
          </cell>
          <cell r="Y1766">
            <v>114762</v>
          </cell>
          <cell r="Z1766">
            <v>6115.09</v>
          </cell>
          <cell r="AA1766">
            <v>4504.91</v>
          </cell>
          <cell r="AB1766">
            <v>194.40366666666668</v>
          </cell>
          <cell r="AC1766">
            <v>5900</v>
          </cell>
          <cell r="AD1766">
            <v>5633.3899999999994</v>
          </cell>
          <cell r="AE1766">
            <v>266.61000000000058</v>
          </cell>
          <cell r="AN1766" t="str">
            <v xml:space="preserve">Contrato emergencial nº </v>
          </cell>
          <cell r="AO1766" t="str">
            <v>JT</v>
          </cell>
        </row>
        <row r="1767">
          <cell r="D1767" t="str">
            <v>2903/11</v>
          </cell>
          <cell r="E1767" t="str">
            <v>17/10/2011</v>
          </cell>
          <cell r="F1767">
            <v>41012</v>
          </cell>
          <cell r="G1767">
            <v>40877</v>
          </cell>
          <cell r="H1767" t="str">
            <v>2011-0.258.632-0</v>
          </cell>
          <cell r="I1767" t="str">
            <v>37.607,88</v>
          </cell>
          <cell r="J1767" t="str">
            <v xml:space="preserve">              123611122                  2848                    33903600</v>
          </cell>
          <cell r="K1767" t="str">
            <v>17/10/2011</v>
          </cell>
          <cell r="L1767">
            <v>45</v>
          </cell>
          <cell r="M1767">
            <v>9500</v>
          </cell>
          <cell r="N1767">
            <v>57278</v>
          </cell>
          <cell r="O1767">
            <v>35367</v>
          </cell>
          <cell r="P1767">
            <v>16</v>
          </cell>
          <cell r="Q1767">
            <v>3</v>
          </cell>
          <cell r="U1767">
            <v>0</v>
          </cell>
          <cell r="V1767">
            <v>6300</v>
          </cell>
          <cell r="W1767">
            <v>180</v>
          </cell>
          <cell r="X1767">
            <v>5040</v>
          </cell>
          <cell r="Y1767">
            <v>114769</v>
          </cell>
          <cell r="Z1767">
            <v>6791.09</v>
          </cell>
          <cell r="AA1767">
            <v>4548.91</v>
          </cell>
          <cell r="AB1767">
            <v>208.93266666666665</v>
          </cell>
          <cell r="AC1767">
            <v>6300</v>
          </cell>
          <cell r="AD1767">
            <v>5805.1500000000005</v>
          </cell>
          <cell r="AE1767">
            <v>494.84999999999945</v>
          </cell>
          <cell r="AN1767" t="str">
            <v xml:space="preserve">Contrato emergencial nº </v>
          </cell>
          <cell r="AO1767" t="str">
            <v>JT</v>
          </cell>
        </row>
        <row r="1768">
          <cell r="D1768" t="str">
            <v>2904/11</v>
          </cell>
          <cell r="E1768" t="str">
            <v>17/10/2011</v>
          </cell>
          <cell r="F1768">
            <v>41012</v>
          </cell>
          <cell r="G1768">
            <v>40877</v>
          </cell>
          <cell r="H1768" t="str">
            <v>2011-0.258.636-2</v>
          </cell>
          <cell r="I1768" t="str">
            <v>38.261,76</v>
          </cell>
          <cell r="J1768" t="str">
            <v xml:space="preserve">              123651121                 2847                    33903600</v>
          </cell>
          <cell r="K1768" t="str">
            <v>17/10/2011</v>
          </cell>
          <cell r="L1768">
            <v>45</v>
          </cell>
          <cell r="M1768">
            <v>9600</v>
          </cell>
          <cell r="N1768">
            <v>57273</v>
          </cell>
          <cell r="O1768">
            <v>35368</v>
          </cell>
          <cell r="P1768">
            <v>16</v>
          </cell>
          <cell r="Q1768">
            <v>2</v>
          </cell>
          <cell r="U1768">
            <v>2905.2396666666668</v>
          </cell>
          <cell r="V1768">
            <v>6400</v>
          </cell>
          <cell r="W1768">
            <v>180</v>
          </cell>
          <cell r="X1768">
            <v>5120</v>
          </cell>
          <cell r="Y1768">
            <v>0</v>
          </cell>
          <cell r="Z1768">
            <v>0</v>
          </cell>
          <cell r="AA1768">
            <v>14425.239666666666</v>
          </cell>
          <cell r="AB1768">
            <v>212.56533333333334</v>
          </cell>
          <cell r="AC1768">
            <v>6400</v>
          </cell>
          <cell r="AD1768">
            <v>6185.01</v>
          </cell>
          <cell r="AE1768">
            <v>214.98999999999978</v>
          </cell>
          <cell r="AN1768" t="str">
            <v xml:space="preserve">Contrato emergencial nº </v>
          </cell>
          <cell r="AO1768" t="str">
            <v>MP</v>
          </cell>
        </row>
        <row r="1769">
          <cell r="D1769" t="str">
            <v>2905/11</v>
          </cell>
          <cell r="E1769" t="str">
            <v>17/10/2011</v>
          </cell>
          <cell r="F1769">
            <v>41012</v>
          </cell>
          <cell r="G1769">
            <v>40877</v>
          </cell>
          <cell r="H1769" t="str">
            <v>2011-0.258.637-0</v>
          </cell>
          <cell r="I1769" t="str">
            <v>44.324,52</v>
          </cell>
          <cell r="J1769" t="str">
            <v xml:space="preserve">              123651121                 2847                    33903600</v>
          </cell>
          <cell r="K1769" t="str">
            <v>17/10/2011</v>
          </cell>
          <cell r="L1769">
            <v>45</v>
          </cell>
          <cell r="M1769">
            <v>11100</v>
          </cell>
          <cell r="N1769">
            <v>57273</v>
          </cell>
          <cell r="O1769">
            <v>35369</v>
          </cell>
          <cell r="P1769">
            <v>16</v>
          </cell>
          <cell r="Q1769">
            <v>2</v>
          </cell>
          <cell r="U1769">
            <v>3105.1310000000003</v>
          </cell>
          <cell r="V1769">
            <v>7400</v>
          </cell>
          <cell r="W1769">
            <v>180</v>
          </cell>
          <cell r="X1769">
            <v>5920</v>
          </cell>
          <cell r="Y1769">
            <v>0</v>
          </cell>
          <cell r="Z1769">
            <v>0</v>
          </cell>
          <cell r="AA1769">
            <v>16425.131000000001</v>
          </cell>
          <cell r="AB1769">
            <v>246.2473333333333</v>
          </cell>
          <cell r="AC1769">
            <v>7400</v>
          </cell>
          <cell r="AD1769">
            <v>6618.77</v>
          </cell>
          <cell r="AE1769">
            <v>781.22999999999956</v>
          </cell>
          <cell r="AN1769" t="str">
            <v xml:space="preserve">Contrato emergencial nº </v>
          </cell>
          <cell r="AO1769" t="str">
            <v>MP</v>
          </cell>
        </row>
        <row r="1770">
          <cell r="D1770" t="str">
            <v>2906/11</v>
          </cell>
          <cell r="E1770" t="str">
            <v>17/10/2011</v>
          </cell>
          <cell r="F1770">
            <v>41012</v>
          </cell>
          <cell r="G1770">
            <v>40877</v>
          </cell>
          <cell r="H1770" t="str">
            <v>2011-0.258.638-9</v>
          </cell>
          <cell r="I1770" t="str">
            <v>44.324,52</v>
          </cell>
          <cell r="J1770" t="str">
            <v xml:space="preserve">              123651121                 2847                    33903600</v>
          </cell>
          <cell r="K1770" t="str">
            <v>17/10/2011</v>
          </cell>
          <cell r="L1770">
            <v>45</v>
          </cell>
          <cell r="M1770">
            <v>11100</v>
          </cell>
          <cell r="N1770">
            <v>57273</v>
          </cell>
          <cell r="O1770">
            <v>35370</v>
          </cell>
          <cell r="P1770">
            <v>16</v>
          </cell>
          <cell r="Q1770">
            <v>2</v>
          </cell>
          <cell r="U1770">
            <v>2937.4026666666668</v>
          </cell>
          <cell r="V1770">
            <v>7400</v>
          </cell>
          <cell r="W1770">
            <v>180</v>
          </cell>
          <cell r="X1770">
            <v>5920</v>
          </cell>
          <cell r="Y1770">
            <v>0</v>
          </cell>
          <cell r="Z1770">
            <v>0</v>
          </cell>
          <cell r="AA1770">
            <v>16257.402666666667</v>
          </cell>
          <cell r="AB1770">
            <v>246.2473333333333</v>
          </cell>
          <cell r="AC1770">
            <v>7400</v>
          </cell>
          <cell r="AD1770">
            <v>6757.96</v>
          </cell>
          <cell r="AE1770">
            <v>642.04</v>
          </cell>
          <cell r="AN1770" t="str">
            <v xml:space="preserve">Contrato emergencial nº </v>
          </cell>
          <cell r="AO1770" t="str">
            <v>MP</v>
          </cell>
        </row>
        <row r="1771">
          <cell r="D1771" t="str">
            <v>2907/11</v>
          </cell>
          <cell r="E1771" t="str">
            <v>17/10/2011</v>
          </cell>
          <cell r="F1771">
            <v>41012</v>
          </cell>
          <cell r="G1771">
            <v>40877</v>
          </cell>
          <cell r="H1771" t="str">
            <v>2011-0.258.640-0</v>
          </cell>
          <cell r="I1771" t="str">
            <v>44.324,52</v>
          </cell>
          <cell r="J1771" t="str">
            <v xml:space="preserve">              123611122                  2848                    33903600</v>
          </cell>
          <cell r="K1771" t="str">
            <v>17/10/2011</v>
          </cell>
          <cell r="L1771">
            <v>45</v>
          </cell>
          <cell r="M1771">
            <v>11100</v>
          </cell>
          <cell r="N1771">
            <v>57278</v>
          </cell>
          <cell r="O1771">
            <v>35374</v>
          </cell>
          <cell r="P1771">
            <v>16</v>
          </cell>
          <cell r="Q1771">
            <v>3</v>
          </cell>
          <cell r="U1771">
            <v>2723.724666666667</v>
          </cell>
          <cell r="V1771">
            <v>7400</v>
          </cell>
          <cell r="W1771">
            <v>180</v>
          </cell>
          <cell r="X1771">
            <v>5920</v>
          </cell>
          <cell r="Y1771">
            <v>0</v>
          </cell>
          <cell r="Z1771">
            <v>0</v>
          </cell>
          <cell r="AA1771">
            <v>16043.724666666667</v>
          </cell>
          <cell r="AB1771">
            <v>246.2473333333333</v>
          </cell>
          <cell r="AC1771">
            <v>7400</v>
          </cell>
          <cell r="AD1771">
            <v>5828.41</v>
          </cell>
          <cell r="AE1771">
            <v>1571.5900000000001</v>
          </cell>
          <cell r="AN1771" t="str">
            <v xml:space="preserve">Contrato emergencial nº </v>
          </cell>
          <cell r="AO1771" t="str">
            <v>MP</v>
          </cell>
        </row>
        <row r="1772">
          <cell r="D1772" t="str">
            <v>2908/11</v>
          </cell>
          <cell r="E1772" t="str">
            <v>17/10/2011</v>
          </cell>
          <cell r="F1772">
            <v>41012</v>
          </cell>
          <cell r="G1772">
            <v>40877</v>
          </cell>
          <cell r="H1772" t="str">
            <v>2011-0.258.642-7</v>
          </cell>
          <cell r="I1772" t="str">
            <v>37.607,88</v>
          </cell>
          <cell r="J1772" t="str">
            <v xml:space="preserve">              123611122                  2848                    33903600</v>
          </cell>
          <cell r="K1772" t="str">
            <v>17/10/2011</v>
          </cell>
          <cell r="L1772">
            <v>45</v>
          </cell>
          <cell r="M1772">
            <v>9500</v>
          </cell>
          <cell r="N1772">
            <v>57278</v>
          </cell>
          <cell r="O1772">
            <v>35376</v>
          </cell>
          <cell r="P1772">
            <v>16</v>
          </cell>
          <cell r="Q1772">
            <v>3</v>
          </cell>
          <cell r="U1772">
            <v>0</v>
          </cell>
          <cell r="V1772">
            <v>6500</v>
          </cell>
          <cell r="W1772">
            <v>180</v>
          </cell>
          <cell r="X1772">
            <v>5200</v>
          </cell>
          <cell r="Y1772">
            <v>113169</v>
          </cell>
          <cell r="Z1772">
            <v>6518.89</v>
          </cell>
          <cell r="AA1772">
            <v>5181.1099999999997</v>
          </cell>
          <cell r="AB1772">
            <v>208.93266666666665</v>
          </cell>
          <cell r="AC1772">
            <v>6300</v>
          </cell>
          <cell r="AD1772">
            <v>6416.48</v>
          </cell>
          <cell r="AE1772">
            <v>-116.47999999999956</v>
          </cell>
          <cell r="AN1772" t="str">
            <v xml:space="preserve">Contrato emergencial nº </v>
          </cell>
          <cell r="AO1772" t="str">
            <v>PJ</v>
          </cell>
        </row>
        <row r="1773">
          <cell r="D1773" t="str">
            <v>2909/11</v>
          </cell>
          <cell r="E1773" t="str">
            <v>17/10/2011</v>
          </cell>
          <cell r="F1773">
            <v>41012</v>
          </cell>
          <cell r="G1773">
            <v>40877</v>
          </cell>
          <cell r="H1773" t="str">
            <v>2011-0.258.644-3</v>
          </cell>
          <cell r="I1773" t="str">
            <v>31.824,66</v>
          </cell>
          <cell r="J1773" t="str">
            <v xml:space="preserve">              123651121                 2847                    33903600</v>
          </cell>
          <cell r="K1773" t="str">
            <v>17/10/2011</v>
          </cell>
          <cell r="L1773">
            <v>45</v>
          </cell>
          <cell r="M1773">
            <v>8000</v>
          </cell>
          <cell r="N1773">
            <v>57273</v>
          </cell>
          <cell r="O1773">
            <v>35379</v>
          </cell>
          <cell r="P1773">
            <v>16</v>
          </cell>
          <cell r="Q1773">
            <v>2</v>
          </cell>
          <cell r="U1773">
            <v>0</v>
          </cell>
          <cell r="V1773">
            <v>5400</v>
          </cell>
          <cell r="W1773">
            <v>180</v>
          </cell>
          <cell r="X1773">
            <v>4320</v>
          </cell>
          <cell r="Y1773">
            <v>114574</v>
          </cell>
          <cell r="Z1773">
            <v>5053.05</v>
          </cell>
          <cell r="AA1773">
            <v>4666.95</v>
          </cell>
          <cell r="AB1773">
            <v>176.80366666666666</v>
          </cell>
          <cell r="AC1773">
            <v>5400</v>
          </cell>
          <cell r="AD1773">
            <v>4924.1100000000006</v>
          </cell>
          <cell r="AE1773">
            <v>475.88999999999942</v>
          </cell>
          <cell r="AN1773" t="str">
            <v xml:space="preserve">Contrato emergencial nº </v>
          </cell>
          <cell r="AO1773" t="str">
            <v>SA</v>
          </cell>
        </row>
        <row r="1774">
          <cell r="D1774" t="str">
            <v>2910/11</v>
          </cell>
          <cell r="E1774" t="str">
            <v>17/10/2011</v>
          </cell>
          <cell r="F1774">
            <v>41012</v>
          </cell>
          <cell r="G1774">
            <v>40877</v>
          </cell>
          <cell r="H1774" t="str">
            <v>2011-0.258.645-1</v>
          </cell>
          <cell r="I1774" t="str">
            <v>44.324,52</v>
          </cell>
          <cell r="J1774" t="str">
            <v xml:space="preserve">              123651121                 2847                    33903600</v>
          </cell>
          <cell r="K1774" t="str">
            <v>17/10/2011</v>
          </cell>
          <cell r="L1774">
            <v>45</v>
          </cell>
          <cell r="M1774">
            <v>11100</v>
          </cell>
          <cell r="N1774">
            <v>57273</v>
          </cell>
          <cell r="O1774">
            <v>35381</v>
          </cell>
          <cell r="P1774">
            <v>16</v>
          </cell>
          <cell r="Q1774">
            <v>2</v>
          </cell>
          <cell r="U1774">
            <v>0</v>
          </cell>
          <cell r="V1774">
            <v>7400</v>
          </cell>
          <cell r="W1774">
            <v>180</v>
          </cell>
          <cell r="X1774">
            <v>5920</v>
          </cell>
          <cell r="Y1774">
            <v>114577</v>
          </cell>
          <cell r="Z1774">
            <v>8386.52</v>
          </cell>
          <cell r="AA1774">
            <v>4933.4799999999996</v>
          </cell>
          <cell r="AB1774">
            <v>246.2473333333333</v>
          </cell>
          <cell r="AC1774">
            <v>7400</v>
          </cell>
          <cell r="AD1774">
            <v>5885.35</v>
          </cell>
          <cell r="AE1774">
            <v>1514.6499999999996</v>
          </cell>
          <cell r="AN1774" t="str">
            <v xml:space="preserve">Contrato emergencial nº </v>
          </cell>
          <cell r="AO1774" t="str">
            <v>SA</v>
          </cell>
        </row>
        <row r="1775">
          <cell r="D1775" t="str">
            <v>2911/11</v>
          </cell>
          <cell r="E1775" t="str">
            <v>17/10/2011</v>
          </cell>
          <cell r="F1775">
            <v>41012</v>
          </cell>
          <cell r="G1775">
            <v>40877</v>
          </cell>
          <cell r="H1775" t="str">
            <v>2011-0.258.648-6</v>
          </cell>
          <cell r="I1775" t="str">
            <v>44.978,40</v>
          </cell>
          <cell r="J1775" t="str">
            <v xml:space="preserve">              123651121                 2847                    33903600</v>
          </cell>
          <cell r="K1775" t="str">
            <v>17/10/2011</v>
          </cell>
          <cell r="L1775">
            <v>45</v>
          </cell>
          <cell r="M1775">
            <v>11300</v>
          </cell>
          <cell r="N1775">
            <v>57273</v>
          </cell>
          <cell r="O1775">
            <v>35382</v>
          </cell>
          <cell r="P1775">
            <v>16</v>
          </cell>
          <cell r="Q1775">
            <v>2</v>
          </cell>
          <cell r="U1775">
            <v>0</v>
          </cell>
          <cell r="V1775">
            <v>7500</v>
          </cell>
          <cell r="W1775">
            <v>180</v>
          </cell>
          <cell r="X1775">
            <v>6000</v>
          </cell>
          <cell r="Y1775">
            <v>113003</v>
          </cell>
          <cell r="Z1775">
            <v>7959.45</v>
          </cell>
          <cell r="AA1775">
            <v>5540.55</v>
          </cell>
          <cell r="AB1775">
            <v>249.88</v>
          </cell>
          <cell r="AC1775">
            <v>7500</v>
          </cell>
          <cell r="AD1775">
            <v>7415.84</v>
          </cell>
          <cell r="AE1775">
            <v>84.159999999999854</v>
          </cell>
          <cell r="AN1775" t="str">
            <v xml:space="preserve">Contrato emergencial nº </v>
          </cell>
          <cell r="AO1775" t="str">
            <v>SM</v>
          </cell>
        </row>
        <row r="1776">
          <cell r="D1776" t="str">
            <v>2912/11</v>
          </cell>
          <cell r="E1776" t="str">
            <v>17/10/2011</v>
          </cell>
          <cell r="F1776">
            <v>41012</v>
          </cell>
          <cell r="G1776">
            <v>40877</v>
          </cell>
          <cell r="H1776" t="str">
            <v>2011-0.258.650-8</v>
          </cell>
          <cell r="I1776" t="str">
            <v>31.418,52</v>
          </cell>
          <cell r="J1776" t="str">
            <v xml:space="preserve">              123651121                 2847                    33903600</v>
          </cell>
          <cell r="K1776" t="str">
            <v>17/10/2011</v>
          </cell>
          <cell r="L1776">
            <v>45</v>
          </cell>
          <cell r="M1776">
            <v>7900</v>
          </cell>
          <cell r="N1776">
            <v>57273</v>
          </cell>
          <cell r="O1776">
            <v>35384</v>
          </cell>
          <cell r="P1776">
            <v>16</v>
          </cell>
          <cell r="Q1776">
            <v>2</v>
          </cell>
          <cell r="U1776">
            <v>0</v>
          </cell>
          <cell r="V1776">
            <v>5300</v>
          </cell>
          <cell r="W1776">
            <v>180</v>
          </cell>
          <cell r="X1776">
            <v>4240</v>
          </cell>
          <cell r="Y1776">
            <v>113138</v>
          </cell>
          <cell r="Z1776">
            <v>5574.7479999999996</v>
          </cell>
          <cell r="AA1776">
            <v>3965.2520000000004</v>
          </cell>
          <cell r="AB1776">
            <v>174.54733333333334</v>
          </cell>
          <cell r="AC1776">
            <v>5300</v>
          </cell>
          <cell r="AD1776">
            <v>4973.5400000000009</v>
          </cell>
          <cell r="AE1776">
            <v>326.45999999999913</v>
          </cell>
          <cell r="AN1776" t="str">
            <v xml:space="preserve">Contrato emergencial nº </v>
          </cell>
          <cell r="AO1776" t="str">
            <v>CS</v>
          </cell>
        </row>
        <row r="1777">
          <cell r="D1777" t="str">
            <v>2913/11</v>
          </cell>
          <cell r="E1777" t="str">
            <v>17/10/2011</v>
          </cell>
          <cell r="F1777">
            <v>41012</v>
          </cell>
          <cell r="G1777">
            <v>40877</v>
          </cell>
          <cell r="H1777" t="str">
            <v>2011-0.258.651-6</v>
          </cell>
          <cell r="I1777" t="str">
            <v>31.012,38</v>
          </cell>
          <cell r="J1777" t="str">
            <v xml:space="preserve">              123611122                  2848                    33903600</v>
          </cell>
          <cell r="K1777" t="str">
            <v>17/10/2011</v>
          </cell>
          <cell r="L1777">
            <v>45</v>
          </cell>
          <cell r="M1777">
            <v>7800</v>
          </cell>
          <cell r="N1777">
            <v>57278</v>
          </cell>
          <cell r="O1777">
            <v>35386</v>
          </cell>
          <cell r="P1777">
            <v>16</v>
          </cell>
          <cell r="Q1777">
            <v>3</v>
          </cell>
          <cell r="U1777">
            <v>2439.7249999999999</v>
          </cell>
          <cell r="V1777">
            <v>5200</v>
          </cell>
          <cell r="W1777">
            <v>180</v>
          </cell>
          <cell r="X1777">
            <v>4160</v>
          </cell>
          <cell r="Y1777">
            <v>0</v>
          </cell>
          <cell r="Z1777">
            <v>0</v>
          </cell>
          <cell r="AA1777">
            <v>11799.725</v>
          </cell>
          <cell r="AB1777">
            <v>172.291</v>
          </cell>
          <cell r="AC1777">
            <v>5200</v>
          </cell>
          <cell r="AD1777">
            <v>5073.3500000000004</v>
          </cell>
          <cell r="AE1777">
            <v>126.64999999999964</v>
          </cell>
          <cell r="AN1777" t="str">
            <v xml:space="preserve">Contrato emergencial nº </v>
          </cell>
          <cell r="AO1777" t="str">
            <v>FO</v>
          </cell>
        </row>
        <row r="1778">
          <cell r="D1778" t="str">
            <v>2914/11</v>
          </cell>
          <cell r="E1778" t="str">
            <v>17/10/2011</v>
          </cell>
          <cell r="F1778">
            <v>41012</v>
          </cell>
          <cell r="G1778">
            <v>40877</v>
          </cell>
          <cell r="H1778" t="str">
            <v>2011-0.258.652-4</v>
          </cell>
          <cell r="I1778" t="str">
            <v>31.012,38</v>
          </cell>
          <cell r="J1778" t="str">
            <v xml:space="preserve">              123611122                  2848                    33903600</v>
          </cell>
          <cell r="K1778" t="str">
            <v>17/10/2011</v>
          </cell>
          <cell r="L1778">
            <v>45</v>
          </cell>
          <cell r="M1778">
            <v>7800</v>
          </cell>
          <cell r="N1778">
            <v>57278</v>
          </cell>
          <cell r="O1778">
            <v>35388</v>
          </cell>
          <cell r="P1778">
            <v>16</v>
          </cell>
          <cell r="Q1778">
            <v>3</v>
          </cell>
          <cell r="U1778">
            <v>0</v>
          </cell>
          <cell r="V1778">
            <v>5200</v>
          </cell>
          <cell r="W1778">
            <v>180</v>
          </cell>
          <cell r="X1778">
            <v>4160</v>
          </cell>
          <cell r="Y1778">
            <v>114462</v>
          </cell>
          <cell r="Z1778">
            <v>5796.97</v>
          </cell>
          <cell r="AA1778">
            <v>3563.0299999999997</v>
          </cell>
          <cell r="AB1778">
            <v>172.291</v>
          </cell>
          <cell r="AC1778">
            <v>5200</v>
          </cell>
          <cell r="AD1778">
            <v>5200</v>
          </cell>
          <cell r="AE1778">
            <v>0</v>
          </cell>
          <cell r="AN1778" t="str">
            <v xml:space="preserve">Contrato emergencial nº </v>
          </cell>
          <cell r="AO1778" t="str">
            <v>G</v>
          </cell>
        </row>
        <row r="1779">
          <cell r="D1779" t="str">
            <v>2915/11</v>
          </cell>
          <cell r="E1779" t="str">
            <v>17/10/2011</v>
          </cell>
          <cell r="F1779">
            <v>41012</v>
          </cell>
          <cell r="G1779">
            <v>40877</v>
          </cell>
          <cell r="H1779" t="str">
            <v>2011-0.258.653-2</v>
          </cell>
          <cell r="I1779" t="str">
            <v>30.606,24</v>
          </cell>
          <cell r="J1779" t="str">
            <v xml:space="preserve">              123651121                 2847                    33903600</v>
          </cell>
          <cell r="K1779" t="str">
            <v>17/10/2011</v>
          </cell>
          <cell r="L1779">
            <v>45</v>
          </cell>
          <cell r="M1779">
            <v>7700</v>
          </cell>
          <cell r="N1779">
            <v>57273</v>
          </cell>
          <cell r="O1779">
            <v>35390</v>
          </cell>
          <cell r="P1779">
            <v>16</v>
          </cell>
          <cell r="Q1779">
            <v>2</v>
          </cell>
          <cell r="U1779">
            <v>2401.2463333333335</v>
          </cell>
          <cell r="V1779">
            <v>5200</v>
          </cell>
          <cell r="W1779">
            <v>180</v>
          </cell>
          <cell r="X1779">
            <v>4160</v>
          </cell>
          <cell r="Y1779">
            <v>0</v>
          </cell>
          <cell r="Z1779">
            <v>0</v>
          </cell>
          <cell r="AA1779">
            <v>11761.246333333333</v>
          </cell>
          <cell r="AB1779">
            <v>170.03466666666668</v>
          </cell>
          <cell r="AC1779">
            <v>5200</v>
          </cell>
          <cell r="AD1779">
            <v>5200</v>
          </cell>
          <cell r="AE1779">
            <v>0</v>
          </cell>
          <cell r="AN1779" t="str">
            <v xml:space="preserve">Contrato emergencial nº </v>
          </cell>
          <cell r="AO1779" t="str">
            <v>MP</v>
          </cell>
        </row>
        <row r="1780">
          <cell r="D1780" t="str">
            <v>2916/11</v>
          </cell>
          <cell r="E1780" t="str">
            <v>17/10/2011</v>
          </cell>
          <cell r="F1780">
            <v>41012</v>
          </cell>
          <cell r="G1780">
            <v>40877</v>
          </cell>
          <cell r="H1780" t="str">
            <v>2011-0.258.655-9</v>
          </cell>
          <cell r="I1780" t="str">
            <v>31.418,52</v>
          </cell>
          <cell r="J1780" t="str">
            <v xml:space="preserve">              123651121                 2847                    33903600</v>
          </cell>
          <cell r="K1780" t="str">
            <v>17/10/2011</v>
          </cell>
          <cell r="L1780">
            <v>45</v>
          </cell>
          <cell r="M1780">
            <v>7900</v>
          </cell>
          <cell r="N1780">
            <v>57273</v>
          </cell>
          <cell r="O1780">
            <v>35392</v>
          </cell>
          <cell r="P1780">
            <v>16</v>
          </cell>
          <cell r="Q1780">
            <v>2</v>
          </cell>
          <cell r="U1780">
            <v>0</v>
          </cell>
          <cell r="V1780">
            <v>6000</v>
          </cell>
          <cell r="W1780">
            <v>180</v>
          </cell>
          <cell r="X1780">
            <v>4800</v>
          </cell>
          <cell r="Y1780">
            <v>113152</v>
          </cell>
          <cell r="Z1780">
            <v>5160.8519999999999</v>
          </cell>
          <cell r="AA1780">
            <v>5639.1480000000001</v>
          </cell>
          <cell r="AB1780">
            <v>174.54733333333334</v>
          </cell>
          <cell r="AC1780">
            <v>5300</v>
          </cell>
          <cell r="AD1780">
            <v>5931.34</v>
          </cell>
          <cell r="AE1780">
            <v>-631.34000000000015</v>
          </cell>
          <cell r="AN1780" t="str">
            <v xml:space="preserve">Contrato emergencial nº </v>
          </cell>
          <cell r="AO1780" t="str">
            <v>CS</v>
          </cell>
        </row>
        <row r="1781">
          <cell r="D1781" t="str">
            <v>2917/11</v>
          </cell>
          <cell r="E1781" t="str">
            <v>17/10/2011</v>
          </cell>
          <cell r="F1781">
            <v>41012</v>
          </cell>
          <cell r="G1781">
            <v>40877</v>
          </cell>
          <cell r="H1781" t="str">
            <v>2011-0.258.657-5</v>
          </cell>
          <cell r="I1781" t="str">
            <v>27.158,88</v>
          </cell>
          <cell r="J1781" t="str">
            <v xml:space="preserve">              123611122                  2848                    33903600</v>
          </cell>
          <cell r="K1781" t="str">
            <v>17/10/2011</v>
          </cell>
          <cell r="L1781">
            <v>45</v>
          </cell>
          <cell r="M1781">
            <v>6800</v>
          </cell>
          <cell r="N1781">
            <v>57278</v>
          </cell>
          <cell r="O1781">
            <v>35395</v>
          </cell>
          <cell r="P1781">
            <v>16</v>
          </cell>
          <cell r="Q1781">
            <v>3</v>
          </cell>
          <cell r="U1781">
            <v>0</v>
          </cell>
          <cell r="V1781">
            <v>5400</v>
          </cell>
          <cell r="W1781">
            <v>180</v>
          </cell>
          <cell r="X1781">
            <v>4320</v>
          </cell>
          <cell r="Y1781">
            <v>113155</v>
          </cell>
          <cell r="Z1781">
            <v>4109.7933333333331</v>
          </cell>
          <cell r="AA1781">
            <v>5610.2066666666669</v>
          </cell>
          <cell r="AB1781">
            <v>150.88266666666667</v>
          </cell>
          <cell r="AC1781">
            <v>4600</v>
          </cell>
          <cell r="AD1781">
            <v>5351.14</v>
          </cell>
          <cell r="AE1781">
            <v>-751.14000000000033</v>
          </cell>
          <cell r="AN1781" t="str">
            <v xml:space="preserve">Contrato emergencial nº </v>
          </cell>
          <cell r="AO1781" t="str">
            <v>CS</v>
          </cell>
        </row>
        <row r="1782">
          <cell r="D1782" t="str">
            <v>2918/11</v>
          </cell>
          <cell r="E1782" t="str">
            <v>17/10/2011</v>
          </cell>
          <cell r="F1782">
            <v>41012</v>
          </cell>
          <cell r="G1782">
            <v>40877</v>
          </cell>
          <cell r="H1782" t="str">
            <v>2011-0.258.658-3</v>
          </cell>
          <cell r="I1782" t="str">
            <v>30.606,24</v>
          </cell>
          <cell r="J1782" t="str">
            <v xml:space="preserve">              123611122                  2848                    33903600</v>
          </cell>
          <cell r="K1782" t="str">
            <v>17/10/2011</v>
          </cell>
          <cell r="L1782">
            <v>45</v>
          </cell>
          <cell r="M1782">
            <v>7700</v>
          </cell>
          <cell r="N1782">
            <v>57278</v>
          </cell>
          <cell r="O1782">
            <v>35397</v>
          </cell>
          <cell r="P1782">
            <v>16</v>
          </cell>
          <cell r="Q1782">
            <v>3</v>
          </cell>
          <cell r="U1782">
            <v>0</v>
          </cell>
          <cell r="V1782">
            <v>5200</v>
          </cell>
          <cell r="W1782">
            <v>180</v>
          </cell>
          <cell r="X1782">
            <v>4160</v>
          </cell>
          <cell r="Y1782">
            <v>113183</v>
          </cell>
          <cell r="Z1782">
            <v>5516.3466666666664</v>
          </cell>
          <cell r="AA1782">
            <v>3843.6533333333336</v>
          </cell>
          <cell r="AB1782">
            <v>170.03466666666668</v>
          </cell>
          <cell r="AC1782">
            <v>5200</v>
          </cell>
          <cell r="AD1782">
            <v>4672.3999999999996</v>
          </cell>
          <cell r="AE1782">
            <v>527.60000000000036</v>
          </cell>
          <cell r="AN1782" t="str">
            <v xml:space="preserve">Contrato emergencial nº </v>
          </cell>
          <cell r="AO1782" t="str">
            <v>CS</v>
          </cell>
        </row>
        <row r="1783">
          <cell r="D1783" t="str">
            <v>2919/11</v>
          </cell>
          <cell r="E1783" t="str">
            <v>17/10/2011</v>
          </cell>
          <cell r="F1783">
            <v>41012</v>
          </cell>
          <cell r="G1783">
            <v>40877</v>
          </cell>
          <cell r="H1783" t="str">
            <v>2011-0.258.659-1</v>
          </cell>
          <cell r="I1783" t="str">
            <v>23.404,38</v>
          </cell>
          <cell r="J1783" t="str">
            <v xml:space="preserve">              123611122                  2848                    33903600</v>
          </cell>
          <cell r="K1783" t="str">
            <v>17/10/2011</v>
          </cell>
          <cell r="L1783">
            <v>45</v>
          </cell>
          <cell r="M1783">
            <v>5900</v>
          </cell>
          <cell r="N1783">
            <v>57278</v>
          </cell>
          <cell r="O1783">
            <v>35399</v>
          </cell>
          <cell r="P1783">
            <v>16</v>
          </cell>
          <cell r="Q1783">
            <v>3</v>
          </cell>
          <cell r="U1783">
            <v>0</v>
          </cell>
          <cell r="V1783">
            <v>4600</v>
          </cell>
          <cell r="W1783">
            <v>180</v>
          </cell>
          <cell r="X1783">
            <v>3680</v>
          </cell>
          <cell r="Y1783">
            <v>112905</v>
          </cell>
          <cell r="Z1783">
            <v>3634.86</v>
          </cell>
          <cell r="AA1783">
            <v>4645.1399999999994</v>
          </cell>
          <cell r="AB1783">
            <v>130.02433333333335</v>
          </cell>
          <cell r="AC1783">
            <v>4000</v>
          </cell>
          <cell r="AD1783">
            <v>4530.29</v>
          </cell>
          <cell r="AE1783">
            <v>-530.29</v>
          </cell>
          <cell r="AN1783" t="str">
            <v xml:space="preserve">Contrato emergencial nº </v>
          </cell>
          <cell r="AO1783" t="str">
            <v>IP</v>
          </cell>
        </row>
        <row r="1784">
          <cell r="D1784" t="str">
            <v>2920/11</v>
          </cell>
          <cell r="E1784" t="str">
            <v>17/10/2011</v>
          </cell>
          <cell r="F1784">
            <v>41012</v>
          </cell>
          <cell r="G1784">
            <v>40877</v>
          </cell>
          <cell r="H1784" t="str">
            <v>2011-0.258.662-1</v>
          </cell>
          <cell r="I1784" t="str">
            <v>27.971,16</v>
          </cell>
          <cell r="J1784" t="str">
            <v xml:space="preserve">              123611122                  2848                    33903600</v>
          </cell>
          <cell r="K1784" t="str">
            <v>17/10/2011</v>
          </cell>
          <cell r="L1784">
            <v>45</v>
          </cell>
          <cell r="M1784">
            <v>7000</v>
          </cell>
          <cell r="N1784">
            <v>57278</v>
          </cell>
          <cell r="O1784">
            <v>35401</v>
          </cell>
          <cell r="P1784">
            <v>16</v>
          </cell>
          <cell r="Q1784">
            <v>3</v>
          </cell>
          <cell r="U1784">
            <v>2760.3236666666667</v>
          </cell>
          <cell r="V1784">
            <v>4700</v>
          </cell>
          <cell r="W1784">
            <v>180</v>
          </cell>
          <cell r="X1784">
            <v>3760</v>
          </cell>
          <cell r="Y1784">
            <v>0</v>
          </cell>
          <cell r="Z1784">
            <v>0</v>
          </cell>
          <cell r="AA1784">
            <v>11220.323666666667</v>
          </cell>
          <cell r="AB1784">
            <v>155.39533333333333</v>
          </cell>
          <cell r="AC1784">
            <v>4700</v>
          </cell>
          <cell r="AD1784">
            <v>4700</v>
          </cell>
          <cell r="AE1784">
            <v>0</v>
          </cell>
          <cell r="AN1784" t="str">
            <v xml:space="preserve">Contrato emergencial nº </v>
          </cell>
          <cell r="AO1784" t="str">
            <v>MP</v>
          </cell>
        </row>
        <row r="1785">
          <cell r="D1785" t="str">
            <v>2921/11</v>
          </cell>
          <cell r="E1785" t="str">
            <v>17/10/2011</v>
          </cell>
          <cell r="F1785">
            <v>41012</v>
          </cell>
          <cell r="G1785">
            <v>40877</v>
          </cell>
          <cell r="H1785" t="str">
            <v>2011-0.258.663-0</v>
          </cell>
          <cell r="I1785" t="str">
            <v>31.012,38</v>
          </cell>
          <cell r="J1785" t="str">
            <v xml:space="preserve">              123611122                  2848                    33903600</v>
          </cell>
          <cell r="K1785" t="str">
            <v>17/10/2011</v>
          </cell>
          <cell r="L1785">
            <v>45</v>
          </cell>
          <cell r="M1785">
            <v>7800</v>
          </cell>
          <cell r="N1785">
            <v>57278</v>
          </cell>
          <cell r="O1785">
            <v>35403</v>
          </cell>
          <cell r="P1785">
            <v>16</v>
          </cell>
          <cell r="Q1785">
            <v>3</v>
          </cell>
          <cell r="U1785">
            <v>0</v>
          </cell>
          <cell r="V1785">
            <v>5200</v>
          </cell>
          <cell r="W1785">
            <v>180</v>
          </cell>
          <cell r="X1785">
            <v>4160</v>
          </cell>
          <cell r="Y1785">
            <v>113987</v>
          </cell>
          <cell r="Z1785">
            <v>5520.92</v>
          </cell>
          <cell r="AA1785">
            <v>3839.08</v>
          </cell>
          <cell r="AB1785">
            <v>172.291</v>
          </cell>
          <cell r="AC1785">
            <v>5200</v>
          </cell>
          <cell r="AD1785">
            <v>4802.8855000000003</v>
          </cell>
          <cell r="AE1785">
            <v>397.11449999999968</v>
          </cell>
          <cell r="AN1785" t="str">
            <v xml:space="preserve">Contrato emergencial nº </v>
          </cell>
          <cell r="AO1785" t="str">
            <v>PE</v>
          </cell>
        </row>
        <row r="1786">
          <cell r="D1786" t="str">
            <v>2922/11</v>
          </cell>
          <cell r="E1786" t="str">
            <v>17/10/2011</v>
          </cell>
          <cell r="F1786">
            <v>41012</v>
          </cell>
          <cell r="G1786">
            <v>40877</v>
          </cell>
          <cell r="H1786" t="str">
            <v>2011-0.258.664-8</v>
          </cell>
          <cell r="I1786" t="str">
            <v>30.606,24</v>
          </cell>
          <cell r="J1786" t="str">
            <v xml:space="preserve">              123611122                  2848                    33903600</v>
          </cell>
          <cell r="K1786" t="str">
            <v>17/10/2011</v>
          </cell>
          <cell r="L1786">
            <v>45</v>
          </cell>
          <cell r="M1786">
            <v>7700</v>
          </cell>
          <cell r="N1786">
            <v>57278</v>
          </cell>
          <cell r="O1786">
            <v>35404</v>
          </cell>
          <cell r="P1786">
            <v>16</v>
          </cell>
          <cell r="Q1786">
            <v>3</v>
          </cell>
          <cell r="U1786">
            <v>0</v>
          </cell>
          <cell r="V1786">
            <v>5200</v>
          </cell>
          <cell r="W1786">
            <v>180</v>
          </cell>
          <cell r="X1786">
            <v>4160</v>
          </cell>
          <cell r="Y1786">
            <v>113176</v>
          </cell>
          <cell r="Z1786">
            <v>5482.69</v>
          </cell>
          <cell r="AA1786">
            <v>3877.3100000000004</v>
          </cell>
          <cell r="AB1786">
            <v>170.03466666666668</v>
          </cell>
          <cell r="AC1786">
            <v>5200</v>
          </cell>
          <cell r="AD1786">
            <v>4762.1899999999996</v>
          </cell>
          <cell r="AE1786">
            <v>437.8100000000004</v>
          </cell>
          <cell r="AN1786" t="str">
            <v xml:space="preserve">Contrato emergencial nº </v>
          </cell>
          <cell r="AO1786" t="str">
            <v>PJ</v>
          </cell>
        </row>
        <row r="1787">
          <cell r="D1787" t="str">
            <v>2923/11</v>
          </cell>
          <cell r="E1787" t="str">
            <v>17/10/2011</v>
          </cell>
          <cell r="F1787">
            <v>41012</v>
          </cell>
          <cell r="G1787">
            <v>40877</v>
          </cell>
          <cell r="H1787" t="str">
            <v>2011-0.258.666-4</v>
          </cell>
          <cell r="I1787" t="str">
            <v>20.967,42</v>
          </cell>
          <cell r="J1787" t="str">
            <v xml:space="preserve">              123651121                 2847                    33903600</v>
          </cell>
          <cell r="K1787" t="str">
            <v>17/10/2011</v>
          </cell>
          <cell r="L1787">
            <v>45</v>
          </cell>
          <cell r="M1787">
            <v>5300</v>
          </cell>
          <cell r="N1787">
            <v>57273</v>
          </cell>
          <cell r="O1787">
            <v>35414</v>
          </cell>
          <cell r="P1787">
            <v>16</v>
          </cell>
          <cell r="Q1787">
            <v>2</v>
          </cell>
          <cell r="U1787">
            <v>0</v>
          </cell>
          <cell r="V1787">
            <v>3500</v>
          </cell>
          <cell r="W1787">
            <v>180</v>
          </cell>
          <cell r="X1787">
            <v>2800</v>
          </cell>
          <cell r="Y1787">
            <v>113186</v>
          </cell>
          <cell r="Z1787">
            <v>3713.422</v>
          </cell>
          <cell r="AA1787">
            <v>2586.578</v>
          </cell>
          <cell r="AB1787">
            <v>116.48566666666666</v>
          </cell>
          <cell r="AC1787">
            <v>3500</v>
          </cell>
          <cell r="AD1787">
            <v>3372.9300000000003</v>
          </cell>
          <cell r="AE1787">
            <v>127.06999999999971</v>
          </cell>
          <cell r="AN1787" t="str">
            <v xml:space="preserve">Contrato emergencial nº </v>
          </cell>
          <cell r="AO1787" t="str">
            <v>CS</v>
          </cell>
        </row>
        <row r="1788">
          <cell r="D1788" t="str">
            <v>2924/11</v>
          </cell>
          <cell r="E1788" t="str">
            <v>17/10/2011</v>
          </cell>
          <cell r="F1788">
            <v>41012</v>
          </cell>
          <cell r="G1788">
            <v>40877</v>
          </cell>
          <cell r="H1788" t="str">
            <v>2011-0.258.669-9</v>
          </cell>
          <cell r="I1788" t="str">
            <v>30.150,54</v>
          </cell>
          <cell r="J1788" t="str">
            <v xml:space="preserve">              123611122                  2848                    33903600</v>
          </cell>
          <cell r="K1788" t="str">
            <v>17/10/2011</v>
          </cell>
          <cell r="L1788">
            <v>45</v>
          </cell>
          <cell r="M1788">
            <v>7600</v>
          </cell>
          <cell r="N1788">
            <v>57278</v>
          </cell>
          <cell r="O1788">
            <v>35415</v>
          </cell>
          <cell r="P1788">
            <v>16</v>
          </cell>
          <cell r="Q1788">
            <v>3</v>
          </cell>
          <cell r="U1788">
            <v>0</v>
          </cell>
          <cell r="V1788">
            <v>5100</v>
          </cell>
          <cell r="W1788">
            <v>180</v>
          </cell>
          <cell r="X1788">
            <v>4080</v>
          </cell>
          <cell r="Y1788">
            <v>113608</v>
          </cell>
          <cell r="Z1788">
            <v>7600</v>
          </cell>
          <cell r="AA1788">
            <v>1580</v>
          </cell>
          <cell r="AB1788">
            <v>167.50300000000001</v>
          </cell>
          <cell r="AC1788">
            <v>5100</v>
          </cell>
          <cell r="AD1788">
            <v>4219.87</v>
          </cell>
          <cell r="AE1788">
            <v>880.13000000000011</v>
          </cell>
          <cell r="AN1788" t="str">
            <v xml:space="preserve">Contrato emergencial nº </v>
          </cell>
          <cell r="AO1788" t="str">
            <v>BT</v>
          </cell>
        </row>
        <row r="1789">
          <cell r="D1789" t="str">
            <v>2925/11</v>
          </cell>
          <cell r="E1789" t="str">
            <v>17/10/2011</v>
          </cell>
          <cell r="F1789">
            <v>41012</v>
          </cell>
          <cell r="G1789">
            <v>40877</v>
          </cell>
          <cell r="H1789" t="str">
            <v>2011-0.258.671-0</v>
          </cell>
          <cell r="I1789" t="str">
            <v>37.607,88</v>
          </cell>
          <cell r="J1789" t="str">
            <v xml:space="preserve">              123651121                 2847                    33903600</v>
          </cell>
          <cell r="K1789" t="str">
            <v>17/10/2011</v>
          </cell>
          <cell r="L1789">
            <v>45</v>
          </cell>
          <cell r="M1789">
            <v>9500</v>
          </cell>
          <cell r="N1789">
            <v>57273</v>
          </cell>
          <cell r="O1789">
            <v>35417</v>
          </cell>
          <cell r="P1789">
            <v>16</v>
          </cell>
          <cell r="Q1789">
            <v>2</v>
          </cell>
          <cell r="V1789">
            <v>6300</v>
          </cell>
          <cell r="W1789">
            <v>180</v>
          </cell>
          <cell r="X1789">
            <v>5040</v>
          </cell>
          <cell r="Z1789">
            <v>7008.07</v>
          </cell>
          <cell r="AA1789">
            <v>4331.93</v>
          </cell>
          <cell r="AB1789">
            <v>208.93266666666665</v>
          </cell>
          <cell r="AC1789">
            <v>6300</v>
          </cell>
          <cell r="AD1789">
            <v>5019.8600000000006</v>
          </cell>
          <cell r="AE1789">
            <v>1280.1399999999994</v>
          </cell>
          <cell r="AN1789" t="str">
            <v xml:space="preserve">Contrato emergencial nº </v>
          </cell>
          <cell r="AO1789" t="str">
            <v>BT</v>
          </cell>
        </row>
        <row r="1790">
          <cell r="D1790" t="str">
            <v>2926/11</v>
          </cell>
          <cell r="E1790" t="str">
            <v>17/10/2011</v>
          </cell>
          <cell r="F1790">
            <v>41012</v>
          </cell>
          <cell r="G1790">
            <v>40877</v>
          </cell>
          <cell r="H1790" t="str">
            <v>2011-0.258.673-7</v>
          </cell>
          <cell r="I1790" t="str">
            <v>44.978,40</v>
          </cell>
          <cell r="J1790" t="str">
            <v xml:space="preserve">              123651121                 2847                    33903600</v>
          </cell>
          <cell r="K1790" t="str">
            <v>17/10/2011</v>
          </cell>
          <cell r="L1790">
            <v>45</v>
          </cell>
          <cell r="M1790">
            <v>11300</v>
          </cell>
          <cell r="N1790">
            <v>57273</v>
          </cell>
          <cell r="O1790">
            <v>35420</v>
          </cell>
          <cell r="P1790">
            <v>16</v>
          </cell>
          <cell r="Q1790">
            <v>2</v>
          </cell>
          <cell r="U1790">
            <v>0</v>
          </cell>
          <cell r="V1790">
            <v>7500</v>
          </cell>
          <cell r="W1790">
            <v>180</v>
          </cell>
          <cell r="X1790">
            <v>6000</v>
          </cell>
          <cell r="Y1790">
            <v>113187</v>
          </cell>
          <cell r="Z1790">
            <v>8467.6679999999997</v>
          </cell>
          <cell r="AA1790">
            <v>5032.3320000000003</v>
          </cell>
          <cell r="AB1790">
            <v>249.88</v>
          </cell>
          <cell r="AC1790">
            <v>7500</v>
          </cell>
          <cell r="AD1790">
            <v>6058.1399999999994</v>
          </cell>
          <cell r="AE1790">
            <v>1441.8600000000006</v>
          </cell>
          <cell r="AN1790" t="str">
            <v xml:space="preserve">Contrato emergencial nº </v>
          </cell>
          <cell r="AO1790" t="str">
            <v>CS</v>
          </cell>
        </row>
        <row r="1791">
          <cell r="D1791" t="str">
            <v>2927/11</v>
          </cell>
          <cell r="E1791" t="str">
            <v>17/10/2011</v>
          </cell>
          <cell r="F1791">
            <v>41012</v>
          </cell>
          <cell r="G1791">
            <v>40877</v>
          </cell>
          <cell r="H1791" t="str">
            <v>2011-0.258.676-1</v>
          </cell>
          <cell r="I1791" t="str">
            <v>44.324,52</v>
          </cell>
          <cell r="J1791" t="str">
            <v xml:space="preserve">              123651121                 2847                    33903600</v>
          </cell>
          <cell r="K1791" t="str">
            <v>17/10/2011</v>
          </cell>
          <cell r="L1791">
            <v>45</v>
          </cell>
          <cell r="M1791">
            <v>11100</v>
          </cell>
          <cell r="N1791">
            <v>57273</v>
          </cell>
          <cell r="O1791">
            <v>35430</v>
          </cell>
          <cell r="P1791">
            <v>16</v>
          </cell>
          <cell r="Q1791">
            <v>2</v>
          </cell>
          <cell r="U1791">
            <v>0</v>
          </cell>
          <cell r="V1791">
            <v>7400</v>
          </cell>
          <cell r="W1791">
            <v>180</v>
          </cell>
          <cell r="X1791">
            <v>5920</v>
          </cell>
          <cell r="Y1791">
            <v>113190</v>
          </cell>
          <cell r="Z1791">
            <v>7784.8906666666662</v>
          </cell>
          <cell r="AA1791">
            <v>5535.1093333333338</v>
          </cell>
          <cell r="AB1791">
            <v>246.2473333333333</v>
          </cell>
          <cell r="AC1791">
            <v>7400</v>
          </cell>
          <cell r="AD1791">
            <v>7192.6600000000008</v>
          </cell>
          <cell r="AE1791">
            <v>207.33999999999924</v>
          </cell>
          <cell r="AN1791" t="str">
            <v xml:space="preserve">Contrato emergencial nº </v>
          </cell>
          <cell r="AO1791" t="str">
            <v>CS</v>
          </cell>
        </row>
        <row r="1792">
          <cell r="D1792" t="str">
            <v>2928/11</v>
          </cell>
          <cell r="E1792" t="str">
            <v>17/10/2011</v>
          </cell>
          <cell r="F1792">
            <v>41012</v>
          </cell>
          <cell r="G1792">
            <v>40877</v>
          </cell>
          <cell r="H1792" t="str">
            <v>2011-0.258.678-8</v>
          </cell>
          <cell r="I1792" t="str">
            <v>37.607,88</v>
          </cell>
          <cell r="J1792" t="str">
            <v xml:space="preserve">              123651121                 2847                    33903600</v>
          </cell>
          <cell r="K1792" t="str">
            <v>17/10/2011</v>
          </cell>
          <cell r="L1792">
            <v>45</v>
          </cell>
          <cell r="M1792">
            <v>9500</v>
          </cell>
          <cell r="N1792">
            <v>57273</v>
          </cell>
          <cell r="O1792">
            <v>35432</v>
          </cell>
          <cell r="P1792">
            <v>16</v>
          </cell>
          <cell r="Q1792">
            <v>2</v>
          </cell>
          <cell r="U1792">
            <v>2301.462</v>
          </cell>
          <cell r="V1792">
            <v>6300</v>
          </cell>
          <cell r="W1792">
            <v>180</v>
          </cell>
          <cell r="X1792">
            <v>5040</v>
          </cell>
          <cell r="Y1792">
            <v>0</v>
          </cell>
          <cell r="Z1792">
            <v>0</v>
          </cell>
          <cell r="AA1792">
            <v>13641.462</v>
          </cell>
          <cell r="AB1792">
            <v>208.93266666666665</v>
          </cell>
          <cell r="AC1792">
            <v>6300</v>
          </cell>
          <cell r="AD1792">
            <v>4955.79</v>
          </cell>
          <cell r="AE1792">
            <v>1344.21</v>
          </cell>
          <cell r="AN1792" t="str">
            <v xml:space="preserve">Contrato emergencial nº </v>
          </cell>
          <cell r="AO1792" t="str">
            <v>FO</v>
          </cell>
        </row>
        <row r="1793">
          <cell r="D1793" t="str">
            <v>2929/11</v>
          </cell>
          <cell r="E1793" t="str">
            <v>17/10/2011</v>
          </cell>
          <cell r="F1793">
            <v>41012</v>
          </cell>
          <cell r="G1793">
            <v>40877</v>
          </cell>
          <cell r="H1793" t="str">
            <v>2011-0.258.680-0</v>
          </cell>
          <cell r="I1793" t="str">
            <v>44.978,40</v>
          </cell>
          <cell r="J1793" t="str">
            <v xml:space="preserve">              123651121                 2847                    33903600</v>
          </cell>
          <cell r="K1793" t="str">
            <v>17/10/2011</v>
          </cell>
          <cell r="L1793">
            <v>45</v>
          </cell>
          <cell r="M1793">
            <v>11300</v>
          </cell>
          <cell r="N1793">
            <v>57273</v>
          </cell>
          <cell r="O1793">
            <v>35434</v>
          </cell>
          <cell r="P1793">
            <v>16</v>
          </cell>
          <cell r="Q1793">
            <v>2</v>
          </cell>
          <cell r="U1793">
            <v>2788.625</v>
          </cell>
          <cell r="V1793">
            <v>7500</v>
          </cell>
          <cell r="W1793">
            <v>180</v>
          </cell>
          <cell r="X1793">
            <v>6000</v>
          </cell>
          <cell r="Y1793">
            <v>0</v>
          </cell>
          <cell r="Z1793">
            <v>0</v>
          </cell>
          <cell r="AA1793">
            <v>16288.625</v>
          </cell>
          <cell r="AB1793">
            <v>249.88</v>
          </cell>
          <cell r="AC1793">
            <v>7500</v>
          </cell>
          <cell r="AD1793">
            <v>5484.4299999999994</v>
          </cell>
          <cell r="AE1793">
            <v>2015.5700000000006</v>
          </cell>
          <cell r="AN1793" t="str">
            <v xml:space="preserve">Contrato emergencial nº </v>
          </cell>
          <cell r="AO1793" t="str">
            <v>FO</v>
          </cell>
        </row>
        <row r="1794">
          <cell r="D1794" t="str">
            <v>2930/11</v>
          </cell>
          <cell r="E1794" t="str">
            <v>17/10/2011</v>
          </cell>
          <cell r="F1794">
            <v>41012</v>
          </cell>
          <cell r="G1794">
            <v>40877</v>
          </cell>
          <cell r="H1794" t="str">
            <v>2011-0.258.682-6</v>
          </cell>
          <cell r="I1794" t="str">
            <v>28.377,30</v>
          </cell>
          <cell r="J1794" t="str">
            <v xml:space="preserve">              123651121                 2847                    33903600</v>
          </cell>
          <cell r="K1794" t="str">
            <v>17/10/2011</v>
          </cell>
          <cell r="L1794">
            <v>45</v>
          </cell>
          <cell r="M1794">
            <v>7100</v>
          </cell>
          <cell r="N1794">
            <v>57273</v>
          </cell>
          <cell r="O1794">
            <v>35436</v>
          </cell>
          <cell r="P1794">
            <v>16</v>
          </cell>
          <cell r="Q1794">
            <v>2</v>
          </cell>
          <cell r="U1794">
            <v>2419.4726666666666</v>
          </cell>
          <cell r="V1794">
            <v>4800</v>
          </cell>
          <cell r="W1794">
            <v>180</v>
          </cell>
          <cell r="X1794">
            <v>3840</v>
          </cell>
          <cell r="Y1794">
            <v>0</v>
          </cell>
          <cell r="Z1794">
            <v>0</v>
          </cell>
          <cell r="AA1794">
            <v>11059.472666666667</v>
          </cell>
          <cell r="AB1794">
            <v>157.65166666666667</v>
          </cell>
          <cell r="AC1794">
            <v>4800</v>
          </cell>
          <cell r="AD1794">
            <v>3065.8399999999997</v>
          </cell>
          <cell r="AE1794">
            <v>1734.1600000000003</v>
          </cell>
          <cell r="AN1794" t="str">
            <v xml:space="preserve">Contrato emergencial nº </v>
          </cell>
          <cell r="AO1794" t="str">
            <v>MP</v>
          </cell>
        </row>
        <row r="1795">
          <cell r="D1795" t="str">
            <v>2931/11</v>
          </cell>
          <cell r="E1795" t="str">
            <v>17/10/2011</v>
          </cell>
          <cell r="F1795">
            <v>41012</v>
          </cell>
          <cell r="G1795">
            <v>40877</v>
          </cell>
          <cell r="H1795" t="str">
            <v>2011-0.258.684-2</v>
          </cell>
          <cell r="I1795" t="str">
            <v>30.606,24</v>
          </cell>
          <cell r="J1795" t="str">
            <v xml:space="preserve">              123611122                  2848                    33903600</v>
          </cell>
          <cell r="K1795" t="str">
            <v>17/10/2011</v>
          </cell>
          <cell r="L1795">
            <v>45</v>
          </cell>
          <cell r="M1795">
            <v>7700</v>
          </cell>
          <cell r="N1795">
            <v>57278</v>
          </cell>
          <cell r="O1795">
            <v>35437</v>
          </cell>
          <cell r="P1795">
            <v>16</v>
          </cell>
          <cell r="Q1795">
            <v>3</v>
          </cell>
          <cell r="U1795">
            <v>2696.1419999999998</v>
          </cell>
          <cell r="V1795">
            <v>5800</v>
          </cell>
          <cell r="W1795">
            <v>180</v>
          </cell>
          <cell r="X1795">
            <v>4640</v>
          </cell>
          <cell r="Y1795">
            <v>0</v>
          </cell>
          <cell r="Z1795">
            <v>0</v>
          </cell>
          <cell r="AA1795">
            <v>13136.142</v>
          </cell>
          <cell r="AB1795">
            <v>170.03466666666668</v>
          </cell>
          <cell r="AC1795">
            <v>5200</v>
          </cell>
          <cell r="AD1795">
            <v>5717.34</v>
          </cell>
          <cell r="AE1795">
            <v>-517.34000000000015</v>
          </cell>
          <cell r="AN1795" t="str">
            <v xml:space="preserve">Contrato emergencial nº </v>
          </cell>
          <cell r="AO1795" t="str">
            <v>MP</v>
          </cell>
        </row>
        <row r="1796">
          <cell r="D1796" t="str">
            <v>2932/11</v>
          </cell>
          <cell r="E1796" t="str">
            <v>17/10/2011</v>
          </cell>
          <cell r="F1796">
            <v>41012</v>
          </cell>
          <cell r="G1796">
            <v>40877</v>
          </cell>
          <cell r="H1796" t="str">
            <v>2011-0.258.686-9</v>
          </cell>
          <cell r="I1796" t="str">
            <v>27.158,88</v>
          </cell>
          <cell r="J1796" t="str">
            <v xml:space="preserve">              123611122                  2848                    33903600</v>
          </cell>
          <cell r="K1796" t="str">
            <v>17/10/2011</v>
          </cell>
          <cell r="L1796">
            <v>45</v>
          </cell>
          <cell r="M1796">
            <v>6800</v>
          </cell>
          <cell r="N1796">
            <v>57278</v>
          </cell>
          <cell r="O1796">
            <v>35438</v>
          </cell>
          <cell r="P1796">
            <v>16</v>
          </cell>
          <cell r="Q1796">
            <v>3</v>
          </cell>
          <cell r="U1796">
            <v>2325.8963333333331</v>
          </cell>
          <cell r="V1796">
            <v>5000</v>
          </cell>
          <cell r="W1796">
            <v>180</v>
          </cell>
          <cell r="X1796">
            <v>4000</v>
          </cell>
          <cell r="Y1796">
            <v>0</v>
          </cell>
          <cell r="Z1796">
            <v>0</v>
          </cell>
          <cell r="AA1796">
            <v>11325.896333333334</v>
          </cell>
          <cell r="AB1796">
            <v>150.88266666666667</v>
          </cell>
          <cell r="AC1796">
            <v>4600</v>
          </cell>
          <cell r="AD1796">
            <v>4937.51</v>
          </cell>
          <cell r="AE1796">
            <v>-337.51000000000022</v>
          </cell>
          <cell r="AN1796" t="str">
            <v xml:space="preserve">Contrato emergencial nº </v>
          </cell>
          <cell r="AO1796" t="str">
            <v>MP</v>
          </cell>
        </row>
        <row r="1797">
          <cell r="D1797" t="str">
            <v>2935/11</v>
          </cell>
          <cell r="E1797" t="str">
            <v>17/10/2011</v>
          </cell>
          <cell r="F1797">
            <v>41012</v>
          </cell>
          <cell r="G1797">
            <v>40877</v>
          </cell>
          <cell r="H1797" t="str">
            <v>2011-0.258.695-8</v>
          </cell>
          <cell r="I1797" t="str">
            <v>31.012,38</v>
          </cell>
          <cell r="J1797" t="str">
            <v xml:space="preserve">              123611122                  2848                    33903600</v>
          </cell>
          <cell r="K1797" t="str">
            <v>17/10/2011</v>
          </cell>
          <cell r="L1797">
            <v>45</v>
          </cell>
          <cell r="M1797">
            <v>7800</v>
          </cell>
          <cell r="N1797">
            <v>57278</v>
          </cell>
          <cell r="O1797">
            <v>35441</v>
          </cell>
          <cell r="P1797">
            <v>16</v>
          </cell>
          <cell r="Q1797">
            <v>3</v>
          </cell>
          <cell r="U1797">
            <v>0</v>
          </cell>
          <cell r="V1797">
            <v>5300</v>
          </cell>
          <cell r="W1797">
            <v>180</v>
          </cell>
          <cell r="X1797">
            <v>4240</v>
          </cell>
          <cell r="Y1797">
            <v>113546</v>
          </cell>
          <cell r="Z1797">
            <v>7800</v>
          </cell>
          <cell r="AA1797">
            <v>1740</v>
          </cell>
          <cell r="AB1797">
            <v>172.291</v>
          </cell>
          <cell r="AC1797">
            <v>5200</v>
          </cell>
          <cell r="AD1797">
            <v>5293.6100000000006</v>
          </cell>
          <cell r="AE1797">
            <v>-93.610000000000582</v>
          </cell>
          <cell r="AN1797" t="str">
            <v xml:space="preserve">Contrato emergencial nº </v>
          </cell>
          <cell r="AO1797" t="str">
            <v>CL</v>
          </cell>
        </row>
        <row r="1798">
          <cell r="D1798" t="str">
            <v>2936/11</v>
          </cell>
          <cell r="E1798" t="str">
            <v>17/10/2011</v>
          </cell>
          <cell r="F1798">
            <v>41012</v>
          </cell>
          <cell r="G1798">
            <v>40877</v>
          </cell>
          <cell r="H1798" t="str">
            <v>2011-0.258.701-6</v>
          </cell>
          <cell r="I1798" t="str">
            <v>31.012,38</v>
          </cell>
          <cell r="J1798" t="str">
            <v xml:space="preserve">              123611122                  2848                    33903600</v>
          </cell>
          <cell r="K1798" t="str">
            <v>17/10/2011</v>
          </cell>
          <cell r="L1798">
            <v>45</v>
          </cell>
          <cell r="M1798">
            <v>7800</v>
          </cell>
          <cell r="N1798">
            <v>57278</v>
          </cell>
          <cell r="O1798">
            <v>35445</v>
          </cell>
          <cell r="P1798">
            <v>16</v>
          </cell>
          <cell r="Q1798">
            <v>3</v>
          </cell>
          <cell r="U1798">
            <v>0</v>
          </cell>
          <cell r="V1798">
            <v>5500</v>
          </cell>
          <cell r="W1798">
            <v>180</v>
          </cell>
          <cell r="X1798">
            <v>4400</v>
          </cell>
          <cell r="Y1798">
            <v>113550</v>
          </cell>
          <cell r="Z1798">
            <v>7800</v>
          </cell>
          <cell r="AA1798">
            <v>2100</v>
          </cell>
          <cell r="AB1798">
            <v>172.291</v>
          </cell>
          <cell r="AC1798">
            <v>5200</v>
          </cell>
          <cell r="AD1798">
            <v>5452.9</v>
          </cell>
          <cell r="AE1798">
            <v>-252.89999999999964</v>
          </cell>
          <cell r="AN1798" t="str">
            <v xml:space="preserve">Contrato emergencial nº </v>
          </cell>
          <cell r="AO1798" t="str">
            <v>CL</v>
          </cell>
        </row>
        <row r="1799">
          <cell r="D1799" t="str">
            <v>2937/11</v>
          </cell>
          <cell r="E1799" t="str">
            <v>17/10/2011</v>
          </cell>
          <cell r="F1799">
            <v>41012</v>
          </cell>
          <cell r="G1799">
            <v>40877</v>
          </cell>
          <cell r="H1799" t="str">
            <v>2011-0.258.704-0</v>
          </cell>
          <cell r="I1799" t="str">
            <v>31.012,38</v>
          </cell>
          <cell r="J1799" t="str">
            <v xml:space="preserve">              123651121                 2847                    33903600</v>
          </cell>
          <cell r="K1799" t="str">
            <v>17/10/2011</v>
          </cell>
          <cell r="L1799">
            <v>45</v>
          </cell>
          <cell r="M1799">
            <v>7800</v>
          </cell>
          <cell r="N1799">
            <v>57273</v>
          </cell>
          <cell r="O1799">
            <v>35448</v>
          </cell>
          <cell r="P1799">
            <v>16</v>
          </cell>
          <cell r="Q1799">
            <v>2</v>
          </cell>
          <cell r="U1799">
            <v>0</v>
          </cell>
          <cell r="V1799">
            <v>5200</v>
          </cell>
          <cell r="W1799">
            <v>180</v>
          </cell>
          <cell r="X1799">
            <v>4160</v>
          </cell>
          <cell r="Y1799">
            <v>113179</v>
          </cell>
          <cell r="Z1799">
            <v>5506.52</v>
          </cell>
          <cell r="AA1799">
            <v>3853.4799999999996</v>
          </cell>
          <cell r="AB1799">
            <v>172.291</v>
          </cell>
          <cell r="AC1799">
            <v>5200</v>
          </cell>
          <cell r="AD1799">
            <v>4895.6299999999992</v>
          </cell>
          <cell r="AE1799">
            <v>304.3700000000008</v>
          </cell>
          <cell r="AN1799" t="str">
            <v xml:space="preserve">Contrato emergencial nº </v>
          </cell>
          <cell r="AO1799" t="str">
            <v>PJ</v>
          </cell>
        </row>
        <row r="1800">
          <cell r="D1800" t="str">
            <v>2938/11</v>
          </cell>
          <cell r="E1800" t="str">
            <v>17/10/2011</v>
          </cell>
          <cell r="F1800">
            <v>41012</v>
          </cell>
          <cell r="G1800">
            <v>40877</v>
          </cell>
          <cell r="H1800" t="str">
            <v>2011-0.258.710-5</v>
          </cell>
          <cell r="I1800" t="str">
            <v>21.373,56</v>
          </cell>
          <cell r="J1800" t="str">
            <v xml:space="preserve">              123611122                  2848                    33903600</v>
          </cell>
          <cell r="K1800" t="str">
            <v>17/10/2011</v>
          </cell>
          <cell r="L1800">
            <v>45</v>
          </cell>
          <cell r="M1800">
            <v>5400</v>
          </cell>
          <cell r="N1800">
            <v>57278</v>
          </cell>
          <cell r="O1800">
            <v>35449</v>
          </cell>
          <cell r="P1800">
            <v>16</v>
          </cell>
          <cell r="Q1800">
            <v>3</v>
          </cell>
          <cell r="U1800">
            <v>0</v>
          </cell>
          <cell r="V1800">
            <v>3600</v>
          </cell>
          <cell r="W1800">
            <v>180</v>
          </cell>
          <cell r="X1800">
            <v>2880</v>
          </cell>
          <cell r="Y1800">
            <v>114778</v>
          </cell>
          <cell r="Z1800">
            <v>3656.28</v>
          </cell>
          <cell r="AA1800">
            <v>2823.72</v>
          </cell>
          <cell r="AB1800">
            <v>118.742</v>
          </cell>
          <cell r="AC1800">
            <v>3600</v>
          </cell>
          <cell r="AD1800">
            <v>3494.5000000000005</v>
          </cell>
          <cell r="AE1800">
            <v>105.49999999999955</v>
          </cell>
          <cell r="AN1800" t="str">
            <v xml:space="preserve">Contrato emergencial nº </v>
          </cell>
          <cell r="AO1800" t="str">
            <v>JT</v>
          </cell>
        </row>
        <row r="1801">
          <cell r="D1801" t="str">
            <v>2939/11</v>
          </cell>
          <cell r="E1801" t="str">
            <v>17/10/2011</v>
          </cell>
          <cell r="F1801">
            <v>41012</v>
          </cell>
          <cell r="G1801">
            <v>40877</v>
          </cell>
          <cell r="H1801" t="str">
            <v>2011-0.258.713-0</v>
          </cell>
          <cell r="I1801" t="str">
            <v>27.971,16</v>
          </cell>
          <cell r="J1801" t="str">
            <v xml:space="preserve">              123611122                  2848                    33903600</v>
          </cell>
          <cell r="K1801" t="str">
            <v>17/10/2011</v>
          </cell>
          <cell r="L1801">
            <v>45</v>
          </cell>
          <cell r="M1801">
            <v>7000</v>
          </cell>
          <cell r="N1801">
            <v>57278</v>
          </cell>
          <cell r="O1801">
            <v>35451</v>
          </cell>
          <cell r="P1801">
            <v>16</v>
          </cell>
          <cell r="Q1801">
            <v>3</v>
          </cell>
          <cell r="U1801">
            <v>0</v>
          </cell>
          <cell r="V1801">
            <v>4800</v>
          </cell>
          <cell r="W1801">
            <v>180</v>
          </cell>
          <cell r="X1801">
            <v>3840</v>
          </cell>
          <cell r="Y1801">
            <v>114785</v>
          </cell>
          <cell r="Z1801">
            <v>4803.1499999999996</v>
          </cell>
          <cell r="AA1801">
            <v>3836.8500000000004</v>
          </cell>
          <cell r="AB1801">
            <v>155.39533333333333</v>
          </cell>
          <cell r="AC1801">
            <v>4700</v>
          </cell>
          <cell r="AD1801">
            <v>4701.6399999999994</v>
          </cell>
          <cell r="AE1801">
            <v>-1.6399999999994179</v>
          </cell>
          <cell r="AN1801" t="str">
            <v xml:space="preserve">Contrato emergencial nº </v>
          </cell>
          <cell r="AO1801" t="str">
            <v>JT</v>
          </cell>
        </row>
        <row r="1802">
          <cell r="D1802" t="str">
            <v>2940/11</v>
          </cell>
          <cell r="E1802" t="str">
            <v>19/10/2011</v>
          </cell>
          <cell r="F1802">
            <v>41014</v>
          </cell>
          <cell r="G1802">
            <v>40877</v>
          </cell>
          <cell r="H1802" t="str">
            <v>2011-0.258.715-6</v>
          </cell>
          <cell r="I1802" t="str">
            <v>42.838,74</v>
          </cell>
          <cell r="J1802" t="str">
            <v xml:space="preserve">              123611122                  2848                    33903600</v>
          </cell>
          <cell r="K1802" t="str">
            <v>19/10/2011</v>
          </cell>
          <cell r="L1802">
            <v>43</v>
          </cell>
          <cell r="M1802">
            <v>10300</v>
          </cell>
          <cell r="N1802">
            <v>57278</v>
          </cell>
          <cell r="O1802">
            <v>35453</v>
          </cell>
          <cell r="P1802">
            <v>16</v>
          </cell>
          <cell r="Q1802">
            <v>3</v>
          </cell>
          <cell r="U1802">
            <v>2730.25</v>
          </cell>
          <cell r="V1802">
            <v>7200</v>
          </cell>
          <cell r="W1802">
            <v>180</v>
          </cell>
          <cell r="X1802">
            <v>5760</v>
          </cell>
          <cell r="Y1802">
            <v>0</v>
          </cell>
          <cell r="Z1802">
            <v>0</v>
          </cell>
          <cell r="AA1802">
            <v>15690.25</v>
          </cell>
          <cell r="AB1802">
            <v>237.99299999999999</v>
          </cell>
          <cell r="AC1802">
            <v>7200</v>
          </cell>
          <cell r="AD1802">
            <v>6895.58</v>
          </cell>
          <cell r="AE1802">
            <v>304.42000000000007</v>
          </cell>
          <cell r="AN1802" t="str">
            <v xml:space="preserve">Contrato emergencial nº </v>
          </cell>
          <cell r="AO1802" t="str">
            <v>SM</v>
          </cell>
        </row>
        <row r="1803">
          <cell r="D1803" t="str">
            <v>2941/11</v>
          </cell>
          <cell r="E1803" t="str">
            <v>17/10/2011</v>
          </cell>
          <cell r="F1803">
            <v>41012</v>
          </cell>
          <cell r="G1803">
            <v>40877</v>
          </cell>
          <cell r="H1803" t="str">
            <v>2011-0.258.719-9</v>
          </cell>
          <cell r="I1803" t="str">
            <v>26.039,46</v>
          </cell>
          <cell r="J1803" t="str">
            <v xml:space="preserve">              123651121                 2847                    33903600</v>
          </cell>
          <cell r="K1803" t="str">
            <v>17/10/2011</v>
          </cell>
          <cell r="L1803">
            <v>45</v>
          </cell>
          <cell r="M1803">
            <v>6600</v>
          </cell>
          <cell r="N1803">
            <v>57273</v>
          </cell>
          <cell r="O1803">
            <v>35456</v>
          </cell>
          <cell r="P1803">
            <v>16</v>
          </cell>
          <cell r="Q1803">
            <v>2</v>
          </cell>
          <cell r="U1803">
            <v>2375.4549999999999</v>
          </cell>
          <cell r="V1803">
            <v>4900</v>
          </cell>
          <cell r="W1803">
            <v>180</v>
          </cell>
          <cell r="X1803">
            <v>3920</v>
          </cell>
          <cell r="Y1803">
            <v>0</v>
          </cell>
          <cell r="Z1803">
            <v>0</v>
          </cell>
          <cell r="AA1803">
            <v>11195.455</v>
          </cell>
          <cell r="AB1803">
            <v>144.66366666666667</v>
          </cell>
          <cell r="AC1803">
            <v>4400</v>
          </cell>
          <cell r="AD1803">
            <v>4844.8100000000004</v>
          </cell>
          <cell r="AE1803">
            <v>-444.8100000000004</v>
          </cell>
          <cell r="AN1803" t="str">
            <v xml:space="preserve">Contrato emergencial nº </v>
          </cell>
          <cell r="AO1803" t="str">
            <v>FO</v>
          </cell>
        </row>
        <row r="1804">
          <cell r="D1804" t="str">
            <v>2943/11</v>
          </cell>
          <cell r="E1804" t="str">
            <v>17/10/2011</v>
          </cell>
          <cell r="F1804">
            <v>41012</v>
          </cell>
          <cell r="G1804">
            <v>40877</v>
          </cell>
          <cell r="H1804" t="str">
            <v>2011-0.258.723-7</v>
          </cell>
          <cell r="I1804" t="str">
            <v>31.012,38</v>
          </cell>
          <cell r="J1804" t="str">
            <v xml:space="preserve">              123611122                  2848                    33903600</v>
          </cell>
          <cell r="K1804" t="str">
            <v>17/10/2011</v>
          </cell>
          <cell r="L1804">
            <v>45</v>
          </cell>
          <cell r="M1804">
            <v>7800</v>
          </cell>
          <cell r="N1804">
            <v>57278</v>
          </cell>
          <cell r="O1804">
            <v>35457</v>
          </cell>
          <cell r="P1804">
            <v>16</v>
          </cell>
          <cell r="Q1804">
            <v>3</v>
          </cell>
          <cell r="U1804">
            <v>0</v>
          </cell>
          <cell r="V1804">
            <v>6100</v>
          </cell>
          <cell r="W1804">
            <v>180</v>
          </cell>
          <cell r="X1804">
            <v>4880</v>
          </cell>
          <cell r="Y1804">
            <v>113194</v>
          </cell>
          <cell r="Z1804">
            <v>4900.1626666666671</v>
          </cell>
          <cell r="AA1804">
            <v>6079.8373333333329</v>
          </cell>
          <cell r="AB1804">
            <v>172.291</v>
          </cell>
          <cell r="AC1804">
            <v>5200</v>
          </cell>
          <cell r="AD1804">
            <v>6037.6900000000005</v>
          </cell>
          <cell r="AE1804">
            <v>-837.69000000000051</v>
          </cell>
          <cell r="AN1804" t="str">
            <v xml:space="preserve">Contrato emergencial nº </v>
          </cell>
          <cell r="AO1804" t="str">
            <v>CS</v>
          </cell>
        </row>
        <row r="1805">
          <cell r="D1805" t="str">
            <v>2944/11</v>
          </cell>
          <cell r="E1805" t="str">
            <v>17/10/2011</v>
          </cell>
          <cell r="F1805">
            <v>41012</v>
          </cell>
          <cell r="G1805">
            <v>40877</v>
          </cell>
          <cell r="H1805" t="str">
            <v>2011-0.258.726-1</v>
          </cell>
          <cell r="I1805" t="str">
            <v>39.569,46</v>
          </cell>
          <cell r="J1805" t="str">
            <v xml:space="preserve">              123651121                 2847                    33903600</v>
          </cell>
          <cell r="K1805" t="str">
            <v>17/10/2011</v>
          </cell>
          <cell r="L1805">
            <v>45</v>
          </cell>
          <cell r="M1805">
            <v>9900</v>
          </cell>
          <cell r="N1805">
            <v>57273</v>
          </cell>
          <cell r="O1805">
            <v>35468</v>
          </cell>
          <cell r="P1805">
            <v>16</v>
          </cell>
          <cell r="Q1805">
            <v>2</v>
          </cell>
          <cell r="U1805">
            <v>0</v>
          </cell>
          <cell r="V1805">
            <v>6600</v>
          </cell>
          <cell r="W1805">
            <v>180</v>
          </cell>
          <cell r="X1805">
            <v>5280</v>
          </cell>
          <cell r="Y1805">
            <v>113182</v>
          </cell>
          <cell r="Z1805">
            <v>7187.21</v>
          </cell>
          <cell r="AA1805">
            <v>4692.79</v>
          </cell>
          <cell r="AB1805">
            <v>219.83033333333333</v>
          </cell>
          <cell r="AC1805">
            <v>6600</v>
          </cell>
          <cell r="AD1805">
            <v>5889.7300000000005</v>
          </cell>
          <cell r="AE1805">
            <v>710.26999999999953</v>
          </cell>
          <cell r="AN1805" t="str">
            <v xml:space="preserve">Contrato emergencial nº </v>
          </cell>
          <cell r="AO1805" t="str">
            <v>PJ</v>
          </cell>
        </row>
        <row r="1806">
          <cell r="D1806" t="str">
            <v>2945/11</v>
          </cell>
          <cell r="E1806" t="str">
            <v>17/10/2011</v>
          </cell>
          <cell r="F1806">
            <v>41012</v>
          </cell>
          <cell r="G1806">
            <v>40877</v>
          </cell>
          <cell r="H1806" t="str">
            <v>2011-0.258.728-8</v>
          </cell>
          <cell r="I1806" t="str">
            <v>37.607,88</v>
          </cell>
          <cell r="J1806" t="str">
            <v xml:space="preserve">              123611122                  2848                    33903600</v>
          </cell>
          <cell r="K1806" t="str">
            <v>17/10/2011</v>
          </cell>
          <cell r="L1806">
            <v>45</v>
          </cell>
          <cell r="M1806">
            <v>9500</v>
          </cell>
          <cell r="N1806">
            <v>57278</v>
          </cell>
          <cell r="O1806">
            <v>35470</v>
          </cell>
          <cell r="P1806">
            <v>16</v>
          </cell>
          <cell r="Q1806">
            <v>3</v>
          </cell>
          <cell r="U1806">
            <v>2498.625</v>
          </cell>
          <cell r="V1806">
            <v>6300</v>
          </cell>
          <cell r="W1806">
            <v>180</v>
          </cell>
          <cell r="X1806">
            <v>5040</v>
          </cell>
          <cell r="Y1806">
            <v>0</v>
          </cell>
          <cell r="Z1806">
            <v>0</v>
          </cell>
          <cell r="AA1806">
            <v>13838.625</v>
          </cell>
          <cell r="AB1806">
            <v>208.93266666666665</v>
          </cell>
          <cell r="AC1806">
            <v>6300</v>
          </cell>
          <cell r="AD1806">
            <v>4976.9250000000011</v>
          </cell>
          <cell r="AE1806">
            <v>1323.0749999999989</v>
          </cell>
          <cell r="AN1806" t="str">
            <v xml:space="preserve">Contrato emergencial nº </v>
          </cell>
          <cell r="AO1806" t="str">
            <v>FO</v>
          </cell>
        </row>
        <row r="1807">
          <cell r="D1807" t="str">
            <v>2946/11</v>
          </cell>
          <cell r="E1807" t="str">
            <v>25/10/2011</v>
          </cell>
          <cell r="F1807">
            <v>41020</v>
          </cell>
          <cell r="G1807">
            <v>40877</v>
          </cell>
          <cell r="H1807" t="str">
            <v>2011-0.258.729-6</v>
          </cell>
          <cell r="I1807" t="str">
            <v>36.300,30</v>
          </cell>
          <cell r="J1807" t="str">
            <v xml:space="preserve">              123611122                  2848                    33903600</v>
          </cell>
          <cell r="K1807" t="str">
            <v>25/10/2011</v>
          </cell>
          <cell r="L1807">
            <v>37</v>
          </cell>
          <cell r="M1807">
            <v>7500</v>
          </cell>
          <cell r="N1807">
            <v>57278</v>
          </cell>
          <cell r="O1807">
            <v>35472</v>
          </cell>
          <cell r="P1807">
            <v>16</v>
          </cell>
          <cell r="Q1807">
            <v>3</v>
          </cell>
          <cell r="U1807">
            <v>931.03</v>
          </cell>
          <cell r="V1807">
            <v>6100</v>
          </cell>
          <cell r="W1807">
            <v>180</v>
          </cell>
          <cell r="X1807">
            <v>4880</v>
          </cell>
          <cell r="Y1807">
            <v>0</v>
          </cell>
          <cell r="Z1807">
            <v>0</v>
          </cell>
          <cell r="AA1807">
            <v>11911.029999999999</v>
          </cell>
          <cell r="AB1807">
            <v>201.66833333333335</v>
          </cell>
          <cell r="AC1807">
            <v>6100</v>
          </cell>
          <cell r="AD1807">
            <v>5421.875</v>
          </cell>
          <cell r="AE1807">
            <v>678.125</v>
          </cell>
          <cell r="AN1807" t="str">
            <v xml:space="preserve">Contrato emergencial nº </v>
          </cell>
          <cell r="AO1807" t="str">
            <v>SA</v>
          </cell>
        </row>
        <row r="1808">
          <cell r="D1808" t="str">
            <v>2947/11</v>
          </cell>
          <cell r="E1808" t="str">
            <v>17/10/2011</v>
          </cell>
          <cell r="F1808">
            <v>41012</v>
          </cell>
          <cell r="G1808">
            <v>40877</v>
          </cell>
          <cell r="H1808" t="str">
            <v>2011-0.258.732-6</v>
          </cell>
          <cell r="I1808" t="str">
            <v>34.992,66</v>
          </cell>
          <cell r="J1808" t="str">
            <v xml:space="preserve">              123651121                 2847                    33903600</v>
          </cell>
          <cell r="K1808" t="str">
            <v>17/10/2011</v>
          </cell>
          <cell r="L1808">
            <v>45</v>
          </cell>
          <cell r="M1808">
            <v>8800</v>
          </cell>
          <cell r="N1808">
            <v>57273</v>
          </cell>
          <cell r="O1808">
            <v>35474</v>
          </cell>
          <cell r="P1808">
            <v>16</v>
          </cell>
          <cell r="Q1808">
            <v>2</v>
          </cell>
          <cell r="U1808">
            <v>2863.3450000000003</v>
          </cell>
          <cell r="V1808">
            <v>5900</v>
          </cell>
          <cell r="W1808">
            <v>180</v>
          </cell>
          <cell r="X1808">
            <v>4720</v>
          </cell>
          <cell r="Y1808">
            <v>0</v>
          </cell>
          <cell r="Z1808">
            <v>0</v>
          </cell>
          <cell r="AA1808">
            <v>13483.345000000001</v>
          </cell>
          <cell r="AB1808">
            <v>194.40366666666668</v>
          </cell>
          <cell r="AC1808">
            <v>5900</v>
          </cell>
          <cell r="AD1808">
            <v>5790.55</v>
          </cell>
          <cell r="AE1808">
            <v>109.44999999999982</v>
          </cell>
          <cell r="AN1808" t="str">
            <v xml:space="preserve">Contrato emergencial nº </v>
          </cell>
          <cell r="AO1808" t="str">
            <v>MP</v>
          </cell>
        </row>
        <row r="1809">
          <cell r="D1809" t="str">
            <v>2948/11</v>
          </cell>
          <cell r="E1809" t="str">
            <v>17/10/2011</v>
          </cell>
          <cell r="F1809">
            <v>41012</v>
          </cell>
          <cell r="G1809">
            <v>40877</v>
          </cell>
          <cell r="H1809" t="str">
            <v>2011-0.258.734-2</v>
          </cell>
          <cell r="I1809" t="str">
            <v>42.838,74</v>
          </cell>
          <cell r="J1809" t="str">
            <v xml:space="preserve">             123671125                  2863                   33903600</v>
          </cell>
          <cell r="K1809" t="str">
            <v>17/10/2011</v>
          </cell>
          <cell r="L1809">
            <v>45</v>
          </cell>
          <cell r="M1809">
            <v>10800</v>
          </cell>
          <cell r="N1809">
            <v>57287</v>
          </cell>
          <cell r="O1809">
            <v>35487</v>
          </cell>
          <cell r="P1809">
            <v>16</v>
          </cell>
          <cell r="Q1809">
            <v>4</v>
          </cell>
          <cell r="U1809">
            <v>0</v>
          </cell>
          <cell r="V1809">
            <v>8000</v>
          </cell>
          <cell r="W1809">
            <v>180</v>
          </cell>
          <cell r="X1809">
            <v>6400</v>
          </cell>
          <cell r="Y1809">
            <v>114586</v>
          </cell>
          <cell r="Z1809">
            <v>7064.92</v>
          </cell>
          <cell r="AA1809">
            <v>7335.08</v>
          </cell>
          <cell r="AB1809">
            <v>237.99299999999999</v>
          </cell>
          <cell r="AC1809">
            <v>7200</v>
          </cell>
          <cell r="AD1809">
            <v>7954.74</v>
          </cell>
          <cell r="AE1809">
            <v>-754.73999999999978</v>
          </cell>
          <cell r="AN1809" t="str">
            <v xml:space="preserve">Contrato emergencial nº </v>
          </cell>
          <cell r="AO1809" t="str">
            <v>SA</v>
          </cell>
        </row>
        <row r="1810">
          <cell r="D1810" t="str">
            <v>2949/11</v>
          </cell>
          <cell r="E1810" t="str">
            <v>24/10/2011</v>
          </cell>
          <cell r="F1810">
            <v>41019</v>
          </cell>
          <cell r="G1810">
            <v>40877</v>
          </cell>
          <cell r="H1810" t="str">
            <v>2011-0.258.737-7</v>
          </cell>
          <cell r="I1810" t="str">
            <v>39.569,46</v>
          </cell>
          <cell r="J1810" t="str">
            <v xml:space="preserve">              123651121                 2847                    33903600</v>
          </cell>
          <cell r="K1810" t="str">
            <v>24/10/2011</v>
          </cell>
          <cell r="L1810">
            <v>38</v>
          </cell>
          <cell r="M1810">
            <v>8400</v>
          </cell>
          <cell r="N1810">
            <v>57273</v>
          </cell>
          <cell r="O1810">
            <v>35489</v>
          </cell>
          <cell r="P1810">
            <v>16</v>
          </cell>
          <cell r="Q1810">
            <v>2</v>
          </cell>
          <cell r="U1810">
            <v>0</v>
          </cell>
          <cell r="V1810">
            <v>6600</v>
          </cell>
          <cell r="W1810">
            <v>180</v>
          </cell>
          <cell r="X1810">
            <v>5280</v>
          </cell>
          <cell r="Y1810">
            <v>113203</v>
          </cell>
          <cell r="Z1810">
            <v>7376.04</v>
          </cell>
          <cell r="AA1810">
            <v>4503.96</v>
          </cell>
          <cell r="AB1810">
            <v>219.83033333333333</v>
          </cell>
          <cell r="AC1810">
            <v>6600</v>
          </cell>
          <cell r="AD1810">
            <v>6284.16</v>
          </cell>
          <cell r="AE1810">
            <v>315.84000000000015</v>
          </cell>
          <cell r="AN1810" t="str">
            <v xml:space="preserve">Contrato emergencial nº </v>
          </cell>
          <cell r="AO1810" t="str">
            <v>PJ</v>
          </cell>
        </row>
        <row r="1811">
          <cell r="D1811" t="str">
            <v>2950/11</v>
          </cell>
          <cell r="E1811" t="str">
            <v>24/10/2011</v>
          </cell>
          <cell r="F1811">
            <v>41019</v>
          </cell>
          <cell r="G1811">
            <v>40877</v>
          </cell>
          <cell r="H1811" t="str">
            <v>2011-0.258.740-7</v>
          </cell>
          <cell r="I1811" t="str">
            <v>30.556,68</v>
          </cell>
          <cell r="J1811" t="str">
            <v xml:space="preserve">              123611122                  2848                    33903600</v>
          </cell>
          <cell r="K1811" t="str">
            <v>24/10/2011</v>
          </cell>
          <cell r="L1811">
            <v>38</v>
          </cell>
          <cell r="M1811">
            <v>6500</v>
          </cell>
          <cell r="N1811">
            <v>57278</v>
          </cell>
          <cell r="O1811">
            <v>35492</v>
          </cell>
          <cell r="P1811">
            <v>16</v>
          </cell>
          <cell r="Q1811">
            <v>3</v>
          </cell>
          <cell r="U1811">
            <v>0</v>
          </cell>
          <cell r="V1811">
            <v>5900</v>
          </cell>
          <cell r="W1811">
            <v>180</v>
          </cell>
          <cell r="X1811">
            <v>4720</v>
          </cell>
          <cell r="Y1811">
            <v>114589</v>
          </cell>
          <cell r="Z1811">
            <v>5115.82</v>
          </cell>
          <cell r="AA1811">
            <v>5504.18</v>
          </cell>
          <cell r="AB1811">
            <v>169.75933333333333</v>
          </cell>
          <cell r="AC1811">
            <v>5100</v>
          </cell>
          <cell r="AD1811">
            <v>5831.09</v>
          </cell>
          <cell r="AE1811">
            <v>-731.09000000000015</v>
          </cell>
          <cell r="AN1811" t="str">
            <v xml:space="preserve">Contrato emergencial nº </v>
          </cell>
          <cell r="AO1811" t="str">
            <v>SA</v>
          </cell>
        </row>
        <row r="1812">
          <cell r="D1812" t="str">
            <v>2951/11</v>
          </cell>
          <cell r="E1812" t="str">
            <v>24/10/2011</v>
          </cell>
          <cell r="F1812">
            <v>41019</v>
          </cell>
          <cell r="G1812">
            <v>40877</v>
          </cell>
          <cell r="H1812" t="str">
            <v>2011-0.258.741-5</v>
          </cell>
          <cell r="I1812" t="str">
            <v>38.261,76</v>
          </cell>
          <cell r="J1812" t="str">
            <v xml:space="preserve">              123651121                 2847                    33903600</v>
          </cell>
          <cell r="K1812" t="str">
            <v>24/10/2011</v>
          </cell>
          <cell r="L1812">
            <v>38</v>
          </cell>
          <cell r="M1812">
            <v>8100</v>
          </cell>
          <cell r="N1812">
            <v>57273</v>
          </cell>
          <cell r="O1812">
            <v>35493</v>
          </cell>
          <cell r="P1812">
            <v>16</v>
          </cell>
          <cell r="Q1812">
            <v>2</v>
          </cell>
          <cell r="U1812">
            <v>0</v>
          </cell>
          <cell r="V1812">
            <v>6400</v>
          </cell>
          <cell r="W1812">
            <v>180</v>
          </cell>
          <cell r="X1812">
            <v>5120</v>
          </cell>
          <cell r="Y1812">
            <v>113565</v>
          </cell>
          <cell r="Z1812">
            <v>8100</v>
          </cell>
          <cell r="AA1812">
            <v>3420</v>
          </cell>
          <cell r="AB1812">
            <v>212.56533333333334</v>
          </cell>
          <cell r="AC1812">
            <v>6400</v>
          </cell>
          <cell r="AD1812">
            <v>6018.16</v>
          </cell>
          <cell r="AE1812">
            <v>381.84000000000015</v>
          </cell>
          <cell r="AN1812" t="str">
            <v xml:space="preserve">Contrato emergencial nº </v>
          </cell>
          <cell r="AO1812" t="str">
            <v>CL</v>
          </cell>
        </row>
        <row r="1813">
          <cell r="D1813" t="str">
            <v>2952/11</v>
          </cell>
          <cell r="E1813" t="str">
            <v>24/10/2011</v>
          </cell>
          <cell r="F1813">
            <v>41019</v>
          </cell>
          <cell r="G1813">
            <v>40877</v>
          </cell>
          <cell r="H1813" t="str">
            <v>2011-0.258.755-5</v>
          </cell>
          <cell r="I1813" t="str">
            <v>22.185,90</v>
          </cell>
          <cell r="J1813" t="str">
            <v xml:space="preserve">              123611122                  2848                    33903600</v>
          </cell>
          <cell r="K1813" t="str">
            <v>24/10/2011</v>
          </cell>
          <cell r="L1813">
            <v>38</v>
          </cell>
          <cell r="M1813">
            <v>4700</v>
          </cell>
          <cell r="N1813">
            <v>57278</v>
          </cell>
          <cell r="O1813">
            <v>35496</v>
          </cell>
          <cell r="P1813">
            <v>16</v>
          </cell>
          <cell r="Q1813">
            <v>3</v>
          </cell>
          <cell r="U1813">
            <v>0</v>
          </cell>
          <cell r="V1813">
            <v>5600</v>
          </cell>
          <cell r="W1813">
            <v>180</v>
          </cell>
          <cell r="X1813">
            <v>4480</v>
          </cell>
          <cell r="Y1813">
            <v>113196</v>
          </cell>
          <cell r="Z1813">
            <v>3355.3509999999997</v>
          </cell>
          <cell r="AA1813">
            <v>6724.6490000000003</v>
          </cell>
          <cell r="AB1813">
            <v>123.25500000000001</v>
          </cell>
          <cell r="AC1813">
            <v>3700</v>
          </cell>
          <cell r="AD1813">
            <v>5549.71</v>
          </cell>
          <cell r="AE1813">
            <v>-1849.71</v>
          </cell>
          <cell r="AN1813" t="str">
            <v xml:space="preserve">Contrato emergencial nº </v>
          </cell>
          <cell r="AO1813" t="str">
            <v>CS</v>
          </cell>
        </row>
        <row r="1814">
          <cell r="D1814" t="str">
            <v>2953/11</v>
          </cell>
          <cell r="E1814" t="str">
            <v>24/10/2011</v>
          </cell>
          <cell r="F1814">
            <v>41019</v>
          </cell>
          <cell r="G1814">
            <v>40877</v>
          </cell>
          <cell r="H1814" t="str">
            <v>2011-0.258.759-8</v>
          </cell>
          <cell r="I1814" t="str">
            <v>40.223,34</v>
          </cell>
          <cell r="J1814" t="str">
            <v xml:space="preserve">              123651121                 2847                    33903600</v>
          </cell>
          <cell r="K1814" t="str">
            <v>24/10/2011</v>
          </cell>
          <cell r="L1814">
            <v>38</v>
          </cell>
          <cell r="M1814">
            <v>8500</v>
          </cell>
          <cell r="N1814">
            <v>57273</v>
          </cell>
          <cell r="O1814">
            <v>35500</v>
          </cell>
          <cell r="P1814">
            <v>16</v>
          </cell>
          <cell r="Q1814">
            <v>2</v>
          </cell>
          <cell r="U1814">
            <v>0</v>
          </cell>
          <cell r="V1814">
            <v>6800</v>
          </cell>
          <cell r="W1814">
            <v>180</v>
          </cell>
          <cell r="X1814">
            <v>5440</v>
          </cell>
          <cell r="Y1814">
            <v>113197</v>
          </cell>
          <cell r="Z1814">
            <v>6976.6750000000002</v>
          </cell>
          <cell r="AA1814">
            <v>5263.3249999999998</v>
          </cell>
          <cell r="AB1814">
            <v>223.46299999999999</v>
          </cell>
          <cell r="AC1814">
            <v>6800</v>
          </cell>
          <cell r="AD1814">
            <v>5492.01</v>
          </cell>
          <cell r="AE1814">
            <v>1307.9899999999998</v>
          </cell>
          <cell r="AN1814" t="str">
            <v xml:space="preserve">Contrato emergencial nº </v>
          </cell>
          <cell r="AO1814" t="str">
            <v>CS</v>
          </cell>
        </row>
        <row r="1815">
          <cell r="D1815" t="str">
            <v>2954/11</v>
          </cell>
          <cell r="E1815" t="str">
            <v>24/10/2011</v>
          </cell>
          <cell r="F1815">
            <v>41019</v>
          </cell>
          <cell r="G1815">
            <v>40877</v>
          </cell>
          <cell r="H1815" t="str">
            <v>2011-0.258.761-0</v>
          </cell>
          <cell r="I1815" t="str">
            <v>44.324,52</v>
          </cell>
          <cell r="J1815" t="str">
            <v xml:space="preserve">              123651121                 2847                    33903600</v>
          </cell>
          <cell r="K1815" t="str">
            <v>24/10/2011</v>
          </cell>
          <cell r="L1815">
            <v>38</v>
          </cell>
          <cell r="M1815">
            <v>9400</v>
          </cell>
          <cell r="N1815">
            <v>57273</v>
          </cell>
          <cell r="O1815">
            <v>35503</v>
          </cell>
          <cell r="P1815">
            <v>16</v>
          </cell>
          <cell r="Q1815">
            <v>2</v>
          </cell>
          <cell r="U1815">
            <v>0</v>
          </cell>
          <cell r="V1815">
            <v>7600</v>
          </cell>
          <cell r="W1815">
            <v>180</v>
          </cell>
          <cell r="X1815">
            <v>6080</v>
          </cell>
          <cell r="Y1815">
            <v>113202</v>
          </cell>
          <cell r="Z1815">
            <v>7652.3919999999998</v>
          </cell>
          <cell r="AA1815">
            <v>6027.6080000000002</v>
          </cell>
          <cell r="AB1815">
            <v>246.2473333333333</v>
          </cell>
          <cell r="AC1815">
            <v>7400</v>
          </cell>
          <cell r="AD1815">
            <v>7511.3200000000006</v>
          </cell>
          <cell r="AE1815">
            <v>-111.32000000000062</v>
          </cell>
          <cell r="AN1815" t="str">
            <v xml:space="preserve">Contrato emergencial nº </v>
          </cell>
          <cell r="AO1815" t="str">
            <v>CS</v>
          </cell>
        </row>
        <row r="1816">
          <cell r="D1816" t="str">
            <v>2955/11</v>
          </cell>
          <cell r="E1816" t="str">
            <v>24/10/2011</v>
          </cell>
          <cell r="F1816">
            <v>41019</v>
          </cell>
          <cell r="G1816">
            <v>40877</v>
          </cell>
          <cell r="H1816" t="str">
            <v>2011-0.258.762-8</v>
          </cell>
          <cell r="I1816" t="str">
            <v>37.607,88</v>
          </cell>
          <cell r="J1816" t="str">
            <v xml:space="preserve">              123611122                  2848                    33903600</v>
          </cell>
          <cell r="K1816" t="str">
            <v>24/10/2011</v>
          </cell>
          <cell r="L1816">
            <v>38</v>
          </cell>
          <cell r="M1816">
            <v>8000</v>
          </cell>
          <cell r="N1816">
            <v>57278</v>
          </cell>
          <cell r="O1816">
            <v>35507</v>
          </cell>
          <cell r="P1816">
            <v>16</v>
          </cell>
          <cell r="Q1816">
            <v>3</v>
          </cell>
          <cell r="U1816">
            <v>0</v>
          </cell>
          <cell r="V1816">
            <v>6300</v>
          </cell>
          <cell r="W1816">
            <v>180</v>
          </cell>
          <cell r="X1816">
            <v>5040</v>
          </cell>
          <cell r="Y1816">
            <v>114467</v>
          </cell>
          <cell r="Z1816">
            <v>6639.41</v>
          </cell>
          <cell r="AA1816">
            <v>4700.59</v>
          </cell>
          <cell r="AB1816">
            <v>208.93266666666665</v>
          </cell>
          <cell r="AC1816">
            <v>6300</v>
          </cell>
          <cell r="AD1816">
            <v>5705.06</v>
          </cell>
          <cell r="AE1816">
            <v>594.9399999999996</v>
          </cell>
          <cell r="AN1816" t="str">
            <v xml:space="preserve">Contrato emergencial nº </v>
          </cell>
          <cell r="AO1816" t="str">
            <v>G</v>
          </cell>
        </row>
        <row r="1817">
          <cell r="D1817" t="str">
            <v>2956/11</v>
          </cell>
          <cell r="E1817" t="str">
            <v>24/10/2011</v>
          </cell>
          <cell r="F1817">
            <v>41019</v>
          </cell>
          <cell r="G1817">
            <v>40877</v>
          </cell>
          <cell r="H1817" t="str">
            <v>2011-0.258.763-6</v>
          </cell>
          <cell r="I1817" t="str">
            <v>37.607,88</v>
          </cell>
          <cell r="J1817" t="str">
            <v xml:space="preserve">              123651121                 2847                    33903600</v>
          </cell>
          <cell r="K1817" t="str">
            <v>24/10/2011</v>
          </cell>
          <cell r="L1817">
            <v>38</v>
          </cell>
          <cell r="M1817">
            <v>8000</v>
          </cell>
          <cell r="N1817">
            <v>57273</v>
          </cell>
          <cell r="O1817">
            <v>35510</v>
          </cell>
          <cell r="P1817">
            <v>16</v>
          </cell>
          <cell r="Q1817">
            <v>2</v>
          </cell>
          <cell r="U1817">
            <v>0</v>
          </cell>
          <cell r="V1817">
            <v>7200</v>
          </cell>
          <cell r="W1817">
            <v>180</v>
          </cell>
          <cell r="X1817">
            <v>5760</v>
          </cell>
          <cell r="Y1817">
            <v>113865</v>
          </cell>
          <cell r="Z1817">
            <v>6299.65</v>
          </cell>
          <cell r="AA1817">
            <v>6660.35</v>
          </cell>
          <cell r="AB1817">
            <v>208.93266666666665</v>
          </cell>
          <cell r="AC1817">
            <v>6300</v>
          </cell>
          <cell r="AD1817">
            <v>7115.4000000000005</v>
          </cell>
          <cell r="AE1817">
            <v>-815.40000000000055</v>
          </cell>
          <cell r="AN1817" t="str">
            <v xml:space="preserve">Contrato emergencial nº </v>
          </cell>
          <cell r="AO1817" t="str">
            <v>IQ</v>
          </cell>
        </row>
        <row r="1818">
          <cell r="D1818" t="str">
            <v>2957/11</v>
          </cell>
          <cell r="E1818" t="str">
            <v>24/10/2011</v>
          </cell>
          <cell r="F1818">
            <v>41019</v>
          </cell>
          <cell r="G1818">
            <v>40877</v>
          </cell>
          <cell r="H1818" t="str">
            <v>2011-0.258.765-2</v>
          </cell>
          <cell r="I1818" t="str">
            <v>37.607,88</v>
          </cell>
          <cell r="J1818" t="str">
            <v xml:space="preserve">              123611122                  2848                    33903600</v>
          </cell>
          <cell r="K1818" t="str">
            <v>24/10/2011</v>
          </cell>
          <cell r="L1818">
            <v>38</v>
          </cell>
          <cell r="M1818">
            <v>8000</v>
          </cell>
          <cell r="N1818">
            <v>57278</v>
          </cell>
          <cell r="O1818">
            <v>35513</v>
          </cell>
          <cell r="P1818">
            <v>16</v>
          </cell>
          <cell r="Q1818">
            <v>3</v>
          </cell>
          <cell r="U1818">
            <v>1224.1559999999999</v>
          </cell>
          <cell r="V1818">
            <v>6300</v>
          </cell>
          <cell r="W1818">
            <v>180</v>
          </cell>
          <cell r="X1818">
            <v>5040</v>
          </cell>
          <cell r="Y1818">
            <v>0</v>
          </cell>
          <cell r="Z1818">
            <v>0</v>
          </cell>
          <cell r="AA1818">
            <v>12564.155999999999</v>
          </cell>
          <cell r="AB1818">
            <v>208.93266666666665</v>
          </cell>
          <cell r="AC1818">
            <v>6300</v>
          </cell>
          <cell r="AD1818">
            <v>5161.7900000000009</v>
          </cell>
          <cell r="AE1818">
            <v>1138.2099999999991</v>
          </cell>
          <cell r="AN1818" t="str">
            <v xml:space="preserve">Contrato emergencial nº </v>
          </cell>
          <cell r="AO1818" t="str">
            <v>MP</v>
          </cell>
        </row>
        <row r="1819">
          <cell r="D1819" t="str">
            <v>2958/11</v>
          </cell>
          <cell r="E1819" t="str">
            <v>24/10/2011</v>
          </cell>
          <cell r="F1819">
            <v>41019</v>
          </cell>
          <cell r="G1819">
            <v>40877</v>
          </cell>
          <cell r="H1819" t="str">
            <v>2011-0.258.768-7</v>
          </cell>
          <cell r="I1819" t="str">
            <v>29.744,40</v>
          </cell>
          <cell r="J1819" t="str">
            <v xml:space="preserve">              123611122                  2848                    33903600</v>
          </cell>
          <cell r="K1819" t="str">
            <v>24/10/2011</v>
          </cell>
          <cell r="L1819">
            <v>38</v>
          </cell>
          <cell r="M1819">
            <v>6300</v>
          </cell>
          <cell r="N1819">
            <v>57278</v>
          </cell>
          <cell r="O1819">
            <v>35515</v>
          </cell>
          <cell r="P1819">
            <v>16</v>
          </cell>
          <cell r="Q1819">
            <v>3</v>
          </cell>
          <cell r="U1819">
            <v>0</v>
          </cell>
          <cell r="V1819">
            <v>5000</v>
          </cell>
          <cell r="W1819">
            <v>180</v>
          </cell>
          <cell r="X1819">
            <v>4000</v>
          </cell>
          <cell r="Y1819">
            <v>113866</v>
          </cell>
          <cell r="Z1819">
            <v>5335.65</v>
          </cell>
          <cell r="AA1819">
            <v>3664.3500000000004</v>
          </cell>
          <cell r="AB1819">
            <v>165.24666666666667</v>
          </cell>
          <cell r="AC1819">
            <v>5000</v>
          </cell>
          <cell r="AD1819">
            <v>4127.8799999999992</v>
          </cell>
          <cell r="AE1819">
            <v>872.1200000000008</v>
          </cell>
          <cell r="AN1819" t="str">
            <v xml:space="preserve">Contrato emergencial nº </v>
          </cell>
          <cell r="AO1819" t="str">
            <v>IQ</v>
          </cell>
        </row>
        <row r="1820">
          <cell r="D1820" t="str">
            <v>2959/11</v>
          </cell>
          <cell r="E1820" t="str">
            <v>24/10/2011</v>
          </cell>
          <cell r="F1820">
            <v>41019</v>
          </cell>
          <cell r="G1820">
            <v>40877</v>
          </cell>
          <cell r="H1820" t="str">
            <v>2011-0.258.770-9</v>
          </cell>
          <cell r="I1820" t="str">
            <v>26.039,46</v>
          </cell>
          <cell r="J1820" t="str">
            <v xml:space="preserve">              123611122                  2848                    33903600</v>
          </cell>
          <cell r="K1820" t="str">
            <v>24/10/2011</v>
          </cell>
          <cell r="L1820">
            <v>38</v>
          </cell>
          <cell r="M1820">
            <v>5500</v>
          </cell>
          <cell r="N1820">
            <v>57278</v>
          </cell>
          <cell r="O1820">
            <v>35527</v>
          </cell>
          <cell r="P1820">
            <v>16</v>
          </cell>
          <cell r="Q1820">
            <v>3</v>
          </cell>
          <cell r="U1820">
            <v>0</v>
          </cell>
          <cell r="V1820">
            <v>4400</v>
          </cell>
          <cell r="W1820">
            <v>180</v>
          </cell>
          <cell r="X1820">
            <v>3520</v>
          </cell>
          <cell r="Y1820">
            <v>114794</v>
          </cell>
          <cell r="Z1820">
            <v>4645.62</v>
          </cell>
          <cell r="AA1820">
            <v>3274.38</v>
          </cell>
          <cell r="AB1820">
            <v>144.66366666666667</v>
          </cell>
          <cell r="AC1820">
            <v>4400</v>
          </cell>
          <cell r="AD1820">
            <v>3430.1400000000003</v>
          </cell>
          <cell r="AE1820">
            <v>969.85999999999967</v>
          </cell>
          <cell r="AN1820" t="str">
            <v xml:space="preserve">Contrato emergencial nº </v>
          </cell>
          <cell r="AO1820" t="str">
            <v>JT</v>
          </cell>
        </row>
        <row r="1821">
          <cell r="D1821" t="str">
            <v>2960/11</v>
          </cell>
          <cell r="E1821" t="str">
            <v>24/10/2011</v>
          </cell>
          <cell r="F1821">
            <v>41019</v>
          </cell>
          <cell r="G1821">
            <v>40877</v>
          </cell>
          <cell r="H1821" t="str">
            <v>2011-0.258.773-3</v>
          </cell>
          <cell r="I1821" t="str">
            <v>38.261,76</v>
          </cell>
          <cell r="J1821" t="str">
            <v xml:space="preserve">              123611122                  2848                    33903600</v>
          </cell>
          <cell r="K1821" t="str">
            <v>24/10/2011</v>
          </cell>
          <cell r="L1821">
            <v>38</v>
          </cell>
          <cell r="M1821">
            <v>8100</v>
          </cell>
          <cell r="N1821">
            <v>57278</v>
          </cell>
          <cell r="O1821">
            <v>35529</v>
          </cell>
          <cell r="P1821">
            <v>16</v>
          </cell>
          <cell r="Q1821">
            <v>3</v>
          </cell>
          <cell r="U1821">
            <v>0</v>
          </cell>
          <cell r="V1821">
            <v>6400</v>
          </cell>
          <cell r="W1821">
            <v>180</v>
          </cell>
          <cell r="X1821">
            <v>5120</v>
          </cell>
          <cell r="Y1821">
            <v>113206</v>
          </cell>
          <cell r="Z1821">
            <v>6721.09</v>
          </cell>
          <cell r="AA1821">
            <v>4798.91</v>
          </cell>
          <cell r="AB1821">
            <v>212.56533333333334</v>
          </cell>
          <cell r="AC1821">
            <v>6400</v>
          </cell>
          <cell r="AD1821">
            <v>6047.2</v>
          </cell>
          <cell r="AE1821">
            <v>352.80000000000018</v>
          </cell>
          <cell r="AN1821" t="str">
            <v xml:space="preserve">Contrato emergencial nº </v>
          </cell>
          <cell r="AO1821" t="str">
            <v>PJ</v>
          </cell>
        </row>
        <row r="1822">
          <cell r="D1822" t="str">
            <v>2961/11</v>
          </cell>
          <cell r="E1822" t="str">
            <v>24/10/2011</v>
          </cell>
          <cell r="F1822">
            <v>41019</v>
          </cell>
          <cell r="G1822">
            <v>40877</v>
          </cell>
          <cell r="H1822" t="str">
            <v>2011-0.258.774-1</v>
          </cell>
          <cell r="I1822" t="str">
            <v>40.223,34</v>
          </cell>
          <cell r="J1822" t="str">
            <v xml:space="preserve">              123651121                 2847                    33903600</v>
          </cell>
          <cell r="K1822" t="str">
            <v>24/10/2011</v>
          </cell>
          <cell r="L1822">
            <v>38</v>
          </cell>
          <cell r="M1822">
            <v>8500</v>
          </cell>
          <cell r="N1822">
            <v>57273</v>
          </cell>
          <cell r="O1822">
            <v>35531</v>
          </cell>
          <cell r="P1822">
            <v>16</v>
          </cell>
          <cell r="Q1822">
            <v>2</v>
          </cell>
          <cell r="U1822">
            <v>0</v>
          </cell>
          <cell r="V1822">
            <v>6800</v>
          </cell>
          <cell r="W1822">
            <v>180</v>
          </cell>
          <cell r="X1822">
            <v>5440</v>
          </cell>
          <cell r="Y1822">
            <v>113210</v>
          </cell>
          <cell r="Z1822">
            <v>7060.35</v>
          </cell>
          <cell r="AA1822">
            <v>5179.6499999999996</v>
          </cell>
          <cell r="AB1822">
            <v>223.46299999999999</v>
          </cell>
          <cell r="AC1822">
            <v>6800</v>
          </cell>
          <cell r="AD1822">
            <v>6330.3499999999995</v>
          </cell>
          <cell r="AE1822">
            <v>469.65000000000055</v>
          </cell>
          <cell r="AN1822" t="str">
            <v xml:space="preserve">Contrato emergencial nº </v>
          </cell>
          <cell r="AO1822" t="str">
            <v>PJ</v>
          </cell>
        </row>
        <row r="1823">
          <cell r="D1823" t="str">
            <v>2962/11</v>
          </cell>
          <cell r="E1823" t="str">
            <v>24/10/2011</v>
          </cell>
          <cell r="F1823">
            <v>41019</v>
          </cell>
          <cell r="G1823">
            <v>40877</v>
          </cell>
          <cell r="H1823" t="str">
            <v>2011-0.258.778-4</v>
          </cell>
          <cell r="I1823" t="str">
            <v>40.223,34</v>
          </cell>
          <cell r="J1823" t="str">
            <v xml:space="preserve">              123651121                 2847                    33903600</v>
          </cell>
          <cell r="K1823" t="str">
            <v>24/10/2011</v>
          </cell>
          <cell r="L1823">
            <v>38</v>
          </cell>
          <cell r="M1823">
            <v>8500</v>
          </cell>
          <cell r="N1823">
            <v>57273</v>
          </cell>
          <cell r="O1823">
            <v>35535</v>
          </cell>
          <cell r="P1823">
            <v>16</v>
          </cell>
          <cell r="Q1823">
            <v>2</v>
          </cell>
          <cell r="U1823">
            <v>0</v>
          </cell>
          <cell r="V1823">
            <v>6800</v>
          </cell>
          <cell r="W1823">
            <v>180</v>
          </cell>
          <cell r="X1823">
            <v>5440</v>
          </cell>
          <cell r="Y1823">
            <v>114597</v>
          </cell>
          <cell r="Z1823">
            <v>7166.78</v>
          </cell>
          <cell r="AA1823">
            <v>5073.22</v>
          </cell>
          <cell r="AB1823">
            <v>223.46299999999999</v>
          </cell>
          <cell r="AC1823">
            <v>6800</v>
          </cell>
          <cell r="AD1823">
            <v>5648.65</v>
          </cell>
          <cell r="AE1823">
            <v>1151.3500000000004</v>
          </cell>
          <cell r="AN1823" t="str">
            <v xml:space="preserve">Contrato emergencial nº </v>
          </cell>
          <cell r="AO1823" t="str">
            <v>SA</v>
          </cell>
        </row>
        <row r="1824">
          <cell r="D1824" t="str">
            <v>2963/11</v>
          </cell>
          <cell r="E1824" t="str">
            <v>24/10/2011</v>
          </cell>
          <cell r="F1824">
            <v>41019</v>
          </cell>
          <cell r="G1824">
            <v>40877</v>
          </cell>
          <cell r="H1824" t="str">
            <v>2011-0.258.780-6</v>
          </cell>
          <cell r="I1824" t="str">
            <v>31.418,52</v>
          </cell>
          <cell r="J1824" t="str">
            <v xml:space="preserve">              123611122                  2848                    33903600</v>
          </cell>
          <cell r="K1824" t="str">
            <v>24/10/2011</v>
          </cell>
          <cell r="L1824">
            <v>38</v>
          </cell>
          <cell r="M1824">
            <v>6700</v>
          </cell>
          <cell r="N1824">
            <v>57278</v>
          </cell>
          <cell r="O1824">
            <v>35537</v>
          </cell>
          <cell r="P1824">
            <v>16</v>
          </cell>
          <cell r="Q1824">
            <v>3</v>
          </cell>
          <cell r="U1824">
            <v>0</v>
          </cell>
          <cell r="V1824">
            <v>5600</v>
          </cell>
          <cell r="W1824">
            <v>180</v>
          </cell>
          <cell r="X1824">
            <v>4480</v>
          </cell>
          <cell r="Y1824">
            <v>114601</v>
          </cell>
          <cell r="Z1824">
            <v>5252.82</v>
          </cell>
          <cell r="AA1824">
            <v>4827.18</v>
          </cell>
          <cell r="AB1824">
            <v>174.54733333333334</v>
          </cell>
          <cell r="AC1824">
            <v>5300</v>
          </cell>
          <cell r="AD1824">
            <v>5519.3899999999994</v>
          </cell>
          <cell r="AE1824">
            <v>-219.38999999999942</v>
          </cell>
          <cell r="AN1824" t="str">
            <v xml:space="preserve">Contrato emergencial nº </v>
          </cell>
          <cell r="AO1824" t="str">
            <v>SA</v>
          </cell>
        </row>
        <row r="1825">
          <cell r="D1825" t="str">
            <v>2964/11</v>
          </cell>
          <cell r="E1825" t="str">
            <v>24/10/2011</v>
          </cell>
          <cell r="F1825">
            <v>41019</v>
          </cell>
          <cell r="G1825">
            <v>40877</v>
          </cell>
          <cell r="H1825" t="str">
            <v>2011-0.258.782-2</v>
          </cell>
          <cell r="I1825" t="str">
            <v>38.261,76</v>
          </cell>
          <cell r="J1825" t="str">
            <v xml:space="preserve">              123651121                 2847                    33903600</v>
          </cell>
          <cell r="K1825" t="str">
            <v>24/10/2011</v>
          </cell>
          <cell r="L1825">
            <v>38</v>
          </cell>
          <cell r="M1825">
            <v>8100</v>
          </cell>
          <cell r="N1825">
            <v>57273</v>
          </cell>
          <cell r="O1825">
            <v>35538</v>
          </cell>
          <cell r="P1825">
            <v>16</v>
          </cell>
          <cell r="Q1825">
            <v>2</v>
          </cell>
          <cell r="U1825">
            <v>0</v>
          </cell>
          <cell r="V1825">
            <v>6500</v>
          </cell>
          <cell r="W1825">
            <v>180</v>
          </cell>
          <cell r="X1825">
            <v>5200</v>
          </cell>
          <cell r="Y1825">
            <v>114603</v>
          </cell>
          <cell r="Z1825">
            <v>6562.34</v>
          </cell>
          <cell r="AA1825">
            <v>5137.66</v>
          </cell>
          <cell r="AB1825">
            <v>212.56533333333334</v>
          </cell>
          <cell r="AC1825">
            <v>6400</v>
          </cell>
          <cell r="AD1825">
            <v>6490.8099999999995</v>
          </cell>
          <cell r="AE1825">
            <v>-90.809999999999491</v>
          </cell>
          <cell r="AN1825" t="str">
            <v xml:space="preserve">Contrato emergencial nº </v>
          </cell>
          <cell r="AO1825" t="str">
            <v>SA</v>
          </cell>
        </row>
        <row r="1826">
          <cell r="D1826" t="str">
            <v>2965/11</v>
          </cell>
          <cell r="E1826" t="str">
            <v>24/10/2011</v>
          </cell>
          <cell r="F1826">
            <v>41019</v>
          </cell>
          <cell r="G1826">
            <v>40877</v>
          </cell>
          <cell r="H1826" t="str">
            <v>2011-0.258.784-9</v>
          </cell>
          <cell r="I1826" t="str">
            <v>44.978,40</v>
          </cell>
          <cell r="J1826" t="str">
            <v xml:space="preserve">              123651121                 2847                    33903600</v>
          </cell>
          <cell r="K1826" t="str">
            <v>24/10/2011</v>
          </cell>
          <cell r="L1826">
            <v>38</v>
          </cell>
          <cell r="M1826">
            <v>9500</v>
          </cell>
          <cell r="N1826">
            <v>57273</v>
          </cell>
          <cell r="O1826">
            <v>35539</v>
          </cell>
          <cell r="P1826">
            <v>16</v>
          </cell>
          <cell r="Q1826">
            <v>2</v>
          </cell>
          <cell r="U1826">
            <v>0</v>
          </cell>
          <cell r="V1826">
            <v>7500</v>
          </cell>
          <cell r="W1826">
            <v>180</v>
          </cell>
          <cell r="X1826">
            <v>6000</v>
          </cell>
          <cell r="Y1826">
            <v>114606</v>
          </cell>
          <cell r="Z1826">
            <v>7759.16</v>
          </cell>
          <cell r="AA1826">
            <v>5740.84</v>
          </cell>
          <cell r="AB1826">
            <v>249.88</v>
          </cell>
          <cell r="AC1826">
            <v>7500</v>
          </cell>
          <cell r="AD1826">
            <v>7354.88</v>
          </cell>
          <cell r="AE1826">
            <v>145.11999999999989</v>
          </cell>
          <cell r="AN1826" t="str">
            <v xml:space="preserve">Contrato emergencial nº </v>
          </cell>
          <cell r="AO1826" t="str">
            <v>SA</v>
          </cell>
        </row>
        <row r="1827">
          <cell r="D1827" t="str">
            <v>2966/11</v>
          </cell>
          <cell r="E1827" t="str">
            <v>24/10/2011</v>
          </cell>
          <cell r="F1827">
            <v>41019</v>
          </cell>
          <cell r="G1827">
            <v>40877</v>
          </cell>
          <cell r="H1827" t="str">
            <v>2011-0.258.786-5</v>
          </cell>
          <cell r="I1827" t="str">
            <v>38.261,76</v>
          </cell>
          <cell r="J1827" t="str">
            <v xml:space="preserve">              123611122                  2848                    33903600</v>
          </cell>
          <cell r="K1827" t="str">
            <v>24/10/2011</v>
          </cell>
          <cell r="L1827">
            <v>38</v>
          </cell>
          <cell r="M1827">
            <v>8100</v>
          </cell>
          <cell r="N1827">
            <v>57278</v>
          </cell>
          <cell r="O1827">
            <v>35541</v>
          </cell>
          <cell r="P1827">
            <v>16</v>
          </cell>
          <cell r="Q1827">
            <v>3</v>
          </cell>
          <cell r="U1827">
            <v>0</v>
          </cell>
          <cell r="V1827">
            <v>6400</v>
          </cell>
          <cell r="W1827">
            <v>180</v>
          </cell>
          <cell r="X1827">
            <v>5120</v>
          </cell>
          <cell r="Y1827">
            <v>113591</v>
          </cell>
          <cell r="Z1827">
            <v>8100</v>
          </cell>
          <cell r="AA1827">
            <v>3420</v>
          </cell>
          <cell r="AB1827">
            <v>212.56533333333334</v>
          </cell>
          <cell r="AC1827">
            <v>6400</v>
          </cell>
          <cell r="AD1827">
            <v>4952.585</v>
          </cell>
          <cell r="AE1827">
            <v>1447.415</v>
          </cell>
          <cell r="AN1827" t="str">
            <v xml:space="preserve">Contrato emergencial nº </v>
          </cell>
          <cell r="AO1827" t="str">
            <v>CL</v>
          </cell>
        </row>
        <row r="1828">
          <cell r="D1828" t="str">
            <v>2967/11</v>
          </cell>
          <cell r="E1828" t="str">
            <v>24/10/2011</v>
          </cell>
          <cell r="F1828">
            <v>41019</v>
          </cell>
          <cell r="G1828">
            <v>40877</v>
          </cell>
          <cell r="H1828" t="str">
            <v>2011-0.258.789-0</v>
          </cell>
          <cell r="I1828" t="str">
            <v>44.978,40</v>
          </cell>
          <cell r="J1828" t="str">
            <v xml:space="preserve">              123651121                 2847                    33903600</v>
          </cell>
          <cell r="K1828" t="str">
            <v>24/10/2011</v>
          </cell>
          <cell r="L1828">
            <v>38</v>
          </cell>
          <cell r="M1828">
            <v>9500</v>
          </cell>
          <cell r="N1828">
            <v>57273</v>
          </cell>
          <cell r="O1828">
            <v>35543</v>
          </cell>
          <cell r="P1828">
            <v>16</v>
          </cell>
          <cell r="Q1828">
            <v>2</v>
          </cell>
          <cell r="U1828">
            <v>0</v>
          </cell>
          <cell r="V1828">
            <v>7500</v>
          </cell>
          <cell r="W1828">
            <v>180</v>
          </cell>
          <cell r="X1828">
            <v>6000</v>
          </cell>
          <cell r="Y1828">
            <v>114475</v>
          </cell>
          <cell r="Z1828">
            <v>8079.69</v>
          </cell>
          <cell r="AA1828">
            <v>5420.31</v>
          </cell>
          <cell r="AB1828">
            <v>249.88</v>
          </cell>
          <cell r="AC1828">
            <v>7500</v>
          </cell>
          <cell r="AD1828">
            <v>6049.6399999999994</v>
          </cell>
          <cell r="AE1828">
            <v>1450.3600000000006</v>
          </cell>
          <cell r="AN1828" t="str">
            <v xml:space="preserve">Contrato emergencial nº </v>
          </cell>
          <cell r="AO1828" t="str">
            <v>G</v>
          </cell>
        </row>
        <row r="1829">
          <cell r="D1829" t="str">
            <v>2968/11</v>
          </cell>
          <cell r="E1829" t="str">
            <v>24/10/2011</v>
          </cell>
          <cell r="F1829">
            <v>41019</v>
          </cell>
          <cell r="G1829">
            <v>40877</v>
          </cell>
          <cell r="H1829" t="str">
            <v>2011-0.258.793-8</v>
          </cell>
          <cell r="I1829" t="str">
            <v>31.418,52</v>
          </cell>
          <cell r="J1829" t="str">
            <v xml:space="preserve">              123611122                  2848                    33903600</v>
          </cell>
          <cell r="K1829" t="str">
            <v>24/10/2011</v>
          </cell>
          <cell r="L1829">
            <v>38</v>
          </cell>
          <cell r="M1829">
            <v>6700</v>
          </cell>
          <cell r="N1829">
            <v>57278</v>
          </cell>
          <cell r="O1829">
            <v>35581</v>
          </cell>
          <cell r="P1829">
            <v>16</v>
          </cell>
          <cell r="Q1829">
            <v>3</v>
          </cell>
          <cell r="U1829">
            <v>0</v>
          </cell>
          <cell r="V1829">
            <v>5300</v>
          </cell>
          <cell r="W1829">
            <v>180</v>
          </cell>
          <cell r="X1829">
            <v>4240</v>
          </cell>
          <cell r="Y1829">
            <v>114478</v>
          </cell>
          <cell r="Z1829">
            <v>5663.66</v>
          </cell>
          <cell r="AA1829">
            <v>3876.34</v>
          </cell>
          <cell r="AB1829">
            <v>174.54733333333334</v>
          </cell>
          <cell r="AC1829">
            <v>5300</v>
          </cell>
          <cell r="AD1829">
            <v>5300</v>
          </cell>
          <cell r="AE1829">
            <v>0</v>
          </cell>
          <cell r="AN1829" t="str">
            <v xml:space="preserve">Contrato emergencial nº </v>
          </cell>
          <cell r="AO1829" t="str">
            <v>G</v>
          </cell>
        </row>
        <row r="1830">
          <cell r="D1830" t="str">
            <v>2970/11</v>
          </cell>
          <cell r="E1830" t="str">
            <v>24/10/2011</v>
          </cell>
          <cell r="F1830">
            <v>41019</v>
          </cell>
          <cell r="G1830">
            <v>40877</v>
          </cell>
          <cell r="H1830" t="str">
            <v>2011-0.258.797-0</v>
          </cell>
          <cell r="I1830" t="str">
            <v>38.261,76</v>
          </cell>
          <cell r="J1830" t="str">
            <v xml:space="preserve">              123651121                 2847                    33903600</v>
          </cell>
          <cell r="K1830" t="str">
            <v>24/10/2011</v>
          </cell>
          <cell r="L1830">
            <v>38</v>
          </cell>
          <cell r="M1830">
            <v>8100</v>
          </cell>
          <cell r="N1830">
            <v>57273</v>
          </cell>
          <cell r="O1830">
            <v>35584</v>
          </cell>
          <cell r="P1830">
            <v>16</v>
          </cell>
          <cell r="Q1830">
            <v>2</v>
          </cell>
          <cell r="U1830">
            <v>0</v>
          </cell>
          <cell r="V1830">
            <v>6400</v>
          </cell>
          <cell r="W1830">
            <v>180</v>
          </cell>
          <cell r="X1830">
            <v>5120</v>
          </cell>
          <cell r="Y1830">
            <v>113868</v>
          </cell>
          <cell r="Z1830">
            <v>6857.31</v>
          </cell>
          <cell r="AA1830">
            <v>4662.6899999999996</v>
          </cell>
          <cell r="AB1830">
            <v>212.56533333333334</v>
          </cell>
          <cell r="AC1830">
            <v>6400</v>
          </cell>
          <cell r="AD1830">
            <v>5334.75</v>
          </cell>
          <cell r="AE1830">
            <v>1065.25</v>
          </cell>
          <cell r="AN1830" t="str">
            <v xml:space="preserve">Contrato emergencial nº </v>
          </cell>
          <cell r="AO1830" t="str">
            <v>IQ</v>
          </cell>
        </row>
        <row r="1831">
          <cell r="D1831" t="str">
            <v>2971/11</v>
          </cell>
          <cell r="E1831" t="str">
            <v>24/10/2011</v>
          </cell>
          <cell r="F1831">
            <v>41019</v>
          </cell>
          <cell r="G1831">
            <v>40877</v>
          </cell>
          <cell r="H1831" t="str">
            <v>2011-0.258.799-7</v>
          </cell>
          <cell r="I1831" t="str">
            <v>26.039,46</v>
          </cell>
          <cell r="J1831" t="str">
            <v xml:space="preserve">              123651121                 2847                    33903600</v>
          </cell>
          <cell r="K1831" t="str">
            <v>24/10/2011</v>
          </cell>
          <cell r="L1831">
            <v>38</v>
          </cell>
          <cell r="M1831">
            <v>5500</v>
          </cell>
          <cell r="N1831">
            <v>57273</v>
          </cell>
          <cell r="O1831">
            <v>35586</v>
          </cell>
          <cell r="P1831">
            <v>16</v>
          </cell>
          <cell r="Q1831">
            <v>2</v>
          </cell>
          <cell r="U1831">
            <v>0</v>
          </cell>
          <cell r="V1831">
            <v>4400</v>
          </cell>
          <cell r="W1831">
            <v>180</v>
          </cell>
          <cell r="X1831">
            <v>3520</v>
          </cell>
          <cell r="Y1831">
            <v>113870</v>
          </cell>
          <cell r="Z1831">
            <v>7687.74</v>
          </cell>
          <cell r="AA1831">
            <v>232.26000000000022</v>
          </cell>
          <cell r="AB1831">
            <v>144.66366666666667</v>
          </cell>
          <cell r="AC1831">
            <v>4400</v>
          </cell>
          <cell r="AD1831">
            <v>3480.33</v>
          </cell>
          <cell r="AE1831">
            <v>919.67000000000007</v>
          </cell>
          <cell r="AN1831" t="str">
            <v xml:space="preserve">Contrato emergencial nº </v>
          </cell>
          <cell r="AO1831" t="str">
            <v>IQ</v>
          </cell>
        </row>
        <row r="1832">
          <cell r="D1832" t="str">
            <v>2972/11</v>
          </cell>
          <cell r="E1832" t="str">
            <v>24/10/2011</v>
          </cell>
          <cell r="F1832">
            <v>41019</v>
          </cell>
          <cell r="G1832">
            <v>40877</v>
          </cell>
          <cell r="H1832" t="str">
            <v>2011-0.258.802-0</v>
          </cell>
          <cell r="I1832" t="str">
            <v>37.607,88</v>
          </cell>
          <cell r="J1832" t="str">
            <v xml:space="preserve">              123651121                 2847                    33903600</v>
          </cell>
          <cell r="K1832" t="str">
            <v>24/10/2011</v>
          </cell>
          <cell r="L1832">
            <v>38</v>
          </cell>
          <cell r="M1832">
            <v>8000</v>
          </cell>
          <cell r="N1832">
            <v>57273</v>
          </cell>
          <cell r="O1832">
            <v>35588</v>
          </cell>
          <cell r="P1832">
            <v>16</v>
          </cell>
          <cell r="Q1832">
            <v>2</v>
          </cell>
          <cell r="U1832">
            <v>0</v>
          </cell>
          <cell r="V1832">
            <v>6300</v>
          </cell>
          <cell r="W1832">
            <v>180</v>
          </cell>
          <cell r="X1832">
            <v>5040</v>
          </cell>
          <cell r="Y1832">
            <v>113872</v>
          </cell>
          <cell r="Z1832">
            <v>6783.65</v>
          </cell>
          <cell r="AA1832">
            <v>4556.3500000000004</v>
          </cell>
          <cell r="AB1832">
            <v>208.93266666666665</v>
          </cell>
          <cell r="AC1832">
            <v>6300</v>
          </cell>
          <cell r="AD1832">
            <v>5236.28</v>
          </cell>
          <cell r="AE1832">
            <v>1063.7200000000003</v>
          </cell>
          <cell r="AN1832" t="str">
            <v xml:space="preserve">Contrato emergencial nº </v>
          </cell>
          <cell r="AO1832" t="str">
            <v>IQ</v>
          </cell>
        </row>
        <row r="1833">
          <cell r="D1833" t="str">
            <v>2973/11</v>
          </cell>
          <cell r="E1833" t="str">
            <v>24/10/2011</v>
          </cell>
          <cell r="F1833">
            <v>41019</v>
          </cell>
          <cell r="G1833">
            <v>40877</v>
          </cell>
          <cell r="H1833" t="str">
            <v>2011-0.258.883-7</v>
          </cell>
          <cell r="I1833" t="str">
            <v>31.418,52</v>
          </cell>
          <cell r="J1833" t="str">
            <v xml:space="preserve">              123651121                 2847                    33903600</v>
          </cell>
          <cell r="K1833" t="str">
            <v>24/10/2011</v>
          </cell>
          <cell r="L1833">
            <v>38</v>
          </cell>
          <cell r="M1833">
            <v>6700</v>
          </cell>
          <cell r="N1833">
            <v>57273</v>
          </cell>
          <cell r="O1833">
            <v>35589</v>
          </cell>
          <cell r="P1833">
            <v>16</v>
          </cell>
          <cell r="Q1833">
            <v>2</v>
          </cell>
          <cell r="U1833">
            <v>0</v>
          </cell>
          <cell r="V1833">
            <v>5300</v>
          </cell>
          <cell r="W1833">
            <v>180</v>
          </cell>
          <cell r="X1833">
            <v>4240</v>
          </cell>
          <cell r="Y1833">
            <v>113874</v>
          </cell>
          <cell r="Z1833">
            <v>5784.93</v>
          </cell>
          <cell r="AA1833">
            <v>3755.0699999999997</v>
          </cell>
          <cell r="AB1833">
            <v>174.54733333333334</v>
          </cell>
          <cell r="AC1833">
            <v>5300</v>
          </cell>
          <cell r="AD1833">
            <v>3942.0299999999997</v>
          </cell>
          <cell r="AE1833">
            <v>1357.9700000000003</v>
          </cell>
          <cell r="AN1833" t="str">
            <v xml:space="preserve">Contrato emergencial nº </v>
          </cell>
          <cell r="AO1833" t="str">
            <v>IQ</v>
          </cell>
        </row>
        <row r="1834">
          <cell r="D1834" t="str">
            <v>2974/11</v>
          </cell>
          <cell r="E1834" t="str">
            <v>24/10/2011</v>
          </cell>
          <cell r="F1834">
            <v>41019</v>
          </cell>
          <cell r="G1834">
            <v>40877</v>
          </cell>
          <cell r="H1834" t="str">
            <v>2011-0.258.887-0</v>
          </cell>
          <cell r="I1834" t="str">
            <v>38.261,76</v>
          </cell>
          <cell r="J1834" t="str">
            <v xml:space="preserve">              123611122                  2848                    33903600</v>
          </cell>
          <cell r="K1834" t="str">
            <v>24/10/2011</v>
          </cell>
          <cell r="L1834">
            <v>38</v>
          </cell>
          <cell r="M1834">
            <v>8100</v>
          </cell>
          <cell r="N1834">
            <v>57278</v>
          </cell>
          <cell r="O1834">
            <v>35592</v>
          </cell>
          <cell r="P1834">
            <v>16</v>
          </cell>
          <cell r="Q1834">
            <v>3</v>
          </cell>
          <cell r="U1834">
            <v>0</v>
          </cell>
          <cell r="V1834">
            <v>6400</v>
          </cell>
          <cell r="W1834">
            <v>180</v>
          </cell>
          <cell r="X1834">
            <v>5120</v>
          </cell>
          <cell r="Y1834">
            <v>114798</v>
          </cell>
          <cell r="Z1834">
            <v>6823.61</v>
          </cell>
          <cell r="AA1834">
            <v>4696.3900000000003</v>
          </cell>
          <cell r="AB1834">
            <v>212.56533333333334</v>
          </cell>
          <cell r="AC1834">
            <v>6400</v>
          </cell>
          <cell r="AD1834">
            <v>4950.12</v>
          </cell>
          <cell r="AE1834">
            <v>1449.88</v>
          </cell>
          <cell r="AN1834" t="str">
            <v xml:space="preserve">Contrato emergencial nº </v>
          </cell>
          <cell r="AO1834" t="str">
            <v>JT</v>
          </cell>
        </row>
        <row r="1835">
          <cell r="D1835" t="str">
            <v>2976/11</v>
          </cell>
          <cell r="E1835" t="str">
            <v>24/10/2011</v>
          </cell>
          <cell r="F1835">
            <v>41019</v>
          </cell>
          <cell r="G1835">
            <v>40877</v>
          </cell>
          <cell r="H1835" t="str">
            <v>2011-0.258.894-2</v>
          </cell>
          <cell r="I1835" t="str">
            <v>31.012,38</v>
          </cell>
          <cell r="J1835" t="str">
            <v xml:space="preserve">              123611122                  2848                    33903600</v>
          </cell>
          <cell r="K1835" t="str">
            <v>24/10/2011</v>
          </cell>
          <cell r="L1835">
            <v>38</v>
          </cell>
          <cell r="M1835">
            <v>6600</v>
          </cell>
          <cell r="N1835">
            <v>57278</v>
          </cell>
          <cell r="O1835">
            <v>35595</v>
          </cell>
          <cell r="P1835">
            <v>16</v>
          </cell>
          <cell r="Q1835">
            <v>3</v>
          </cell>
          <cell r="U1835">
            <v>0</v>
          </cell>
          <cell r="V1835">
            <v>5700</v>
          </cell>
          <cell r="W1835">
            <v>180</v>
          </cell>
          <cell r="X1835">
            <v>4560</v>
          </cell>
          <cell r="Y1835">
            <v>114805</v>
          </cell>
          <cell r="Z1835">
            <v>5179.41</v>
          </cell>
          <cell r="AA1835">
            <v>5080.59</v>
          </cell>
          <cell r="AB1835">
            <v>172.291</v>
          </cell>
          <cell r="AC1835">
            <v>5200</v>
          </cell>
          <cell r="AD1835">
            <v>5657.13</v>
          </cell>
          <cell r="AE1835">
            <v>-457.13000000000011</v>
          </cell>
          <cell r="AN1835" t="str">
            <v xml:space="preserve">Contrato emergencial nº </v>
          </cell>
          <cell r="AO1835" t="str">
            <v>JT</v>
          </cell>
        </row>
        <row r="1836">
          <cell r="D1836" t="str">
            <v>2977/11</v>
          </cell>
          <cell r="E1836" t="str">
            <v>24/10/2011</v>
          </cell>
          <cell r="F1836">
            <v>41019</v>
          </cell>
          <cell r="G1836">
            <v>40877</v>
          </cell>
          <cell r="H1836" t="str">
            <v>2011-0.258.897-7</v>
          </cell>
          <cell r="I1836" t="str">
            <v>30.606,24</v>
          </cell>
          <cell r="J1836" t="str">
            <v xml:space="preserve">              123651121                 2847                    33903600</v>
          </cell>
          <cell r="K1836" t="str">
            <v>24/10/2011</v>
          </cell>
          <cell r="L1836">
            <v>38</v>
          </cell>
          <cell r="M1836">
            <v>6500</v>
          </cell>
          <cell r="N1836">
            <v>57273</v>
          </cell>
          <cell r="O1836">
            <v>35597</v>
          </cell>
          <cell r="P1836">
            <v>16</v>
          </cell>
          <cell r="Q1836">
            <v>2</v>
          </cell>
          <cell r="U1836">
            <v>0</v>
          </cell>
          <cell r="V1836">
            <v>5200</v>
          </cell>
          <cell r="W1836">
            <v>180</v>
          </cell>
          <cell r="X1836">
            <v>4160</v>
          </cell>
          <cell r="Y1836">
            <v>114810</v>
          </cell>
          <cell r="Z1836">
            <v>5487.23</v>
          </cell>
          <cell r="AA1836">
            <v>3872.7700000000004</v>
          </cell>
          <cell r="AB1836">
            <v>170.03466666666668</v>
          </cell>
          <cell r="AC1836">
            <v>5200</v>
          </cell>
          <cell r="AD1836">
            <v>4527.79</v>
          </cell>
          <cell r="AE1836">
            <v>672.21</v>
          </cell>
          <cell r="AN1836" t="str">
            <v xml:space="preserve">Contrato emergencial nº </v>
          </cell>
          <cell r="AO1836" t="str">
            <v>JT</v>
          </cell>
        </row>
        <row r="1837">
          <cell r="D1837" t="str">
            <v>2979/11</v>
          </cell>
          <cell r="E1837" t="str">
            <v>24/10/2011</v>
          </cell>
          <cell r="F1837">
            <v>41019</v>
          </cell>
          <cell r="G1837">
            <v>40877</v>
          </cell>
          <cell r="H1837" t="str">
            <v>2011-0.258.902-7</v>
          </cell>
          <cell r="I1837" t="str">
            <v>42.184,92</v>
          </cell>
          <cell r="J1837" t="str">
            <v xml:space="preserve">             123671125                  2863                   33903600</v>
          </cell>
          <cell r="K1837" t="str">
            <v>24/10/2011</v>
          </cell>
          <cell r="L1837">
            <v>38</v>
          </cell>
          <cell r="M1837">
            <v>9000</v>
          </cell>
          <cell r="N1837">
            <v>57287</v>
          </cell>
          <cell r="O1837">
            <v>35599</v>
          </cell>
          <cell r="P1837">
            <v>16</v>
          </cell>
          <cell r="Q1837">
            <v>4</v>
          </cell>
          <cell r="U1837">
            <v>0</v>
          </cell>
          <cell r="V1837">
            <v>7300</v>
          </cell>
          <cell r="W1837">
            <v>180</v>
          </cell>
          <cell r="X1837">
            <v>5840</v>
          </cell>
          <cell r="Y1837">
            <v>113927</v>
          </cell>
          <cell r="Z1837">
            <v>7337.61</v>
          </cell>
          <cell r="AA1837">
            <v>5802.39</v>
          </cell>
          <cell r="AB1837">
            <v>234.36066666666665</v>
          </cell>
          <cell r="AC1837">
            <v>7100</v>
          </cell>
          <cell r="AD1837">
            <v>7239.37</v>
          </cell>
          <cell r="AE1837">
            <v>-139.36999999999989</v>
          </cell>
          <cell r="AN1837" t="str">
            <v xml:space="preserve">Contrato emergencial nº </v>
          </cell>
          <cell r="AO1837" t="str">
            <v>PE</v>
          </cell>
        </row>
        <row r="1838">
          <cell r="D1838" t="str">
            <v>2980/11</v>
          </cell>
          <cell r="E1838" t="str">
            <v>24/10/2011</v>
          </cell>
          <cell r="F1838">
            <v>41019</v>
          </cell>
          <cell r="G1838">
            <v>40877</v>
          </cell>
          <cell r="H1838" t="str">
            <v>2011-0.258.903-5</v>
          </cell>
          <cell r="I1838" t="str">
            <v>31.012,38</v>
          </cell>
          <cell r="J1838" t="str">
            <v xml:space="preserve">              123611122                  2848                    33903600</v>
          </cell>
          <cell r="K1838" t="str">
            <v>24/10/2011</v>
          </cell>
          <cell r="L1838">
            <v>38</v>
          </cell>
          <cell r="M1838">
            <v>6600</v>
          </cell>
          <cell r="N1838">
            <v>57278</v>
          </cell>
          <cell r="O1838">
            <v>35601</v>
          </cell>
          <cell r="P1838">
            <v>16</v>
          </cell>
          <cell r="Q1838">
            <v>3</v>
          </cell>
          <cell r="U1838">
            <v>0</v>
          </cell>
          <cell r="V1838">
            <v>5400</v>
          </cell>
          <cell r="W1838">
            <v>180</v>
          </cell>
          <cell r="X1838">
            <v>4320</v>
          </cell>
          <cell r="Y1838">
            <v>113213</v>
          </cell>
          <cell r="Z1838">
            <v>5353</v>
          </cell>
          <cell r="AA1838">
            <v>4367</v>
          </cell>
          <cell r="AB1838">
            <v>172.291</v>
          </cell>
          <cell r="AC1838">
            <v>5200</v>
          </cell>
          <cell r="AD1838">
            <v>5367.7400000000007</v>
          </cell>
          <cell r="AE1838">
            <v>-167.74000000000069</v>
          </cell>
          <cell r="AN1838" t="str">
            <v xml:space="preserve">Contrato emergencial nº </v>
          </cell>
          <cell r="AO1838" t="str">
            <v>PJ</v>
          </cell>
        </row>
        <row r="1839">
          <cell r="D1839" t="str">
            <v>2981/11</v>
          </cell>
          <cell r="E1839" t="str">
            <v>24/10/2011</v>
          </cell>
          <cell r="F1839">
            <v>41019</v>
          </cell>
          <cell r="G1839">
            <v>40877</v>
          </cell>
          <cell r="H1839" t="str">
            <v>2011-0.258.905-1</v>
          </cell>
          <cell r="I1839" t="str">
            <v>25.633,26</v>
          </cell>
          <cell r="J1839" t="str">
            <v xml:space="preserve">              123651121                 2847                    33903600</v>
          </cell>
          <cell r="K1839" t="str">
            <v>24/10/2011</v>
          </cell>
          <cell r="L1839">
            <v>38</v>
          </cell>
          <cell r="M1839">
            <v>5500</v>
          </cell>
          <cell r="N1839">
            <v>57273</v>
          </cell>
          <cell r="O1839">
            <v>35603</v>
          </cell>
          <cell r="P1839">
            <v>16</v>
          </cell>
          <cell r="Q1839">
            <v>2</v>
          </cell>
          <cell r="U1839">
            <v>0</v>
          </cell>
          <cell r="V1839">
            <v>4300</v>
          </cell>
          <cell r="W1839">
            <v>180</v>
          </cell>
          <cell r="X1839">
            <v>3440</v>
          </cell>
          <cell r="Y1839">
            <v>114741</v>
          </cell>
          <cell r="Z1839">
            <v>4539.37</v>
          </cell>
          <cell r="AA1839">
            <v>3200.63</v>
          </cell>
          <cell r="AB1839">
            <v>142.40699999999998</v>
          </cell>
          <cell r="AC1839">
            <v>4300</v>
          </cell>
          <cell r="AD1839">
            <v>4065.9700000000003</v>
          </cell>
          <cell r="AE1839">
            <v>234.02999999999975</v>
          </cell>
          <cell r="AN1839" t="str">
            <v xml:space="preserve">Contrato emergencial nº </v>
          </cell>
          <cell r="AO1839" t="str">
            <v>SA</v>
          </cell>
        </row>
        <row r="1840">
          <cell r="D1840" t="str">
            <v>2982/11</v>
          </cell>
          <cell r="E1840" t="str">
            <v>24/10/2011</v>
          </cell>
          <cell r="F1840">
            <v>41019</v>
          </cell>
          <cell r="G1840">
            <v>40877</v>
          </cell>
          <cell r="H1840" t="str">
            <v>2011-0.258.907-8</v>
          </cell>
          <cell r="I1840" t="str">
            <v>37.607,88</v>
          </cell>
          <cell r="J1840" t="str">
            <v xml:space="preserve">              123611122                  2848                    33903600</v>
          </cell>
          <cell r="K1840" t="str">
            <v>24/10/2011</v>
          </cell>
          <cell r="L1840">
            <v>38</v>
          </cell>
          <cell r="M1840">
            <v>8000</v>
          </cell>
          <cell r="N1840">
            <v>57278</v>
          </cell>
          <cell r="O1840">
            <v>35606</v>
          </cell>
          <cell r="P1840">
            <v>16</v>
          </cell>
          <cell r="Q1840">
            <v>3</v>
          </cell>
          <cell r="U1840">
            <v>0</v>
          </cell>
          <cell r="V1840">
            <v>6300</v>
          </cell>
          <cell r="W1840">
            <v>180</v>
          </cell>
          <cell r="X1840">
            <v>5040</v>
          </cell>
          <cell r="Y1840">
            <v>112907</v>
          </cell>
          <cell r="Z1840">
            <v>6661.97</v>
          </cell>
          <cell r="AA1840">
            <v>4678.03</v>
          </cell>
          <cell r="AB1840">
            <v>208.93266666666665</v>
          </cell>
          <cell r="AC1840">
            <v>6300</v>
          </cell>
          <cell r="AD1840">
            <v>5063.24</v>
          </cell>
          <cell r="AE1840">
            <v>1236.7600000000002</v>
          </cell>
          <cell r="AN1840" t="str">
            <v xml:space="preserve">Contrato emergencial nº </v>
          </cell>
          <cell r="AO1840" t="str">
            <v>IP</v>
          </cell>
        </row>
        <row r="1841">
          <cell r="D1841" t="str">
            <v>2983/11</v>
          </cell>
          <cell r="E1841" t="str">
            <v>24/10/2011</v>
          </cell>
          <cell r="F1841">
            <v>41019</v>
          </cell>
          <cell r="G1841">
            <v>40877</v>
          </cell>
          <cell r="H1841" t="str">
            <v>2011-0.258.923-0</v>
          </cell>
          <cell r="I1841" t="str">
            <v>37.607,88</v>
          </cell>
          <cell r="J1841" t="str">
            <v xml:space="preserve">              123651121                 2847                    33903600</v>
          </cell>
          <cell r="K1841" t="str">
            <v>24/10/2011</v>
          </cell>
          <cell r="L1841">
            <v>38</v>
          </cell>
          <cell r="M1841">
            <v>8000</v>
          </cell>
          <cell r="N1841">
            <v>57273</v>
          </cell>
          <cell r="O1841">
            <v>35608</v>
          </cell>
          <cell r="P1841">
            <v>16</v>
          </cell>
          <cell r="Q1841">
            <v>2</v>
          </cell>
          <cell r="U1841">
            <v>0</v>
          </cell>
          <cell r="V1841">
            <v>6300</v>
          </cell>
          <cell r="W1841">
            <v>180</v>
          </cell>
          <cell r="X1841">
            <v>5040</v>
          </cell>
          <cell r="Y1841">
            <v>113878</v>
          </cell>
          <cell r="Z1841">
            <v>6795.74</v>
          </cell>
          <cell r="AA1841">
            <v>4544.26</v>
          </cell>
          <cell r="AB1841">
            <v>208.93266666666665</v>
          </cell>
          <cell r="AC1841">
            <v>6300</v>
          </cell>
          <cell r="AD1841">
            <v>5168.5700000000006</v>
          </cell>
          <cell r="AE1841">
            <v>1131.4299999999994</v>
          </cell>
          <cell r="AN1841" t="str">
            <v xml:space="preserve">Contrato emergencial nº </v>
          </cell>
          <cell r="AO1841" t="str">
            <v>IQ</v>
          </cell>
        </row>
        <row r="1842">
          <cell r="D1842" t="str">
            <v>2984/11</v>
          </cell>
          <cell r="E1842" t="str">
            <v>24/10/2011</v>
          </cell>
          <cell r="F1842">
            <v>41019</v>
          </cell>
          <cell r="G1842">
            <v>40877</v>
          </cell>
          <cell r="H1842" t="str">
            <v>2011-0.258.942-6</v>
          </cell>
          <cell r="I1842" t="str">
            <v>38.261,76</v>
          </cell>
          <cell r="J1842" t="str">
            <v xml:space="preserve">              123651121                 2847                    33903600</v>
          </cell>
          <cell r="K1842" t="str">
            <v>24/10/2011</v>
          </cell>
          <cell r="L1842">
            <v>38</v>
          </cell>
          <cell r="M1842">
            <v>8100</v>
          </cell>
          <cell r="N1842">
            <v>57273</v>
          </cell>
          <cell r="O1842">
            <v>35610</v>
          </cell>
          <cell r="P1842">
            <v>16</v>
          </cell>
          <cell r="Q1842">
            <v>2</v>
          </cell>
          <cell r="U1842">
            <v>0</v>
          </cell>
          <cell r="V1842">
            <v>6700</v>
          </cell>
          <cell r="W1842">
            <v>180</v>
          </cell>
          <cell r="X1842">
            <v>5360</v>
          </cell>
          <cell r="Y1842">
            <v>113881</v>
          </cell>
          <cell r="Z1842">
            <v>6537.64</v>
          </cell>
          <cell r="AA1842">
            <v>5522.36</v>
          </cell>
          <cell r="AB1842">
            <v>212.56533333333334</v>
          </cell>
          <cell r="AC1842">
            <v>6400</v>
          </cell>
          <cell r="AD1842">
            <v>6614.5249999999996</v>
          </cell>
          <cell r="AE1842">
            <v>-214.52499999999964</v>
          </cell>
          <cell r="AN1842" t="str">
            <v xml:space="preserve">Contrato emergencial nº </v>
          </cell>
          <cell r="AO1842" t="str">
            <v>IQ</v>
          </cell>
        </row>
        <row r="1843">
          <cell r="D1843" t="str">
            <v>2985/11</v>
          </cell>
          <cell r="E1843" t="str">
            <v>24/10/2011</v>
          </cell>
          <cell r="F1843">
            <v>41019</v>
          </cell>
          <cell r="G1843">
            <v>40877</v>
          </cell>
          <cell r="H1843" t="str">
            <v>2011-0.258.944-2</v>
          </cell>
          <cell r="I1843" t="str">
            <v>27.971,16</v>
          </cell>
          <cell r="J1843" t="str">
            <v xml:space="preserve">              123651121                 2847                    33903600</v>
          </cell>
          <cell r="K1843" t="str">
            <v>24/10/2011</v>
          </cell>
          <cell r="L1843">
            <v>38</v>
          </cell>
          <cell r="M1843">
            <v>6000</v>
          </cell>
          <cell r="N1843">
            <v>57273</v>
          </cell>
          <cell r="O1843">
            <v>35618</v>
          </cell>
          <cell r="P1843">
            <v>16</v>
          </cell>
          <cell r="Q1843">
            <v>2</v>
          </cell>
          <cell r="U1843">
            <v>0</v>
          </cell>
          <cell r="V1843">
            <v>4700</v>
          </cell>
          <cell r="W1843">
            <v>180</v>
          </cell>
          <cell r="X1843">
            <v>3760</v>
          </cell>
          <cell r="Y1843">
            <v>114828</v>
          </cell>
          <cell r="Z1843">
            <v>4859.2</v>
          </cell>
          <cell r="AA1843">
            <v>3600.8</v>
          </cell>
          <cell r="AB1843">
            <v>155.39533333333333</v>
          </cell>
          <cell r="AC1843">
            <v>4700</v>
          </cell>
          <cell r="AD1843">
            <v>4476.22</v>
          </cell>
          <cell r="AE1843">
            <v>223.77999999999975</v>
          </cell>
          <cell r="AN1843" t="str">
            <v xml:space="preserve">Contrato emergencial nº </v>
          </cell>
          <cell r="AO1843" t="str">
            <v>JT</v>
          </cell>
        </row>
        <row r="1844">
          <cell r="D1844" t="str">
            <v>2986/11</v>
          </cell>
          <cell r="E1844" t="str">
            <v>24/10/2011</v>
          </cell>
          <cell r="F1844">
            <v>41019</v>
          </cell>
          <cell r="G1844">
            <v>40877</v>
          </cell>
          <cell r="H1844" t="str">
            <v>2011-0.258.949-3</v>
          </cell>
          <cell r="I1844" t="str">
            <v>31.012,38</v>
          </cell>
          <cell r="J1844" t="str">
            <v xml:space="preserve">              123611122                  2848                    33903600</v>
          </cell>
          <cell r="K1844" t="str">
            <v>24/10/2011</v>
          </cell>
          <cell r="L1844">
            <v>38</v>
          </cell>
          <cell r="M1844">
            <v>6600</v>
          </cell>
          <cell r="N1844">
            <v>57278</v>
          </cell>
          <cell r="O1844">
            <v>35620</v>
          </cell>
          <cell r="P1844">
            <v>16</v>
          </cell>
          <cell r="Q1844">
            <v>3</v>
          </cell>
          <cell r="U1844">
            <v>0</v>
          </cell>
          <cell r="V1844">
            <v>5600</v>
          </cell>
          <cell r="W1844">
            <v>180</v>
          </cell>
          <cell r="X1844">
            <v>4480</v>
          </cell>
          <cell r="Y1844">
            <v>113216</v>
          </cell>
          <cell r="Z1844">
            <v>5300.23</v>
          </cell>
          <cell r="AA1844">
            <v>4779.7700000000004</v>
          </cell>
          <cell r="AB1844">
            <v>172.291</v>
          </cell>
          <cell r="AC1844">
            <v>5200</v>
          </cell>
          <cell r="AD1844">
            <v>5549.6125000000002</v>
          </cell>
          <cell r="AE1844">
            <v>-349.61250000000018</v>
          </cell>
          <cell r="AN1844" t="str">
            <v xml:space="preserve">Contrato emergencial nº </v>
          </cell>
          <cell r="AO1844" t="str">
            <v>PJ</v>
          </cell>
        </row>
        <row r="1845">
          <cell r="D1845" t="str">
            <v>2987/11</v>
          </cell>
          <cell r="E1845" t="str">
            <v>24/10/2011</v>
          </cell>
          <cell r="F1845">
            <v>41019</v>
          </cell>
          <cell r="G1845">
            <v>40877</v>
          </cell>
          <cell r="H1845" t="str">
            <v>2011-0.258.952-3</v>
          </cell>
          <cell r="I1845" t="str">
            <v>36.954,12</v>
          </cell>
          <cell r="J1845" t="str">
            <v xml:space="preserve">              123611122                  2848                    33903600</v>
          </cell>
          <cell r="K1845" t="str">
            <v>24/10/2011</v>
          </cell>
          <cell r="L1845">
            <v>38</v>
          </cell>
          <cell r="M1845">
            <v>7900</v>
          </cell>
          <cell r="N1845">
            <v>57278</v>
          </cell>
          <cell r="O1845">
            <v>35621</v>
          </cell>
          <cell r="P1845">
            <v>16</v>
          </cell>
          <cell r="Q1845">
            <v>3</v>
          </cell>
          <cell r="U1845">
            <v>0</v>
          </cell>
          <cell r="V1845">
            <v>6200</v>
          </cell>
          <cell r="W1845">
            <v>180</v>
          </cell>
          <cell r="X1845">
            <v>4960</v>
          </cell>
          <cell r="Y1845">
            <v>113219</v>
          </cell>
          <cell r="Z1845">
            <v>6672.42</v>
          </cell>
          <cell r="AA1845">
            <v>4487.58</v>
          </cell>
          <cell r="AB1845">
            <v>205.30066666666667</v>
          </cell>
          <cell r="AC1845">
            <v>6200</v>
          </cell>
          <cell r="AD1845">
            <v>5246.8799999999992</v>
          </cell>
          <cell r="AE1845">
            <v>953.1200000000008</v>
          </cell>
          <cell r="AN1845" t="str">
            <v xml:space="preserve">Contrato emergencial nº </v>
          </cell>
          <cell r="AO1845" t="str">
            <v>PJ</v>
          </cell>
        </row>
        <row r="1846">
          <cell r="D1846" t="str">
            <v>2988/11</v>
          </cell>
          <cell r="E1846" t="str">
            <v>24/10/2011</v>
          </cell>
          <cell r="F1846">
            <v>41019</v>
          </cell>
          <cell r="G1846">
            <v>40877</v>
          </cell>
          <cell r="H1846" t="str">
            <v>2011-0.258.956-6</v>
          </cell>
          <cell r="I1846" t="str">
            <v>45.186,36</v>
          </cell>
          <cell r="J1846" t="str">
            <v xml:space="preserve">              123611122                  2848                    33903600</v>
          </cell>
          <cell r="K1846" t="str">
            <v>24/10/2011</v>
          </cell>
          <cell r="L1846">
            <v>38</v>
          </cell>
          <cell r="M1846">
            <v>9600</v>
          </cell>
          <cell r="N1846">
            <v>57278</v>
          </cell>
          <cell r="O1846">
            <v>35625</v>
          </cell>
          <cell r="P1846">
            <v>16</v>
          </cell>
          <cell r="Q1846">
            <v>3</v>
          </cell>
          <cell r="U1846">
            <v>0</v>
          </cell>
          <cell r="V1846">
            <v>7600</v>
          </cell>
          <cell r="W1846">
            <v>180</v>
          </cell>
          <cell r="X1846">
            <v>6080</v>
          </cell>
          <cell r="Y1846">
            <v>113005</v>
          </cell>
          <cell r="Z1846">
            <v>8038.96</v>
          </cell>
          <cell r="AA1846">
            <v>5641.04</v>
          </cell>
          <cell r="AB1846">
            <v>251.03533333333334</v>
          </cell>
          <cell r="AC1846">
            <v>7600</v>
          </cell>
          <cell r="AD1846">
            <v>6602.9100000000017</v>
          </cell>
          <cell r="AE1846">
            <v>997.08999999999833</v>
          </cell>
          <cell r="AN1846" t="str">
            <v xml:space="preserve">Contrato emergencial nº </v>
          </cell>
          <cell r="AO1846" t="str">
            <v>SM</v>
          </cell>
        </row>
        <row r="1847">
          <cell r="D1847" t="str">
            <v>2989/11</v>
          </cell>
          <cell r="E1847" t="str">
            <v>24/10/2011</v>
          </cell>
          <cell r="F1847">
            <v>41019</v>
          </cell>
          <cell r="G1847">
            <v>40877</v>
          </cell>
          <cell r="H1847" t="str">
            <v>2011-0.258.963-9</v>
          </cell>
          <cell r="I1847" t="str">
            <v>31.012,38</v>
          </cell>
          <cell r="J1847" t="str">
            <v xml:space="preserve">              123611122                  2848                    33903600</v>
          </cell>
          <cell r="K1847" t="str">
            <v>24/10/2011</v>
          </cell>
          <cell r="L1847">
            <v>38</v>
          </cell>
          <cell r="M1847">
            <v>6600</v>
          </cell>
          <cell r="N1847">
            <v>57278</v>
          </cell>
          <cell r="O1847">
            <v>35628</v>
          </cell>
          <cell r="P1847">
            <v>16</v>
          </cell>
          <cell r="Q1847">
            <v>3</v>
          </cell>
          <cell r="U1847">
            <v>0</v>
          </cell>
          <cell r="V1847">
            <v>5700</v>
          </cell>
          <cell r="W1847">
            <v>180</v>
          </cell>
          <cell r="X1847">
            <v>4560</v>
          </cell>
          <cell r="Y1847">
            <v>114745</v>
          </cell>
          <cell r="Z1847">
            <v>5260.11</v>
          </cell>
          <cell r="AA1847">
            <v>4999.8900000000003</v>
          </cell>
          <cell r="AB1847">
            <v>172.291</v>
          </cell>
          <cell r="AC1847">
            <v>5200</v>
          </cell>
          <cell r="AD1847">
            <v>5654.15</v>
          </cell>
          <cell r="AE1847">
            <v>-454.14999999999964</v>
          </cell>
          <cell r="AN1847" t="str">
            <v xml:space="preserve">Contrato emergencial nº </v>
          </cell>
          <cell r="AO1847" t="str">
            <v>SA</v>
          </cell>
        </row>
        <row r="1848">
          <cell r="D1848" t="str">
            <v>2990/11</v>
          </cell>
          <cell r="E1848" t="str">
            <v>24/10/2011</v>
          </cell>
          <cell r="F1848">
            <v>41019</v>
          </cell>
          <cell r="G1848">
            <v>40877</v>
          </cell>
          <cell r="H1848" t="str">
            <v>2011-0.258.971-0</v>
          </cell>
          <cell r="I1848" t="str">
            <v>31.012,38</v>
          </cell>
          <cell r="J1848" t="str">
            <v xml:space="preserve">              123611122                  2848                    33903600</v>
          </cell>
          <cell r="K1848" t="str">
            <v>24/10/2011</v>
          </cell>
          <cell r="L1848">
            <v>38</v>
          </cell>
          <cell r="M1848">
            <v>6600</v>
          </cell>
          <cell r="N1848">
            <v>57278</v>
          </cell>
          <cell r="O1848">
            <v>35631</v>
          </cell>
          <cell r="P1848">
            <v>16</v>
          </cell>
          <cell r="Q1848">
            <v>3</v>
          </cell>
          <cell r="U1848">
            <v>0</v>
          </cell>
          <cell r="V1848">
            <v>5300</v>
          </cell>
          <cell r="W1848">
            <v>180</v>
          </cell>
          <cell r="X1848">
            <v>4240</v>
          </cell>
          <cell r="Y1848">
            <v>114850</v>
          </cell>
          <cell r="Z1848">
            <v>5555.19</v>
          </cell>
          <cell r="AA1848">
            <v>3984.8100000000004</v>
          </cell>
          <cell r="AB1848">
            <v>172.291</v>
          </cell>
          <cell r="AC1848">
            <v>5200</v>
          </cell>
          <cell r="AD1848">
            <v>5206.91</v>
          </cell>
          <cell r="AE1848">
            <v>-6.9099999999998545</v>
          </cell>
          <cell r="AN1848" t="str">
            <v xml:space="preserve">Contrato emergencial nº </v>
          </cell>
          <cell r="AO1848" t="str">
            <v>JT</v>
          </cell>
        </row>
        <row r="1849">
          <cell r="D1849" t="str">
            <v>2991/11</v>
          </cell>
          <cell r="E1849" t="str">
            <v>24/10/2011</v>
          </cell>
          <cell r="F1849">
            <v>41019</v>
          </cell>
          <cell r="G1849">
            <v>40877</v>
          </cell>
          <cell r="H1849" t="str">
            <v>2011-0.258.974-4</v>
          </cell>
          <cell r="I1849" t="str">
            <v>37.607,88</v>
          </cell>
          <cell r="J1849" t="str">
            <v xml:space="preserve">              123611122                  2848                    33903600</v>
          </cell>
          <cell r="K1849" t="str">
            <v>24/10/2011</v>
          </cell>
          <cell r="L1849">
            <v>38</v>
          </cell>
          <cell r="M1849">
            <v>8000</v>
          </cell>
          <cell r="N1849">
            <v>57278</v>
          </cell>
          <cell r="O1849">
            <v>35634</v>
          </cell>
          <cell r="P1849">
            <v>16</v>
          </cell>
          <cell r="Q1849">
            <v>3</v>
          </cell>
          <cell r="U1849">
            <v>0</v>
          </cell>
          <cell r="V1849">
            <v>6300</v>
          </cell>
          <cell r="W1849">
            <v>180</v>
          </cell>
          <cell r="X1849">
            <v>5040</v>
          </cell>
          <cell r="Y1849">
            <v>113222</v>
          </cell>
          <cell r="Z1849">
            <v>6602.77</v>
          </cell>
          <cell r="AA1849">
            <v>4737.2299999999996</v>
          </cell>
          <cell r="AB1849">
            <v>208.93266666666665</v>
          </cell>
          <cell r="AC1849">
            <v>6300</v>
          </cell>
          <cell r="AD1849">
            <v>5953.0199999999995</v>
          </cell>
          <cell r="AE1849">
            <v>346.98000000000047</v>
          </cell>
          <cell r="AN1849" t="str">
            <v xml:space="preserve">Contrato emergencial nº </v>
          </cell>
          <cell r="AO1849" t="str">
            <v>PJ</v>
          </cell>
        </row>
        <row r="1850">
          <cell r="D1850" t="str">
            <v>2992/11</v>
          </cell>
          <cell r="E1850" t="str">
            <v>24/10/2011</v>
          </cell>
          <cell r="F1850">
            <v>41019</v>
          </cell>
          <cell r="G1850">
            <v>40877</v>
          </cell>
          <cell r="H1850" t="str">
            <v>2011-0.258.984-1</v>
          </cell>
          <cell r="I1850" t="str">
            <v>38.261,76</v>
          </cell>
          <cell r="J1850" t="str">
            <v xml:space="preserve">              123651121                 2847                    33903600</v>
          </cell>
          <cell r="K1850" t="str">
            <v>24/10/2011</v>
          </cell>
          <cell r="L1850">
            <v>38</v>
          </cell>
          <cell r="M1850">
            <v>8100</v>
          </cell>
          <cell r="N1850">
            <v>57273</v>
          </cell>
          <cell r="O1850">
            <v>35637</v>
          </cell>
          <cell r="P1850">
            <v>16</v>
          </cell>
          <cell r="Q1850">
            <v>2</v>
          </cell>
          <cell r="U1850">
            <v>0</v>
          </cell>
          <cell r="V1850">
            <v>6400</v>
          </cell>
          <cell r="W1850">
            <v>180</v>
          </cell>
          <cell r="X1850">
            <v>5120</v>
          </cell>
          <cell r="Y1850">
            <v>114942</v>
          </cell>
          <cell r="Z1850">
            <v>6887.07</v>
          </cell>
          <cell r="AA1850">
            <v>4632.93</v>
          </cell>
          <cell r="AB1850">
            <v>212.56533333333334</v>
          </cell>
          <cell r="AC1850">
            <v>6400</v>
          </cell>
          <cell r="AD1850">
            <v>5319.7199999999993</v>
          </cell>
          <cell r="AE1850">
            <v>1080.2800000000007</v>
          </cell>
          <cell r="AN1850" t="str">
            <v xml:space="preserve">Contrato emergencial nº </v>
          </cell>
          <cell r="AO1850" t="str">
            <v>JT</v>
          </cell>
        </row>
        <row r="1851">
          <cell r="D1851" t="str">
            <v>2993/11</v>
          </cell>
          <cell r="E1851" t="str">
            <v>24/10/2011</v>
          </cell>
          <cell r="F1851">
            <v>41019</v>
          </cell>
          <cell r="G1851">
            <v>40877</v>
          </cell>
          <cell r="H1851" t="str">
            <v>2011-0.258.988-4</v>
          </cell>
          <cell r="I1851" t="str">
            <v>38.261,76</v>
          </cell>
          <cell r="J1851" t="str">
            <v xml:space="preserve">              123651121                 2847                    33903600</v>
          </cell>
          <cell r="K1851" t="str">
            <v>24/10/2011</v>
          </cell>
          <cell r="L1851">
            <v>38</v>
          </cell>
          <cell r="M1851">
            <v>8100</v>
          </cell>
          <cell r="N1851">
            <v>57273</v>
          </cell>
          <cell r="O1851">
            <v>36087</v>
          </cell>
          <cell r="P1851">
            <v>16</v>
          </cell>
          <cell r="Q1851">
            <v>2</v>
          </cell>
          <cell r="U1851">
            <v>0</v>
          </cell>
          <cell r="V1851">
            <v>6400</v>
          </cell>
          <cell r="W1851">
            <v>180</v>
          </cell>
          <cell r="X1851">
            <v>5120</v>
          </cell>
          <cell r="Y1851">
            <v>113224</v>
          </cell>
          <cell r="Z1851">
            <v>6964.97</v>
          </cell>
          <cell r="AA1851">
            <v>4555.03</v>
          </cell>
          <cell r="AB1851">
            <v>212.56533333333334</v>
          </cell>
          <cell r="AC1851">
            <v>6400</v>
          </cell>
          <cell r="AD1851">
            <v>5164.6299999999992</v>
          </cell>
          <cell r="AE1851">
            <v>1235.3700000000008</v>
          </cell>
          <cell r="AN1851" t="str">
            <v xml:space="preserve">Contrato emergencial nº </v>
          </cell>
          <cell r="AO1851" t="str">
            <v>PJ</v>
          </cell>
        </row>
        <row r="1852">
          <cell r="D1852" t="str">
            <v>2994/11</v>
          </cell>
          <cell r="E1852" t="str">
            <v>24/10/2011</v>
          </cell>
          <cell r="F1852">
            <v>41019</v>
          </cell>
          <cell r="G1852">
            <v>40877</v>
          </cell>
          <cell r="H1852" t="str">
            <v>2011-0.258.989-2</v>
          </cell>
          <cell r="I1852" t="str">
            <v>23.860,02</v>
          </cell>
          <cell r="J1852" t="str">
            <v xml:space="preserve">              123611122                  2848                    33903600</v>
          </cell>
          <cell r="K1852" t="str">
            <v>24/10/2011</v>
          </cell>
          <cell r="L1852">
            <v>38</v>
          </cell>
          <cell r="M1852">
            <v>5100</v>
          </cell>
          <cell r="N1852">
            <v>57278</v>
          </cell>
          <cell r="O1852">
            <v>36088</v>
          </cell>
          <cell r="P1852">
            <v>16</v>
          </cell>
          <cell r="Q1852">
            <v>3</v>
          </cell>
          <cell r="U1852">
            <v>1077.7376666666667</v>
          </cell>
          <cell r="V1852">
            <v>4600</v>
          </cell>
          <cell r="W1852">
            <v>180</v>
          </cell>
          <cell r="X1852">
            <v>3680</v>
          </cell>
          <cell r="Y1852">
            <v>0</v>
          </cell>
          <cell r="Z1852">
            <v>0</v>
          </cell>
          <cell r="AA1852">
            <v>9357.7376666666678</v>
          </cell>
          <cell r="AB1852">
            <v>132.55566666666667</v>
          </cell>
          <cell r="AC1852">
            <v>4000</v>
          </cell>
          <cell r="AD1852">
            <v>4540.84</v>
          </cell>
          <cell r="AE1852">
            <v>-540.84000000000015</v>
          </cell>
          <cell r="AN1852" t="str">
            <v xml:space="preserve">Contrato emergencial nº </v>
          </cell>
          <cell r="AO1852" t="str">
            <v>MP</v>
          </cell>
        </row>
        <row r="1853">
          <cell r="D1853" t="str">
            <v>2995/11</v>
          </cell>
          <cell r="E1853" t="str">
            <v>24/10/2011</v>
          </cell>
          <cell r="F1853">
            <v>41019</v>
          </cell>
          <cell r="G1853">
            <v>40877</v>
          </cell>
          <cell r="H1853" t="str">
            <v>2011-0.258.994-9</v>
          </cell>
          <cell r="I1853" t="str">
            <v>44.978,40</v>
          </cell>
          <cell r="J1853" t="str">
            <v xml:space="preserve">              123611122                  2848                    33903600</v>
          </cell>
          <cell r="K1853" t="str">
            <v>24/10/2011</v>
          </cell>
          <cell r="L1853">
            <v>38</v>
          </cell>
          <cell r="M1853">
            <v>9500</v>
          </cell>
          <cell r="N1853">
            <v>57278</v>
          </cell>
          <cell r="O1853">
            <v>36774</v>
          </cell>
          <cell r="P1853">
            <v>16</v>
          </cell>
          <cell r="Q1853">
            <v>3</v>
          </cell>
          <cell r="U1853">
            <v>0</v>
          </cell>
          <cell r="V1853">
            <v>7500</v>
          </cell>
          <cell r="W1853">
            <v>180</v>
          </cell>
          <cell r="X1853">
            <v>6000</v>
          </cell>
          <cell r="Y1853">
            <v>114055</v>
          </cell>
          <cell r="Z1853">
            <v>8109.83</v>
          </cell>
          <cell r="AA1853">
            <v>5390.17</v>
          </cell>
          <cell r="AB1853">
            <v>249.88</v>
          </cell>
          <cell r="AC1853">
            <v>7500</v>
          </cell>
          <cell r="AD1853">
            <v>5983.3899999999994</v>
          </cell>
          <cell r="AE1853">
            <v>1516.6100000000006</v>
          </cell>
          <cell r="AN1853" t="str">
            <v xml:space="preserve">Contrato emergencial nº </v>
          </cell>
          <cell r="AO1853" t="str">
            <v>PE</v>
          </cell>
        </row>
        <row r="1854">
          <cell r="D1854" t="str">
            <v>3037/11</v>
          </cell>
          <cell r="E1854" t="str">
            <v>31/10/2011</v>
          </cell>
          <cell r="F1854">
            <v>41026</v>
          </cell>
          <cell r="G1854">
            <v>40877</v>
          </cell>
          <cell r="H1854" t="str">
            <v>2011-0.259.744-5</v>
          </cell>
          <cell r="I1854" t="str">
            <v>30.749,94</v>
          </cell>
          <cell r="J1854" t="str">
            <v xml:space="preserve">              123611122                  2848                    33903600</v>
          </cell>
          <cell r="K1854" t="str">
            <v>31/10/2011</v>
          </cell>
          <cell r="L1854">
            <v>31</v>
          </cell>
          <cell r="M1854">
            <v>5300</v>
          </cell>
          <cell r="N1854">
            <v>57278</v>
          </cell>
          <cell r="O1854">
            <v>36776</v>
          </cell>
          <cell r="P1854">
            <v>16</v>
          </cell>
          <cell r="Q1854">
            <v>3</v>
          </cell>
          <cell r="U1854">
            <v>0</v>
          </cell>
          <cell r="V1854">
            <v>6800</v>
          </cell>
          <cell r="W1854">
            <v>180</v>
          </cell>
          <cell r="X1854">
            <v>5440</v>
          </cell>
          <cell r="Y1854">
            <v>114060</v>
          </cell>
          <cell r="Z1854">
            <v>5237.05</v>
          </cell>
          <cell r="AA1854">
            <v>7002.95</v>
          </cell>
          <cell r="AB1854">
            <v>170.833</v>
          </cell>
          <cell r="AC1854">
            <v>5200</v>
          </cell>
          <cell r="AD1854">
            <v>6718.16</v>
          </cell>
          <cell r="AE1854">
            <v>-1518.1599999999999</v>
          </cell>
          <cell r="AN1854" t="str">
            <v xml:space="preserve">Contrato emergencial nº </v>
          </cell>
          <cell r="AO1854" t="str">
            <v>PE</v>
          </cell>
        </row>
        <row r="1855">
          <cell r="D1855" t="str">
            <v>3052/11</v>
          </cell>
          <cell r="E1855" t="str">
            <v>31/10/2011</v>
          </cell>
          <cell r="F1855">
            <v>41026</v>
          </cell>
          <cell r="G1855">
            <v>40877</v>
          </cell>
          <cell r="H1855" t="str">
            <v>2011-0.260.328-3</v>
          </cell>
          <cell r="I1855" t="str">
            <v>37.607,88</v>
          </cell>
          <cell r="J1855" t="str">
            <v xml:space="preserve">              123651121                 2847                    33903600</v>
          </cell>
          <cell r="K1855" t="str">
            <v>31/10/2011</v>
          </cell>
          <cell r="L1855">
            <v>31</v>
          </cell>
          <cell r="M1855">
            <v>6500</v>
          </cell>
          <cell r="N1855">
            <v>57273</v>
          </cell>
          <cell r="O1855">
            <v>36779</v>
          </cell>
          <cell r="P1855">
            <v>16</v>
          </cell>
          <cell r="Q1855">
            <v>2</v>
          </cell>
          <cell r="U1855">
            <v>16.7</v>
          </cell>
          <cell r="V1855">
            <v>6300</v>
          </cell>
          <cell r="W1855">
            <v>180</v>
          </cell>
          <cell r="X1855">
            <v>5040</v>
          </cell>
          <cell r="Y1855">
            <v>114064</v>
          </cell>
          <cell r="Z1855">
            <v>6483.3</v>
          </cell>
          <cell r="AA1855">
            <v>4873.4000000000005</v>
          </cell>
          <cell r="AB1855">
            <v>208.93266666666665</v>
          </cell>
          <cell r="AC1855">
            <v>6300</v>
          </cell>
          <cell r="AD1855">
            <v>5011.4400000000005</v>
          </cell>
          <cell r="AE1855">
            <v>1288.5599999999995</v>
          </cell>
          <cell r="AN1855" t="str">
            <v xml:space="preserve">Contrato emergencial nº </v>
          </cell>
          <cell r="AO1855" t="str">
            <v>PE</v>
          </cell>
        </row>
        <row r="1856">
          <cell r="D1856" t="str">
            <v>3094/11</v>
          </cell>
          <cell r="E1856" t="str">
            <v>31/10/2011</v>
          </cell>
          <cell r="F1856">
            <v>41026</v>
          </cell>
          <cell r="G1856">
            <v>40877</v>
          </cell>
          <cell r="H1856" t="str">
            <v>2011-0.260.416-6</v>
          </cell>
          <cell r="I1856" t="str">
            <v>42.184,92</v>
          </cell>
          <cell r="J1856" t="str">
            <v xml:space="preserve">              123611122                  2848                    33903600</v>
          </cell>
          <cell r="K1856" t="str">
            <v>31/10/2011</v>
          </cell>
          <cell r="L1856">
            <v>31</v>
          </cell>
          <cell r="M1856">
            <v>7300</v>
          </cell>
          <cell r="N1856">
            <v>57278</v>
          </cell>
          <cell r="O1856">
            <v>36782</v>
          </cell>
          <cell r="P1856">
            <v>16</v>
          </cell>
          <cell r="Q1856">
            <v>3</v>
          </cell>
          <cell r="U1856">
            <v>0</v>
          </cell>
          <cell r="V1856">
            <v>7700</v>
          </cell>
          <cell r="W1856">
            <v>180</v>
          </cell>
          <cell r="X1856">
            <v>6160</v>
          </cell>
          <cell r="Y1856">
            <v>114070</v>
          </cell>
          <cell r="Z1856">
            <v>7245.25</v>
          </cell>
          <cell r="AA1856">
            <v>6614.75</v>
          </cell>
          <cell r="AB1856">
            <v>234.36066666666665</v>
          </cell>
          <cell r="AC1856">
            <v>7100</v>
          </cell>
          <cell r="AD1856">
            <v>7619.13</v>
          </cell>
          <cell r="AE1856">
            <v>-519.13000000000011</v>
          </cell>
          <cell r="AN1856" t="str">
            <v xml:space="preserve">Contrato emergencial nº </v>
          </cell>
          <cell r="AO1856" t="str">
            <v>PE</v>
          </cell>
        </row>
        <row r="1857">
          <cell r="D1857" t="str">
            <v>3103/11</v>
          </cell>
          <cell r="E1857" t="str">
            <v>31/10/2011</v>
          </cell>
          <cell r="F1857">
            <v>41026</v>
          </cell>
          <cell r="G1857">
            <v>40877</v>
          </cell>
          <cell r="H1857" t="str">
            <v>2011-0.260.433-6</v>
          </cell>
          <cell r="I1857" t="str">
            <v>31.418,52</v>
          </cell>
          <cell r="J1857" t="str">
            <v xml:space="preserve">              123611122                  2848                    33903600</v>
          </cell>
          <cell r="K1857" t="str">
            <v>31/10/2011</v>
          </cell>
          <cell r="L1857">
            <v>31</v>
          </cell>
          <cell r="M1857">
            <v>5500</v>
          </cell>
          <cell r="N1857">
            <v>57278</v>
          </cell>
          <cell r="O1857">
            <v>36784</v>
          </cell>
          <cell r="P1857">
            <v>16</v>
          </cell>
          <cell r="Q1857">
            <v>3</v>
          </cell>
          <cell r="U1857">
            <v>0</v>
          </cell>
          <cell r="V1857">
            <v>5300</v>
          </cell>
          <cell r="W1857">
            <v>180</v>
          </cell>
          <cell r="X1857">
            <v>4240</v>
          </cell>
          <cell r="Y1857">
            <v>114072</v>
          </cell>
          <cell r="Z1857">
            <v>5482.97</v>
          </cell>
          <cell r="AA1857">
            <v>4057.0299999999997</v>
          </cell>
          <cell r="AB1857">
            <v>174.54733333333334</v>
          </cell>
          <cell r="AC1857">
            <v>5300</v>
          </cell>
          <cell r="AD1857">
            <v>2650.1979999999994</v>
          </cell>
          <cell r="AE1857">
            <v>2649.8020000000006</v>
          </cell>
          <cell r="AN1857" t="str">
            <v xml:space="preserve">Contrato emergencial nº </v>
          </cell>
          <cell r="AO1857" t="str">
            <v>PE</v>
          </cell>
        </row>
        <row r="1858">
          <cell r="D1858" t="str">
            <v>2258/11</v>
          </cell>
          <cell r="E1858" t="str">
            <v>29/09/2011</v>
          </cell>
          <cell r="F1858">
            <v>40994</v>
          </cell>
          <cell r="G1858">
            <v>40877</v>
          </cell>
          <cell r="H1858" t="str">
            <v>2011-0.227.077-2</v>
          </cell>
          <cell r="I1858">
            <v>44324.52</v>
          </cell>
          <cell r="J1858" t="str">
            <v xml:space="preserve">              123651121                 2847                    33903600</v>
          </cell>
          <cell r="K1858" t="str">
            <v>29/09/2011</v>
          </cell>
          <cell r="L1858">
            <v>63</v>
          </cell>
          <cell r="M1858">
            <v>15600</v>
          </cell>
          <cell r="N1858">
            <v>57273</v>
          </cell>
          <cell r="O1858">
            <v>33142</v>
          </cell>
          <cell r="P1858">
            <v>16</v>
          </cell>
          <cell r="Q1858">
            <v>2</v>
          </cell>
          <cell r="U1858">
            <v>7027.61</v>
          </cell>
          <cell r="V1858">
            <v>7400</v>
          </cell>
          <cell r="W1858">
            <v>180</v>
          </cell>
          <cell r="X1858">
            <v>5920</v>
          </cell>
          <cell r="Y1858">
            <v>0</v>
          </cell>
          <cell r="AA1858">
            <v>20347.61</v>
          </cell>
          <cell r="AB1858">
            <v>246.2473333333333</v>
          </cell>
          <cell r="AC1858">
            <v>7400</v>
          </cell>
          <cell r="AD1858">
            <v>7025.11</v>
          </cell>
          <cell r="AE1858">
            <v>374.89000000000033</v>
          </cell>
          <cell r="AN1858" t="str">
            <v xml:space="preserve">Contrato emergencial nº </v>
          </cell>
          <cell r="AO1858" t="str">
            <v>CL</v>
          </cell>
        </row>
        <row r="1859">
          <cell r="D1859" t="str">
            <v>2996/11</v>
          </cell>
          <cell r="E1859" t="str">
            <v>24/10/2011</v>
          </cell>
          <cell r="F1859">
            <v>41019</v>
          </cell>
          <cell r="G1859">
            <v>40877</v>
          </cell>
          <cell r="H1859" t="str">
            <v>2011-0.259.002-5</v>
          </cell>
          <cell r="I1859" t="str">
            <v>36.746,04</v>
          </cell>
          <cell r="J1859" t="str">
            <v xml:space="preserve">              123611122                  2848                    33903600</v>
          </cell>
          <cell r="K1859" t="str">
            <v>24/10/2011</v>
          </cell>
          <cell r="L1859">
            <v>38</v>
          </cell>
          <cell r="M1859">
            <v>7800</v>
          </cell>
          <cell r="N1859">
            <v>57278</v>
          </cell>
          <cell r="O1859">
            <v>37150</v>
          </cell>
          <cell r="P1859">
            <v>16</v>
          </cell>
          <cell r="Q1859">
            <v>3</v>
          </cell>
          <cell r="U1859">
            <v>1215.6293333333333</v>
          </cell>
          <cell r="V1859">
            <v>6200</v>
          </cell>
          <cell r="W1859">
            <v>180</v>
          </cell>
          <cell r="X1859">
            <v>4960</v>
          </cell>
          <cell r="Y1859">
            <v>0</v>
          </cell>
          <cell r="Z1859">
            <v>0</v>
          </cell>
          <cell r="AA1859">
            <v>12375.629333333334</v>
          </cell>
          <cell r="AB1859">
            <v>204.14466666666667</v>
          </cell>
          <cell r="AC1859">
            <v>6200</v>
          </cell>
          <cell r="AD1859">
            <v>4871.6100000000006</v>
          </cell>
          <cell r="AE1859">
            <v>1328.3899999999994</v>
          </cell>
          <cell r="AN1859" t="str">
            <v xml:space="preserve">Contrato emergencial nº </v>
          </cell>
          <cell r="AO1859" t="str">
            <v>G</v>
          </cell>
        </row>
        <row r="1860">
          <cell r="D1860" t="str">
            <v>2998/11</v>
          </cell>
          <cell r="E1860" t="str">
            <v>24/10/2011</v>
          </cell>
          <cell r="F1860">
            <v>41019</v>
          </cell>
          <cell r="G1860">
            <v>40877</v>
          </cell>
          <cell r="H1860" t="str">
            <v>2011-0.259.008-4</v>
          </cell>
          <cell r="I1860" t="str">
            <v>31.418,52</v>
          </cell>
          <cell r="J1860" t="str">
            <v xml:space="preserve">              123651121                 2847                    33903600</v>
          </cell>
          <cell r="K1860" t="str">
            <v>24/10/2011</v>
          </cell>
          <cell r="L1860">
            <v>38</v>
          </cell>
          <cell r="M1860">
            <v>6700</v>
          </cell>
          <cell r="N1860">
            <v>57273</v>
          </cell>
          <cell r="O1860">
            <v>37191</v>
          </cell>
          <cell r="P1860">
            <v>16</v>
          </cell>
          <cell r="Q1860">
            <v>2</v>
          </cell>
          <cell r="U1860">
            <v>1269.7206666666666</v>
          </cell>
          <cell r="V1860">
            <v>5400</v>
          </cell>
          <cell r="W1860">
            <v>180</v>
          </cell>
          <cell r="X1860">
            <v>4320</v>
          </cell>
          <cell r="Y1860">
            <v>0</v>
          </cell>
          <cell r="Z1860">
            <v>0</v>
          </cell>
          <cell r="AA1860">
            <v>10989.720666666666</v>
          </cell>
          <cell r="AB1860">
            <v>174.54733333333334</v>
          </cell>
          <cell r="AC1860">
            <v>5300</v>
          </cell>
          <cell r="AD1860">
            <v>5312.16</v>
          </cell>
          <cell r="AE1860">
            <v>-12.159999999999854</v>
          </cell>
          <cell r="AN1860" t="str">
            <v xml:space="preserve">Contrato emergencial nº </v>
          </cell>
          <cell r="AO1860" t="str">
            <v>MP</v>
          </cell>
        </row>
        <row r="1861">
          <cell r="D1861" t="str">
            <v>2999/11</v>
          </cell>
          <cell r="E1861" t="str">
            <v>24/10/2011</v>
          </cell>
          <cell r="F1861">
            <v>41019</v>
          </cell>
          <cell r="G1861">
            <v>40877</v>
          </cell>
          <cell r="H1861" t="str">
            <v>2011-0.259.012-2</v>
          </cell>
          <cell r="I1861" t="str">
            <v>42.184,92</v>
          </cell>
          <cell r="J1861" t="str">
            <v xml:space="preserve">             123671125                  2863                   33903600</v>
          </cell>
          <cell r="K1861" t="str">
            <v>24/10/2011</v>
          </cell>
          <cell r="L1861">
            <v>38</v>
          </cell>
          <cell r="M1861">
            <v>9000</v>
          </cell>
          <cell r="N1861">
            <v>57287</v>
          </cell>
          <cell r="O1861">
            <v>37241</v>
          </cell>
          <cell r="P1861">
            <v>16</v>
          </cell>
          <cell r="Q1861">
            <v>4</v>
          </cell>
          <cell r="U1861">
            <v>1716.12</v>
          </cell>
          <cell r="V1861">
            <v>7300</v>
          </cell>
          <cell r="W1861">
            <v>180</v>
          </cell>
          <cell r="X1861">
            <v>5840</v>
          </cell>
          <cell r="Y1861">
            <v>0</v>
          </cell>
          <cell r="Z1861">
            <v>0</v>
          </cell>
          <cell r="AA1861">
            <v>14856.119999999999</v>
          </cell>
          <cell r="AB1861">
            <v>234.36066666666665</v>
          </cell>
          <cell r="AC1861">
            <v>7100</v>
          </cell>
          <cell r="AD1861">
            <v>7221.7999999999993</v>
          </cell>
          <cell r="AE1861">
            <v>-121.79999999999927</v>
          </cell>
          <cell r="AN1861" t="str">
            <v xml:space="preserve">Contrato emergencial nº </v>
          </cell>
          <cell r="AO1861" t="str">
            <v>SA</v>
          </cell>
        </row>
        <row r="1862">
          <cell r="D1862" t="str">
            <v>3000/11</v>
          </cell>
          <cell r="E1862" t="str">
            <v>24/10/2011</v>
          </cell>
          <cell r="F1862">
            <v>41019</v>
          </cell>
          <cell r="G1862">
            <v>40877</v>
          </cell>
          <cell r="H1862" t="str">
            <v>2011-0.259.021-1</v>
          </cell>
          <cell r="I1862" t="str">
            <v>37.607,88</v>
          </cell>
          <cell r="J1862" t="str">
            <v xml:space="preserve">              123651121                 2847                    33903600</v>
          </cell>
          <cell r="K1862" t="str">
            <v>24/10/2011</v>
          </cell>
          <cell r="L1862">
            <v>38</v>
          </cell>
          <cell r="M1862">
            <v>8000</v>
          </cell>
          <cell r="N1862">
            <v>57273</v>
          </cell>
          <cell r="O1862">
            <v>37247</v>
          </cell>
          <cell r="P1862">
            <v>16</v>
          </cell>
          <cell r="Q1862">
            <v>2</v>
          </cell>
          <cell r="U1862">
            <v>1258.18</v>
          </cell>
          <cell r="V1862">
            <v>6300</v>
          </cell>
          <cell r="W1862">
            <v>180</v>
          </cell>
          <cell r="X1862">
            <v>5040</v>
          </cell>
          <cell r="Y1862">
            <v>0</v>
          </cell>
          <cell r="Z1862">
            <v>0</v>
          </cell>
          <cell r="AA1862">
            <v>12598.18</v>
          </cell>
          <cell r="AB1862">
            <v>208.93266666666665</v>
          </cell>
          <cell r="AC1862">
            <v>6300</v>
          </cell>
          <cell r="AD1862">
            <v>4758.8</v>
          </cell>
          <cell r="AE1862">
            <v>1541.1999999999998</v>
          </cell>
          <cell r="AN1862" t="str">
            <v xml:space="preserve">Contrato emergencial nº </v>
          </cell>
          <cell r="AO1862" t="str">
            <v>IP</v>
          </cell>
        </row>
        <row r="1863">
          <cell r="D1863" t="str">
            <v>3001/11</v>
          </cell>
          <cell r="E1863" t="str">
            <v>24/10/2011</v>
          </cell>
          <cell r="F1863">
            <v>41019</v>
          </cell>
          <cell r="G1863">
            <v>40877</v>
          </cell>
          <cell r="H1863" t="str">
            <v>2011-0.259.026-2</v>
          </cell>
          <cell r="I1863" t="str">
            <v>46.078,02</v>
          </cell>
          <cell r="J1863" t="str">
            <v xml:space="preserve">              123651121                 2847                    33903600</v>
          </cell>
          <cell r="K1863" t="str">
            <v>24/10/2011</v>
          </cell>
          <cell r="L1863">
            <v>38</v>
          </cell>
          <cell r="M1863">
            <v>9800</v>
          </cell>
          <cell r="N1863">
            <v>57273</v>
          </cell>
          <cell r="O1863">
            <v>37356</v>
          </cell>
          <cell r="P1863">
            <v>16</v>
          </cell>
          <cell r="Q1863">
            <v>2</v>
          </cell>
          <cell r="U1863">
            <v>1725.53</v>
          </cell>
          <cell r="V1863">
            <v>7700</v>
          </cell>
          <cell r="W1863">
            <v>180</v>
          </cell>
          <cell r="X1863">
            <v>6160</v>
          </cell>
          <cell r="Y1863">
            <v>0</v>
          </cell>
          <cell r="Z1863">
            <v>0</v>
          </cell>
          <cell r="AA1863">
            <v>15585.53</v>
          </cell>
          <cell r="AB1863">
            <v>255.98899999999998</v>
          </cell>
          <cell r="AC1863">
            <v>7700</v>
          </cell>
          <cell r="AD1863">
            <v>6286.2300000000005</v>
          </cell>
          <cell r="AE1863">
            <v>1413.7699999999995</v>
          </cell>
          <cell r="AN1863" t="str">
            <v xml:space="preserve">Contrato emergencial nº </v>
          </cell>
          <cell r="AO1863" t="str">
            <v>PJ</v>
          </cell>
        </row>
        <row r="1864">
          <cell r="D1864" t="str">
            <v>3002/11</v>
          </cell>
          <cell r="E1864" t="str">
            <v>24/10/2011</v>
          </cell>
          <cell r="F1864">
            <v>41019</v>
          </cell>
          <cell r="G1864">
            <v>40877</v>
          </cell>
          <cell r="H1864" t="str">
            <v>2011-0.259.040-8</v>
          </cell>
          <cell r="I1864" t="str">
            <v>31.418,52</v>
          </cell>
          <cell r="J1864" t="str">
            <v xml:space="preserve">              123651121                 2847                    33903600</v>
          </cell>
          <cell r="K1864" t="str">
            <v>24/10/2011</v>
          </cell>
          <cell r="L1864">
            <v>38</v>
          </cell>
          <cell r="M1864">
            <v>6700</v>
          </cell>
          <cell r="N1864">
            <v>57273</v>
          </cell>
          <cell r="O1864">
            <v>37360</v>
          </cell>
          <cell r="P1864">
            <v>16</v>
          </cell>
          <cell r="Q1864">
            <v>2</v>
          </cell>
          <cell r="U1864">
            <v>1107.44</v>
          </cell>
          <cell r="V1864">
            <v>5300</v>
          </cell>
          <cell r="W1864">
            <v>180</v>
          </cell>
          <cell r="X1864">
            <v>4240</v>
          </cell>
          <cell r="Y1864">
            <v>0</v>
          </cell>
          <cell r="Z1864">
            <v>0</v>
          </cell>
          <cell r="AA1864">
            <v>10647.44</v>
          </cell>
          <cell r="AB1864">
            <v>174.54733333333334</v>
          </cell>
          <cell r="AC1864">
            <v>5300</v>
          </cell>
          <cell r="AD1864">
            <v>4104.7800000000007</v>
          </cell>
          <cell r="AE1864">
            <v>1195.2199999999993</v>
          </cell>
          <cell r="AN1864" t="str">
            <v xml:space="preserve">Contrato emergencial nº </v>
          </cell>
          <cell r="AO1864" t="str">
            <v>IP</v>
          </cell>
        </row>
        <row r="1865">
          <cell r="D1865" t="str">
            <v>3003/11</v>
          </cell>
          <cell r="E1865" t="str">
            <v>24/10/2011</v>
          </cell>
          <cell r="F1865">
            <v>41019</v>
          </cell>
          <cell r="G1865">
            <v>40877</v>
          </cell>
          <cell r="H1865" t="str">
            <v>2011-0.259.045-9</v>
          </cell>
          <cell r="I1865" t="str">
            <v>28.377,30</v>
          </cell>
          <cell r="J1865" t="str">
            <v xml:space="preserve">              123611122                  2848                    33903600</v>
          </cell>
          <cell r="K1865" t="str">
            <v>24/10/2011</v>
          </cell>
          <cell r="L1865">
            <v>38</v>
          </cell>
          <cell r="M1865">
            <v>6000</v>
          </cell>
          <cell r="N1865">
            <v>57278</v>
          </cell>
          <cell r="O1865">
            <v>37367</v>
          </cell>
          <cell r="P1865">
            <v>16</v>
          </cell>
          <cell r="Q1865">
            <v>3</v>
          </cell>
          <cell r="U1865">
            <v>1199.316</v>
          </cell>
          <cell r="V1865">
            <v>4800</v>
          </cell>
          <cell r="W1865">
            <v>180</v>
          </cell>
          <cell r="X1865">
            <v>3840</v>
          </cell>
          <cell r="Y1865">
            <v>0</v>
          </cell>
          <cell r="Z1865">
            <v>0</v>
          </cell>
          <cell r="AA1865">
            <v>9839.3159999999989</v>
          </cell>
          <cell r="AB1865">
            <v>157.65166666666667</v>
          </cell>
          <cell r="AC1865">
            <v>4800</v>
          </cell>
          <cell r="AD1865">
            <v>4466.8</v>
          </cell>
          <cell r="AE1865">
            <v>333.19999999999982</v>
          </cell>
          <cell r="AN1865" t="str">
            <v xml:space="preserve">Contrato emergencial nº </v>
          </cell>
          <cell r="AO1865" t="str">
            <v>FO</v>
          </cell>
        </row>
        <row r="1866">
          <cell r="D1866" t="str">
            <v>3004/11</v>
          </cell>
          <cell r="E1866" t="str">
            <v>24/10/2011</v>
          </cell>
          <cell r="F1866">
            <v>41019</v>
          </cell>
          <cell r="G1866">
            <v>40877</v>
          </cell>
          <cell r="H1866" t="str">
            <v>2011-0.259.047-5</v>
          </cell>
          <cell r="I1866" t="str">
            <v>38.261,76</v>
          </cell>
          <cell r="J1866" t="str">
            <v xml:space="preserve">              123611122                  2848                    33903600</v>
          </cell>
          <cell r="K1866" t="str">
            <v>24/10/2011</v>
          </cell>
          <cell r="L1866">
            <v>38</v>
          </cell>
          <cell r="M1866">
            <v>8100</v>
          </cell>
          <cell r="N1866">
            <v>57278</v>
          </cell>
          <cell r="O1866">
            <v>37369</v>
          </cell>
          <cell r="P1866">
            <v>16</v>
          </cell>
          <cell r="Q1866">
            <v>3</v>
          </cell>
          <cell r="U1866">
            <v>1356.81</v>
          </cell>
          <cell r="V1866">
            <v>6700</v>
          </cell>
          <cell r="W1866">
            <v>180</v>
          </cell>
          <cell r="X1866">
            <v>5360</v>
          </cell>
          <cell r="Y1866">
            <v>0</v>
          </cell>
          <cell r="Z1866">
            <v>0</v>
          </cell>
          <cell r="AA1866">
            <v>13416.81</v>
          </cell>
          <cell r="AB1866">
            <v>212.56533333333334</v>
          </cell>
          <cell r="AC1866">
            <v>6400</v>
          </cell>
          <cell r="AD1866">
            <v>6619.4699999999993</v>
          </cell>
          <cell r="AE1866">
            <v>-219.46999999999935</v>
          </cell>
          <cell r="AN1866" t="str">
            <v xml:space="preserve">Contrato emergencial nº </v>
          </cell>
          <cell r="AO1866" t="str">
            <v>JT</v>
          </cell>
        </row>
        <row r="1867">
          <cell r="D1867" t="str">
            <v>3005/11</v>
          </cell>
          <cell r="E1867" t="str">
            <v>24/10/2011</v>
          </cell>
          <cell r="F1867">
            <v>41019</v>
          </cell>
          <cell r="G1867">
            <v>40877</v>
          </cell>
          <cell r="H1867" t="str">
            <v>2011-0.259.053-0</v>
          </cell>
          <cell r="I1867" t="str">
            <v>44.324,52</v>
          </cell>
          <cell r="J1867" t="str">
            <v xml:space="preserve">              123611122                  2848                    33903600</v>
          </cell>
          <cell r="K1867" t="str">
            <v>24/10/2011</v>
          </cell>
          <cell r="L1867">
            <v>38</v>
          </cell>
          <cell r="M1867">
            <v>9400</v>
          </cell>
          <cell r="N1867">
            <v>57278</v>
          </cell>
          <cell r="O1867">
            <v>37372</v>
          </cell>
          <cell r="P1867">
            <v>16</v>
          </cell>
          <cell r="Q1867">
            <v>3</v>
          </cell>
          <cell r="U1867">
            <v>1748.1126666666667</v>
          </cell>
          <cell r="V1867">
            <v>7400</v>
          </cell>
          <cell r="W1867">
            <v>180</v>
          </cell>
          <cell r="X1867">
            <v>5920</v>
          </cell>
          <cell r="Y1867">
            <v>0</v>
          </cell>
          <cell r="Z1867">
            <v>0</v>
          </cell>
          <cell r="AA1867">
            <v>15068.112666666666</v>
          </cell>
          <cell r="AB1867">
            <v>246.2473333333333</v>
          </cell>
          <cell r="AC1867">
            <v>7400</v>
          </cell>
          <cell r="AD1867">
            <v>6669.1100000000006</v>
          </cell>
          <cell r="AE1867">
            <v>730.88999999999942</v>
          </cell>
          <cell r="AN1867" t="str">
            <v xml:space="preserve">Contrato emergencial nº </v>
          </cell>
          <cell r="AO1867" t="str">
            <v>CL</v>
          </cell>
        </row>
        <row r="1868">
          <cell r="D1868" t="str">
            <v>2997/11</v>
          </cell>
          <cell r="E1868" t="str">
            <v>24/10/2011</v>
          </cell>
          <cell r="F1868">
            <v>41019</v>
          </cell>
          <cell r="G1868">
            <v>40908</v>
          </cell>
          <cell r="H1868" t="str">
            <v>2011-0.259.005-0</v>
          </cell>
          <cell r="I1868">
            <v>42184.92</v>
          </cell>
          <cell r="J1868" t="str">
            <v xml:space="preserve">              123611122                  2848                    33903600</v>
          </cell>
          <cell r="K1868" t="str">
            <v>24/10/2011</v>
          </cell>
          <cell r="L1868">
            <v>69</v>
          </cell>
          <cell r="M1868">
            <v>16200</v>
          </cell>
          <cell r="N1868">
            <v>57278</v>
          </cell>
          <cell r="U1868">
            <v>1705.1496666666665</v>
          </cell>
          <cell r="V1868">
            <v>5800</v>
          </cell>
          <cell r="X1868">
            <v>5680</v>
          </cell>
          <cell r="Y1868">
            <v>0</v>
          </cell>
          <cell r="AA1868">
            <v>13185.149666666666</v>
          </cell>
          <cell r="AB1868">
            <v>234.36066666666665</v>
          </cell>
          <cell r="AC1868">
            <v>7100</v>
          </cell>
          <cell r="AD1868">
            <v>6807.39</v>
          </cell>
          <cell r="AE1868">
            <v>292.60999999999967</v>
          </cell>
          <cell r="AN1868" t="str">
            <v xml:space="preserve">Contrato emergencial nº </v>
          </cell>
          <cell r="AO1868" t="str">
            <v>IQ</v>
          </cell>
        </row>
        <row r="1869">
          <cell r="D1869" t="str">
            <v>3006/11</v>
          </cell>
          <cell r="E1869" t="str">
            <v>25/10/2011</v>
          </cell>
          <cell r="F1869">
            <v>41020</v>
          </cell>
          <cell r="G1869">
            <v>40877</v>
          </cell>
          <cell r="H1869" t="str">
            <v>2011-0.259.058-0</v>
          </cell>
          <cell r="I1869" t="str">
            <v>30.150,54</v>
          </cell>
          <cell r="J1869" t="str">
            <v xml:space="preserve">              123651121                 2847                    33903600</v>
          </cell>
          <cell r="K1869" t="str">
            <v>25/10/2011</v>
          </cell>
          <cell r="L1869">
            <v>37</v>
          </cell>
          <cell r="M1869">
            <v>6200</v>
          </cell>
          <cell r="N1869">
            <v>57273</v>
          </cell>
          <cell r="O1869">
            <v>37373</v>
          </cell>
          <cell r="P1869">
            <v>16</v>
          </cell>
          <cell r="Q1869">
            <v>2</v>
          </cell>
          <cell r="U1869">
            <v>368.13133333333326</v>
          </cell>
          <cell r="V1869">
            <v>5800</v>
          </cell>
          <cell r="W1869">
            <v>180</v>
          </cell>
          <cell r="X1869">
            <v>4640</v>
          </cell>
          <cell r="Y1869">
            <v>0</v>
          </cell>
          <cell r="Z1869">
            <v>0</v>
          </cell>
          <cell r="AA1869">
            <v>10808.131333333333</v>
          </cell>
          <cell r="AB1869">
            <v>167.50300000000001</v>
          </cell>
          <cell r="AC1869">
            <v>5100</v>
          </cell>
          <cell r="AD1869">
            <v>5740.4</v>
          </cell>
          <cell r="AE1869">
            <v>-640.39999999999964</v>
          </cell>
          <cell r="AN1869" t="str">
            <v xml:space="preserve">Contrato emergencial nº </v>
          </cell>
          <cell r="AO1869" t="str">
            <v>BT</v>
          </cell>
        </row>
        <row r="1870">
          <cell r="D1870" t="str">
            <v>3007/11</v>
          </cell>
          <cell r="E1870" t="str">
            <v>26/10/2011</v>
          </cell>
          <cell r="F1870">
            <v>41021</v>
          </cell>
          <cell r="G1870">
            <v>40877</v>
          </cell>
          <cell r="H1870" t="str">
            <v>2011-0.259.062-9</v>
          </cell>
          <cell r="I1870" t="str">
            <v>30.962,82</v>
          </cell>
          <cell r="J1870" t="str">
            <v xml:space="preserve">              123651121                 2847                    33903600</v>
          </cell>
          <cell r="K1870" t="str">
            <v>26/10/2011</v>
          </cell>
          <cell r="L1870">
            <v>36</v>
          </cell>
          <cell r="M1870">
            <v>6200</v>
          </cell>
          <cell r="N1870">
            <v>57273</v>
          </cell>
          <cell r="O1870">
            <v>37375</v>
          </cell>
          <cell r="P1870">
            <v>16</v>
          </cell>
          <cell r="Q1870">
            <v>2</v>
          </cell>
          <cell r="U1870">
            <v>937.87166666666667</v>
          </cell>
          <cell r="V1870">
            <v>5200</v>
          </cell>
          <cell r="W1870">
            <v>180</v>
          </cell>
          <cell r="X1870">
            <v>4160</v>
          </cell>
          <cell r="Y1870">
            <v>0</v>
          </cell>
          <cell r="Z1870">
            <v>0</v>
          </cell>
          <cell r="AA1870">
            <v>10297.871666666666</v>
          </cell>
          <cell r="AB1870">
            <v>172.01566666666668</v>
          </cell>
          <cell r="AC1870">
            <v>5200</v>
          </cell>
          <cell r="AD1870">
            <v>4846.1100000000006</v>
          </cell>
          <cell r="AE1870">
            <v>353.88999999999942</v>
          </cell>
          <cell r="AN1870" t="str">
            <v xml:space="preserve">Contrato emergencial nº </v>
          </cell>
          <cell r="AO1870" t="str">
            <v>CS</v>
          </cell>
        </row>
        <row r="1871">
          <cell r="D1871" t="str">
            <v>3010/11</v>
          </cell>
          <cell r="E1871" t="str">
            <v>31/10/2011</v>
          </cell>
          <cell r="F1871">
            <v>41026</v>
          </cell>
          <cell r="G1871">
            <v>40877</v>
          </cell>
          <cell r="H1871" t="str">
            <v>2011-0.259.080-7</v>
          </cell>
          <cell r="I1871" t="str">
            <v>39.569,46</v>
          </cell>
          <cell r="J1871" t="str">
            <v xml:space="preserve">              123611122                  2848                    33903600</v>
          </cell>
          <cell r="K1871" t="str">
            <v>31/10/2011</v>
          </cell>
          <cell r="L1871">
            <v>31</v>
          </cell>
          <cell r="M1871">
            <v>6900</v>
          </cell>
          <cell r="N1871">
            <v>57278</v>
          </cell>
          <cell r="O1871">
            <v>37377</v>
          </cell>
          <cell r="P1871">
            <v>16</v>
          </cell>
          <cell r="Q1871">
            <v>3</v>
          </cell>
          <cell r="U1871">
            <v>195.00566666666668</v>
          </cell>
          <cell r="V1871">
            <v>6600</v>
          </cell>
          <cell r="W1871">
            <v>180</v>
          </cell>
          <cell r="X1871">
            <v>5280</v>
          </cell>
          <cell r="Y1871">
            <v>0</v>
          </cell>
          <cell r="Z1871">
            <v>0</v>
          </cell>
          <cell r="AA1871">
            <v>12075.005666666668</v>
          </cell>
          <cell r="AB1871">
            <v>219.83033333333333</v>
          </cell>
          <cell r="AC1871">
            <v>6600</v>
          </cell>
          <cell r="AD1871">
            <v>5786.7300000000005</v>
          </cell>
          <cell r="AE1871">
            <v>813.26999999999953</v>
          </cell>
          <cell r="AN1871" t="str">
            <v xml:space="preserve">Contrato emergencial nº </v>
          </cell>
          <cell r="AO1871" t="str">
            <v>FO</v>
          </cell>
        </row>
        <row r="1872">
          <cell r="D1872" t="str">
            <v>3011/11</v>
          </cell>
          <cell r="E1872" t="str">
            <v>31/10/2011</v>
          </cell>
          <cell r="F1872">
            <v>41026</v>
          </cell>
          <cell r="G1872">
            <v>40877</v>
          </cell>
          <cell r="H1872" t="str">
            <v>2011-0.259.082-3</v>
          </cell>
          <cell r="I1872" t="str">
            <v>31.012,38</v>
          </cell>
          <cell r="J1872" t="str">
            <v xml:space="preserve">              123651121                 2847                    33903600</v>
          </cell>
          <cell r="K1872" t="str">
            <v>31/10/2011</v>
          </cell>
          <cell r="L1872">
            <v>31</v>
          </cell>
          <cell r="M1872">
            <v>5400</v>
          </cell>
          <cell r="N1872">
            <v>57273</v>
          </cell>
          <cell r="O1872">
            <v>37379</v>
          </cell>
          <cell r="P1872">
            <v>16</v>
          </cell>
          <cell r="Q1872">
            <v>2</v>
          </cell>
          <cell r="U1872">
            <v>167.44233333333332</v>
          </cell>
          <cell r="V1872">
            <v>6600</v>
          </cell>
          <cell r="W1872">
            <v>180</v>
          </cell>
          <cell r="X1872">
            <v>5280</v>
          </cell>
          <cell r="Y1872">
            <v>0</v>
          </cell>
          <cell r="Z1872">
            <v>0</v>
          </cell>
          <cell r="AA1872">
            <v>12047.442333333332</v>
          </cell>
          <cell r="AB1872">
            <v>172.291</v>
          </cell>
          <cell r="AC1872">
            <v>5200</v>
          </cell>
          <cell r="AD1872">
            <v>6558.920000000001</v>
          </cell>
          <cell r="AE1872">
            <v>-1358.920000000001</v>
          </cell>
          <cell r="AN1872" t="str">
            <v xml:space="preserve">Contrato emergencial nº </v>
          </cell>
          <cell r="AO1872" t="str">
            <v>MP</v>
          </cell>
        </row>
        <row r="1873">
          <cell r="D1873" t="str">
            <v>3012/11</v>
          </cell>
          <cell r="E1873" t="str">
            <v>31/10/2011</v>
          </cell>
          <cell r="F1873">
            <v>41026</v>
          </cell>
          <cell r="G1873">
            <v>40877</v>
          </cell>
          <cell r="H1873" t="str">
            <v>2011-0.259.083-1</v>
          </cell>
          <cell r="I1873" t="str">
            <v>38.261,76</v>
          </cell>
          <cell r="J1873" t="str">
            <v xml:space="preserve">              123611122                  2848                    33903600</v>
          </cell>
          <cell r="K1873" t="str">
            <v>31/10/2011</v>
          </cell>
          <cell r="L1873">
            <v>31</v>
          </cell>
          <cell r="M1873">
            <v>6600</v>
          </cell>
          <cell r="N1873">
            <v>57278</v>
          </cell>
          <cell r="O1873">
            <v>37381</v>
          </cell>
          <cell r="P1873">
            <v>16</v>
          </cell>
          <cell r="Q1873">
            <v>3</v>
          </cell>
          <cell r="U1873">
            <v>0</v>
          </cell>
          <cell r="V1873">
            <v>6400</v>
          </cell>
          <cell r="W1873">
            <v>180</v>
          </cell>
          <cell r="X1873">
            <v>5120</v>
          </cell>
          <cell r="Y1873">
            <v>0</v>
          </cell>
          <cell r="Z1873">
            <v>0</v>
          </cell>
          <cell r="AA1873">
            <v>11520</v>
          </cell>
          <cell r="AB1873">
            <v>212.56533333333334</v>
          </cell>
          <cell r="AC1873">
            <v>6400</v>
          </cell>
          <cell r="AD1873">
            <v>6202.41</v>
          </cell>
          <cell r="AE1873">
            <v>197.59000000000015</v>
          </cell>
          <cell r="AN1873" t="str">
            <v xml:space="preserve">Contrato emergencial nº </v>
          </cell>
          <cell r="AO1873" t="str">
            <v>CL</v>
          </cell>
        </row>
        <row r="1874">
          <cell r="D1874" t="str">
            <v>3013/11</v>
          </cell>
          <cell r="E1874" t="str">
            <v>31/10/2011</v>
          </cell>
          <cell r="F1874">
            <v>41026</v>
          </cell>
          <cell r="G1874">
            <v>40877</v>
          </cell>
          <cell r="H1874" t="str">
            <v>2011-0.259.085-8</v>
          </cell>
          <cell r="I1874" t="str">
            <v>37.607,88</v>
          </cell>
          <cell r="J1874" t="str">
            <v xml:space="preserve">              123651121                 2847                    33903600</v>
          </cell>
          <cell r="K1874" t="str">
            <v>31/10/2011</v>
          </cell>
          <cell r="L1874">
            <v>31</v>
          </cell>
          <cell r="M1874">
            <v>6500</v>
          </cell>
          <cell r="N1874">
            <v>57273</v>
          </cell>
          <cell r="O1874">
            <v>37384</v>
          </cell>
          <cell r="P1874">
            <v>16</v>
          </cell>
          <cell r="Q1874">
            <v>2</v>
          </cell>
          <cell r="U1874">
            <v>0</v>
          </cell>
          <cell r="V1874">
            <v>6300</v>
          </cell>
          <cell r="W1874">
            <v>180</v>
          </cell>
          <cell r="X1874">
            <v>5040</v>
          </cell>
          <cell r="Y1874">
            <v>0</v>
          </cell>
          <cell r="Z1874">
            <v>0</v>
          </cell>
          <cell r="AA1874">
            <v>11340</v>
          </cell>
          <cell r="AB1874">
            <v>208.93266666666665</v>
          </cell>
          <cell r="AC1874">
            <v>6300</v>
          </cell>
          <cell r="AD1874">
            <v>5034.74</v>
          </cell>
          <cell r="AE1874">
            <v>1265.2600000000002</v>
          </cell>
          <cell r="AN1874" t="str">
            <v xml:space="preserve">Contrato emergencial nº </v>
          </cell>
          <cell r="AO1874" t="str">
            <v>BT</v>
          </cell>
        </row>
        <row r="1875">
          <cell r="D1875" t="str">
            <v>3014/11</v>
          </cell>
          <cell r="E1875" t="str">
            <v>31/10/2011</v>
          </cell>
          <cell r="F1875">
            <v>41026</v>
          </cell>
          <cell r="G1875">
            <v>40877</v>
          </cell>
          <cell r="H1875" t="str">
            <v>2011-0.259.091-2</v>
          </cell>
          <cell r="I1875" t="str">
            <v>38.261,76</v>
          </cell>
          <cell r="J1875" t="str">
            <v xml:space="preserve">              123611122                  2848                    33903600</v>
          </cell>
          <cell r="K1875" t="str">
            <v>31/10/2011</v>
          </cell>
          <cell r="L1875">
            <v>31</v>
          </cell>
          <cell r="M1875">
            <v>6600</v>
          </cell>
          <cell r="N1875">
            <v>57278</v>
          </cell>
          <cell r="O1875">
            <v>37386</v>
          </cell>
          <cell r="P1875">
            <v>16</v>
          </cell>
          <cell r="Q1875">
            <v>3</v>
          </cell>
          <cell r="U1875">
            <v>0</v>
          </cell>
          <cell r="V1875">
            <v>6400</v>
          </cell>
          <cell r="W1875">
            <v>180</v>
          </cell>
          <cell r="X1875">
            <v>5120</v>
          </cell>
          <cell r="Y1875">
            <v>0</v>
          </cell>
          <cell r="Z1875">
            <v>0</v>
          </cell>
          <cell r="AA1875">
            <v>11520</v>
          </cell>
          <cell r="AB1875">
            <v>212.56533333333334</v>
          </cell>
          <cell r="AC1875">
            <v>6400</v>
          </cell>
          <cell r="AD1875">
            <v>5681.4584444444445</v>
          </cell>
          <cell r="AE1875">
            <v>718.54155555555553</v>
          </cell>
          <cell r="AN1875" t="str">
            <v xml:space="preserve">Contrato emergencial nº </v>
          </cell>
          <cell r="AO1875" t="str">
            <v>CL</v>
          </cell>
        </row>
        <row r="1876">
          <cell r="D1876" t="str">
            <v>3019/11</v>
          </cell>
          <cell r="E1876" t="str">
            <v>31/10/2011</v>
          </cell>
          <cell r="F1876">
            <v>41026</v>
          </cell>
          <cell r="G1876">
            <v>40877</v>
          </cell>
          <cell r="H1876" t="str">
            <v>2011-0.259.118-8</v>
          </cell>
          <cell r="I1876" t="str">
            <v>21.373,56</v>
          </cell>
          <cell r="J1876" t="str">
            <v xml:space="preserve">              123611122                  2848                    33903600</v>
          </cell>
          <cell r="K1876" t="str">
            <v>31/10/2011</v>
          </cell>
          <cell r="L1876">
            <v>31</v>
          </cell>
          <cell r="M1876">
            <v>3700</v>
          </cell>
          <cell r="N1876">
            <v>57278</v>
          </cell>
          <cell r="O1876">
            <v>37388</v>
          </cell>
          <cell r="P1876">
            <v>16</v>
          </cell>
          <cell r="Q1876">
            <v>3</v>
          </cell>
          <cell r="U1876">
            <v>0</v>
          </cell>
          <cell r="V1876">
            <v>3600</v>
          </cell>
          <cell r="W1876">
            <v>180</v>
          </cell>
          <cell r="X1876">
            <v>2880</v>
          </cell>
          <cell r="Y1876">
            <v>0</v>
          </cell>
          <cell r="Z1876">
            <v>0</v>
          </cell>
          <cell r="AA1876">
            <v>6480</v>
          </cell>
          <cell r="AB1876">
            <v>118.742</v>
          </cell>
          <cell r="AC1876">
            <v>3600</v>
          </cell>
          <cell r="AD1876">
            <v>2901.8999999999996</v>
          </cell>
          <cell r="AE1876">
            <v>698.10000000000036</v>
          </cell>
          <cell r="AN1876" t="str">
            <v xml:space="preserve">Contrato emergencial nº </v>
          </cell>
          <cell r="AO1876" t="str">
            <v>PJ</v>
          </cell>
        </row>
        <row r="1877">
          <cell r="D1877" t="str">
            <v>3020/11</v>
          </cell>
          <cell r="E1877" t="str">
            <v>31/10/2011</v>
          </cell>
          <cell r="F1877">
            <v>41026</v>
          </cell>
          <cell r="G1877">
            <v>40877</v>
          </cell>
          <cell r="H1877" t="str">
            <v>2011-0.259.125-0</v>
          </cell>
          <cell r="I1877" t="str">
            <v>42.838,74</v>
          </cell>
          <cell r="J1877" t="str">
            <v xml:space="preserve">              123651121                 2847                    33903600</v>
          </cell>
          <cell r="K1877" t="str">
            <v>31/10/2011</v>
          </cell>
          <cell r="L1877">
            <v>31</v>
          </cell>
          <cell r="M1877">
            <v>7400</v>
          </cell>
          <cell r="N1877">
            <v>57273</v>
          </cell>
          <cell r="O1877">
            <v>37389</v>
          </cell>
          <cell r="P1877">
            <v>16</v>
          </cell>
          <cell r="Q1877">
            <v>2</v>
          </cell>
          <cell r="U1877">
            <v>33.15</v>
          </cell>
          <cell r="V1877">
            <v>7900</v>
          </cell>
          <cell r="W1877">
            <v>180</v>
          </cell>
          <cell r="X1877">
            <v>6320</v>
          </cell>
          <cell r="Y1877">
            <v>0</v>
          </cell>
          <cell r="Z1877">
            <v>0</v>
          </cell>
          <cell r="AA1877">
            <v>14253.15</v>
          </cell>
          <cell r="AB1877">
            <v>237.99299999999999</v>
          </cell>
          <cell r="AC1877">
            <v>7200</v>
          </cell>
          <cell r="AD1877">
            <v>7881.24</v>
          </cell>
          <cell r="AE1877">
            <v>-681.23999999999978</v>
          </cell>
          <cell r="AN1877" t="str">
            <v xml:space="preserve">Contrato emergencial nº </v>
          </cell>
          <cell r="AO1877" t="str">
            <v>SA</v>
          </cell>
        </row>
        <row r="1878">
          <cell r="D1878" t="str">
            <v>3022/11</v>
          </cell>
          <cell r="E1878" t="str">
            <v>31/10/2011</v>
          </cell>
          <cell r="F1878">
            <v>41026</v>
          </cell>
          <cell r="G1878">
            <v>40877</v>
          </cell>
          <cell r="H1878" t="str">
            <v>2011-0.259.128-5</v>
          </cell>
          <cell r="I1878" t="str">
            <v>37.607,88</v>
          </cell>
          <cell r="J1878" t="str">
            <v xml:space="preserve">              123611122                  2848                    33903600</v>
          </cell>
          <cell r="K1878" t="str">
            <v>31/10/2011</v>
          </cell>
          <cell r="L1878">
            <v>31</v>
          </cell>
          <cell r="M1878">
            <v>6500</v>
          </cell>
          <cell r="N1878">
            <v>57278</v>
          </cell>
          <cell r="O1878">
            <v>37390</v>
          </cell>
          <cell r="P1878">
            <v>16</v>
          </cell>
          <cell r="Q1878">
            <v>3</v>
          </cell>
          <cell r="U1878">
            <v>177.13</v>
          </cell>
          <cell r="V1878">
            <v>6300</v>
          </cell>
          <cell r="W1878">
            <v>180</v>
          </cell>
          <cell r="X1878">
            <v>5040</v>
          </cell>
          <cell r="Y1878">
            <v>0</v>
          </cell>
          <cell r="Z1878">
            <v>0</v>
          </cell>
          <cell r="AA1878">
            <v>11517.130000000001</v>
          </cell>
          <cell r="AB1878">
            <v>208.93266666666665</v>
          </cell>
          <cell r="AC1878">
            <v>6300</v>
          </cell>
          <cell r="AD1878">
            <v>5201.24</v>
          </cell>
          <cell r="AE1878">
            <v>1098.7600000000002</v>
          </cell>
          <cell r="AN1878" t="str">
            <v xml:space="preserve">Contrato emergencial nº </v>
          </cell>
          <cell r="AO1878" t="str">
            <v>IP</v>
          </cell>
        </row>
        <row r="1879">
          <cell r="D1879" t="str">
            <v>3024/11</v>
          </cell>
          <cell r="E1879" t="str">
            <v>31/10/2011</v>
          </cell>
          <cell r="F1879">
            <v>41026</v>
          </cell>
          <cell r="G1879">
            <v>40877</v>
          </cell>
          <cell r="H1879" t="str">
            <v>2011-0.259.704-6</v>
          </cell>
          <cell r="I1879" t="str">
            <v>37.607,88</v>
          </cell>
          <cell r="J1879" t="str">
            <v xml:space="preserve">              123651121                 2847                    33903600</v>
          </cell>
          <cell r="K1879" t="str">
            <v>31/10/2011</v>
          </cell>
          <cell r="L1879">
            <v>31</v>
          </cell>
          <cell r="M1879">
            <v>6500</v>
          </cell>
          <cell r="N1879">
            <v>57273</v>
          </cell>
          <cell r="O1879">
            <v>37391</v>
          </cell>
          <cell r="P1879">
            <v>16</v>
          </cell>
          <cell r="Q1879">
            <v>2</v>
          </cell>
          <cell r="U1879">
            <v>63.7</v>
          </cell>
          <cell r="V1879">
            <v>11500</v>
          </cell>
          <cell r="W1879">
            <v>180</v>
          </cell>
          <cell r="X1879">
            <v>9200</v>
          </cell>
          <cell r="Y1879">
            <v>0</v>
          </cell>
          <cell r="Z1879">
            <v>0</v>
          </cell>
          <cell r="AA1879">
            <v>20763.7</v>
          </cell>
          <cell r="AB1879">
            <v>208.93266666666665</v>
          </cell>
          <cell r="AC1879">
            <v>6300</v>
          </cell>
          <cell r="AD1879">
            <v>11458.449999999999</v>
          </cell>
          <cell r="AE1879">
            <v>-5158.4499999999989</v>
          </cell>
          <cell r="AN1879" t="str">
            <v xml:space="preserve">Contrato emergencial nº </v>
          </cell>
          <cell r="AO1879" t="str">
            <v>SM</v>
          </cell>
        </row>
        <row r="1880">
          <cell r="D1880" t="str">
            <v>3025/11</v>
          </cell>
          <cell r="E1880" t="str">
            <v>31/10/2011</v>
          </cell>
          <cell r="F1880">
            <v>41026</v>
          </cell>
          <cell r="G1880">
            <v>40877</v>
          </cell>
          <cell r="H1880" t="str">
            <v>2011-0.259.705-4</v>
          </cell>
          <cell r="I1880" t="str">
            <v>38.261,76</v>
          </cell>
          <cell r="J1880" t="str">
            <v xml:space="preserve">              123651121                 2847                    33903600</v>
          </cell>
          <cell r="K1880" t="str">
            <v>31/10/2011</v>
          </cell>
          <cell r="L1880">
            <v>31</v>
          </cell>
          <cell r="M1880">
            <v>6600</v>
          </cell>
          <cell r="N1880">
            <v>57273</v>
          </cell>
          <cell r="O1880">
            <v>37394</v>
          </cell>
          <cell r="P1880">
            <v>16</v>
          </cell>
          <cell r="Q1880">
            <v>2</v>
          </cell>
          <cell r="U1880">
            <v>27.8</v>
          </cell>
          <cell r="V1880">
            <v>6400</v>
          </cell>
          <cell r="W1880">
            <v>180</v>
          </cell>
          <cell r="X1880">
            <v>5120</v>
          </cell>
          <cell r="Y1880">
            <v>0</v>
          </cell>
          <cell r="Z1880">
            <v>0</v>
          </cell>
          <cell r="AA1880">
            <v>11547.8</v>
          </cell>
          <cell r="AB1880">
            <v>212.56533333333334</v>
          </cell>
          <cell r="AC1880">
            <v>6400</v>
          </cell>
          <cell r="AD1880">
            <v>6009.5499999999993</v>
          </cell>
          <cell r="AE1880">
            <v>390.45000000000073</v>
          </cell>
          <cell r="AN1880" t="str">
            <v xml:space="preserve">Contrato emergencial nº </v>
          </cell>
          <cell r="AO1880" t="str">
            <v xml:space="preserve">SA </v>
          </cell>
        </row>
        <row r="1881">
          <cell r="D1881" t="str">
            <v>3026/11</v>
          </cell>
          <cell r="E1881" t="str">
            <v>31/10/2011</v>
          </cell>
          <cell r="F1881">
            <v>41026</v>
          </cell>
          <cell r="G1881">
            <v>40877</v>
          </cell>
          <cell r="H1881" t="str">
            <v>2011-0.259.707-0</v>
          </cell>
          <cell r="I1881" t="str">
            <v>38.261,76</v>
          </cell>
          <cell r="J1881" t="str">
            <v xml:space="preserve">              123651121                 2847                    33903600</v>
          </cell>
          <cell r="K1881" t="str">
            <v>31/10/2011</v>
          </cell>
          <cell r="L1881">
            <v>31</v>
          </cell>
          <cell r="M1881">
            <v>6600</v>
          </cell>
          <cell r="N1881">
            <v>57273</v>
          </cell>
          <cell r="O1881">
            <v>37395</v>
          </cell>
          <cell r="P1881">
            <v>16</v>
          </cell>
          <cell r="Q1881">
            <v>2</v>
          </cell>
          <cell r="U1881">
            <v>0</v>
          </cell>
          <cell r="V1881">
            <v>6400</v>
          </cell>
          <cell r="W1881">
            <v>180</v>
          </cell>
          <cell r="X1881">
            <v>5120</v>
          </cell>
          <cell r="Y1881">
            <v>0</v>
          </cell>
          <cell r="Z1881">
            <v>0</v>
          </cell>
          <cell r="AA1881">
            <v>11520</v>
          </cell>
          <cell r="AB1881">
            <v>212.56533333333334</v>
          </cell>
          <cell r="AC1881">
            <v>6400</v>
          </cell>
          <cell r="AD1881">
            <v>6106.36</v>
          </cell>
          <cell r="AE1881">
            <v>293.64000000000033</v>
          </cell>
          <cell r="AN1881" t="str">
            <v xml:space="preserve">Contrato emergencial nº </v>
          </cell>
          <cell r="AO1881" t="str">
            <v>CL</v>
          </cell>
        </row>
        <row r="1882">
          <cell r="D1882" t="str">
            <v>3027/11</v>
          </cell>
          <cell r="E1882" t="str">
            <v>31/10/2011</v>
          </cell>
          <cell r="F1882">
            <v>41026</v>
          </cell>
          <cell r="G1882">
            <v>40877</v>
          </cell>
          <cell r="H1882" t="str">
            <v>2011-0.259.708-9</v>
          </cell>
          <cell r="I1882" t="str">
            <v>38.261,76</v>
          </cell>
          <cell r="J1882" t="str">
            <v xml:space="preserve">              123651121                 2847                    33903600</v>
          </cell>
          <cell r="K1882" t="str">
            <v>31/10/2011</v>
          </cell>
          <cell r="L1882">
            <v>31</v>
          </cell>
          <cell r="M1882">
            <v>6600</v>
          </cell>
          <cell r="N1882">
            <v>57273</v>
          </cell>
          <cell r="O1882">
            <v>37398</v>
          </cell>
          <cell r="P1882">
            <v>16</v>
          </cell>
          <cell r="Q1882">
            <v>2</v>
          </cell>
          <cell r="U1882">
            <v>38.700000000000003</v>
          </cell>
          <cell r="V1882">
            <v>6400</v>
          </cell>
          <cell r="W1882">
            <v>180</v>
          </cell>
          <cell r="X1882">
            <v>5120</v>
          </cell>
          <cell r="Y1882">
            <v>0</v>
          </cell>
          <cell r="Z1882">
            <v>0</v>
          </cell>
          <cell r="AA1882">
            <v>11558.7</v>
          </cell>
          <cell r="AB1882">
            <v>212.56533333333334</v>
          </cell>
          <cell r="AC1882">
            <v>6400</v>
          </cell>
          <cell r="AD1882">
            <v>5364.7799999999988</v>
          </cell>
          <cell r="AE1882">
            <v>1035.2200000000012</v>
          </cell>
          <cell r="AN1882" t="str">
            <v xml:space="preserve">Contrato emergencial nº </v>
          </cell>
          <cell r="AO1882" t="str">
            <v xml:space="preserve">SA </v>
          </cell>
        </row>
        <row r="1883">
          <cell r="D1883" t="str">
            <v>3029/11</v>
          </cell>
          <cell r="E1883" t="str">
            <v>31/10/2011</v>
          </cell>
          <cell r="F1883">
            <v>41026</v>
          </cell>
          <cell r="G1883">
            <v>40877</v>
          </cell>
          <cell r="H1883" t="str">
            <v>2011-0.259.719-4</v>
          </cell>
          <cell r="I1883" t="str">
            <v>47.355,96</v>
          </cell>
          <cell r="J1883" t="str">
            <v xml:space="preserve">              123651121                 2847                    33903600</v>
          </cell>
          <cell r="K1883" t="str">
            <v>31/10/2011</v>
          </cell>
          <cell r="L1883">
            <v>31</v>
          </cell>
          <cell r="M1883">
            <v>8200</v>
          </cell>
          <cell r="N1883">
            <v>57273</v>
          </cell>
          <cell r="O1883">
            <v>37400</v>
          </cell>
          <cell r="P1883">
            <v>16</v>
          </cell>
          <cell r="Q1883">
            <v>2</v>
          </cell>
          <cell r="U1883">
            <v>29.1</v>
          </cell>
          <cell r="V1883">
            <v>7900</v>
          </cell>
          <cell r="W1883">
            <v>180</v>
          </cell>
          <cell r="X1883">
            <v>6320</v>
          </cell>
          <cell r="Y1883">
            <v>0</v>
          </cell>
          <cell r="Z1883">
            <v>0</v>
          </cell>
          <cell r="AA1883">
            <v>14249.1</v>
          </cell>
          <cell r="AB1883">
            <v>263.08866666666665</v>
          </cell>
          <cell r="AC1883">
            <v>7900</v>
          </cell>
          <cell r="AD1883">
            <v>6898.420000000001</v>
          </cell>
          <cell r="AE1883">
            <v>1001.579999999999</v>
          </cell>
          <cell r="AN1883" t="str">
            <v xml:space="preserve">Contrato emergencial nº </v>
          </cell>
          <cell r="AO1883" t="str">
            <v>JT</v>
          </cell>
        </row>
        <row r="1884">
          <cell r="D1884" t="str">
            <v>3031/11</v>
          </cell>
          <cell r="E1884" t="str">
            <v>31/10/2011</v>
          </cell>
          <cell r="F1884">
            <v>41026</v>
          </cell>
          <cell r="G1884">
            <v>40877</v>
          </cell>
          <cell r="H1884" t="str">
            <v>2011-0.259.726-7</v>
          </cell>
          <cell r="I1884" t="str">
            <v>37.399,92</v>
          </cell>
          <cell r="J1884" t="str">
            <v xml:space="preserve">              123651121                 2847                    33903600</v>
          </cell>
          <cell r="K1884" t="str">
            <v>31/10/2011</v>
          </cell>
          <cell r="L1884">
            <v>31</v>
          </cell>
          <cell r="M1884">
            <v>6500</v>
          </cell>
          <cell r="N1884">
            <v>57273</v>
          </cell>
          <cell r="O1884">
            <v>37402</v>
          </cell>
          <cell r="P1884">
            <v>16</v>
          </cell>
          <cell r="Q1884">
            <v>2</v>
          </cell>
          <cell r="U1884">
            <v>0</v>
          </cell>
          <cell r="V1884">
            <v>6300</v>
          </cell>
          <cell r="W1884">
            <v>180</v>
          </cell>
          <cell r="X1884">
            <v>5040</v>
          </cell>
          <cell r="Y1884">
            <v>0</v>
          </cell>
          <cell r="Z1884">
            <v>0</v>
          </cell>
          <cell r="AA1884">
            <v>11340</v>
          </cell>
          <cell r="AB1884">
            <v>207.77733333333333</v>
          </cell>
          <cell r="AC1884">
            <v>6300</v>
          </cell>
          <cell r="AD1884">
            <v>5599.24</v>
          </cell>
          <cell r="AE1884">
            <v>700.76000000000022</v>
          </cell>
          <cell r="AN1884" t="str">
            <v xml:space="preserve">Contrato emergencial nº </v>
          </cell>
          <cell r="AO1884" t="str">
            <v>CL</v>
          </cell>
        </row>
        <row r="1885">
          <cell r="D1885" t="str">
            <v>3039/11</v>
          </cell>
          <cell r="E1885" t="str">
            <v>31/10/2011</v>
          </cell>
          <cell r="F1885">
            <v>41026</v>
          </cell>
          <cell r="G1885">
            <v>40877</v>
          </cell>
          <cell r="H1885" t="str">
            <v>2011-0.259.750-0</v>
          </cell>
          <cell r="I1885" t="str">
            <v>44.324,52</v>
          </cell>
          <cell r="J1885" t="str">
            <v xml:space="preserve">              123651121                 2847                    33903600</v>
          </cell>
          <cell r="K1885" t="str">
            <v>31/10/2011</v>
          </cell>
          <cell r="L1885">
            <v>31</v>
          </cell>
          <cell r="M1885">
            <v>7700</v>
          </cell>
          <cell r="N1885">
            <v>57273</v>
          </cell>
          <cell r="O1885">
            <v>37405</v>
          </cell>
          <cell r="P1885">
            <v>16</v>
          </cell>
          <cell r="Q1885">
            <v>2</v>
          </cell>
          <cell r="U1885">
            <v>206.86866666666668</v>
          </cell>
          <cell r="V1885">
            <v>9200</v>
          </cell>
          <cell r="W1885">
            <v>180</v>
          </cell>
          <cell r="X1885">
            <v>7360</v>
          </cell>
          <cell r="Y1885">
            <v>0</v>
          </cell>
          <cell r="Z1885">
            <v>0</v>
          </cell>
          <cell r="AA1885">
            <v>16766.868666666669</v>
          </cell>
          <cell r="AB1885">
            <v>246.2473333333333</v>
          </cell>
          <cell r="AC1885">
            <v>7400</v>
          </cell>
          <cell r="AD1885">
            <v>9196.06</v>
          </cell>
          <cell r="AE1885">
            <v>-1796.0599999999995</v>
          </cell>
          <cell r="AN1885" t="str">
            <v xml:space="preserve">Contrato emergencial nº </v>
          </cell>
          <cell r="AO1885" t="str">
            <v>CS</v>
          </cell>
        </row>
        <row r="1886">
          <cell r="D1886" t="str">
            <v>3040/11</v>
          </cell>
          <cell r="E1886" t="str">
            <v>31/10/2011</v>
          </cell>
          <cell r="F1886">
            <v>41026</v>
          </cell>
          <cell r="G1886">
            <v>40877</v>
          </cell>
          <cell r="H1886" t="str">
            <v>2011-0.260.302-0</v>
          </cell>
          <cell r="I1886" t="str">
            <v>44.324,52</v>
          </cell>
          <cell r="J1886" t="str">
            <v xml:space="preserve">              123651121                 2847                    33903600</v>
          </cell>
          <cell r="K1886" t="str">
            <v>31/10/2011</v>
          </cell>
          <cell r="L1886">
            <v>31</v>
          </cell>
          <cell r="M1886">
            <v>7700</v>
          </cell>
          <cell r="N1886">
            <v>57273</v>
          </cell>
          <cell r="O1886">
            <v>37351</v>
          </cell>
          <cell r="P1886">
            <v>16</v>
          </cell>
          <cell r="Q1886">
            <v>2</v>
          </cell>
          <cell r="U1886">
            <v>149.09733333333332</v>
          </cell>
          <cell r="V1886">
            <v>7400</v>
          </cell>
          <cell r="W1886">
            <v>180</v>
          </cell>
          <cell r="X1886">
            <v>5920</v>
          </cell>
          <cell r="Y1886">
            <v>0</v>
          </cell>
          <cell r="Z1886">
            <v>0</v>
          </cell>
          <cell r="AA1886">
            <v>13469.097333333333</v>
          </cell>
          <cell r="AB1886">
            <v>246.2473333333333</v>
          </cell>
          <cell r="AC1886">
            <v>7400</v>
          </cell>
          <cell r="AD1886">
            <v>5908.8919999999989</v>
          </cell>
          <cell r="AE1886">
            <v>1491.1080000000011</v>
          </cell>
          <cell r="AN1886" t="str">
            <v xml:space="preserve">Contrato emergencial nº </v>
          </cell>
          <cell r="AO1886" t="str">
            <v>IQ</v>
          </cell>
        </row>
        <row r="1887">
          <cell r="D1887" t="str">
            <v>3041/11</v>
          </cell>
          <cell r="E1887" t="str">
            <v>31/10/2011</v>
          </cell>
          <cell r="F1887">
            <v>41026</v>
          </cell>
          <cell r="G1887">
            <v>40877</v>
          </cell>
          <cell r="H1887" t="str">
            <v>2011-0.260.303-8</v>
          </cell>
          <cell r="I1887" t="str">
            <v>37.607,88</v>
          </cell>
          <cell r="J1887" t="str">
            <v xml:space="preserve">              123651121                 2847                    33903600</v>
          </cell>
          <cell r="K1887" t="str">
            <v>31/10/2011</v>
          </cell>
          <cell r="L1887">
            <v>31</v>
          </cell>
          <cell r="M1887">
            <v>6500</v>
          </cell>
          <cell r="N1887">
            <v>57273</v>
          </cell>
          <cell r="O1887">
            <v>37667</v>
          </cell>
          <cell r="P1887">
            <v>16</v>
          </cell>
          <cell r="Q1887">
            <v>2</v>
          </cell>
          <cell r="U1887">
            <v>15.5</v>
          </cell>
          <cell r="V1887">
            <v>6300</v>
          </cell>
          <cell r="W1887">
            <v>180</v>
          </cell>
          <cell r="X1887">
            <v>5040</v>
          </cell>
          <cell r="Y1887">
            <v>0</v>
          </cell>
          <cell r="Z1887">
            <v>0</v>
          </cell>
          <cell r="AA1887">
            <v>11355.5</v>
          </cell>
          <cell r="AB1887">
            <v>208.93266666666665</v>
          </cell>
          <cell r="AC1887">
            <v>6300</v>
          </cell>
          <cell r="AD1887">
            <v>4759.08</v>
          </cell>
          <cell r="AE1887">
            <v>1540.92</v>
          </cell>
          <cell r="AN1887" t="str">
            <v xml:space="preserve">Contrato emergencial nº </v>
          </cell>
          <cell r="AO1887" t="str">
            <v>PE</v>
          </cell>
        </row>
        <row r="1888">
          <cell r="D1888" t="str">
            <v>3042/11</v>
          </cell>
          <cell r="E1888" t="str">
            <v>31/10/2011</v>
          </cell>
          <cell r="F1888">
            <v>41026</v>
          </cell>
          <cell r="G1888">
            <v>40877</v>
          </cell>
          <cell r="H1888" t="str">
            <v>2011-0.260.304-6</v>
          </cell>
          <cell r="I1888" t="str">
            <v>44.324,52</v>
          </cell>
          <cell r="J1888" t="str">
            <v xml:space="preserve">              123651121                 2847                    33903600</v>
          </cell>
          <cell r="K1888" t="str">
            <v>31/10/2011</v>
          </cell>
          <cell r="L1888">
            <v>31</v>
          </cell>
          <cell r="M1888">
            <v>7700</v>
          </cell>
          <cell r="N1888">
            <v>57273</v>
          </cell>
          <cell r="O1888">
            <v>37670</v>
          </cell>
          <cell r="P1888">
            <v>16</v>
          </cell>
          <cell r="Q1888">
            <v>2</v>
          </cell>
          <cell r="U1888">
            <v>196.39266666666666</v>
          </cell>
          <cell r="V1888">
            <v>7500</v>
          </cell>
          <cell r="W1888">
            <v>180</v>
          </cell>
          <cell r="X1888">
            <v>6000</v>
          </cell>
          <cell r="Y1888">
            <v>0</v>
          </cell>
          <cell r="Z1888">
            <v>0</v>
          </cell>
          <cell r="AA1888">
            <v>13696.392666666667</v>
          </cell>
          <cell r="AB1888">
            <v>246.2473333333333</v>
          </cell>
          <cell r="AC1888">
            <v>7400</v>
          </cell>
          <cell r="AD1888">
            <v>7417.01</v>
          </cell>
          <cell r="AE1888">
            <v>-17.010000000000218</v>
          </cell>
          <cell r="AN1888" t="str">
            <v xml:space="preserve">Contrato emergencial nº </v>
          </cell>
          <cell r="AO1888" t="str">
            <v>CS</v>
          </cell>
        </row>
        <row r="1889">
          <cell r="D1889" t="str">
            <v>3044/11</v>
          </cell>
          <cell r="E1889" t="str">
            <v>31/10/2011</v>
          </cell>
          <cell r="F1889">
            <v>41026</v>
          </cell>
          <cell r="G1889">
            <v>40877</v>
          </cell>
          <cell r="H1889" t="str">
            <v>2011-0.260.308-9</v>
          </cell>
          <cell r="I1889" t="str">
            <v>21.779,76</v>
          </cell>
          <cell r="J1889" t="str">
            <v xml:space="preserve">             123671125                  2863                   33903600</v>
          </cell>
          <cell r="K1889" t="str">
            <v>31/10/2011</v>
          </cell>
          <cell r="L1889">
            <v>31</v>
          </cell>
          <cell r="M1889">
            <v>3800</v>
          </cell>
          <cell r="N1889">
            <v>57287</v>
          </cell>
          <cell r="O1889">
            <v>37672</v>
          </cell>
          <cell r="P1889">
            <v>16</v>
          </cell>
          <cell r="Q1889">
            <v>4</v>
          </cell>
          <cell r="U1889">
            <v>0</v>
          </cell>
          <cell r="V1889">
            <v>4000</v>
          </cell>
          <cell r="W1889">
            <v>180</v>
          </cell>
          <cell r="X1889">
            <v>3200</v>
          </cell>
          <cell r="Y1889">
            <v>0</v>
          </cell>
          <cell r="Z1889">
            <v>0</v>
          </cell>
          <cell r="AA1889">
            <v>7200</v>
          </cell>
          <cell r="AB1889">
            <v>120.99866666666665</v>
          </cell>
          <cell r="AC1889">
            <v>3700</v>
          </cell>
          <cell r="AD1889">
            <v>3994.25</v>
          </cell>
          <cell r="AE1889">
            <v>-294.25</v>
          </cell>
          <cell r="AN1889" t="str">
            <v xml:space="preserve">Contrato emergencial nº </v>
          </cell>
          <cell r="AO1889" t="str">
            <v>BT</v>
          </cell>
        </row>
        <row r="1890">
          <cell r="D1890" t="str">
            <v>3048/11</v>
          </cell>
          <cell r="E1890" t="str">
            <v>31/10/2011</v>
          </cell>
          <cell r="F1890">
            <v>41026</v>
          </cell>
          <cell r="G1890">
            <v>40877</v>
          </cell>
          <cell r="H1890" t="str">
            <v>2011-0.260.316-0</v>
          </cell>
          <cell r="I1890" t="str">
            <v>44.324,52</v>
          </cell>
          <cell r="J1890" t="str">
            <v xml:space="preserve">              123651121                 2847                    33903600</v>
          </cell>
          <cell r="K1890" t="str">
            <v>31/10/2011</v>
          </cell>
          <cell r="L1890">
            <v>31</v>
          </cell>
          <cell r="M1890">
            <v>7700</v>
          </cell>
          <cell r="N1890">
            <v>57273</v>
          </cell>
          <cell r="O1890">
            <v>37674</v>
          </cell>
          <cell r="P1890">
            <v>16</v>
          </cell>
          <cell r="Q1890">
            <v>2</v>
          </cell>
          <cell r="U1890">
            <v>34.450000000000003</v>
          </cell>
          <cell r="V1890">
            <v>7400</v>
          </cell>
          <cell r="W1890">
            <v>180</v>
          </cell>
          <cell r="X1890">
            <v>5920</v>
          </cell>
          <cell r="Y1890">
            <v>0</v>
          </cell>
          <cell r="Z1890">
            <v>0</v>
          </cell>
          <cell r="AA1890">
            <v>13354.45</v>
          </cell>
          <cell r="AB1890">
            <v>246.2473333333333</v>
          </cell>
          <cell r="AC1890">
            <v>7400</v>
          </cell>
          <cell r="AD1890">
            <v>7122.0274999999992</v>
          </cell>
          <cell r="AE1890">
            <v>277.97250000000076</v>
          </cell>
          <cell r="AN1890" t="str">
            <v xml:space="preserve">Contrato emergencial nº </v>
          </cell>
          <cell r="AO1890" t="str">
            <v>JT</v>
          </cell>
        </row>
        <row r="1891">
          <cell r="D1891" t="str">
            <v>3049/11</v>
          </cell>
          <cell r="E1891" t="str">
            <v>31/10/2011</v>
          </cell>
          <cell r="F1891">
            <v>41026</v>
          </cell>
          <cell r="G1891">
            <v>40877</v>
          </cell>
          <cell r="H1891" t="str">
            <v>2011-0.260.321-6</v>
          </cell>
          <cell r="I1891" t="str">
            <v>45.186,36</v>
          </cell>
          <cell r="J1891" t="str">
            <v xml:space="preserve">              123611122                  2848                    33903600</v>
          </cell>
          <cell r="K1891" t="str">
            <v>31/10/2011</v>
          </cell>
          <cell r="L1891">
            <v>31</v>
          </cell>
          <cell r="M1891">
            <v>7800</v>
          </cell>
          <cell r="N1891">
            <v>57278</v>
          </cell>
          <cell r="O1891">
            <v>37676</v>
          </cell>
          <cell r="P1891">
            <v>16</v>
          </cell>
          <cell r="Q1891">
            <v>3</v>
          </cell>
          <cell r="U1891">
            <v>182.28933333333333</v>
          </cell>
          <cell r="V1891">
            <v>9100</v>
          </cell>
          <cell r="W1891">
            <v>180</v>
          </cell>
          <cell r="X1891">
            <v>7280</v>
          </cell>
          <cell r="Y1891">
            <v>0</v>
          </cell>
          <cell r="Z1891">
            <v>0</v>
          </cell>
          <cell r="AA1891">
            <v>16562.289333333334</v>
          </cell>
          <cell r="AB1891">
            <v>251.03533333333334</v>
          </cell>
          <cell r="AC1891">
            <v>7600</v>
          </cell>
          <cell r="AD1891">
            <v>9098.5360000000001</v>
          </cell>
          <cell r="AE1891">
            <v>-1498.5360000000001</v>
          </cell>
          <cell r="AN1891" t="str">
            <v xml:space="preserve">Contrato emergencial nº </v>
          </cell>
          <cell r="AO1891" t="str">
            <v>CS</v>
          </cell>
        </row>
        <row r="1892">
          <cell r="D1892" t="str">
            <v>3056/11</v>
          </cell>
          <cell r="E1892" t="str">
            <v>31/10/2011</v>
          </cell>
          <cell r="F1892">
            <v>41026</v>
          </cell>
          <cell r="G1892">
            <v>40877</v>
          </cell>
          <cell r="H1892" t="str">
            <v>2011-0.260.334-8</v>
          </cell>
          <cell r="I1892" t="str">
            <v>31.418,52</v>
          </cell>
          <cell r="J1892" t="str">
            <v xml:space="preserve">              123611122                  2848                    33903600</v>
          </cell>
          <cell r="K1892" t="str">
            <v>31/10/2011</v>
          </cell>
          <cell r="L1892">
            <v>31</v>
          </cell>
          <cell r="M1892">
            <v>5500</v>
          </cell>
          <cell r="N1892">
            <v>57278</v>
          </cell>
          <cell r="O1892">
            <v>37677</v>
          </cell>
          <cell r="P1892">
            <v>16</v>
          </cell>
          <cell r="Q1892">
            <v>3</v>
          </cell>
          <cell r="U1892">
            <v>176.11366666666666</v>
          </cell>
          <cell r="V1892">
            <v>5300</v>
          </cell>
          <cell r="W1892">
            <v>180</v>
          </cell>
          <cell r="X1892">
            <v>4240</v>
          </cell>
          <cell r="Y1892">
            <v>0</v>
          </cell>
          <cell r="Z1892">
            <v>0</v>
          </cell>
          <cell r="AA1892">
            <v>9716.113666666668</v>
          </cell>
          <cell r="AB1892">
            <v>174.54733333333334</v>
          </cell>
          <cell r="AC1892">
            <v>5300</v>
          </cell>
          <cell r="AD1892">
            <v>5265.22</v>
          </cell>
          <cell r="AE1892">
            <v>34.779999999999745</v>
          </cell>
          <cell r="AN1892" t="str">
            <v xml:space="preserve">Contrato emergencial nº </v>
          </cell>
          <cell r="AO1892" t="str">
            <v>FO</v>
          </cell>
        </row>
        <row r="1893">
          <cell r="D1893" t="str">
            <v>3059/11</v>
          </cell>
          <cell r="E1893" t="str">
            <v>31/10/2011</v>
          </cell>
          <cell r="F1893">
            <v>41026</v>
          </cell>
          <cell r="G1893">
            <v>40877</v>
          </cell>
          <cell r="H1893" t="str">
            <v>2011-0.260.343-7</v>
          </cell>
          <cell r="I1893" t="str">
            <v>42.184,92</v>
          </cell>
          <cell r="J1893" t="str">
            <v xml:space="preserve">             123671125                  2863                   33903600</v>
          </cell>
          <cell r="K1893" t="str">
            <v>31/10/2011</v>
          </cell>
          <cell r="L1893">
            <v>31</v>
          </cell>
          <cell r="M1893">
            <v>7300</v>
          </cell>
          <cell r="N1893">
            <v>57287</v>
          </cell>
          <cell r="O1893">
            <v>37586</v>
          </cell>
          <cell r="P1893">
            <v>16</v>
          </cell>
          <cell r="Q1893">
            <v>4</v>
          </cell>
          <cell r="U1893">
            <v>226.84899999999999</v>
          </cell>
          <cell r="V1893">
            <v>9300</v>
          </cell>
          <cell r="W1893">
            <v>180</v>
          </cell>
          <cell r="X1893">
            <v>7440</v>
          </cell>
          <cell r="Y1893">
            <v>0</v>
          </cell>
          <cell r="Z1893">
            <v>0</v>
          </cell>
          <cell r="AA1893">
            <v>16966.849000000002</v>
          </cell>
          <cell r="AB1893">
            <v>234.36066666666665</v>
          </cell>
          <cell r="AC1893">
            <v>7100</v>
          </cell>
          <cell r="AD1893">
            <v>9210.67</v>
          </cell>
          <cell r="AE1893">
            <v>-2110.67</v>
          </cell>
          <cell r="AN1893" t="str">
            <v xml:space="preserve">Contrato emergencial nº </v>
          </cell>
          <cell r="AO1893" t="str">
            <v>G</v>
          </cell>
        </row>
        <row r="1894">
          <cell r="D1894" t="str">
            <v>3060/11</v>
          </cell>
          <cell r="E1894" t="str">
            <v>31/10/2011</v>
          </cell>
          <cell r="F1894">
            <v>41026</v>
          </cell>
          <cell r="G1894">
            <v>40877</v>
          </cell>
          <cell r="H1894" t="str">
            <v>2011-0.260.344-5</v>
          </cell>
          <cell r="I1894" t="str">
            <v>38.261,76</v>
          </cell>
          <cell r="J1894" t="str">
            <v xml:space="preserve">              123651121                 2847                    33903600</v>
          </cell>
          <cell r="K1894" t="str">
            <v>31/10/2011</v>
          </cell>
          <cell r="L1894">
            <v>31</v>
          </cell>
          <cell r="M1894">
            <v>6600</v>
          </cell>
          <cell r="N1894">
            <v>57273</v>
          </cell>
          <cell r="O1894">
            <v>37681</v>
          </cell>
          <cell r="P1894">
            <v>16</v>
          </cell>
          <cell r="Q1894">
            <v>2</v>
          </cell>
          <cell r="U1894">
            <v>0</v>
          </cell>
          <cell r="V1894">
            <v>6900</v>
          </cell>
          <cell r="W1894">
            <v>180</v>
          </cell>
          <cell r="X1894">
            <v>5520</v>
          </cell>
          <cell r="Y1894">
            <v>0</v>
          </cell>
          <cell r="Z1894">
            <v>0</v>
          </cell>
          <cell r="AA1894">
            <v>12420</v>
          </cell>
          <cell r="AB1894">
            <v>212.56533333333334</v>
          </cell>
          <cell r="AC1894">
            <v>6400</v>
          </cell>
          <cell r="AD1894">
            <v>6856.2300000000005</v>
          </cell>
          <cell r="AE1894">
            <v>-456.23000000000047</v>
          </cell>
          <cell r="AN1894" t="str">
            <v xml:space="preserve">Contrato emergencial nº </v>
          </cell>
          <cell r="AO1894" t="str">
            <v>CL</v>
          </cell>
        </row>
        <row r="1895">
          <cell r="D1895" t="str">
            <v>3061/11</v>
          </cell>
          <cell r="E1895" t="str">
            <v>31/10/2011</v>
          </cell>
          <cell r="F1895">
            <v>41026</v>
          </cell>
          <cell r="G1895">
            <v>40877</v>
          </cell>
          <cell r="H1895" t="str">
            <v>2011-0.260.346-1</v>
          </cell>
          <cell r="I1895" t="str">
            <v>26.752,74</v>
          </cell>
          <cell r="J1895" t="str">
            <v xml:space="preserve">              123651121                 2847                    33903600</v>
          </cell>
          <cell r="K1895" t="str">
            <v>31/10/2011</v>
          </cell>
          <cell r="L1895">
            <v>31</v>
          </cell>
          <cell r="M1895">
            <v>4700</v>
          </cell>
          <cell r="N1895">
            <v>57273</v>
          </cell>
          <cell r="O1895">
            <v>37698</v>
          </cell>
          <cell r="P1895">
            <v>16</v>
          </cell>
          <cell r="Q1895">
            <v>2</v>
          </cell>
          <cell r="U1895">
            <v>142.809</v>
          </cell>
          <cell r="V1895">
            <v>5000</v>
          </cell>
          <cell r="W1895">
            <v>180</v>
          </cell>
          <cell r="X1895">
            <v>4000</v>
          </cell>
          <cell r="Y1895">
            <v>0</v>
          </cell>
          <cell r="Z1895">
            <v>0</v>
          </cell>
          <cell r="AA1895">
            <v>9142.8090000000011</v>
          </cell>
          <cell r="AB1895">
            <v>148.62633333333335</v>
          </cell>
          <cell r="AC1895">
            <v>4500</v>
          </cell>
          <cell r="AD1895">
            <v>4960.28</v>
          </cell>
          <cell r="AE1895">
            <v>-460.27999999999975</v>
          </cell>
          <cell r="AN1895" t="str">
            <v xml:space="preserve">Contrato emergencial nº </v>
          </cell>
          <cell r="AO1895" t="str">
            <v>MP</v>
          </cell>
        </row>
        <row r="1896">
          <cell r="D1896" t="str">
            <v>3063/11</v>
          </cell>
          <cell r="E1896" t="str">
            <v>31/10/2011</v>
          </cell>
          <cell r="F1896">
            <v>41026</v>
          </cell>
          <cell r="G1896">
            <v>40877</v>
          </cell>
          <cell r="H1896" t="str">
            <v>2011-0.260.349-6</v>
          </cell>
          <cell r="I1896" t="str">
            <v>44.324,52</v>
          </cell>
          <cell r="J1896" t="str">
            <v xml:space="preserve">              123651121                 2847                    33903600</v>
          </cell>
          <cell r="K1896" t="str">
            <v>31/10/2011</v>
          </cell>
          <cell r="L1896">
            <v>31</v>
          </cell>
          <cell r="M1896">
            <v>7700</v>
          </cell>
          <cell r="N1896">
            <v>57273</v>
          </cell>
          <cell r="O1896">
            <v>37700</v>
          </cell>
          <cell r="P1896">
            <v>16</v>
          </cell>
          <cell r="Q1896">
            <v>2</v>
          </cell>
          <cell r="U1896">
            <v>200.10533333333333</v>
          </cell>
          <cell r="V1896">
            <v>7400</v>
          </cell>
          <cell r="W1896">
            <v>180</v>
          </cell>
          <cell r="X1896">
            <v>5920</v>
          </cell>
          <cell r="Y1896">
            <v>0</v>
          </cell>
          <cell r="Z1896">
            <v>0</v>
          </cell>
          <cell r="AA1896">
            <v>13520.105333333333</v>
          </cell>
          <cell r="AB1896">
            <v>246.2473333333333</v>
          </cell>
          <cell r="AC1896">
            <v>7400</v>
          </cell>
          <cell r="AD1896">
            <v>5869.16</v>
          </cell>
          <cell r="AE1896">
            <v>1530.8400000000001</v>
          </cell>
          <cell r="AN1896" t="str">
            <v xml:space="preserve">Contrato emergencial nº </v>
          </cell>
          <cell r="AO1896" t="str">
            <v>CS</v>
          </cell>
        </row>
        <row r="1897">
          <cell r="D1897" t="str">
            <v>3064/11</v>
          </cell>
          <cell r="E1897" t="str">
            <v>31/10/2011</v>
          </cell>
          <cell r="F1897">
            <v>41026</v>
          </cell>
          <cell r="G1897">
            <v>40877</v>
          </cell>
          <cell r="H1897" t="str">
            <v>2011-0.260.350-0</v>
          </cell>
          <cell r="I1897" t="str">
            <v>44.324,52</v>
          </cell>
          <cell r="J1897" t="str">
            <v xml:space="preserve">              123651121                 2847                    33903600</v>
          </cell>
          <cell r="K1897" t="str">
            <v>31/10/2011</v>
          </cell>
          <cell r="L1897">
            <v>31</v>
          </cell>
          <cell r="M1897">
            <v>7700</v>
          </cell>
          <cell r="N1897">
            <v>57273</v>
          </cell>
          <cell r="O1897">
            <v>37706</v>
          </cell>
          <cell r="P1897">
            <v>16</v>
          </cell>
          <cell r="Q1897">
            <v>2</v>
          </cell>
          <cell r="U1897">
            <v>212.78933333333333</v>
          </cell>
          <cell r="V1897">
            <v>8200</v>
          </cell>
          <cell r="W1897">
            <v>180</v>
          </cell>
          <cell r="X1897">
            <v>6560</v>
          </cell>
          <cell r="Y1897">
            <v>0</v>
          </cell>
          <cell r="Z1897">
            <v>0</v>
          </cell>
          <cell r="AA1897">
            <v>14972.789333333334</v>
          </cell>
          <cell r="AB1897">
            <v>246.2473333333333</v>
          </cell>
          <cell r="AC1897">
            <v>7400</v>
          </cell>
          <cell r="AD1897">
            <v>8115.1</v>
          </cell>
          <cell r="AE1897">
            <v>-715.10000000000036</v>
          </cell>
          <cell r="AN1897" t="str">
            <v xml:space="preserve">Contrato emergencial nº </v>
          </cell>
          <cell r="AO1897" t="str">
            <v>CS</v>
          </cell>
        </row>
        <row r="1898">
          <cell r="D1898" t="str">
            <v>3065/11</v>
          </cell>
          <cell r="E1898" t="str">
            <v>31/10/2011</v>
          </cell>
          <cell r="F1898">
            <v>41026</v>
          </cell>
          <cell r="G1898">
            <v>40877</v>
          </cell>
          <cell r="H1898" t="str">
            <v>2011-0.260.352-6</v>
          </cell>
          <cell r="I1898" t="str">
            <v>27.158,88</v>
          </cell>
          <cell r="J1898" t="str">
            <v xml:space="preserve">              123651121                 2847                    33903600</v>
          </cell>
          <cell r="K1898" t="str">
            <v>31/10/2011</v>
          </cell>
          <cell r="L1898">
            <v>31</v>
          </cell>
          <cell r="M1898">
            <v>4700</v>
          </cell>
          <cell r="N1898">
            <v>57273</v>
          </cell>
          <cell r="O1898">
            <v>37708</v>
          </cell>
          <cell r="P1898">
            <v>16</v>
          </cell>
          <cell r="Q1898">
            <v>2</v>
          </cell>
          <cell r="U1898">
            <v>15.5</v>
          </cell>
          <cell r="V1898">
            <v>4700</v>
          </cell>
          <cell r="W1898">
            <v>180</v>
          </cell>
          <cell r="X1898">
            <v>3760</v>
          </cell>
          <cell r="Y1898">
            <v>0</v>
          </cell>
          <cell r="Z1898">
            <v>0</v>
          </cell>
          <cell r="AA1898">
            <v>8475.5</v>
          </cell>
          <cell r="AB1898">
            <v>150.88266666666667</v>
          </cell>
          <cell r="AC1898">
            <v>4600</v>
          </cell>
          <cell r="AD1898">
            <v>4664.66</v>
          </cell>
          <cell r="AE1898">
            <v>-64.659999999999854</v>
          </cell>
          <cell r="AN1898" t="str">
            <v xml:space="preserve">Contrato emergencial nº </v>
          </cell>
          <cell r="AO1898" t="str">
            <v>PE</v>
          </cell>
        </row>
        <row r="1899">
          <cell r="D1899" t="str">
            <v>3067/11</v>
          </cell>
          <cell r="E1899" t="str">
            <v>31/10/2011</v>
          </cell>
          <cell r="F1899">
            <v>41026</v>
          </cell>
          <cell r="G1899">
            <v>40877</v>
          </cell>
          <cell r="H1899" t="str">
            <v>2011-0.260.355-0</v>
          </cell>
          <cell r="I1899" t="str">
            <v>46.494,12</v>
          </cell>
          <cell r="J1899" t="str">
            <v xml:space="preserve">              123611122                  2848                    33903600</v>
          </cell>
          <cell r="K1899" t="str">
            <v>31/10/2011</v>
          </cell>
          <cell r="L1899">
            <v>31</v>
          </cell>
          <cell r="M1899">
            <v>8100</v>
          </cell>
          <cell r="N1899">
            <v>57278</v>
          </cell>
          <cell r="O1899">
            <v>37710</v>
          </cell>
          <cell r="P1899">
            <v>16</v>
          </cell>
          <cell r="Q1899">
            <v>3</v>
          </cell>
          <cell r="U1899">
            <v>0</v>
          </cell>
          <cell r="V1899">
            <v>7800</v>
          </cell>
          <cell r="W1899">
            <v>180</v>
          </cell>
          <cell r="X1899">
            <v>6240</v>
          </cell>
          <cell r="Y1899">
            <v>0</v>
          </cell>
          <cell r="Z1899">
            <v>0</v>
          </cell>
          <cell r="AA1899">
            <v>14040</v>
          </cell>
          <cell r="AB1899">
            <v>258.3006666666667</v>
          </cell>
          <cell r="AC1899">
            <v>7800</v>
          </cell>
          <cell r="AD1899">
            <v>6143.74</v>
          </cell>
          <cell r="AE1899">
            <v>1656.2600000000002</v>
          </cell>
          <cell r="AN1899" t="str">
            <v xml:space="preserve">Contrato emergencial nº </v>
          </cell>
          <cell r="AO1899" t="str">
            <v>CL</v>
          </cell>
        </row>
        <row r="1900">
          <cell r="D1900" t="str">
            <v>3068/11</v>
          </cell>
          <cell r="E1900" t="str">
            <v>31/10/2011</v>
          </cell>
          <cell r="F1900">
            <v>41026</v>
          </cell>
          <cell r="G1900">
            <v>40877</v>
          </cell>
          <cell r="H1900" t="str">
            <v>2011-0.260.357-7</v>
          </cell>
          <cell r="I1900" t="str">
            <v>30.749,94</v>
          </cell>
          <cell r="J1900" t="str">
            <v xml:space="preserve">              123611122                  2848                    33903600</v>
          </cell>
          <cell r="K1900" t="str">
            <v>31/10/2011</v>
          </cell>
          <cell r="L1900">
            <v>31</v>
          </cell>
          <cell r="M1900">
            <v>5300</v>
          </cell>
          <cell r="N1900">
            <v>57278</v>
          </cell>
          <cell r="O1900">
            <v>37715</v>
          </cell>
          <cell r="P1900">
            <v>16</v>
          </cell>
          <cell r="Q1900">
            <v>3</v>
          </cell>
          <cell r="U1900">
            <v>0</v>
          </cell>
          <cell r="V1900">
            <v>5200</v>
          </cell>
          <cell r="W1900">
            <v>180</v>
          </cell>
          <cell r="X1900">
            <v>4160</v>
          </cell>
          <cell r="Y1900">
            <v>0</v>
          </cell>
          <cell r="Z1900">
            <v>0</v>
          </cell>
          <cell r="AA1900">
            <v>9360</v>
          </cell>
          <cell r="AB1900">
            <v>170.833</v>
          </cell>
          <cell r="AC1900">
            <v>5200</v>
          </cell>
          <cell r="AD1900">
            <v>5106.7700000000004</v>
          </cell>
          <cell r="AE1900">
            <v>93.229999999999563</v>
          </cell>
          <cell r="AN1900" t="str">
            <v xml:space="preserve">Contrato emergencial nº </v>
          </cell>
          <cell r="AO1900" t="str">
            <v>CL</v>
          </cell>
        </row>
        <row r="1901">
          <cell r="D1901" t="str">
            <v>2720/11</v>
          </cell>
          <cell r="E1901" t="str">
            <v>10/10/2011</v>
          </cell>
          <cell r="F1901">
            <v>41005</v>
          </cell>
          <cell r="G1901">
            <v>40908</v>
          </cell>
          <cell r="H1901" t="str">
            <v>2011-0.256.692-2</v>
          </cell>
          <cell r="I1901" t="str">
            <v>22.691,10</v>
          </cell>
          <cell r="J1901" t="str">
            <v xml:space="preserve">              123611122                  2848                    33903600</v>
          </cell>
          <cell r="K1901" t="str">
            <v>10/10/2011</v>
          </cell>
          <cell r="L1901">
            <v>83</v>
          </cell>
          <cell r="M1901">
            <v>10500</v>
          </cell>
          <cell r="N1901">
            <v>57278</v>
          </cell>
          <cell r="O1901">
            <v>37856</v>
          </cell>
          <cell r="P1901">
            <v>16</v>
          </cell>
          <cell r="Q1901">
            <v>3</v>
          </cell>
          <cell r="U1901">
            <v>0</v>
          </cell>
          <cell r="V1901">
            <v>3800</v>
          </cell>
          <cell r="W1901">
            <v>180</v>
          </cell>
          <cell r="X1901">
            <v>3040</v>
          </cell>
          <cell r="Y1901">
            <v>0</v>
          </cell>
          <cell r="Z1901">
            <v>0</v>
          </cell>
          <cell r="AA1901">
            <v>6840</v>
          </cell>
          <cell r="AB1901">
            <v>126.06166666666665</v>
          </cell>
          <cell r="AC1901">
            <v>3800</v>
          </cell>
          <cell r="AD1901">
            <v>3699.9450000000006</v>
          </cell>
          <cell r="AE1901">
            <v>100.05499999999938</v>
          </cell>
          <cell r="AN1901" t="str">
            <v xml:space="preserve">Contrato emergencial nº </v>
          </cell>
          <cell r="AO1901" t="str">
            <v>PJ</v>
          </cell>
        </row>
        <row r="1902">
          <cell r="D1902" t="str">
            <v>3008/11</v>
          </cell>
          <cell r="E1902" t="str">
            <v>31/10/2011</v>
          </cell>
          <cell r="F1902">
            <v>41026</v>
          </cell>
          <cell r="G1902">
            <v>40908</v>
          </cell>
          <cell r="H1902" t="str">
            <v>2011-0.259.064-5</v>
          </cell>
          <cell r="I1902" t="str">
            <v>29.744,40</v>
          </cell>
          <cell r="J1902" t="str">
            <v xml:space="preserve">              123651121                 2847                    33903600</v>
          </cell>
          <cell r="K1902" t="str">
            <v>31/10/2011</v>
          </cell>
          <cell r="L1902">
            <v>62</v>
          </cell>
          <cell r="M1902">
            <v>10300</v>
          </cell>
          <cell r="N1902">
            <v>57273</v>
          </cell>
          <cell r="O1902">
            <v>37857</v>
          </cell>
          <cell r="P1902">
            <v>16</v>
          </cell>
          <cell r="Q1902">
            <v>2</v>
          </cell>
          <cell r="U1902">
            <v>0</v>
          </cell>
          <cell r="V1902">
            <v>5000</v>
          </cell>
          <cell r="W1902">
            <v>180</v>
          </cell>
          <cell r="X1902">
            <v>4000</v>
          </cell>
          <cell r="Y1902">
            <v>0</v>
          </cell>
          <cell r="Z1902">
            <v>0</v>
          </cell>
          <cell r="AA1902">
            <v>9000</v>
          </cell>
          <cell r="AB1902">
            <v>165.24666666666667</v>
          </cell>
          <cell r="AC1902">
            <v>5000</v>
          </cell>
          <cell r="AD1902">
            <v>4751.13</v>
          </cell>
          <cell r="AE1902">
            <v>248.86999999999989</v>
          </cell>
          <cell r="AN1902" t="str">
            <v xml:space="preserve">Contrato emergencial nº </v>
          </cell>
          <cell r="AO1902" t="str">
            <v>CL</v>
          </cell>
        </row>
        <row r="1903">
          <cell r="D1903" t="str">
            <v>3009/11</v>
          </cell>
          <cell r="E1903" t="str">
            <v>31/10/2011</v>
          </cell>
          <cell r="F1903">
            <v>41026</v>
          </cell>
          <cell r="G1903">
            <v>40908</v>
          </cell>
          <cell r="H1903" t="str">
            <v>2011-0.259.077-7</v>
          </cell>
          <cell r="I1903" t="str">
            <v>31.824,66</v>
          </cell>
          <cell r="J1903" t="str">
            <v xml:space="preserve">              123611122                  2848                    33903600</v>
          </cell>
          <cell r="K1903" t="str">
            <v>31/10/2011</v>
          </cell>
          <cell r="L1903">
            <v>62</v>
          </cell>
          <cell r="M1903">
            <v>11000</v>
          </cell>
          <cell r="N1903">
            <v>57278</v>
          </cell>
          <cell r="O1903">
            <v>37858</v>
          </cell>
          <cell r="P1903">
            <v>16</v>
          </cell>
          <cell r="Q1903">
            <v>3</v>
          </cell>
          <cell r="U1903">
            <v>45.83</v>
          </cell>
          <cell r="V1903">
            <v>6100</v>
          </cell>
          <cell r="W1903">
            <v>180</v>
          </cell>
          <cell r="X1903">
            <v>4880</v>
          </cell>
          <cell r="Y1903">
            <v>0</v>
          </cell>
          <cell r="Z1903">
            <v>0</v>
          </cell>
          <cell r="AA1903">
            <v>11025.83</v>
          </cell>
          <cell r="AB1903">
            <v>176.80366666666666</v>
          </cell>
          <cell r="AC1903">
            <v>5400</v>
          </cell>
          <cell r="AD1903">
            <v>6034.9250000000002</v>
          </cell>
          <cell r="AE1903">
            <v>-634.92500000000018</v>
          </cell>
          <cell r="AN1903" t="str">
            <v xml:space="preserve">Contrato emergencial nº </v>
          </cell>
          <cell r="AO1903" t="str">
            <v>SM</v>
          </cell>
        </row>
        <row r="1904">
          <cell r="D1904" t="str">
            <v>3016/11</v>
          </cell>
          <cell r="E1904" t="str">
            <v>31/10/2011</v>
          </cell>
          <cell r="F1904">
            <v>41026</v>
          </cell>
          <cell r="G1904">
            <v>40908</v>
          </cell>
          <cell r="H1904" t="str">
            <v>2011-0.259.104-8</v>
          </cell>
          <cell r="I1904" t="str">
            <v>44.978,40</v>
          </cell>
          <cell r="J1904" t="str">
            <v xml:space="preserve">              123651121                 2847                    33903600</v>
          </cell>
          <cell r="K1904" t="str">
            <v>31/10/2011</v>
          </cell>
          <cell r="L1904">
            <v>62</v>
          </cell>
          <cell r="M1904">
            <v>15500</v>
          </cell>
          <cell r="N1904">
            <v>57273</v>
          </cell>
          <cell r="O1904">
            <v>37859</v>
          </cell>
          <cell r="P1904">
            <v>16</v>
          </cell>
          <cell r="Q1904">
            <v>2</v>
          </cell>
          <cell r="U1904">
            <v>241.738</v>
          </cell>
          <cell r="V1904">
            <v>7500</v>
          </cell>
          <cell r="W1904">
            <v>180</v>
          </cell>
          <cell r="X1904">
            <v>6000</v>
          </cell>
          <cell r="Y1904">
            <v>0</v>
          </cell>
          <cell r="Z1904">
            <v>0</v>
          </cell>
          <cell r="AA1904">
            <v>13741.738000000001</v>
          </cell>
          <cell r="AB1904">
            <v>249.88</v>
          </cell>
          <cell r="AC1904">
            <v>7500</v>
          </cell>
          <cell r="AD1904">
            <v>6144.4870000000001</v>
          </cell>
          <cell r="AE1904">
            <v>1355.5129999999999</v>
          </cell>
          <cell r="AN1904" t="str">
            <v xml:space="preserve">Contrato emergencial nº </v>
          </cell>
          <cell r="AO1904" t="str">
            <v>MP</v>
          </cell>
        </row>
        <row r="1905">
          <cell r="D1905" t="str">
            <v>3017/11</v>
          </cell>
          <cell r="E1905" t="str">
            <v>31/10/2011</v>
          </cell>
          <cell r="F1905">
            <v>41026</v>
          </cell>
          <cell r="G1905">
            <v>40908</v>
          </cell>
          <cell r="H1905" t="str">
            <v>2011-0.259.106-4</v>
          </cell>
          <cell r="I1905" t="str">
            <v>31.012,38</v>
          </cell>
          <cell r="J1905" t="str">
            <v xml:space="preserve">              123651121                 2847                    33903600</v>
          </cell>
          <cell r="K1905" t="str">
            <v>31/10/2011</v>
          </cell>
          <cell r="L1905">
            <v>62</v>
          </cell>
          <cell r="M1905">
            <v>10700</v>
          </cell>
          <cell r="N1905">
            <v>57273</v>
          </cell>
          <cell r="O1905">
            <v>37860</v>
          </cell>
          <cell r="P1905">
            <v>16</v>
          </cell>
          <cell r="Q1905">
            <v>2</v>
          </cell>
          <cell r="U1905">
            <v>248.89800000000002</v>
          </cell>
          <cell r="V1905">
            <v>8900</v>
          </cell>
          <cell r="W1905">
            <v>180</v>
          </cell>
          <cell r="X1905">
            <v>7120</v>
          </cell>
          <cell r="Y1905">
            <v>0</v>
          </cell>
          <cell r="Z1905">
            <v>0</v>
          </cell>
          <cell r="AA1905">
            <v>16268.897999999999</v>
          </cell>
          <cell r="AB1905">
            <v>172.291</v>
          </cell>
          <cell r="AC1905">
            <v>5200</v>
          </cell>
          <cell r="AD1905">
            <v>8809.7860000000001</v>
          </cell>
          <cell r="AE1905">
            <v>-3609.7860000000001</v>
          </cell>
          <cell r="AN1905" t="str">
            <v xml:space="preserve">Contrato emergencial nº </v>
          </cell>
          <cell r="AO1905" t="str">
            <v>MP</v>
          </cell>
        </row>
        <row r="1906">
          <cell r="D1906" t="str">
            <v>3018/11</v>
          </cell>
          <cell r="E1906" t="str">
            <v>31/10/2011</v>
          </cell>
          <cell r="F1906">
            <v>41026</v>
          </cell>
          <cell r="G1906">
            <v>40908</v>
          </cell>
          <cell r="H1906" t="str">
            <v>2011-0.259.111-0</v>
          </cell>
          <cell r="I1906" t="str">
            <v>44.978,40</v>
          </cell>
          <cell r="J1906" t="str">
            <v xml:space="preserve">              123651121                 2847                    33903600</v>
          </cell>
          <cell r="K1906" t="str">
            <v>31/10/2011</v>
          </cell>
          <cell r="L1906">
            <v>62</v>
          </cell>
          <cell r="M1906">
            <v>15500</v>
          </cell>
          <cell r="N1906">
            <v>57273</v>
          </cell>
          <cell r="O1906">
            <v>37861</v>
          </cell>
          <cell r="P1906">
            <v>16</v>
          </cell>
          <cell r="Q1906">
            <v>2</v>
          </cell>
          <cell r="U1906">
            <v>218.35683333333333</v>
          </cell>
          <cell r="V1906">
            <v>7500</v>
          </cell>
          <cell r="W1906">
            <v>180</v>
          </cell>
          <cell r="X1906">
            <v>6000</v>
          </cell>
          <cell r="Y1906">
            <v>0</v>
          </cell>
          <cell r="Z1906">
            <v>0</v>
          </cell>
          <cell r="AA1906">
            <v>13718.356833333333</v>
          </cell>
          <cell r="AB1906">
            <v>249.88</v>
          </cell>
          <cell r="AC1906">
            <v>7500</v>
          </cell>
          <cell r="AD1906">
            <v>6147.5045</v>
          </cell>
          <cell r="AE1906">
            <v>1352.4955</v>
          </cell>
          <cell r="AN1906" t="str">
            <v xml:space="preserve">Contrato emergencial nº </v>
          </cell>
          <cell r="AO1906" t="str">
            <v>MP</v>
          </cell>
        </row>
        <row r="1907">
          <cell r="D1907" t="str">
            <v>3021/11</v>
          </cell>
          <cell r="E1907" t="str">
            <v>31/10/2011</v>
          </cell>
          <cell r="F1907">
            <v>41026</v>
          </cell>
          <cell r="G1907">
            <v>40908</v>
          </cell>
          <cell r="H1907" t="str">
            <v>2011-0.259.126-9</v>
          </cell>
          <cell r="I1907" t="str">
            <v>44.978,40</v>
          </cell>
          <cell r="J1907" t="str">
            <v xml:space="preserve">              123611122                  2848                    33903600</v>
          </cell>
          <cell r="K1907" t="str">
            <v>31/10/2011</v>
          </cell>
          <cell r="L1907">
            <v>62</v>
          </cell>
          <cell r="M1907">
            <v>15500</v>
          </cell>
          <cell r="N1907">
            <v>57278</v>
          </cell>
          <cell r="O1907">
            <v>37862</v>
          </cell>
          <cell r="P1907">
            <v>16</v>
          </cell>
          <cell r="Q1907">
            <v>3</v>
          </cell>
          <cell r="U1907">
            <v>0</v>
          </cell>
          <cell r="V1907">
            <v>7500</v>
          </cell>
          <cell r="W1907">
            <v>180</v>
          </cell>
          <cell r="X1907">
            <v>6000</v>
          </cell>
          <cell r="Y1907">
            <v>0</v>
          </cell>
          <cell r="Z1907">
            <v>0</v>
          </cell>
          <cell r="AA1907">
            <v>13500</v>
          </cell>
          <cell r="AB1907">
            <v>249.88</v>
          </cell>
          <cell r="AC1907">
            <v>7500</v>
          </cell>
          <cell r="AD1907">
            <v>6457.43</v>
          </cell>
          <cell r="AE1907">
            <v>1042.5699999999997</v>
          </cell>
          <cell r="AN1907" t="str">
            <v xml:space="preserve">Contrato emergencial nº </v>
          </cell>
          <cell r="AO1907" t="str">
            <v>CL</v>
          </cell>
        </row>
        <row r="1908">
          <cell r="D1908" t="str">
            <v>3023/11</v>
          </cell>
          <cell r="E1908" t="str">
            <v>31/10/2011</v>
          </cell>
          <cell r="F1908">
            <v>41026</v>
          </cell>
          <cell r="G1908">
            <v>40908</v>
          </cell>
          <cell r="H1908" t="str">
            <v>2011-0.259.702-0</v>
          </cell>
          <cell r="I1908" t="str">
            <v>24.820,92</v>
          </cell>
          <cell r="J1908" t="str">
            <v xml:space="preserve">              123611122                  2848                    33903600</v>
          </cell>
          <cell r="K1908" t="str">
            <v>31/10/2011</v>
          </cell>
          <cell r="L1908">
            <v>62</v>
          </cell>
          <cell r="M1908">
            <v>8600</v>
          </cell>
          <cell r="N1908">
            <v>57278</v>
          </cell>
          <cell r="O1908">
            <v>37863</v>
          </cell>
          <cell r="P1908">
            <v>16</v>
          </cell>
          <cell r="Q1908">
            <v>3</v>
          </cell>
          <cell r="U1908">
            <v>11.43</v>
          </cell>
          <cell r="V1908">
            <v>4200</v>
          </cell>
          <cell r="W1908">
            <v>180</v>
          </cell>
          <cell r="X1908">
            <v>3360</v>
          </cell>
          <cell r="Y1908">
            <v>0</v>
          </cell>
          <cell r="Z1908">
            <v>0</v>
          </cell>
          <cell r="AA1908">
            <v>7571.43</v>
          </cell>
          <cell r="AB1908">
            <v>137.89399999999998</v>
          </cell>
          <cell r="AC1908">
            <v>4200</v>
          </cell>
          <cell r="AD1908">
            <v>3208.5050000000001</v>
          </cell>
          <cell r="AE1908">
            <v>991.49499999999989</v>
          </cell>
          <cell r="AN1908" t="str">
            <v xml:space="preserve">Contrato emergencial nº </v>
          </cell>
          <cell r="AO1908" t="str">
            <v xml:space="preserve">SA </v>
          </cell>
        </row>
        <row r="1909">
          <cell r="D1909" t="str">
            <v>3030/11</v>
          </cell>
          <cell r="E1909" t="str">
            <v>31/10/2011</v>
          </cell>
          <cell r="F1909">
            <v>41026</v>
          </cell>
          <cell r="G1909">
            <v>40908</v>
          </cell>
          <cell r="H1909" t="str">
            <v>2011-0.259.721-6</v>
          </cell>
          <cell r="I1909" t="str">
            <v>44.978,40</v>
          </cell>
          <cell r="J1909" t="str">
            <v xml:space="preserve">              123651121                 2847                    33903600</v>
          </cell>
          <cell r="K1909" t="str">
            <v>31/10/2011</v>
          </cell>
          <cell r="L1909">
            <v>62</v>
          </cell>
          <cell r="M1909">
            <v>15500</v>
          </cell>
          <cell r="N1909">
            <v>57273</v>
          </cell>
          <cell r="O1909">
            <v>37864</v>
          </cell>
          <cell r="P1909">
            <v>16</v>
          </cell>
          <cell r="Q1909">
            <v>2</v>
          </cell>
          <cell r="U1909">
            <v>24.85</v>
          </cell>
          <cell r="V1909">
            <v>7500</v>
          </cell>
          <cell r="W1909">
            <v>180</v>
          </cell>
          <cell r="X1909">
            <v>6000</v>
          </cell>
          <cell r="Y1909">
            <v>0</v>
          </cell>
          <cell r="Z1909">
            <v>0</v>
          </cell>
          <cell r="AA1909">
            <v>13524.85</v>
          </cell>
          <cell r="AB1909">
            <v>249.88</v>
          </cell>
          <cell r="AC1909">
            <v>7500</v>
          </cell>
          <cell r="AD1909">
            <v>6734.3899999999994</v>
          </cell>
          <cell r="AE1909">
            <v>765.61000000000058</v>
          </cell>
          <cell r="AN1909" t="str">
            <v xml:space="preserve">Contrato emergencial nº </v>
          </cell>
          <cell r="AO1909" t="str">
            <v xml:space="preserve">SA </v>
          </cell>
        </row>
        <row r="1910">
          <cell r="D1910" t="str">
            <v>3033/11</v>
          </cell>
          <cell r="E1910" t="str">
            <v>31/10/2011</v>
          </cell>
          <cell r="F1910">
            <v>41026</v>
          </cell>
          <cell r="G1910">
            <v>40908</v>
          </cell>
          <cell r="H1910" t="str">
            <v>2011-0.259.732-1</v>
          </cell>
          <cell r="I1910" t="str">
            <v>26.950,80</v>
          </cell>
          <cell r="J1910" t="str">
            <v xml:space="preserve">              123611122                  2848                    33903600</v>
          </cell>
          <cell r="K1910" t="str">
            <v>31/10/2011</v>
          </cell>
          <cell r="L1910">
            <v>62</v>
          </cell>
          <cell r="M1910">
            <v>9300</v>
          </cell>
          <cell r="N1910">
            <v>57278</v>
          </cell>
          <cell r="O1910">
            <v>37866</v>
          </cell>
          <cell r="P1910">
            <v>16</v>
          </cell>
          <cell r="Q1910">
            <v>3</v>
          </cell>
          <cell r="U1910">
            <v>127.83000000000001</v>
          </cell>
          <cell r="V1910">
            <v>4500</v>
          </cell>
          <cell r="W1910">
            <v>180</v>
          </cell>
          <cell r="X1910">
            <v>3600</v>
          </cell>
          <cell r="Y1910">
            <v>0</v>
          </cell>
          <cell r="Z1910">
            <v>0</v>
          </cell>
          <cell r="AA1910">
            <v>8227.83</v>
          </cell>
          <cell r="AB1910">
            <v>149.72666666666666</v>
          </cell>
          <cell r="AC1910">
            <v>4500</v>
          </cell>
          <cell r="AD1910">
            <v>3134.87</v>
          </cell>
          <cell r="AE1910">
            <v>1365.13</v>
          </cell>
          <cell r="AN1910" t="str">
            <v xml:space="preserve">Contrato emergencial nº </v>
          </cell>
          <cell r="AO1910" t="str">
            <v>CS</v>
          </cell>
        </row>
        <row r="1911">
          <cell r="D1911" t="str">
            <v>3034/11</v>
          </cell>
          <cell r="E1911" t="str">
            <v>31/10/2011</v>
          </cell>
          <cell r="F1911">
            <v>41026</v>
          </cell>
          <cell r="G1911">
            <v>40908</v>
          </cell>
          <cell r="H1911" t="str">
            <v>2011-0.259.737-2</v>
          </cell>
          <cell r="I1911" t="str">
            <v>31.012,38</v>
          </cell>
          <cell r="J1911" t="str">
            <v xml:space="preserve">              123611122                  2848                    33903600</v>
          </cell>
          <cell r="K1911" t="str">
            <v>31/10/2011</v>
          </cell>
          <cell r="L1911">
            <v>62</v>
          </cell>
          <cell r="M1911">
            <v>10700</v>
          </cell>
          <cell r="N1911">
            <v>57278</v>
          </cell>
          <cell r="O1911">
            <v>37867</v>
          </cell>
          <cell r="P1911">
            <v>16</v>
          </cell>
          <cell r="Q1911">
            <v>3</v>
          </cell>
          <cell r="U1911">
            <v>0</v>
          </cell>
          <cell r="V1911">
            <v>7800</v>
          </cell>
          <cell r="W1911">
            <v>180</v>
          </cell>
          <cell r="X1911">
            <v>6240</v>
          </cell>
          <cell r="Y1911">
            <v>0</v>
          </cell>
          <cell r="Z1911">
            <v>0</v>
          </cell>
          <cell r="AA1911">
            <v>14040</v>
          </cell>
          <cell r="AB1911">
            <v>172.291</v>
          </cell>
          <cell r="AC1911">
            <v>5200</v>
          </cell>
          <cell r="AD1911">
            <v>7757.5700000000006</v>
          </cell>
          <cell r="AE1911">
            <v>-2557.5700000000006</v>
          </cell>
          <cell r="AN1911" t="str">
            <v xml:space="preserve">Contrato emergencial nº </v>
          </cell>
          <cell r="AO1911" t="str">
            <v>CL</v>
          </cell>
        </row>
        <row r="1912">
          <cell r="D1912" t="str">
            <v>3035/11</v>
          </cell>
          <cell r="E1912" t="str">
            <v>31/10/2011</v>
          </cell>
          <cell r="F1912">
            <v>41026</v>
          </cell>
          <cell r="G1912">
            <v>40908</v>
          </cell>
          <cell r="H1912" t="str">
            <v>2011-0.259.738-0</v>
          </cell>
          <cell r="I1912" t="str">
            <v>44.978,40</v>
          </cell>
          <cell r="J1912" t="str">
            <v xml:space="preserve">              123611122                  2848                    33903600</v>
          </cell>
          <cell r="K1912" t="str">
            <v>31/10/2011</v>
          </cell>
          <cell r="L1912">
            <v>62</v>
          </cell>
          <cell r="M1912">
            <v>15500</v>
          </cell>
          <cell r="N1912">
            <v>57278</v>
          </cell>
          <cell r="O1912">
            <v>37868</v>
          </cell>
          <cell r="P1912">
            <v>16</v>
          </cell>
          <cell r="Q1912">
            <v>3</v>
          </cell>
          <cell r="U1912">
            <v>19.05</v>
          </cell>
          <cell r="V1912">
            <v>7500</v>
          </cell>
          <cell r="W1912">
            <v>180</v>
          </cell>
          <cell r="X1912">
            <v>6000</v>
          </cell>
          <cell r="Y1912">
            <v>0</v>
          </cell>
          <cell r="Z1912">
            <v>0</v>
          </cell>
          <cell r="AA1912">
            <v>13519.05</v>
          </cell>
          <cell r="AB1912">
            <v>249.88</v>
          </cell>
          <cell r="AC1912">
            <v>7500</v>
          </cell>
          <cell r="AD1912">
            <v>6028.6850000000004</v>
          </cell>
          <cell r="AE1912">
            <v>1471.3149999999996</v>
          </cell>
          <cell r="AN1912" t="str">
            <v xml:space="preserve">Contrato emergencial nº </v>
          </cell>
          <cell r="AO1912" t="str">
            <v>JT</v>
          </cell>
        </row>
        <row r="1913">
          <cell r="D1913" t="str">
            <v>3036/11</v>
          </cell>
          <cell r="E1913" t="str">
            <v>31/10/2011</v>
          </cell>
          <cell r="F1913">
            <v>41026</v>
          </cell>
          <cell r="G1913">
            <v>40908</v>
          </cell>
          <cell r="H1913" t="str">
            <v>2011-0.259.741-0</v>
          </cell>
          <cell r="I1913" t="str">
            <v>42.184,92</v>
          </cell>
          <cell r="J1913" t="str">
            <v xml:space="preserve">              123611122                  2848                    33903600</v>
          </cell>
          <cell r="K1913" t="str">
            <v>31/10/2011</v>
          </cell>
          <cell r="L1913">
            <v>62</v>
          </cell>
          <cell r="M1913">
            <v>14600</v>
          </cell>
          <cell r="N1913">
            <v>57278</v>
          </cell>
          <cell r="O1913">
            <v>37869</v>
          </cell>
          <cell r="P1913">
            <v>16</v>
          </cell>
          <cell r="Q1913">
            <v>3</v>
          </cell>
          <cell r="U1913">
            <v>27.7</v>
          </cell>
          <cell r="V1913">
            <v>7100</v>
          </cell>
          <cell r="W1913">
            <v>180</v>
          </cell>
          <cell r="X1913">
            <v>5680</v>
          </cell>
          <cell r="Y1913">
            <v>0</v>
          </cell>
          <cell r="Z1913">
            <v>0</v>
          </cell>
          <cell r="AA1913">
            <v>12807.7</v>
          </cell>
          <cell r="AB1913">
            <v>234.36066666666665</v>
          </cell>
          <cell r="AC1913">
            <v>7100</v>
          </cell>
          <cell r="AD1913">
            <v>7059.8424999999997</v>
          </cell>
          <cell r="AE1913">
            <v>40.157500000000255</v>
          </cell>
          <cell r="AN1913" t="str">
            <v xml:space="preserve">Contrato emergencial nº </v>
          </cell>
          <cell r="AO1913" t="str">
            <v xml:space="preserve">SA </v>
          </cell>
        </row>
        <row r="1914">
          <cell r="D1914" t="str">
            <v>3038/11</v>
          </cell>
          <cell r="E1914" t="str">
            <v>31/10/2011</v>
          </cell>
          <cell r="F1914">
            <v>41026</v>
          </cell>
          <cell r="G1914">
            <v>40908</v>
          </cell>
          <cell r="H1914" t="str">
            <v>2011-0.259.748-8</v>
          </cell>
          <cell r="I1914" t="str">
            <v>38.261,76</v>
          </cell>
          <cell r="J1914" t="str">
            <v xml:space="preserve">              123611122                  2848                    33903600</v>
          </cell>
          <cell r="K1914" t="str">
            <v>31/10/2011</v>
          </cell>
          <cell r="L1914">
            <v>62</v>
          </cell>
          <cell r="M1914">
            <v>13200</v>
          </cell>
          <cell r="N1914">
            <v>57278</v>
          </cell>
          <cell r="O1914">
            <v>37870</v>
          </cell>
          <cell r="P1914">
            <v>16</v>
          </cell>
          <cell r="Q1914">
            <v>3</v>
          </cell>
          <cell r="U1914">
            <v>172.57333333333332</v>
          </cell>
          <cell r="V1914">
            <v>6400</v>
          </cell>
          <cell r="W1914">
            <v>180</v>
          </cell>
          <cell r="X1914">
            <v>5120</v>
          </cell>
          <cell r="Y1914">
            <v>0</v>
          </cell>
          <cell r="Z1914">
            <v>0</v>
          </cell>
          <cell r="AA1914">
            <v>11692.573333333334</v>
          </cell>
          <cell r="AB1914">
            <v>212.56533333333334</v>
          </cell>
          <cell r="AC1914">
            <v>6400</v>
          </cell>
          <cell r="AD1914">
            <v>5115.71</v>
          </cell>
          <cell r="AE1914">
            <v>1284.29</v>
          </cell>
          <cell r="AN1914" t="str">
            <v xml:space="preserve">Contrato emergencial nº </v>
          </cell>
          <cell r="AO1914" t="str">
            <v>CS</v>
          </cell>
        </row>
        <row r="1915">
          <cell r="D1915" t="str">
            <v>3043/11</v>
          </cell>
          <cell r="E1915" t="str">
            <v>31/10/2011</v>
          </cell>
          <cell r="F1915">
            <v>41026</v>
          </cell>
          <cell r="G1915">
            <v>40908</v>
          </cell>
          <cell r="H1915" t="str">
            <v>2011-0.260.307-0</v>
          </cell>
          <cell r="I1915" t="str">
            <v>44.324,52</v>
          </cell>
          <cell r="J1915" t="str">
            <v xml:space="preserve">              123651121                 2847                    33903600</v>
          </cell>
          <cell r="K1915" t="str">
            <v>31/10/2011</v>
          </cell>
          <cell r="L1915">
            <v>62</v>
          </cell>
          <cell r="M1915">
            <v>15300</v>
          </cell>
          <cell r="N1915">
            <v>57273</v>
          </cell>
          <cell r="O1915">
            <v>37929</v>
          </cell>
          <cell r="P1915">
            <v>16</v>
          </cell>
          <cell r="Q1915">
            <v>2</v>
          </cell>
          <cell r="U1915">
            <v>205.14266666666666</v>
          </cell>
          <cell r="V1915">
            <v>7900</v>
          </cell>
          <cell r="W1915">
            <v>180</v>
          </cell>
          <cell r="X1915">
            <v>6320</v>
          </cell>
          <cell r="Y1915">
            <v>0</v>
          </cell>
          <cell r="Z1915">
            <v>0</v>
          </cell>
          <cell r="AA1915">
            <v>14425.142666666667</v>
          </cell>
          <cell r="AB1915">
            <v>246.2473333333333</v>
          </cell>
          <cell r="AC1915">
            <v>7400</v>
          </cell>
          <cell r="AD1915">
            <v>7864.9800000000005</v>
          </cell>
          <cell r="AE1915">
            <v>-464.98000000000047</v>
          </cell>
          <cell r="AN1915" t="str">
            <v xml:space="preserve">Contrato emergencial nº </v>
          </cell>
          <cell r="AO1915" t="str">
            <v>CS</v>
          </cell>
        </row>
        <row r="1916">
          <cell r="D1916" t="str">
            <v>3045/11</v>
          </cell>
          <cell r="E1916" t="str">
            <v>31/10/2011</v>
          </cell>
          <cell r="F1916">
            <v>41026</v>
          </cell>
          <cell r="G1916">
            <v>40908</v>
          </cell>
          <cell r="H1916" t="str">
            <v>2011-0.260.310-0</v>
          </cell>
          <cell r="I1916" t="str">
            <v>31.012,38</v>
          </cell>
          <cell r="J1916" t="str">
            <v xml:space="preserve">              123611122                  2848                    33903600</v>
          </cell>
          <cell r="K1916" t="str">
            <v>31/10/2011</v>
          </cell>
          <cell r="L1916">
            <v>62</v>
          </cell>
          <cell r="M1916">
            <v>10700</v>
          </cell>
          <cell r="N1916">
            <v>57278</v>
          </cell>
          <cell r="O1916">
            <v>37930</v>
          </cell>
          <cell r="P1916">
            <v>16</v>
          </cell>
          <cell r="Q1916">
            <v>3</v>
          </cell>
          <cell r="U1916">
            <v>0</v>
          </cell>
          <cell r="V1916">
            <v>6500</v>
          </cell>
          <cell r="W1916">
            <v>180</v>
          </cell>
          <cell r="X1916">
            <v>5200</v>
          </cell>
          <cell r="Y1916">
            <v>0</v>
          </cell>
          <cell r="Z1916">
            <v>0</v>
          </cell>
          <cell r="AA1916">
            <v>11700</v>
          </cell>
          <cell r="AB1916">
            <v>172.291</v>
          </cell>
          <cell r="AC1916">
            <v>5200</v>
          </cell>
          <cell r="AD1916">
            <v>6435.2040000000006</v>
          </cell>
          <cell r="AE1916">
            <v>-1235.2040000000006</v>
          </cell>
          <cell r="AN1916" t="str">
            <v xml:space="preserve">Contrato emergencial nº </v>
          </cell>
          <cell r="AO1916" t="str">
            <v>PJ</v>
          </cell>
        </row>
        <row r="1917">
          <cell r="D1917" t="str">
            <v>3046/11</v>
          </cell>
          <cell r="E1917" t="str">
            <v>31/10/2011</v>
          </cell>
          <cell r="F1917">
            <v>41026</v>
          </cell>
          <cell r="G1917">
            <v>40908</v>
          </cell>
          <cell r="H1917" t="str">
            <v>2011-0.260.311-9</v>
          </cell>
          <cell r="I1917" t="str">
            <v>29.744,40</v>
          </cell>
          <cell r="J1917" t="str">
            <v xml:space="preserve">              123611122                  2848                    33903600</v>
          </cell>
          <cell r="K1917" t="str">
            <v>31/10/2011</v>
          </cell>
          <cell r="L1917">
            <v>62</v>
          </cell>
          <cell r="M1917">
            <v>10300</v>
          </cell>
          <cell r="N1917">
            <v>57278</v>
          </cell>
          <cell r="O1917">
            <v>37932</v>
          </cell>
          <cell r="P1917">
            <v>16</v>
          </cell>
          <cell r="Q1917">
            <v>3</v>
          </cell>
          <cell r="U1917">
            <v>0</v>
          </cell>
          <cell r="V1917">
            <v>8800</v>
          </cell>
          <cell r="W1917">
            <v>180</v>
          </cell>
          <cell r="X1917">
            <v>7040</v>
          </cell>
          <cell r="Y1917">
            <v>0</v>
          </cell>
          <cell r="Z1917">
            <v>0</v>
          </cell>
          <cell r="AA1917">
            <v>15840</v>
          </cell>
          <cell r="AB1917">
            <v>165.24666666666667</v>
          </cell>
          <cell r="AC1917">
            <v>5000</v>
          </cell>
          <cell r="AD1917">
            <v>8793.36</v>
          </cell>
          <cell r="AE1917">
            <v>-3793.3600000000006</v>
          </cell>
          <cell r="AN1917" t="str">
            <v xml:space="preserve">Contrato emergencial nº </v>
          </cell>
          <cell r="AO1917" t="str">
            <v>PJ</v>
          </cell>
        </row>
        <row r="1918">
          <cell r="D1918" t="str">
            <v>3047/11</v>
          </cell>
          <cell r="E1918" t="str">
            <v>31/10/2011</v>
          </cell>
          <cell r="F1918">
            <v>41026</v>
          </cell>
          <cell r="G1918">
            <v>40908</v>
          </cell>
          <cell r="H1918" t="str">
            <v>2011-0.260.313-5</v>
          </cell>
          <cell r="I1918" t="str">
            <v>41.531,04</v>
          </cell>
          <cell r="J1918" t="str">
            <v xml:space="preserve">             123671125                  2863                   33903600</v>
          </cell>
          <cell r="K1918" t="str">
            <v>31/10/2011</v>
          </cell>
          <cell r="L1918">
            <v>62</v>
          </cell>
          <cell r="M1918">
            <v>14400</v>
          </cell>
          <cell r="N1918">
            <v>57287</v>
          </cell>
          <cell r="O1918">
            <v>37933</v>
          </cell>
          <cell r="P1918">
            <v>16</v>
          </cell>
          <cell r="Q1918">
            <v>4</v>
          </cell>
          <cell r="U1918">
            <v>40.9</v>
          </cell>
          <cell r="V1918">
            <v>7800</v>
          </cell>
          <cell r="W1918">
            <v>180</v>
          </cell>
          <cell r="X1918">
            <v>6240</v>
          </cell>
          <cell r="Y1918">
            <v>0</v>
          </cell>
          <cell r="Z1918">
            <v>0</v>
          </cell>
          <cell r="AA1918">
            <v>14080.9</v>
          </cell>
          <cell r="AB1918">
            <v>230.72800000000001</v>
          </cell>
          <cell r="AC1918">
            <v>7000</v>
          </cell>
          <cell r="AD1918">
            <v>7758.64</v>
          </cell>
          <cell r="AE1918">
            <v>-758.64000000000033</v>
          </cell>
          <cell r="AN1918" t="str">
            <v xml:space="preserve">Contrato emergencial nº </v>
          </cell>
          <cell r="AO1918" t="str">
            <v>JT</v>
          </cell>
        </row>
        <row r="1919">
          <cell r="D1919" t="str">
            <v>3050/11</v>
          </cell>
          <cell r="E1919" t="str">
            <v>31/10/2011</v>
          </cell>
          <cell r="F1919">
            <v>41026</v>
          </cell>
          <cell r="G1919">
            <v>40908</v>
          </cell>
          <cell r="H1919" t="str">
            <v>2011-0.260.323-2</v>
          </cell>
          <cell r="I1919" t="str">
            <v>44.324,52</v>
          </cell>
          <cell r="J1919" t="str">
            <v xml:space="preserve">              123611122                  2848                    33903600</v>
          </cell>
          <cell r="K1919" t="str">
            <v>31/10/2011</v>
          </cell>
          <cell r="L1919">
            <v>62</v>
          </cell>
          <cell r="M1919">
            <v>15300</v>
          </cell>
          <cell r="N1919">
            <v>57278</v>
          </cell>
          <cell r="O1919">
            <v>37935</v>
          </cell>
          <cell r="P1919">
            <v>16</v>
          </cell>
          <cell r="Q1919">
            <v>3</v>
          </cell>
          <cell r="U1919">
            <v>187.51666666666668</v>
          </cell>
          <cell r="V1919">
            <v>7400</v>
          </cell>
          <cell r="W1919">
            <v>180</v>
          </cell>
          <cell r="X1919">
            <v>5920</v>
          </cell>
          <cell r="Y1919">
            <v>0</v>
          </cell>
          <cell r="Z1919">
            <v>0</v>
          </cell>
          <cell r="AA1919">
            <v>13507.516666666666</v>
          </cell>
          <cell r="AB1919">
            <v>246.2473333333333</v>
          </cell>
          <cell r="AC1919">
            <v>7400</v>
          </cell>
          <cell r="AD1919">
            <v>6892.4800000000005</v>
          </cell>
          <cell r="AE1919">
            <v>507.51999999999953</v>
          </cell>
          <cell r="AN1919" t="str">
            <v xml:space="preserve">Contrato emergencial nº </v>
          </cell>
          <cell r="AO1919" t="str">
            <v>CS</v>
          </cell>
        </row>
        <row r="1920">
          <cell r="D1920" t="str">
            <v>3051/11</v>
          </cell>
          <cell r="E1920" t="str">
            <v>31/10/2011</v>
          </cell>
          <cell r="F1920">
            <v>41026</v>
          </cell>
          <cell r="G1920">
            <v>40908</v>
          </cell>
          <cell r="H1920" t="str">
            <v>2011-0.260.325-9</v>
          </cell>
          <cell r="I1920" t="str">
            <v>38.261,76</v>
          </cell>
          <cell r="J1920" t="str">
            <v xml:space="preserve">              123651121                 2847                    33903600</v>
          </cell>
          <cell r="K1920" t="str">
            <v>31/10/2011</v>
          </cell>
          <cell r="L1920">
            <v>62</v>
          </cell>
          <cell r="M1920">
            <v>13200</v>
          </cell>
          <cell r="N1920">
            <v>57273</v>
          </cell>
          <cell r="O1920">
            <v>37937</v>
          </cell>
          <cell r="P1920">
            <v>16</v>
          </cell>
          <cell r="Q1920">
            <v>2</v>
          </cell>
          <cell r="U1920">
            <v>132.09933333333333</v>
          </cell>
          <cell r="V1920">
            <v>6400</v>
          </cell>
          <cell r="W1920">
            <v>180</v>
          </cell>
          <cell r="X1920">
            <v>5120</v>
          </cell>
          <cell r="Y1920">
            <v>0</v>
          </cell>
          <cell r="Z1920">
            <v>0</v>
          </cell>
          <cell r="AA1920">
            <v>11652.099333333334</v>
          </cell>
          <cell r="AB1920">
            <v>212.56533333333334</v>
          </cell>
          <cell r="AC1920">
            <v>6400</v>
          </cell>
          <cell r="AD1920">
            <v>5037.26</v>
          </cell>
          <cell r="AE1920">
            <v>1362.7399999999998</v>
          </cell>
          <cell r="AN1920" t="str">
            <v xml:space="preserve">Contrato emergencial nº </v>
          </cell>
          <cell r="AO1920" t="str">
            <v>CS</v>
          </cell>
        </row>
        <row r="1921">
          <cell r="D1921" t="str">
            <v>3053/11</v>
          </cell>
          <cell r="E1921" t="str">
            <v>31/10/2011</v>
          </cell>
          <cell r="F1921">
            <v>41026</v>
          </cell>
          <cell r="G1921">
            <v>40908</v>
          </cell>
          <cell r="H1921" t="str">
            <v>2011-0.260.330-5</v>
          </cell>
          <cell r="I1921" t="str">
            <v>44.978,40</v>
          </cell>
          <cell r="J1921" t="str">
            <v xml:space="preserve">              123611122                  2848                    33903600</v>
          </cell>
          <cell r="K1921" t="str">
            <v>31/10/2011</v>
          </cell>
          <cell r="L1921">
            <v>62</v>
          </cell>
          <cell r="M1921">
            <v>15500</v>
          </cell>
          <cell r="N1921">
            <v>57278</v>
          </cell>
          <cell r="O1921">
            <v>37939</v>
          </cell>
          <cell r="P1921">
            <v>16</v>
          </cell>
          <cell r="Q1921">
            <v>3</v>
          </cell>
          <cell r="U1921">
            <v>22.95</v>
          </cell>
          <cell r="V1921">
            <v>7500</v>
          </cell>
          <cell r="W1921">
            <v>180</v>
          </cell>
          <cell r="X1921">
            <v>6000</v>
          </cell>
          <cell r="Y1921">
            <v>0</v>
          </cell>
          <cell r="Z1921">
            <v>0</v>
          </cell>
          <cell r="AA1921">
            <v>13522.95</v>
          </cell>
          <cell r="AB1921">
            <v>249.88</v>
          </cell>
          <cell r="AC1921">
            <v>7500</v>
          </cell>
          <cell r="AD1921">
            <v>6771.19</v>
          </cell>
          <cell r="AE1921">
            <v>728.8100000000004</v>
          </cell>
          <cell r="AN1921" t="str">
            <v xml:space="preserve">Contrato emergencial nº </v>
          </cell>
          <cell r="AO1921" t="str">
            <v>SA</v>
          </cell>
        </row>
        <row r="1922">
          <cell r="D1922" t="str">
            <v>3054/11</v>
          </cell>
          <cell r="E1922" t="str">
            <v>31/10/2011</v>
          </cell>
          <cell r="F1922">
            <v>41026</v>
          </cell>
          <cell r="G1922">
            <v>40908</v>
          </cell>
          <cell r="H1922" t="str">
            <v>2011-0.260.332-1</v>
          </cell>
          <cell r="I1922" t="str">
            <v>25.633,26</v>
          </cell>
          <cell r="J1922" t="str">
            <v xml:space="preserve">              123651121                 2847                    33903600</v>
          </cell>
          <cell r="K1922" t="str">
            <v>31/10/2011</v>
          </cell>
          <cell r="L1922">
            <v>62</v>
          </cell>
          <cell r="M1922">
            <v>8900</v>
          </cell>
          <cell r="N1922">
            <v>57273</v>
          </cell>
          <cell r="O1922">
            <v>37942</v>
          </cell>
          <cell r="P1922">
            <v>16</v>
          </cell>
          <cell r="Q1922">
            <v>2</v>
          </cell>
          <cell r="U1922">
            <v>60.1</v>
          </cell>
          <cell r="V1922">
            <v>6200</v>
          </cell>
          <cell r="W1922">
            <v>180</v>
          </cell>
          <cell r="X1922">
            <v>4960</v>
          </cell>
          <cell r="Y1922">
            <v>0</v>
          </cell>
          <cell r="Z1922">
            <v>0</v>
          </cell>
          <cell r="AA1922">
            <v>11220.1</v>
          </cell>
          <cell r="AB1922">
            <v>142.40699999999998</v>
          </cell>
          <cell r="AC1922">
            <v>4300</v>
          </cell>
          <cell r="AD1922">
            <v>6141.1600000000008</v>
          </cell>
          <cell r="AE1922">
            <v>-1841.1600000000008</v>
          </cell>
          <cell r="AN1922" t="str">
            <v xml:space="preserve">Contrato emergencial nº </v>
          </cell>
          <cell r="AO1922" t="str">
            <v>PE</v>
          </cell>
        </row>
        <row r="1923">
          <cell r="D1923" t="str">
            <v>3055/11</v>
          </cell>
          <cell r="E1923" t="str">
            <v>31/10/2011</v>
          </cell>
          <cell r="F1923">
            <v>41026</v>
          </cell>
          <cell r="G1923">
            <v>40908</v>
          </cell>
          <cell r="H1923" t="str">
            <v>2011-0.260.333-0</v>
          </cell>
          <cell r="I1923" t="str">
            <v>38.261,76</v>
          </cell>
          <cell r="J1923" t="str">
            <v xml:space="preserve">              123651121                 2847                    33903600</v>
          </cell>
          <cell r="K1923" t="str">
            <v>31/10/2011</v>
          </cell>
          <cell r="L1923">
            <v>62</v>
          </cell>
          <cell r="M1923">
            <v>13200</v>
          </cell>
          <cell r="N1923">
            <v>57273</v>
          </cell>
          <cell r="O1923">
            <v>37947</v>
          </cell>
          <cell r="P1923">
            <v>16</v>
          </cell>
          <cell r="Q1923">
            <v>2</v>
          </cell>
          <cell r="U1923">
            <v>182.74</v>
          </cell>
          <cell r="V1923">
            <v>6400</v>
          </cell>
          <cell r="W1923">
            <v>180</v>
          </cell>
          <cell r="X1923">
            <v>5120</v>
          </cell>
          <cell r="Y1923">
            <v>0</v>
          </cell>
          <cell r="Z1923">
            <v>0</v>
          </cell>
          <cell r="AA1923">
            <v>11702.74</v>
          </cell>
          <cell r="AB1923">
            <v>212.56533333333334</v>
          </cell>
          <cell r="AC1923">
            <v>6400</v>
          </cell>
          <cell r="AD1923">
            <v>5315.47</v>
          </cell>
          <cell r="AE1923">
            <v>1084.5299999999997</v>
          </cell>
          <cell r="AN1923" t="str">
            <v xml:space="preserve">Contrato emergencial nº </v>
          </cell>
          <cell r="AO1923" t="str">
            <v>IP</v>
          </cell>
        </row>
        <row r="1924">
          <cell r="D1924" t="str">
            <v>3057/11</v>
          </cell>
          <cell r="E1924" t="str">
            <v>31/10/2011</v>
          </cell>
          <cell r="F1924">
            <v>41026</v>
          </cell>
          <cell r="G1924">
            <v>40908</v>
          </cell>
          <cell r="H1924" t="str">
            <v>2011-0.260.335-6</v>
          </cell>
          <cell r="I1924" t="str">
            <v>37.607,88</v>
          </cell>
          <cell r="J1924" t="str">
            <v xml:space="preserve">              123611122                  2848                    33903600</v>
          </cell>
          <cell r="K1924" t="str">
            <v>31/10/2011</v>
          </cell>
          <cell r="L1924">
            <v>62</v>
          </cell>
          <cell r="M1924">
            <v>13000</v>
          </cell>
          <cell r="N1924">
            <v>57278</v>
          </cell>
          <cell r="O1924">
            <v>37948</v>
          </cell>
          <cell r="P1924">
            <v>16</v>
          </cell>
          <cell r="Q1924">
            <v>3</v>
          </cell>
          <cell r="U1924">
            <v>57</v>
          </cell>
          <cell r="V1924">
            <v>6900</v>
          </cell>
          <cell r="W1924">
            <v>180</v>
          </cell>
          <cell r="X1924">
            <v>5520</v>
          </cell>
          <cell r="Y1924">
            <v>0</v>
          </cell>
          <cell r="Z1924">
            <v>0</v>
          </cell>
          <cell r="AA1924">
            <v>12477</v>
          </cell>
          <cell r="AB1924">
            <v>208.93266666666665</v>
          </cell>
          <cell r="AC1924">
            <v>6300</v>
          </cell>
          <cell r="AD1924">
            <v>6819.9800000000005</v>
          </cell>
          <cell r="AE1924">
            <v>-519.98000000000047</v>
          </cell>
          <cell r="AN1924" t="str">
            <v xml:space="preserve">Contrato emergencial nº </v>
          </cell>
          <cell r="AO1924" t="str">
            <v xml:space="preserve">SA </v>
          </cell>
        </row>
        <row r="1925">
          <cell r="D1925" t="str">
            <v>3058/11</v>
          </cell>
          <cell r="E1925" t="str">
            <v>31/10/2011</v>
          </cell>
          <cell r="F1925">
            <v>41026</v>
          </cell>
          <cell r="G1925">
            <v>40908</v>
          </cell>
          <cell r="H1925" t="str">
            <v>2011-0.260.337-2</v>
          </cell>
          <cell r="I1925" t="str">
            <v>24.820,92</v>
          </cell>
          <cell r="J1925" t="str">
            <v xml:space="preserve">              123611122                  2848                    33903600</v>
          </cell>
          <cell r="K1925" t="str">
            <v>31/10/2011</v>
          </cell>
          <cell r="L1925">
            <v>62</v>
          </cell>
          <cell r="M1925">
            <v>8600</v>
          </cell>
          <cell r="N1925">
            <v>57278</v>
          </cell>
          <cell r="O1925">
            <v>37949</v>
          </cell>
          <cell r="P1925">
            <v>16</v>
          </cell>
          <cell r="Q1925">
            <v>3</v>
          </cell>
          <cell r="U1925">
            <v>0</v>
          </cell>
          <cell r="V1925">
            <v>5200</v>
          </cell>
          <cell r="W1925">
            <v>180</v>
          </cell>
          <cell r="X1925">
            <v>4160</v>
          </cell>
          <cell r="Y1925">
            <v>0</v>
          </cell>
          <cell r="Z1925">
            <v>0</v>
          </cell>
          <cell r="AA1925">
            <v>9360</v>
          </cell>
          <cell r="AB1925">
            <v>137.89399999999998</v>
          </cell>
          <cell r="AC1925">
            <v>4200</v>
          </cell>
          <cell r="AD1925">
            <v>5156.9400000000005</v>
          </cell>
          <cell r="AE1925">
            <v>-956.94000000000051</v>
          </cell>
          <cell r="AN1925" t="str">
            <v xml:space="preserve">Contrato emergencial nº </v>
          </cell>
          <cell r="AO1925" t="str">
            <v>PJ</v>
          </cell>
        </row>
        <row r="1926">
          <cell r="D1926" t="str">
            <v>3066/11</v>
          </cell>
          <cell r="E1926" t="str">
            <v>31/10/2011</v>
          </cell>
          <cell r="F1926">
            <v>41026</v>
          </cell>
          <cell r="G1926">
            <v>40908</v>
          </cell>
          <cell r="H1926" t="str">
            <v>2011-0.260.354-2</v>
          </cell>
          <cell r="I1926" t="str">
            <v>36.954,12</v>
          </cell>
          <cell r="J1926" t="str">
            <v xml:space="preserve">              123651121                 2847                    33903600</v>
          </cell>
          <cell r="K1926" t="str">
            <v>31/10/2011</v>
          </cell>
          <cell r="L1926">
            <v>62</v>
          </cell>
          <cell r="M1926">
            <v>12800</v>
          </cell>
          <cell r="N1926">
            <v>57273</v>
          </cell>
          <cell r="O1926">
            <v>37952</v>
          </cell>
          <cell r="P1926">
            <v>16</v>
          </cell>
          <cell r="Q1926">
            <v>2</v>
          </cell>
          <cell r="U1926">
            <v>24.35</v>
          </cell>
          <cell r="V1926">
            <v>6200</v>
          </cell>
          <cell r="W1926">
            <v>180</v>
          </cell>
          <cell r="X1926">
            <v>4960</v>
          </cell>
          <cell r="Y1926">
            <v>0</v>
          </cell>
          <cell r="Z1926">
            <v>0</v>
          </cell>
          <cell r="AA1926">
            <v>11184.35</v>
          </cell>
          <cell r="AB1926">
            <v>205.30066666666667</v>
          </cell>
          <cell r="AC1926">
            <v>6200</v>
          </cell>
          <cell r="AD1926">
            <v>5783.64</v>
          </cell>
          <cell r="AE1926">
            <v>416.35999999999967</v>
          </cell>
          <cell r="AN1926" t="str">
            <v xml:space="preserve">Contrato emergencial nº </v>
          </cell>
          <cell r="AO1926" t="str">
            <v xml:space="preserve">SA </v>
          </cell>
        </row>
        <row r="1927">
          <cell r="D1927" t="str">
            <v>3069/11</v>
          </cell>
          <cell r="E1927" t="str">
            <v>31/10/2011</v>
          </cell>
          <cell r="F1927">
            <v>41026</v>
          </cell>
          <cell r="G1927">
            <v>40908</v>
          </cell>
          <cell r="H1927" t="str">
            <v>2011-0.260.359-3</v>
          </cell>
          <cell r="I1927" t="str">
            <v>40.223,34</v>
          </cell>
          <cell r="J1927" t="str">
            <v xml:space="preserve">              123651121                 2847                    33903600</v>
          </cell>
          <cell r="K1927" t="str">
            <v>31/10/2011</v>
          </cell>
          <cell r="L1927">
            <v>62</v>
          </cell>
          <cell r="M1927">
            <v>13900</v>
          </cell>
          <cell r="N1927">
            <v>57273</v>
          </cell>
          <cell r="O1927">
            <v>37790</v>
          </cell>
          <cell r="P1927">
            <v>16</v>
          </cell>
          <cell r="Q1927">
            <v>2</v>
          </cell>
          <cell r="U1927">
            <v>43.4</v>
          </cell>
          <cell r="V1927">
            <v>7300</v>
          </cell>
          <cell r="W1927">
            <v>180</v>
          </cell>
          <cell r="X1927">
            <v>5840</v>
          </cell>
          <cell r="Y1927">
            <v>0</v>
          </cell>
          <cell r="Z1927">
            <v>0</v>
          </cell>
          <cell r="AA1927">
            <v>13183.4</v>
          </cell>
          <cell r="AB1927">
            <v>223.46299999999999</v>
          </cell>
          <cell r="AC1927">
            <v>6800</v>
          </cell>
          <cell r="AD1927">
            <v>7203.5649999999996</v>
          </cell>
          <cell r="AE1927">
            <v>-403.5649999999996</v>
          </cell>
          <cell r="AN1927" t="str">
            <v xml:space="preserve">Contrato emergencial nº </v>
          </cell>
          <cell r="AO1927" t="str">
            <v>SA</v>
          </cell>
        </row>
        <row r="1928">
          <cell r="D1928" t="str">
            <v>3070/11</v>
          </cell>
          <cell r="E1928" t="str">
            <v>31/10/2011</v>
          </cell>
          <cell r="F1928">
            <v>41026</v>
          </cell>
          <cell r="G1928">
            <v>40908</v>
          </cell>
          <cell r="H1928" t="str">
            <v>2011-0.260.360-7</v>
          </cell>
          <cell r="I1928" t="str">
            <v>26.039,46</v>
          </cell>
          <cell r="J1928" t="str">
            <v xml:space="preserve">              123611122                  2848                    33903600</v>
          </cell>
          <cell r="K1928" t="str">
            <v>31/10/2011</v>
          </cell>
          <cell r="L1928">
            <v>62</v>
          </cell>
          <cell r="M1928">
            <v>9000</v>
          </cell>
          <cell r="N1928">
            <v>57278</v>
          </cell>
          <cell r="O1928">
            <v>37792</v>
          </cell>
          <cell r="P1928">
            <v>16</v>
          </cell>
          <cell r="Q1928">
            <v>3</v>
          </cell>
          <cell r="U1928">
            <v>39.1</v>
          </cell>
          <cell r="V1928">
            <v>5400</v>
          </cell>
          <cell r="W1928">
            <v>180</v>
          </cell>
          <cell r="X1928">
            <v>4320</v>
          </cell>
          <cell r="Y1928">
            <v>0</v>
          </cell>
          <cell r="Z1928">
            <v>0</v>
          </cell>
          <cell r="AA1928">
            <v>9759.1</v>
          </cell>
          <cell r="AB1928">
            <v>144.66366666666667</v>
          </cell>
          <cell r="AC1928">
            <v>4400</v>
          </cell>
          <cell r="AD1928">
            <v>5340.5450000000001</v>
          </cell>
          <cell r="AE1928">
            <v>-940.54500000000007</v>
          </cell>
          <cell r="AN1928" t="str">
            <v xml:space="preserve">Contrato emergencial nº </v>
          </cell>
          <cell r="AO1928" t="str">
            <v>JT</v>
          </cell>
        </row>
        <row r="1929">
          <cell r="D1929" t="str">
            <v>3071/11</v>
          </cell>
          <cell r="E1929" t="str">
            <v>31/10/2011</v>
          </cell>
          <cell r="F1929">
            <v>41026</v>
          </cell>
          <cell r="G1929">
            <v>40908</v>
          </cell>
          <cell r="H1929" t="str">
            <v>2011-0.260.361-5</v>
          </cell>
          <cell r="I1929" t="str">
            <v>36.954,12</v>
          </cell>
          <cell r="J1929" t="str">
            <v xml:space="preserve">              123611122                  2848                    33903600</v>
          </cell>
          <cell r="K1929" t="str">
            <v>31/10/2011</v>
          </cell>
          <cell r="L1929">
            <v>62</v>
          </cell>
          <cell r="M1929">
            <v>12800</v>
          </cell>
          <cell r="N1929">
            <v>57278</v>
          </cell>
          <cell r="O1929">
            <v>37795</v>
          </cell>
          <cell r="P1929">
            <v>16</v>
          </cell>
          <cell r="Q1929">
            <v>3</v>
          </cell>
          <cell r="U1929">
            <v>0</v>
          </cell>
          <cell r="V1929">
            <v>6200</v>
          </cell>
          <cell r="W1929">
            <v>180</v>
          </cell>
          <cell r="X1929">
            <v>4960</v>
          </cell>
          <cell r="Y1929">
            <v>0</v>
          </cell>
          <cell r="Z1929">
            <v>0</v>
          </cell>
          <cell r="AA1929">
            <v>11160</v>
          </cell>
          <cell r="AB1929">
            <v>205.30066666666667</v>
          </cell>
          <cell r="AC1929">
            <v>6200</v>
          </cell>
          <cell r="AD1929">
            <v>5832.12</v>
          </cell>
          <cell r="AE1929">
            <v>367.88000000000011</v>
          </cell>
          <cell r="AN1929" t="str">
            <v xml:space="preserve">Contrato emergencial nº </v>
          </cell>
          <cell r="AO1929" t="str">
            <v>CL</v>
          </cell>
        </row>
        <row r="1930">
          <cell r="D1930" t="str">
            <v>3072/11</v>
          </cell>
          <cell r="E1930" t="str">
            <v>31/10/2011</v>
          </cell>
          <cell r="F1930">
            <v>41026</v>
          </cell>
          <cell r="G1930">
            <v>40908</v>
          </cell>
          <cell r="H1930" t="str">
            <v>2011-0.260.363-1</v>
          </cell>
          <cell r="I1930" t="str">
            <v>31.012,38</v>
          </cell>
          <cell r="J1930" t="str">
            <v xml:space="preserve">              123651121                 2847                    33903600</v>
          </cell>
          <cell r="K1930" t="str">
            <v>31/10/2011</v>
          </cell>
          <cell r="L1930">
            <v>62</v>
          </cell>
          <cell r="M1930">
            <v>10700</v>
          </cell>
          <cell r="N1930">
            <v>57273</v>
          </cell>
          <cell r="O1930">
            <v>37954</v>
          </cell>
          <cell r="P1930">
            <v>16</v>
          </cell>
          <cell r="Q1930">
            <v>2</v>
          </cell>
          <cell r="U1930">
            <v>211.08266666666668</v>
          </cell>
          <cell r="V1930">
            <v>8100</v>
          </cell>
          <cell r="W1930">
            <v>180</v>
          </cell>
          <cell r="X1930">
            <v>6480</v>
          </cell>
          <cell r="Y1930">
            <v>0</v>
          </cell>
          <cell r="Z1930">
            <v>0</v>
          </cell>
          <cell r="AA1930">
            <v>14791.082666666667</v>
          </cell>
          <cell r="AB1930">
            <v>172.291</v>
          </cell>
          <cell r="AC1930">
            <v>5200</v>
          </cell>
          <cell r="AD1930">
            <v>8078.86</v>
          </cell>
          <cell r="AE1930">
            <v>-2878.8599999999997</v>
          </cell>
          <cell r="AN1930" t="str">
            <v xml:space="preserve">Contrato emergencial nº </v>
          </cell>
          <cell r="AO1930" t="str">
            <v>CS</v>
          </cell>
        </row>
        <row r="1931">
          <cell r="D1931" t="str">
            <v>3073/11</v>
          </cell>
          <cell r="E1931" t="str">
            <v>31/10/2011</v>
          </cell>
          <cell r="F1931">
            <v>41026</v>
          </cell>
          <cell r="G1931">
            <v>40908</v>
          </cell>
          <cell r="H1931" t="str">
            <v>2011-0.260.365-8</v>
          </cell>
          <cell r="I1931" t="str">
            <v>45.632,28</v>
          </cell>
          <cell r="J1931" t="str">
            <v xml:space="preserve">              123611122                  2848                    33903600</v>
          </cell>
          <cell r="K1931" t="str">
            <v>31/10/2011</v>
          </cell>
          <cell r="L1931">
            <v>62</v>
          </cell>
          <cell r="M1931">
            <v>15800</v>
          </cell>
          <cell r="N1931">
            <v>57278</v>
          </cell>
          <cell r="O1931">
            <v>38004</v>
          </cell>
          <cell r="P1931">
            <v>16</v>
          </cell>
          <cell r="Q1931">
            <v>3</v>
          </cell>
          <cell r="U1931">
            <v>23.33</v>
          </cell>
          <cell r="V1931">
            <v>7700</v>
          </cell>
          <cell r="W1931">
            <v>180</v>
          </cell>
          <cell r="X1931">
            <v>6160</v>
          </cell>
          <cell r="Y1931">
            <v>0</v>
          </cell>
          <cell r="Z1931">
            <v>0</v>
          </cell>
          <cell r="AA1931">
            <v>13883.33</v>
          </cell>
          <cell r="AB1931">
            <v>253.51266666666666</v>
          </cell>
          <cell r="AC1931">
            <v>7700</v>
          </cell>
          <cell r="AD1931">
            <v>7021.13</v>
          </cell>
          <cell r="AE1931">
            <v>678.86999999999989</v>
          </cell>
          <cell r="AN1931" t="str">
            <v xml:space="preserve">Contrato emergencial nº </v>
          </cell>
          <cell r="AO1931" t="str">
            <v>SM</v>
          </cell>
        </row>
        <row r="1932">
          <cell r="D1932" t="str">
            <v>3074/11</v>
          </cell>
          <cell r="E1932" t="str">
            <v>31/10/2011</v>
          </cell>
          <cell r="F1932">
            <v>41026</v>
          </cell>
          <cell r="G1932">
            <v>40908</v>
          </cell>
          <cell r="H1932" t="str">
            <v>2011-0.260.367-4</v>
          </cell>
          <cell r="I1932" t="str">
            <v>26.039,46</v>
          </cell>
          <cell r="J1932" t="str">
            <v xml:space="preserve">              123651121                 2847                    33903600</v>
          </cell>
          <cell r="K1932" t="str">
            <v>31/10/2011</v>
          </cell>
          <cell r="L1932">
            <v>62</v>
          </cell>
          <cell r="M1932">
            <v>9000</v>
          </cell>
          <cell r="N1932">
            <v>57273</v>
          </cell>
          <cell r="O1932">
            <v>38005</v>
          </cell>
          <cell r="P1932">
            <v>16</v>
          </cell>
          <cell r="Q1932">
            <v>2</v>
          </cell>
          <cell r="U1932">
            <v>30.74</v>
          </cell>
          <cell r="V1932">
            <v>4400</v>
          </cell>
          <cell r="W1932">
            <v>180</v>
          </cell>
          <cell r="X1932">
            <v>3520</v>
          </cell>
          <cell r="Y1932">
            <v>0</v>
          </cell>
          <cell r="Z1932">
            <v>0</v>
          </cell>
          <cell r="AA1932">
            <v>7950.74</v>
          </cell>
          <cell r="AB1932">
            <v>144.66366666666667</v>
          </cell>
          <cell r="AC1932">
            <v>4400</v>
          </cell>
          <cell r="AD1932">
            <v>4203.51</v>
          </cell>
          <cell r="AE1932">
            <v>196.48999999999978</v>
          </cell>
          <cell r="AN1932" t="str">
            <v xml:space="preserve">Contrato emergencial nº </v>
          </cell>
          <cell r="AO1932" t="str">
            <v>SM</v>
          </cell>
        </row>
        <row r="1933">
          <cell r="D1933" t="str">
            <v>3075/11</v>
          </cell>
          <cell r="E1933" t="str">
            <v>31/10/2011</v>
          </cell>
          <cell r="F1933">
            <v>41026</v>
          </cell>
          <cell r="G1933">
            <v>40908</v>
          </cell>
          <cell r="H1933" t="str">
            <v>2011-0.260.370-4</v>
          </cell>
          <cell r="I1933" t="str">
            <v>31.012,38</v>
          </cell>
          <cell r="J1933" t="str">
            <v xml:space="preserve">              123651121                 2847                    33903600</v>
          </cell>
          <cell r="K1933" t="str">
            <v>31/10/2011</v>
          </cell>
          <cell r="L1933">
            <v>62</v>
          </cell>
          <cell r="M1933">
            <v>10700</v>
          </cell>
          <cell r="N1933">
            <v>57273</v>
          </cell>
          <cell r="O1933">
            <v>38009</v>
          </cell>
          <cell r="P1933">
            <v>16</v>
          </cell>
          <cell r="Q1933">
            <v>2</v>
          </cell>
          <cell r="U1933">
            <v>25.93</v>
          </cell>
          <cell r="V1933">
            <v>6700</v>
          </cell>
          <cell r="W1933">
            <v>180</v>
          </cell>
          <cell r="X1933">
            <v>5360</v>
          </cell>
          <cell r="Y1933">
            <v>0</v>
          </cell>
          <cell r="Z1933">
            <v>0</v>
          </cell>
          <cell r="AA1933">
            <v>12085.93</v>
          </cell>
          <cell r="AB1933">
            <v>172.291</v>
          </cell>
          <cell r="AC1933">
            <v>5200</v>
          </cell>
          <cell r="AD1933">
            <v>6642.3150000000005</v>
          </cell>
          <cell r="AE1933">
            <v>-1442.3150000000005</v>
          </cell>
          <cell r="AN1933" t="str">
            <v xml:space="preserve">Contrato emergencial nº </v>
          </cell>
          <cell r="AO1933" t="str">
            <v xml:space="preserve">SA </v>
          </cell>
        </row>
        <row r="1934">
          <cell r="D1934" t="str">
            <v>3076/11</v>
          </cell>
          <cell r="E1934" t="str">
            <v>31/10/2011</v>
          </cell>
          <cell r="F1934">
            <v>41026</v>
          </cell>
          <cell r="G1934">
            <v>40908</v>
          </cell>
          <cell r="H1934" t="str">
            <v>2011-0.260.372-0</v>
          </cell>
          <cell r="I1934" t="str">
            <v>30.749,94</v>
          </cell>
          <cell r="J1934" t="str">
            <v xml:space="preserve">              123651121                 2847                    33903600</v>
          </cell>
          <cell r="K1934" t="str">
            <v>31/10/2011</v>
          </cell>
          <cell r="L1934">
            <v>62</v>
          </cell>
          <cell r="M1934">
            <v>10600</v>
          </cell>
          <cell r="N1934">
            <v>57273</v>
          </cell>
          <cell r="O1934">
            <v>37799</v>
          </cell>
          <cell r="P1934">
            <v>16</v>
          </cell>
          <cell r="Q1934">
            <v>2</v>
          </cell>
          <cell r="U1934">
            <v>18.8</v>
          </cell>
          <cell r="V1934">
            <v>5200</v>
          </cell>
          <cell r="W1934">
            <v>180</v>
          </cell>
          <cell r="X1934">
            <v>4160</v>
          </cell>
          <cell r="Y1934">
            <v>0</v>
          </cell>
          <cell r="Z1934">
            <v>0</v>
          </cell>
          <cell r="AA1934">
            <v>9378.7999999999993</v>
          </cell>
          <cell r="AB1934">
            <v>170.833</v>
          </cell>
          <cell r="AC1934">
            <v>5200</v>
          </cell>
          <cell r="AD1934">
            <v>4674.76</v>
          </cell>
          <cell r="AE1934">
            <v>525.23999999999978</v>
          </cell>
          <cell r="AN1934" t="str">
            <v xml:space="preserve">Contrato emergencial nº </v>
          </cell>
          <cell r="AO1934" t="str">
            <v>JT</v>
          </cell>
        </row>
        <row r="1935">
          <cell r="D1935" t="str">
            <v>3077/11</v>
          </cell>
          <cell r="E1935" t="str">
            <v>31/10/2011</v>
          </cell>
          <cell r="F1935">
            <v>41026</v>
          </cell>
          <cell r="G1935">
            <v>40908</v>
          </cell>
          <cell r="H1935" t="str">
            <v>2011-0.260.376-3</v>
          </cell>
          <cell r="I1935" t="str">
            <v>40.223,34</v>
          </cell>
          <cell r="J1935" t="str">
            <v xml:space="preserve">              123651121                 2847                    33903600</v>
          </cell>
          <cell r="K1935" t="str">
            <v>31/10/2011</v>
          </cell>
          <cell r="L1935">
            <v>62</v>
          </cell>
          <cell r="M1935">
            <v>13900</v>
          </cell>
          <cell r="N1935">
            <v>57273</v>
          </cell>
          <cell r="O1935">
            <v>37805</v>
          </cell>
          <cell r="P1935">
            <v>16</v>
          </cell>
          <cell r="Q1935">
            <v>2</v>
          </cell>
          <cell r="U1935">
            <v>16.2</v>
          </cell>
          <cell r="V1935">
            <v>6800</v>
          </cell>
          <cell r="W1935">
            <v>180</v>
          </cell>
          <cell r="X1935">
            <v>5440</v>
          </cell>
          <cell r="Y1935">
            <v>0</v>
          </cell>
          <cell r="Z1935">
            <v>0</v>
          </cell>
          <cell r="AA1935">
            <v>12256.2</v>
          </cell>
          <cell r="AB1935">
            <v>223.46299999999999</v>
          </cell>
          <cell r="AC1935">
            <v>6800</v>
          </cell>
          <cell r="AD1935">
            <v>5900.2499999999991</v>
          </cell>
          <cell r="AE1935">
            <v>899.75000000000091</v>
          </cell>
          <cell r="AN1935" t="str">
            <v xml:space="preserve">Contrato emergencial nº </v>
          </cell>
          <cell r="AO1935" t="str">
            <v>JT</v>
          </cell>
        </row>
        <row r="1936">
          <cell r="D1936" t="str">
            <v>3078/11</v>
          </cell>
          <cell r="E1936" t="str">
            <v>31/10/2011</v>
          </cell>
          <cell r="F1936">
            <v>41026</v>
          </cell>
          <cell r="G1936">
            <v>40908</v>
          </cell>
          <cell r="H1936" t="str">
            <v>2011-0.260.378-0</v>
          </cell>
          <cell r="I1936" t="str">
            <v>31.012,38</v>
          </cell>
          <cell r="J1936" t="str">
            <v xml:space="preserve">              123611122                  2848                    33903600</v>
          </cell>
          <cell r="K1936" t="str">
            <v>31/10/2011</v>
          </cell>
          <cell r="L1936">
            <v>62</v>
          </cell>
          <cell r="M1936">
            <v>10700</v>
          </cell>
          <cell r="N1936">
            <v>57278</v>
          </cell>
          <cell r="O1936">
            <v>38011</v>
          </cell>
          <cell r="P1936">
            <v>16</v>
          </cell>
          <cell r="Q1936">
            <v>3</v>
          </cell>
          <cell r="U1936">
            <v>0</v>
          </cell>
          <cell r="V1936">
            <v>6800</v>
          </cell>
          <cell r="W1936">
            <v>180</v>
          </cell>
          <cell r="X1936">
            <v>5440</v>
          </cell>
          <cell r="Y1936">
            <v>0</v>
          </cell>
          <cell r="Z1936">
            <v>0</v>
          </cell>
          <cell r="AA1936">
            <v>12240</v>
          </cell>
          <cell r="AB1936">
            <v>172.291</v>
          </cell>
          <cell r="AC1936">
            <v>5200</v>
          </cell>
          <cell r="AD1936">
            <v>6724.4800000000005</v>
          </cell>
          <cell r="AE1936">
            <v>-1524.4800000000005</v>
          </cell>
          <cell r="AN1936" t="str">
            <v xml:space="preserve">Contrato emergencial nº </v>
          </cell>
          <cell r="AO1936" t="str">
            <v>CL</v>
          </cell>
        </row>
        <row r="1937">
          <cell r="D1937" t="str">
            <v>3079/11</v>
          </cell>
          <cell r="E1937" t="str">
            <v>31/10/2011</v>
          </cell>
          <cell r="F1937">
            <v>41026</v>
          </cell>
          <cell r="G1937">
            <v>40908</v>
          </cell>
          <cell r="H1937" t="str">
            <v>2011-0.260.379-8</v>
          </cell>
          <cell r="I1937" t="str">
            <v>38.261,76</v>
          </cell>
          <cell r="J1937" t="str">
            <v xml:space="preserve">              123611122                  2848                    33903600</v>
          </cell>
          <cell r="K1937" t="str">
            <v>31/10/2011</v>
          </cell>
          <cell r="L1937">
            <v>62</v>
          </cell>
          <cell r="M1937">
            <v>13200</v>
          </cell>
          <cell r="N1937">
            <v>57278</v>
          </cell>
          <cell r="O1937">
            <v>37806</v>
          </cell>
          <cell r="P1937">
            <v>16</v>
          </cell>
          <cell r="Q1937">
            <v>3</v>
          </cell>
          <cell r="U1937">
            <v>171.79</v>
          </cell>
          <cell r="V1937">
            <v>7000</v>
          </cell>
          <cell r="W1937">
            <v>180</v>
          </cell>
          <cell r="X1937">
            <v>5600</v>
          </cell>
          <cell r="Y1937">
            <v>0</v>
          </cell>
          <cell r="Z1937">
            <v>0</v>
          </cell>
          <cell r="AA1937">
            <v>12771.79</v>
          </cell>
          <cell r="AB1937">
            <v>212.56533333333334</v>
          </cell>
          <cell r="AC1937">
            <v>6400</v>
          </cell>
          <cell r="AD1937">
            <v>6976.5000000000009</v>
          </cell>
          <cell r="AE1937">
            <v>-576.50000000000091</v>
          </cell>
          <cell r="AN1937" t="str">
            <v xml:space="preserve">Contrato emergencial nº </v>
          </cell>
          <cell r="AO1937" t="str">
            <v>IP</v>
          </cell>
        </row>
        <row r="1938">
          <cell r="D1938" t="str">
            <v>3080/11</v>
          </cell>
          <cell r="E1938" t="str">
            <v>31/10/2011</v>
          </cell>
          <cell r="F1938">
            <v>41026</v>
          </cell>
          <cell r="G1938">
            <v>40908</v>
          </cell>
          <cell r="H1938" t="str">
            <v>2011-0.260.380-1</v>
          </cell>
          <cell r="I1938" t="str">
            <v>45.186,36</v>
          </cell>
          <cell r="J1938" t="str">
            <v xml:space="preserve">              123611122                  2848                    33903600</v>
          </cell>
          <cell r="K1938" t="str">
            <v>31/10/2011</v>
          </cell>
          <cell r="L1938">
            <v>62</v>
          </cell>
          <cell r="M1938">
            <v>15600</v>
          </cell>
          <cell r="N1938">
            <v>57278</v>
          </cell>
          <cell r="O1938">
            <v>38013</v>
          </cell>
          <cell r="P1938">
            <v>16</v>
          </cell>
          <cell r="Q1938">
            <v>3</v>
          </cell>
          <cell r="U1938">
            <v>0</v>
          </cell>
          <cell r="V1938">
            <v>7600</v>
          </cell>
          <cell r="W1938">
            <v>180</v>
          </cell>
          <cell r="X1938">
            <v>6080</v>
          </cell>
          <cell r="Y1938">
            <v>0</v>
          </cell>
          <cell r="Z1938">
            <v>0</v>
          </cell>
          <cell r="AA1938">
            <v>13680</v>
          </cell>
          <cell r="AB1938">
            <v>251.03533333333334</v>
          </cell>
          <cell r="AC1938">
            <v>7600</v>
          </cell>
          <cell r="AD1938">
            <v>5887.8599999999988</v>
          </cell>
          <cell r="AE1938">
            <v>1712.1400000000012</v>
          </cell>
          <cell r="AN1938" t="str">
            <v xml:space="preserve">Contrato emergencial nº </v>
          </cell>
          <cell r="AO1938" t="str">
            <v>CL</v>
          </cell>
        </row>
        <row r="1939">
          <cell r="D1939" t="str">
            <v>3081/11</v>
          </cell>
          <cell r="E1939" t="str">
            <v>31/10/2011</v>
          </cell>
          <cell r="F1939">
            <v>41026</v>
          </cell>
          <cell r="G1939">
            <v>40908</v>
          </cell>
          <cell r="H1939" t="str">
            <v>2011-0.260.381-0</v>
          </cell>
          <cell r="I1939" t="str">
            <v>37.607,88</v>
          </cell>
          <cell r="J1939" t="str">
            <v xml:space="preserve">              123611122                  2848                    33903600</v>
          </cell>
          <cell r="K1939" t="str">
            <v>31/10/2011</v>
          </cell>
          <cell r="L1939">
            <v>62</v>
          </cell>
          <cell r="M1939">
            <v>13000</v>
          </cell>
          <cell r="N1939">
            <v>57278</v>
          </cell>
          <cell r="O1939">
            <v>38020</v>
          </cell>
          <cell r="P1939">
            <v>16</v>
          </cell>
          <cell r="Q1939">
            <v>3</v>
          </cell>
          <cell r="U1939">
            <v>24.25</v>
          </cell>
          <cell r="V1939">
            <v>6400</v>
          </cell>
          <cell r="W1939">
            <v>180</v>
          </cell>
          <cell r="X1939">
            <v>5120</v>
          </cell>
          <cell r="Y1939">
            <v>0</v>
          </cell>
          <cell r="Z1939">
            <v>0</v>
          </cell>
          <cell r="AA1939">
            <v>11544.25</v>
          </cell>
          <cell r="AB1939">
            <v>208.93266666666665</v>
          </cell>
          <cell r="AC1939">
            <v>6300</v>
          </cell>
          <cell r="AD1939">
            <v>6387.82</v>
          </cell>
          <cell r="AE1939">
            <v>-87.819999999999709</v>
          </cell>
          <cell r="AN1939" t="str">
            <v xml:space="preserve">Contrato emergencial nº </v>
          </cell>
          <cell r="AO1939" t="str">
            <v>SM</v>
          </cell>
        </row>
        <row r="1940">
          <cell r="D1940" t="str">
            <v>3082/11</v>
          </cell>
          <cell r="E1940" t="str">
            <v>31/10/2011</v>
          </cell>
          <cell r="F1940">
            <v>41026</v>
          </cell>
          <cell r="G1940">
            <v>40908</v>
          </cell>
          <cell r="H1940" t="str">
            <v>2011-0.260.382-8</v>
          </cell>
          <cell r="I1940" t="str">
            <v>31.418,52</v>
          </cell>
          <cell r="J1940" t="str">
            <v xml:space="preserve">              123611122                  2848                    33903600</v>
          </cell>
          <cell r="K1940" t="str">
            <v>31/10/2011</v>
          </cell>
          <cell r="L1940">
            <v>62</v>
          </cell>
          <cell r="M1940">
            <v>10900</v>
          </cell>
          <cell r="N1940">
            <v>57278</v>
          </cell>
          <cell r="O1940">
            <v>37808</v>
          </cell>
          <cell r="P1940">
            <v>16</v>
          </cell>
          <cell r="Q1940">
            <v>3</v>
          </cell>
          <cell r="U1940">
            <v>169.58</v>
          </cell>
          <cell r="V1940">
            <v>5300</v>
          </cell>
          <cell r="W1940">
            <v>180</v>
          </cell>
          <cell r="X1940">
            <v>4240</v>
          </cell>
          <cell r="Y1940">
            <v>0</v>
          </cell>
          <cell r="Z1940">
            <v>0</v>
          </cell>
          <cell r="AA1940">
            <v>9709.58</v>
          </cell>
          <cell r="AB1940">
            <v>174.54733333333334</v>
          </cell>
          <cell r="AC1940">
            <v>5300</v>
          </cell>
          <cell r="AD1940">
            <v>5300</v>
          </cell>
          <cell r="AE1940">
            <v>0</v>
          </cell>
          <cell r="AN1940" t="str">
            <v xml:space="preserve">Contrato emergencial nº </v>
          </cell>
          <cell r="AO1940" t="str">
            <v>IP</v>
          </cell>
        </row>
        <row r="1941">
          <cell r="D1941" t="str">
            <v>3083/11</v>
          </cell>
          <cell r="E1941" t="str">
            <v>31/10/2011</v>
          </cell>
          <cell r="F1941">
            <v>41026</v>
          </cell>
          <cell r="G1941">
            <v>40908</v>
          </cell>
          <cell r="H1941" t="str">
            <v>2011-0.260.384-4</v>
          </cell>
          <cell r="I1941" t="str">
            <v>39.569,46</v>
          </cell>
          <cell r="J1941" t="str">
            <v xml:space="preserve">              123651121                 2847                    33903600</v>
          </cell>
          <cell r="K1941" t="str">
            <v>31/10/2011</v>
          </cell>
          <cell r="L1941">
            <v>62</v>
          </cell>
          <cell r="M1941">
            <v>13700</v>
          </cell>
          <cell r="N1941">
            <v>57273</v>
          </cell>
          <cell r="O1941">
            <v>37810</v>
          </cell>
          <cell r="P1941">
            <v>16</v>
          </cell>
          <cell r="Q1941">
            <v>2</v>
          </cell>
          <cell r="U1941">
            <v>0</v>
          </cell>
          <cell r="V1941">
            <v>6600</v>
          </cell>
          <cell r="W1941">
            <v>180</v>
          </cell>
          <cell r="X1941">
            <v>5280</v>
          </cell>
          <cell r="Y1941">
            <v>0</v>
          </cell>
          <cell r="Z1941">
            <v>0</v>
          </cell>
          <cell r="AA1941">
            <v>11880</v>
          </cell>
          <cell r="AB1941">
            <v>219.83033333333333</v>
          </cell>
          <cell r="AC1941">
            <v>6600</v>
          </cell>
          <cell r="AD1941">
            <v>5216.93</v>
          </cell>
          <cell r="AE1941">
            <v>1383.0699999999997</v>
          </cell>
          <cell r="AN1941" t="str">
            <v xml:space="preserve">Contrato emergencial nº </v>
          </cell>
          <cell r="AO1941" t="str">
            <v>PJ</v>
          </cell>
        </row>
        <row r="1942">
          <cell r="D1942" t="str">
            <v>3084/11</v>
          </cell>
          <cell r="E1942" t="str">
            <v>01/11/2011</v>
          </cell>
          <cell r="F1942">
            <v>41027</v>
          </cell>
          <cell r="G1942">
            <v>40908</v>
          </cell>
          <cell r="H1942" t="str">
            <v>2011-0.260.386-0</v>
          </cell>
          <cell r="I1942" t="str">
            <v>40.877,16</v>
          </cell>
          <cell r="J1942" t="str">
            <v xml:space="preserve">              123611122                  2848                    33903600</v>
          </cell>
          <cell r="K1942" t="str">
            <v>01/11/2011</v>
          </cell>
          <cell r="L1942">
            <v>61</v>
          </cell>
          <cell r="M1942">
            <v>13900</v>
          </cell>
          <cell r="N1942">
            <v>57278</v>
          </cell>
          <cell r="O1942">
            <v>38022</v>
          </cell>
          <cell r="P1942">
            <v>16</v>
          </cell>
          <cell r="Q1942">
            <v>3</v>
          </cell>
          <cell r="V1942">
            <v>6900</v>
          </cell>
          <cell r="W1942">
            <v>180</v>
          </cell>
          <cell r="X1942">
            <v>5520</v>
          </cell>
          <cell r="Y1942" t="e">
            <v>#N/A</v>
          </cell>
          <cell r="Z1942">
            <v>0</v>
          </cell>
          <cell r="AA1942">
            <v>12420</v>
          </cell>
          <cell r="AB1942">
            <v>227.09533333333334</v>
          </cell>
          <cell r="AC1942">
            <v>6900</v>
          </cell>
          <cell r="AD1942">
            <v>6486.19</v>
          </cell>
          <cell r="AE1942">
            <v>413.8100000000004</v>
          </cell>
          <cell r="AF1942">
            <v>36.140000000000327</v>
          </cell>
          <cell r="AN1942" t="str">
            <v xml:space="preserve">Contrato emergencial nº </v>
          </cell>
          <cell r="AO1942" t="str">
            <v>CL</v>
          </cell>
        </row>
        <row r="1943">
          <cell r="D1943" t="str">
            <v>3085/11</v>
          </cell>
          <cell r="E1943" t="str">
            <v>31/10/2011</v>
          </cell>
          <cell r="F1943">
            <v>41026</v>
          </cell>
          <cell r="G1943">
            <v>40908</v>
          </cell>
          <cell r="H1943" t="str">
            <v>2011-0.260.388-7</v>
          </cell>
          <cell r="I1943" t="str">
            <v>31.012,38</v>
          </cell>
          <cell r="J1943" t="str">
            <v xml:space="preserve">              123611122                  2848                    33903600</v>
          </cell>
          <cell r="K1943" t="str">
            <v>31/10/2011</v>
          </cell>
          <cell r="L1943">
            <v>62</v>
          </cell>
          <cell r="M1943">
            <v>10700</v>
          </cell>
          <cell r="N1943">
            <v>57278</v>
          </cell>
          <cell r="O1943">
            <v>37811</v>
          </cell>
          <cell r="P1943">
            <v>16</v>
          </cell>
          <cell r="Q1943">
            <v>3</v>
          </cell>
          <cell r="U1943">
            <v>169.05799999999999</v>
          </cell>
          <cell r="V1943">
            <v>5600</v>
          </cell>
          <cell r="W1943">
            <v>180</v>
          </cell>
          <cell r="X1943">
            <v>4480</v>
          </cell>
          <cell r="Y1943">
            <v>0</v>
          </cell>
          <cell r="Z1943">
            <v>0</v>
          </cell>
          <cell r="AA1943">
            <v>10249.058000000001</v>
          </cell>
          <cell r="AB1943">
            <v>172.291</v>
          </cell>
          <cell r="AC1943">
            <v>5200</v>
          </cell>
          <cell r="AD1943">
            <v>5593.2399999999989</v>
          </cell>
          <cell r="AE1943">
            <v>-393.23999999999887</v>
          </cell>
          <cell r="AN1943" t="str">
            <v xml:space="preserve">Contrato emergencial nº </v>
          </cell>
          <cell r="AO1943" t="str">
            <v>G</v>
          </cell>
        </row>
        <row r="1944">
          <cell r="D1944" t="str">
            <v>3086/11</v>
          </cell>
          <cell r="E1944" t="str">
            <v>31/10/2011</v>
          </cell>
          <cell r="F1944">
            <v>41026</v>
          </cell>
          <cell r="G1944">
            <v>40908</v>
          </cell>
          <cell r="H1944" t="str">
            <v>2011-0.260.395-0</v>
          </cell>
          <cell r="I1944" t="str">
            <v>30.606,24</v>
          </cell>
          <cell r="J1944" t="str">
            <v xml:space="preserve">              123651121                 2847                    33903600</v>
          </cell>
          <cell r="K1944" t="str">
            <v>31/10/2011</v>
          </cell>
          <cell r="L1944">
            <v>62</v>
          </cell>
          <cell r="M1944">
            <v>10600</v>
          </cell>
          <cell r="N1944">
            <v>57273</v>
          </cell>
          <cell r="O1944">
            <v>37874</v>
          </cell>
          <cell r="P1944">
            <v>16</v>
          </cell>
          <cell r="Q1944">
            <v>2</v>
          </cell>
          <cell r="U1944">
            <v>27.97</v>
          </cell>
          <cell r="V1944">
            <v>5700</v>
          </cell>
          <cell r="W1944">
            <v>180</v>
          </cell>
          <cell r="X1944">
            <v>4560</v>
          </cell>
          <cell r="Y1944">
            <v>0</v>
          </cell>
          <cell r="Z1944">
            <v>0</v>
          </cell>
          <cell r="AA1944">
            <v>10287.970000000001</v>
          </cell>
          <cell r="AB1944">
            <v>170.03466666666668</v>
          </cell>
          <cell r="AC1944">
            <v>5200</v>
          </cell>
          <cell r="AD1944">
            <v>5693.0440000000008</v>
          </cell>
          <cell r="AE1944">
            <v>-493.04400000000078</v>
          </cell>
          <cell r="AN1944" t="str">
            <v xml:space="preserve">Contrato emergencial nº </v>
          </cell>
          <cell r="AO1944" t="str">
            <v>JT</v>
          </cell>
        </row>
        <row r="1945">
          <cell r="D1945" t="str">
            <v>3087/11</v>
          </cell>
          <cell r="E1945" t="str">
            <v>31/10/2011</v>
          </cell>
          <cell r="F1945">
            <v>41026</v>
          </cell>
          <cell r="G1945">
            <v>40908</v>
          </cell>
          <cell r="H1945" t="str">
            <v>2011-0.260.396-8</v>
          </cell>
          <cell r="I1945" t="str">
            <v>31.418,52</v>
          </cell>
          <cell r="J1945" t="str">
            <v xml:space="preserve">              123651121                 2847                    33903600</v>
          </cell>
          <cell r="K1945" t="str">
            <v>31/10/2011</v>
          </cell>
          <cell r="L1945">
            <v>62</v>
          </cell>
          <cell r="M1945">
            <v>10900</v>
          </cell>
          <cell r="N1945">
            <v>57273</v>
          </cell>
          <cell r="O1945">
            <v>37875</v>
          </cell>
          <cell r="P1945">
            <v>16</v>
          </cell>
          <cell r="Q1945">
            <v>2</v>
          </cell>
          <cell r="U1945">
            <v>0</v>
          </cell>
          <cell r="V1945">
            <v>5700</v>
          </cell>
          <cell r="W1945">
            <v>180</v>
          </cell>
          <cell r="X1945">
            <v>4560</v>
          </cell>
          <cell r="Y1945">
            <v>0</v>
          </cell>
          <cell r="Z1945">
            <v>0</v>
          </cell>
          <cell r="AA1945">
            <v>10260</v>
          </cell>
          <cell r="AB1945">
            <v>174.54733333333334</v>
          </cell>
          <cell r="AC1945">
            <v>5300</v>
          </cell>
          <cell r="AD1945">
            <v>5644.74</v>
          </cell>
          <cell r="AE1945">
            <v>-344.73999999999978</v>
          </cell>
          <cell r="AN1945" t="str">
            <v xml:space="preserve">Contrato emergencial nº </v>
          </cell>
          <cell r="AO1945" t="str">
            <v>CL</v>
          </cell>
        </row>
        <row r="1946">
          <cell r="D1946" t="str">
            <v>3088/11</v>
          </cell>
          <cell r="E1946" t="str">
            <v>31/10/2011</v>
          </cell>
          <cell r="F1946">
            <v>41026</v>
          </cell>
          <cell r="G1946">
            <v>40908</v>
          </cell>
          <cell r="H1946" t="str">
            <v>2011-0.260.400-0</v>
          </cell>
          <cell r="I1946" t="str">
            <v>40.877,16</v>
          </cell>
          <cell r="J1946" t="str">
            <v xml:space="preserve">              123651121                 2847                    33903600</v>
          </cell>
          <cell r="K1946" t="str">
            <v>31/10/2011</v>
          </cell>
          <cell r="L1946">
            <v>62</v>
          </cell>
          <cell r="M1946">
            <v>14100</v>
          </cell>
          <cell r="N1946">
            <v>57273</v>
          </cell>
          <cell r="O1946">
            <v>38024</v>
          </cell>
          <cell r="P1946">
            <v>16</v>
          </cell>
          <cell r="Q1946">
            <v>2</v>
          </cell>
          <cell r="U1946">
            <v>0</v>
          </cell>
          <cell r="V1946">
            <v>6900</v>
          </cell>
          <cell r="W1946">
            <v>180</v>
          </cell>
          <cell r="X1946">
            <v>5520</v>
          </cell>
          <cell r="Y1946">
            <v>0</v>
          </cell>
          <cell r="Z1946">
            <v>0</v>
          </cell>
          <cell r="AA1946">
            <v>12420</v>
          </cell>
          <cell r="AB1946">
            <v>227.09533333333334</v>
          </cell>
          <cell r="AC1946">
            <v>6900</v>
          </cell>
          <cell r="AD1946">
            <v>6718.03</v>
          </cell>
          <cell r="AE1946">
            <v>181.97000000000025</v>
          </cell>
          <cell r="AN1946" t="str">
            <v xml:space="preserve">Contrato emergencial nº </v>
          </cell>
          <cell r="AO1946" t="str">
            <v>PJ</v>
          </cell>
        </row>
        <row r="1947">
          <cell r="D1947" t="str">
            <v>3089/11</v>
          </cell>
          <cell r="E1947" t="str">
            <v>31/10/2011</v>
          </cell>
          <cell r="F1947">
            <v>41026</v>
          </cell>
          <cell r="G1947">
            <v>40908</v>
          </cell>
          <cell r="H1947" t="str">
            <v>2011-0.260.403-4</v>
          </cell>
          <cell r="I1947" t="str">
            <v>42.184,92</v>
          </cell>
          <cell r="J1947" t="str">
            <v xml:space="preserve">             123671125                  2863                   33903600</v>
          </cell>
          <cell r="K1947" t="str">
            <v>31/10/2011</v>
          </cell>
          <cell r="L1947">
            <v>62</v>
          </cell>
          <cell r="M1947">
            <v>14600</v>
          </cell>
          <cell r="N1947">
            <v>57287</v>
          </cell>
          <cell r="O1947">
            <v>37876</v>
          </cell>
          <cell r="P1947">
            <v>16</v>
          </cell>
          <cell r="Q1947">
            <v>4</v>
          </cell>
          <cell r="U1947">
            <v>27.4</v>
          </cell>
          <cell r="V1947">
            <v>7100</v>
          </cell>
          <cell r="W1947">
            <v>180</v>
          </cell>
          <cell r="X1947">
            <v>5680</v>
          </cell>
          <cell r="Y1947">
            <v>0</v>
          </cell>
          <cell r="Z1947">
            <v>0</v>
          </cell>
          <cell r="AA1947">
            <v>12807.4</v>
          </cell>
          <cell r="AB1947">
            <v>234.36066666666665</v>
          </cell>
          <cell r="AC1947">
            <v>7100</v>
          </cell>
          <cell r="AD1947">
            <v>6983.16</v>
          </cell>
          <cell r="AE1947">
            <v>116.84000000000015</v>
          </cell>
          <cell r="AN1947" t="str">
            <v xml:space="preserve">Contrato emergencial nº </v>
          </cell>
          <cell r="AO1947" t="str">
            <v>PE</v>
          </cell>
        </row>
        <row r="1948">
          <cell r="D1948" t="str">
            <v>3093/11</v>
          </cell>
          <cell r="E1948" t="str">
            <v>31/10/2011</v>
          </cell>
          <cell r="F1948">
            <v>41026</v>
          </cell>
          <cell r="G1948">
            <v>40908</v>
          </cell>
          <cell r="H1948" t="str">
            <v>2011-0.260.415-8</v>
          </cell>
          <cell r="I1948" t="str">
            <v>42.184,92</v>
          </cell>
          <cell r="J1948" t="str">
            <v xml:space="preserve">              123611122                  2848                    33903600</v>
          </cell>
          <cell r="K1948" t="str">
            <v>31/10/2011</v>
          </cell>
          <cell r="L1948">
            <v>62</v>
          </cell>
          <cell r="M1948">
            <v>14600</v>
          </cell>
          <cell r="N1948">
            <v>57278</v>
          </cell>
          <cell r="O1948">
            <v>37878</v>
          </cell>
          <cell r="P1948">
            <v>16</v>
          </cell>
          <cell r="Q1948">
            <v>3</v>
          </cell>
          <cell r="U1948">
            <v>250.46166666666664</v>
          </cell>
          <cell r="V1948">
            <v>7200</v>
          </cell>
          <cell r="W1948">
            <v>180</v>
          </cell>
          <cell r="X1948">
            <v>5760</v>
          </cell>
          <cell r="Y1948">
            <v>0</v>
          </cell>
          <cell r="Z1948">
            <v>0</v>
          </cell>
          <cell r="AA1948">
            <v>13210.461666666666</v>
          </cell>
          <cell r="AB1948">
            <v>234.36066666666665</v>
          </cell>
          <cell r="AC1948">
            <v>7100</v>
          </cell>
          <cell r="AD1948">
            <v>7197.1799999999994</v>
          </cell>
          <cell r="AE1948">
            <v>-97.179999999999382</v>
          </cell>
          <cell r="AN1948" t="str">
            <v xml:space="preserve">Contrato emergencial nº </v>
          </cell>
          <cell r="AO1948" t="str">
            <v>G</v>
          </cell>
        </row>
        <row r="1949">
          <cell r="D1949" t="str">
            <v>3095/11</v>
          </cell>
          <cell r="E1949" t="str">
            <v>31/10/2011</v>
          </cell>
          <cell r="F1949">
            <v>41026</v>
          </cell>
          <cell r="G1949">
            <v>40908</v>
          </cell>
          <cell r="H1949" t="str">
            <v>2011-0.260.419-0</v>
          </cell>
          <cell r="I1949" t="str">
            <v>42.184,92</v>
          </cell>
          <cell r="J1949" t="str">
            <v xml:space="preserve">             123671125                  2863                   33903600</v>
          </cell>
          <cell r="K1949" t="str">
            <v>31/10/2011</v>
          </cell>
          <cell r="L1949">
            <v>62</v>
          </cell>
          <cell r="M1949">
            <v>14600</v>
          </cell>
          <cell r="N1949">
            <v>57287</v>
          </cell>
          <cell r="O1949">
            <v>37880</v>
          </cell>
          <cell r="P1949">
            <v>16</v>
          </cell>
          <cell r="Q1949">
            <v>4</v>
          </cell>
          <cell r="U1949">
            <v>0</v>
          </cell>
          <cell r="V1949">
            <v>10200</v>
          </cell>
          <cell r="W1949">
            <v>180</v>
          </cell>
          <cell r="X1949">
            <v>8160</v>
          </cell>
          <cell r="Y1949">
            <v>0</v>
          </cell>
          <cell r="Z1949">
            <v>0</v>
          </cell>
          <cell r="AA1949">
            <v>18360</v>
          </cell>
          <cell r="AB1949">
            <v>234.36066666666665</v>
          </cell>
          <cell r="AC1949">
            <v>7100</v>
          </cell>
          <cell r="AD1949">
            <v>10167.219999999999</v>
          </cell>
          <cell r="AE1949">
            <v>-3067.2199999999993</v>
          </cell>
          <cell r="AN1949" t="str">
            <v xml:space="preserve">Contrato emergencial nº </v>
          </cell>
          <cell r="AO1949" t="str">
            <v>CL</v>
          </cell>
        </row>
        <row r="1950">
          <cell r="D1950" t="str">
            <v>3096/11</v>
          </cell>
          <cell r="E1950" t="str">
            <v>31/10/2011</v>
          </cell>
          <cell r="F1950">
            <v>41026</v>
          </cell>
          <cell r="G1950">
            <v>40908</v>
          </cell>
          <cell r="H1950" t="str">
            <v>2011-0.260.421-2</v>
          </cell>
          <cell r="I1950" t="str">
            <v>42.184,92</v>
          </cell>
          <cell r="J1950" t="str">
            <v xml:space="preserve">              123611122                  2848                    33903600</v>
          </cell>
          <cell r="K1950" t="str">
            <v>31/10/2011</v>
          </cell>
          <cell r="L1950">
            <v>62</v>
          </cell>
          <cell r="M1950">
            <v>14600</v>
          </cell>
          <cell r="N1950">
            <v>57278</v>
          </cell>
          <cell r="O1950">
            <v>38026</v>
          </cell>
          <cell r="P1950">
            <v>16</v>
          </cell>
          <cell r="Q1950">
            <v>3</v>
          </cell>
          <cell r="U1950">
            <v>0</v>
          </cell>
          <cell r="V1950">
            <v>12500</v>
          </cell>
          <cell r="W1950">
            <v>180</v>
          </cell>
          <cell r="X1950">
            <v>10000</v>
          </cell>
          <cell r="Y1950">
            <v>0</v>
          </cell>
          <cell r="Z1950">
            <v>0</v>
          </cell>
          <cell r="AA1950">
            <v>22500</v>
          </cell>
          <cell r="AB1950">
            <v>234.36066666666665</v>
          </cell>
          <cell r="AC1950">
            <v>7100</v>
          </cell>
          <cell r="AD1950">
            <v>12433.735000000001</v>
          </cell>
          <cell r="AE1950">
            <v>-5333.7350000000006</v>
          </cell>
          <cell r="AN1950" t="str">
            <v xml:space="preserve">Contrato emergencial nº </v>
          </cell>
          <cell r="AO1950" t="str">
            <v>CL</v>
          </cell>
        </row>
        <row r="1951">
          <cell r="D1951" t="str">
            <v>3098/11</v>
          </cell>
          <cell r="E1951" t="str">
            <v>31/10/2011</v>
          </cell>
          <cell r="F1951">
            <v>41026</v>
          </cell>
          <cell r="G1951">
            <v>40908</v>
          </cell>
          <cell r="H1951" t="str">
            <v>2011-0.260.424-7</v>
          </cell>
          <cell r="I1951" t="str">
            <v>36.954,12</v>
          </cell>
          <cell r="J1951" t="str">
            <v xml:space="preserve">              123611122                  2848                    33903600</v>
          </cell>
          <cell r="K1951" t="str">
            <v>31/10/2011</v>
          </cell>
          <cell r="L1951">
            <v>62</v>
          </cell>
          <cell r="M1951">
            <v>12800</v>
          </cell>
          <cell r="N1951">
            <v>57278</v>
          </cell>
          <cell r="O1951">
            <v>38027</v>
          </cell>
          <cell r="P1951">
            <v>16</v>
          </cell>
          <cell r="Q1951">
            <v>3</v>
          </cell>
          <cell r="U1951">
            <v>0</v>
          </cell>
          <cell r="V1951">
            <v>6200</v>
          </cell>
          <cell r="W1951">
            <v>180</v>
          </cell>
          <cell r="X1951">
            <v>4960</v>
          </cell>
          <cell r="Y1951">
            <v>0</v>
          </cell>
          <cell r="Z1951">
            <v>0</v>
          </cell>
          <cell r="AA1951">
            <v>11160</v>
          </cell>
          <cell r="AB1951">
            <v>205.30066666666667</v>
          </cell>
          <cell r="AC1951">
            <v>6200</v>
          </cell>
          <cell r="AD1951">
            <v>4872.42</v>
          </cell>
          <cell r="AE1951">
            <v>1327.58</v>
          </cell>
          <cell r="AN1951" t="str">
            <v xml:space="preserve">Contrato emergencial nº </v>
          </cell>
          <cell r="AO1951" t="str">
            <v>PJ</v>
          </cell>
        </row>
        <row r="1952">
          <cell r="D1952" t="str">
            <v>3099/11</v>
          </cell>
          <cell r="E1952" t="str">
            <v>31/10/2011</v>
          </cell>
          <cell r="F1952">
            <v>41026</v>
          </cell>
          <cell r="G1952">
            <v>40908</v>
          </cell>
          <cell r="H1952" t="str">
            <v>2011-0.260.426-3</v>
          </cell>
          <cell r="I1952" t="str">
            <v>40.877,16</v>
          </cell>
          <cell r="J1952" t="str">
            <v xml:space="preserve">              123611122                  2848                    33903600</v>
          </cell>
          <cell r="K1952" t="str">
            <v>31/10/2011</v>
          </cell>
          <cell r="L1952">
            <v>62</v>
          </cell>
          <cell r="M1952">
            <v>14100</v>
          </cell>
          <cell r="N1952">
            <v>57278</v>
          </cell>
          <cell r="O1952">
            <v>38030</v>
          </cell>
          <cell r="P1952">
            <v>16</v>
          </cell>
          <cell r="Q1952">
            <v>3</v>
          </cell>
          <cell r="U1952">
            <v>23.3</v>
          </cell>
          <cell r="V1952">
            <v>6900</v>
          </cell>
          <cell r="W1952">
            <v>180</v>
          </cell>
          <cell r="X1952">
            <v>5520</v>
          </cell>
          <cell r="Y1952">
            <v>0</v>
          </cell>
          <cell r="Z1952">
            <v>0</v>
          </cell>
          <cell r="AA1952">
            <v>12443.3</v>
          </cell>
          <cell r="AB1952">
            <v>227.09533333333334</v>
          </cell>
          <cell r="AC1952">
            <v>6900</v>
          </cell>
          <cell r="AD1952">
            <v>5461.7300000000005</v>
          </cell>
          <cell r="AE1952">
            <v>1438.2699999999995</v>
          </cell>
          <cell r="AN1952" t="str">
            <v xml:space="preserve">Contrato emergencial nº </v>
          </cell>
          <cell r="AO1952" t="str">
            <v>PE</v>
          </cell>
        </row>
        <row r="1953">
          <cell r="D1953" t="str">
            <v>3100/11</v>
          </cell>
          <cell r="E1953" t="str">
            <v>31/10/2011</v>
          </cell>
          <cell r="F1953">
            <v>41026</v>
          </cell>
          <cell r="G1953">
            <v>40908</v>
          </cell>
          <cell r="H1953" t="str">
            <v>2011-0.260.428-0</v>
          </cell>
          <cell r="I1953" t="str">
            <v>45.632,28</v>
          </cell>
          <cell r="J1953" t="str">
            <v xml:space="preserve">              123611122                  2848                    33903600</v>
          </cell>
          <cell r="K1953" t="str">
            <v>31/10/2011</v>
          </cell>
          <cell r="L1953">
            <v>62</v>
          </cell>
          <cell r="M1953">
            <v>15800</v>
          </cell>
          <cell r="N1953">
            <v>57278</v>
          </cell>
          <cell r="O1953">
            <v>37882</v>
          </cell>
          <cell r="P1953">
            <v>16</v>
          </cell>
          <cell r="Q1953">
            <v>3</v>
          </cell>
          <cell r="U1953">
            <v>0</v>
          </cell>
          <cell r="V1953">
            <v>7700</v>
          </cell>
          <cell r="W1953">
            <v>180</v>
          </cell>
          <cell r="X1953">
            <v>6160</v>
          </cell>
          <cell r="Y1953">
            <v>0</v>
          </cell>
          <cell r="Z1953">
            <v>0</v>
          </cell>
          <cell r="AA1953">
            <v>13860</v>
          </cell>
          <cell r="AB1953">
            <v>253.51266666666666</v>
          </cell>
          <cell r="AC1953">
            <v>7700</v>
          </cell>
          <cell r="AD1953">
            <v>6739.75</v>
          </cell>
          <cell r="AE1953">
            <v>960.25</v>
          </cell>
          <cell r="AN1953" t="str">
            <v xml:space="preserve">Contrato emergencial nº </v>
          </cell>
          <cell r="AO1953" t="str">
            <v>PJ</v>
          </cell>
        </row>
        <row r="1954">
          <cell r="D1954" t="str">
            <v>3101/11</v>
          </cell>
          <cell r="E1954" t="str">
            <v>31/10/2011</v>
          </cell>
          <cell r="F1954">
            <v>41026</v>
          </cell>
          <cell r="G1954">
            <v>40908</v>
          </cell>
          <cell r="H1954" t="str">
            <v>2011-0.260.429-8</v>
          </cell>
          <cell r="I1954" t="str">
            <v>44.324,52</v>
          </cell>
          <cell r="J1954" t="str">
            <v xml:space="preserve">              123611122                  2848                    33903600</v>
          </cell>
          <cell r="K1954" t="str">
            <v>31/10/2011</v>
          </cell>
          <cell r="L1954">
            <v>62</v>
          </cell>
          <cell r="M1954">
            <v>15300</v>
          </cell>
          <cell r="N1954">
            <v>57278</v>
          </cell>
          <cell r="O1954">
            <v>38031</v>
          </cell>
          <cell r="P1954">
            <v>16</v>
          </cell>
          <cell r="Q1954">
            <v>3</v>
          </cell>
          <cell r="U1954">
            <v>25</v>
          </cell>
          <cell r="V1954">
            <v>7700</v>
          </cell>
          <cell r="W1954">
            <v>180</v>
          </cell>
          <cell r="X1954">
            <v>6160</v>
          </cell>
          <cell r="Y1954">
            <v>0</v>
          </cell>
          <cell r="Z1954">
            <v>0</v>
          </cell>
          <cell r="AA1954">
            <v>13885</v>
          </cell>
          <cell r="AB1954">
            <v>246.2473333333333</v>
          </cell>
          <cell r="AC1954">
            <v>7400</v>
          </cell>
          <cell r="AD1954">
            <v>7636.0599999999995</v>
          </cell>
          <cell r="AE1954">
            <v>-236.05999999999949</v>
          </cell>
          <cell r="AN1954" t="str">
            <v xml:space="preserve">Contrato emergencial nº </v>
          </cell>
          <cell r="AO1954" t="str">
            <v>SM</v>
          </cell>
        </row>
        <row r="1955">
          <cell r="D1955" t="str">
            <v>3102/11</v>
          </cell>
          <cell r="E1955" t="str">
            <v>31/10/2011</v>
          </cell>
          <cell r="F1955">
            <v>41026</v>
          </cell>
          <cell r="G1955">
            <v>40908</v>
          </cell>
          <cell r="H1955" t="str">
            <v>2011-0.260.431-0</v>
          </cell>
          <cell r="I1955" t="str">
            <v>42.838,74</v>
          </cell>
          <cell r="J1955" t="str">
            <v xml:space="preserve">              123651121                 2847                    33903600</v>
          </cell>
          <cell r="K1955" t="str">
            <v>31/10/2011</v>
          </cell>
          <cell r="L1955">
            <v>62</v>
          </cell>
          <cell r="M1955">
            <v>14800</v>
          </cell>
          <cell r="N1955">
            <v>57273</v>
          </cell>
          <cell r="O1955">
            <v>38033</v>
          </cell>
          <cell r="P1955">
            <v>16</v>
          </cell>
          <cell r="Q1955">
            <v>2</v>
          </cell>
          <cell r="U1955">
            <v>11.75</v>
          </cell>
          <cell r="V1955">
            <v>7200</v>
          </cell>
          <cell r="W1955">
            <v>180</v>
          </cell>
          <cell r="X1955">
            <v>5760</v>
          </cell>
          <cell r="Y1955">
            <v>0</v>
          </cell>
          <cell r="Z1955">
            <v>0</v>
          </cell>
          <cell r="AA1955">
            <v>12971.75</v>
          </cell>
          <cell r="AB1955">
            <v>237.99299999999999</v>
          </cell>
          <cell r="AC1955">
            <v>7200</v>
          </cell>
          <cell r="AD1955">
            <v>6386.86</v>
          </cell>
          <cell r="AE1955">
            <v>813.14000000000033</v>
          </cell>
          <cell r="AN1955" t="str">
            <v xml:space="preserve">Contrato emergencial nº </v>
          </cell>
          <cell r="AO1955" t="str">
            <v>PE</v>
          </cell>
        </row>
        <row r="1956">
          <cell r="D1956" t="str">
            <v>3104/11</v>
          </cell>
          <cell r="E1956" t="str">
            <v>31/10/2011</v>
          </cell>
          <cell r="F1956">
            <v>41026</v>
          </cell>
          <cell r="G1956">
            <v>40908</v>
          </cell>
          <cell r="H1956" t="str">
            <v>2011-0.260.435-2</v>
          </cell>
          <cell r="I1956" t="str">
            <v>37.607,88</v>
          </cell>
          <cell r="J1956" t="str">
            <v xml:space="preserve">              123651121                 2847                    33903600</v>
          </cell>
          <cell r="K1956" t="str">
            <v>31/10/2011</v>
          </cell>
          <cell r="L1956">
            <v>62</v>
          </cell>
          <cell r="M1956">
            <v>13000</v>
          </cell>
          <cell r="N1956">
            <v>57273</v>
          </cell>
          <cell r="O1956">
            <v>37884</v>
          </cell>
          <cell r="P1956">
            <v>16</v>
          </cell>
          <cell r="Q1956">
            <v>2</v>
          </cell>
          <cell r="U1956">
            <v>34.58</v>
          </cell>
          <cell r="V1956">
            <v>7300</v>
          </cell>
          <cell r="W1956">
            <v>180</v>
          </cell>
          <cell r="X1956">
            <v>5840</v>
          </cell>
          <cell r="Y1956">
            <v>0</v>
          </cell>
          <cell r="Z1956">
            <v>0</v>
          </cell>
          <cell r="AA1956">
            <v>13174.58</v>
          </cell>
          <cell r="AB1956">
            <v>208.93266666666665</v>
          </cell>
          <cell r="AC1956">
            <v>6300</v>
          </cell>
          <cell r="AD1956">
            <v>7223.8290000000006</v>
          </cell>
          <cell r="AE1956">
            <v>-923.82900000000063</v>
          </cell>
          <cell r="AN1956" t="str">
            <v xml:space="preserve">Contrato emergencial nº </v>
          </cell>
          <cell r="AO1956" t="str">
            <v>PE</v>
          </cell>
        </row>
        <row r="1957">
          <cell r="D1957" t="str">
            <v>3015/11</v>
          </cell>
          <cell r="E1957" t="str">
            <v>31/10/2011</v>
          </cell>
          <cell r="F1957">
            <v>41026</v>
          </cell>
          <cell r="G1957">
            <v>40908</v>
          </cell>
          <cell r="H1957" t="str">
            <v>2011-0.259.098-0</v>
          </cell>
          <cell r="I1957" t="str">
            <v>R$ 37.607,88</v>
          </cell>
          <cell r="J1957" t="str">
            <v xml:space="preserve">              123611122                  2848                    33903600</v>
          </cell>
          <cell r="K1957" t="str">
            <v>31/10/2011</v>
          </cell>
          <cell r="L1957">
            <v>62</v>
          </cell>
          <cell r="M1957">
            <v>13000</v>
          </cell>
          <cell r="N1957">
            <v>57278</v>
          </cell>
          <cell r="O1957">
            <v>37048</v>
          </cell>
          <cell r="U1957">
            <v>0</v>
          </cell>
          <cell r="V1957">
            <v>6300</v>
          </cell>
          <cell r="W1957">
            <v>180</v>
          </cell>
          <cell r="X1957">
            <v>5040</v>
          </cell>
          <cell r="Y1957">
            <v>0</v>
          </cell>
          <cell r="Z1957">
            <v>0</v>
          </cell>
          <cell r="AA1957">
            <v>11340</v>
          </cell>
          <cell r="AB1957">
            <v>208.93266666666665</v>
          </cell>
          <cell r="AC1957">
            <v>6300</v>
          </cell>
          <cell r="AD1957">
            <v>4352.2849999999999</v>
          </cell>
          <cell r="AE1957">
            <v>1947.7150000000001</v>
          </cell>
          <cell r="AN1957" t="str">
            <v xml:space="preserve">Contrato emergencial nº </v>
          </cell>
          <cell r="AO1957" t="str">
            <v>IQ</v>
          </cell>
        </row>
        <row r="1958">
          <cell r="D1958" t="str">
            <v>3032/11</v>
          </cell>
          <cell r="E1958" t="str">
            <v>31/10/2011</v>
          </cell>
          <cell r="F1958">
            <v>41026</v>
          </cell>
          <cell r="G1958">
            <v>40908</v>
          </cell>
          <cell r="H1958" t="str">
            <v>2011-0.259.730-5</v>
          </cell>
          <cell r="I1958" t="str">
            <v>R$ 40.976,04</v>
          </cell>
          <cell r="J1958" t="str">
            <v xml:space="preserve">              123611122                  2848                    33903600</v>
          </cell>
          <cell r="K1958" t="str">
            <v>31/10/2011</v>
          </cell>
          <cell r="L1958">
            <v>62</v>
          </cell>
          <cell r="M1958">
            <v>14200</v>
          </cell>
          <cell r="N1958">
            <v>57278</v>
          </cell>
          <cell r="U1958">
            <v>150.86533333333333</v>
          </cell>
          <cell r="V1958">
            <v>6900</v>
          </cell>
          <cell r="W1958">
            <v>180</v>
          </cell>
          <cell r="X1958">
            <v>5520</v>
          </cell>
          <cell r="Y1958">
            <v>0</v>
          </cell>
          <cell r="Z1958">
            <v>0</v>
          </cell>
          <cell r="AA1958">
            <v>12570.865333333333</v>
          </cell>
          <cell r="AB1958">
            <v>227.64466666666667</v>
          </cell>
          <cell r="AC1958">
            <v>6900</v>
          </cell>
          <cell r="AD1958">
            <v>4343.96</v>
          </cell>
          <cell r="AE1958">
            <v>2556.04</v>
          </cell>
          <cell r="AN1958" t="str">
            <v xml:space="preserve">Contrato emergencial nº </v>
          </cell>
          <cell r="AO1958" t="str">
            <v>MP</v>
          </cell>
        </row>
        <row r="1959">
          <cell r="D1959" t="str">
            <v>3062/11</v>
          </cell>
          <cell r="E1959" t="str">
            <v>31/10/2011</v>
          </cell>
          <cell r="F1959">
            <v>41026</v>
          </cell>
          <cell r="G1959">
            <v>40908</v>
          </cell>
          <cell r="H1959" t="str">
            <v>2011-0.260.347-0</v>
          </cell>
          <cell r="I1959" t="str">
            <v>R$ 25.956,72</v>
          </cell>
          <cell r="J1959" t="str">
            <v xml:space="preserve">              123651121                 2847                    33903600</v>
          </cell>
          <cell r="K1959" t="str">
            <v>31/10/2011</v>
          </cell>
          <cell r="L1959">
            <v>62</v>
          </cell>
          <cell r="M1959">
            <v>9000</v>
          </cell>
          <cell r="N1959">
            <v>57273</v>
          </cell>
          <cell r="U1959">
            <v>0</v>
          </cell>
          <cell r="V1959">
            <v>4400</v>
          </cell>
          <cell r="W1959">
            <v>180</v>
          </cell>
          <cell r="X1959">
            <v>3520</v>
          </cell>
          <cell r="Y1959">
            <v>0</v>
          </cell>
          <cell r="Z1959">
            <v>0</v>
          </cell>
          <cell r="AA1959">
            <v>7920</v>
          </cell>
          <cell r="AB1959">
            <v>144.20400000000001</v>
          </cell>
          <cell r="AC1959">
            <v>4400</v>
          </cell>
          <cell r="AD1959">
            <v>3384.5000000000005</v>
          </cell>
          <cell r="AE1959">
            <v>1015.4999999999995</v>
          </cell>
          <cell r="AN1959" t="str">
            <v xml:space="preserve">Contrato emergencial nº </v>
          </cell>
          <cell r="AO1959" t="str">
            <v>IQ</v>
          </cell>
        </row>
        <row r="1960">
          <cell r="D1960" t="str">
            <v>3090/11</v>
          </cell>
          <cell r="E1960" t="str">
            <v>31/10/2011</v>
          </cell>
          <cell r="F1960">
            <v>41026</v>
          </cell>
          <cell r="G1960">
            <v>40908</v>
          </cell>
          <cell r="H1960" t="str">
            <v>2011-0.260.409-3</v>
          </cell>
          <cell r="I1960" t="str">
            <v>R$ 50.500,08</v>
          </cell>
          <cell r="J1960" t="str">
            <v xml:space="preserve">             123671125                  2863                   33903600</v>
          </cell>
          <cell r="K1960" t="str">
            <v>31/10/2011</v>
          </cell>
          <cell r="L1960">
            <v>62</v>
          </cell>
          <cell r="M1960">
            <v>17400</v>
          </cell>
          <cell r="N1960">
            <v>57287</v>
          </cell>
          <cell r="O1960">
            <v>38265</v>
          </cell>
          <cell r="U1960">
            <v>35.6</v>
          </cell>
          <cell r="V1960">
            <v>9900</v>
          </cell>
          <cell r="W1960">
            <v>180</v>
          </cell>
          <cell r="X1960">
            <v>7920</v>
          </cell>
          <cell r="Y1960">
            <v>0</v>
          </cell>
          <cell r="Z1960">
            <v>0</v>
          </cell>
          <cell r="AA1960">
            <v>17855.599999999999</v>
          </cell>
          <cell r="AB1960">
            <v>280.55599999999998</v>
          </cell>
          <cell r="AC1960">
            <v>8500</v>
          </cell>
          <cell r="AD1960">
            <v>9857.76</v>
          </cell>
          <cell r="AE1960">
            <v>-1357.7600000000002</v>
          </cell>
          <cell r="AN1960" t="str">
            <v xml:space="preserve">Contrato emergencial nº </v>
          </cell>
          <cell r="AO1960" t="str">
            <v>PE</v>
          </cell>
        </row>
        <row r="1961">
          <cell r="D1961" t="str">
            <v>3091/11</v>
          </cell>
          <cell r="E1961" t="str">
            <v>31/10/2011</v>
          </cell>
          <cell r="F1961">
            <v>41026</v>
          </cell>
          <cell r="G1961">
            <v>40908</v>
          </cell>
          <cell r="H1961" t="str">
            <v>2011-0.260.412-3</v>
          </cell>
          <cell r="I1961" t="str">
            <v>R$ 42.184,92</v>
          </cell>
          <cell r="J1961" t="str">
            <v xml:space="preserve">              123611122                  2848                    33903600</v>
          </cell>
          <cell r="K1961" t="str">
            <v>31/10/2011</v>
          </cell>
          <cell r="L1961">
            <v>62</v>
          </cell>
          <cell r="M1961">
            <v>14600</v>
          </cell>
          <cell r="N1961">
            <v>57278</v>
          </cell>
          <cell r="U1961">
            <v>0</v>
          </cell>
          <cell r="V1961">
            <v>7100</v>
          </cell>
          <cell r="W1961">
            <v>180</v>
          </cell>
          <cell r="X1961">
            <v>5680</v>
          </cell>
          <cell r="Y1961">
            <v>0</v>
          </cell>
          <cell r="Z1961">
            <v>0</v>
          </cell>
          <cell r="AA1961">
            <v>12780</v>
          </cell>
          <cell r="AB1961">
            <v>234.36066666666665</v>
          </cell>
          <cell r="AC1961">
            <v>7100</v>
          </cell>
          <cell r="AD1961">
            <v>6561.6800000000012</v>
          </cell>
          <cell r="AE1961">
            <v>538.3199999999988</v>
          </cell>
          <cell r="AN1961" t="str">
            <v xml:space="preserve">Contrato emergencial nº </v>
          </cell>
          <cell r="AO1961" t="str">
            <v>IQ</v>
          </cell>
        </row>
        <row r="1962">
          <cell r="D1962" t="str">
            <v>3092/11</v>
          </cell>
          <cell r="E1962" t="str">
            <v>31/10/2011</v>
          </cell>
          <cell r="F1962">
            <v>41026</v>
          </cell>
          <cell r="G1962">
            <v>40908</v>
          </cell>
          <cell r="H1962" t="str">
            <v>2011-0.260.414-0</v>
          </cell>
          <cell r="I1962" t="str">
            <v>R$ 49.324,08</v>
          </cell>
          <cell r="J1962" t="str">
            <v xml:space="preserve">             123671125                  2863                   33903600</v>
          </cell>
          <cell r="K1962" t="str">
            <v>31/10/2011</v>
          </cell>
          <cell r="L1962">
            <v>62</v>
          </cell>
          <cell r="M1962">
            <v>17000</v>
          </cell>
          <cell r="N1962">
            <v>57287</v>
          </cell>
          <cell r="O1962">
            <v>38267</v>
          </cell>
          <cell r="U1962">
            <v>60.78</v>
          </cell>
          <cell r="V1962">
            <v>12000</v>
          </cell>
          <cell r="W1962">
            <v>180</v>
          </cell>
          <cell r="X1962">
            <v>9600</v>
          </cell>
          <cell r="Y1962">
            <v>0</v>
          </cell>
          <cell r="Z1962">
            <v>0</v>
          </cell>
          <cell r="AA1962">
            <v>21660.78</v>
          </cell>
          <cell r="AB1962">
            <v>274.02266666666668</v>
          </cell>
          <cell r="AC1962">
            <v>8300</v>
          </cell>
          <cell r="AD1962">
            <v>11999.85</v>
          </cell>
          <cell r="AE1962">
            <v>-3699.8500000000004</v>
          </cell>
          <cell r="AN1962" t="str">
            <v xml:space="preserve">Contrato emergencial nº </v>
          </cell>
          <cell r="AO1962" t="str">
            <v>SM</v>
          </cell>
        </row>
        <row r="1963">
          <cell r="D1963" t="str">
            <v>3105/11</v>
          </cell>
          <cell r="E1963" t="str">
            <v>01/11/2011</v>
          </cell>
          <cell r="F1963">
            <v>41027</v>
          </cell>
          <cell r="G1963">
            <v>40908</v>
          </cell>
          <cell r="H1963" t="str">
            <v>2011-0.260.436-0</v>
          </cell>
          <cell r="I1963" t="str">
            <v>31.418,52</v>
          </cell>
          <cell r="J1963" t="str">
            <v xml:space="preserve">              123651121                 2847                    33903600</v>
          </cell>
          <cell r="K1963" t="str">
            <v>01/11/2011</v>
          </cell>
          <cell r="L1963">
            <v>61</v>
          </cell>
          <cell r="M1963">
            <v>10700</v>
          </cell>
          <cell r="N1963">
            <v>57273</v>
          </cell>
          <cell r="O1963">
            <v>38034</v>
          </cell>
          <cell r="P1963">
            <v>16</v>
          </cell>
          <cell r="Q1963">
            <v>2</v>
          </cell>
          <cell r="V1963">
            <v>5800</v>
          </cell>
          <cell r="W1963">
            <v>180</v>
          </cell>
          <cell r="X1963">
            <v>4640</v>
          </cell>
          <cell r="Y1963">
            <v>0</v>
          </cell>
          <cell r="Z1963">
            <v>0</v>
          </cell>
          <cell r="AA1963">
            <v>10440</v>
          </cell>
          <cell r="AB1963">
            <v>174.54733333333334</v>
          </cell>
          <cell r="AC1963">
            <v>5300</v>
          </cell>
          <cell r="AD1963">
            <v>5713.3650000000007</v>
          </cell>
          <cell r="AE1963">
            <v>-413.36500000000069</v>
          </cell>
          <cell r="AF1963">
            <v>858.75</v>
          </cell>
          <cell r="AN1963" t="str">
            <v xml:space="preserve">Contrato emergencial nº </v>
          </cell>
          <cell r="AO1963" t="str">
            <v>FO</v>
          </cell>
        </row>
        <row r="1964">
          <cell r="D1964" t="str">
            <v>3198/11</v>
          </cell>
          <cell r="E1964">
            <v>40854</v>
          </cell>
          <cell r="F1964">
            <v>41033</v>
          </cell>
          <cell r="G1964">
            <v>40908</v>
          </cell>
          <cell r="H1964" t="str">
            <v>2011-0.293.249-0</v>
          </cell>
          <cell r="I1964">
            <v>38261.760000000002</v>
          </cell>
          <cell r="J1964" t="str">
            <v xml:space="preserve">              123611122                  2848                    33903600</v>
          </cell>
          <cell r="K1964">
            <v>40854</v>
          </cell>
          <cell r="L1964">
            <v>55</v>
          </cell>
          <cell r="M1964">
            <v>11700</v>
          </cell>
          <cell r="N1964">
            <v>57278</v>
          </cell>
          <cell r="O1964">
            <v>38268</v>
          </cell>
          <cell r="P1964">
            <v>16</v>
          </cell>
          <cell r="Q1964">
            <v>3</v>
          </cell>
          <cell r="V1964">
            <v>6800</v>
          </cell>
          <cell r="W1964">
            <v>180</v>
          </cell>
          <cell r="X1964">
            <v>5440</v>
          </cell>
          <cell r="Y1964">
            <v>122068</v>
          </cell>
          <cell r="Z1964">
            <v>6296.43</v>
          </cell>
          <cell r="AA1964">
            <v>12240</v>
          </cell>
          <cell r="AB1964">
            <v>212.56533333333334</v>
          </cell>
          <cell r="AC1964">
            <v>6400</v>
          </cell>
          <cell r="AD1964">
            <v>6712.12</v>
          </cell>
          <cell r="AE1964">
            <v>-312.11999999999989</v>
          </cell>
          <cell r="AF1964">
            <v>-856.43000000000029</v>
          </cell>
          <cell r="AG1964">
            <v>800</v>
          </cell>
          <cell r="AN1964" t="str">
            <v xml:space="preserve">Contrato emergencial nº </v>
          </cell>
          <cell r="AO1964" t="str">
            <v>G</v>
          </cell>
        </row>
        <row r="1965">
          <cell r="D1965" t="str">
            <v>3199/11</v>
          </cell>
          <cell r="E1965">
            <v>40854</v>
          </cell>
          <cell r="F1965">
            <v>41033</v>
          </cell>
          <cell r="G1965">
            <v>40908</v>
          </cell>
          <cell r="H1965" t="str">
            <v>2011-0.293.283-0</v>
          </cell>
          <cell r="I1965">
            <v>44324.52</v>
          </cell>
          <cell r="J1965" t="str">
            <v xml:space="preserve">              123651121                 2847                    33903600</v>
          </cell>
          <cell r="K1965">
            <v>40854</v>
          </cell>
          <cell r="L1965">
            <v>55</v>
          </cell>
          <cell r="M1965">
            <v>13600</v>
          </cell>
          <cell r="N1965">
            <v>57273</v>
          </cell>
          <cell r="O1965">
            <v>38269</v>
          </cell>
          <cell r="P1965">
            <v>16</v>
          </cell>
          <cell r="Q1965">
            <v>2</v>
          </cell>
          <cell r="V1965">
            <v>7400</v>
          </cell>
          <cell r="W1965">
            <v>180</v>
          </cell>
          <cell r="X1965">
            <v>5920</v>
          </cell>
          <cell r="Y1965">
            <v>122070</v>
          </cell>
          <cell r="Z1965">
            <v>7268.73</v>
          </cell>
          <cell r="AA1965">
            <v>13320</v>
          </cell>
          <cell r="AB1965">
            <v>246.2473333333333</v>
          </cell>
          <cell r="AC1965">
            <v>7400</v>
          </cell>
          <cell r="AD1965">
            <v>7225.28</v>
          </cell>
          <cell r="AE1965">
            <v>174.72000000000025</v>
          </cell>
          <cell r="AF1965">
            <v>-1348.7299999999996</v>
          </cell>
          <cell r="AG1965">
            <v>1300</v>
          </cell>
          <cell r="AM1965">
            <v>353.72000000000025</v>
          </cell>
          <cell r="AN1965" t="str">
            <v xml:space="preserve">Contrato emergencial nº </v>
          </cell>
          <cell r="AO1965" t="str">
            <v>CS</v>
          </cell>
        </row>
        <row r="1966">
          <cell r="D1966" t="str">
            <v>3200/11</v>
          </cell>
          <cell r="E1966">
            <v>40854</v>
          </cell>
          <cell r="F1966">
            <v>41033</v>
          </cell>
          <cell r="G1966">
            <v>40908</v>
          </cell>
          <cell r="H1966" t="str">
            <v>2011-0.293.289-9</v>
          </cell>
          <cell r="I1966">
            <v>42184.92</v>
          </cell>
          <cell r="J1966" t="str">
            <v xml:space="preserve">             123671125                  2863                   33903600</v>
          </cell>
          <cell r="K1966">
            <v>40854</v>
          </cell>
          <cell r="L1966">
            <v>55</v>
          </cell>
          <cell r="M1966">
            <v>12900</v>
          </cell>
          <cell r="N1966">
            <v>57287</v>
          </cell>
          <cell r="O1966">
            <v>38270</v>
          </cell>
          <cell r="P1966">
            <v>16</v>
          </cell>
          <cell r="Q1966">
            <v>4</v>
          </cell>
          <cell r="V1966">
            <v>7100</v>
          </cell>
          <cell r="W1966">
            <v>180</v>
          </cell>
          <cell r="X1966">
            <v>5680</v>
          </cell>
          <cell r="Y1966">
            <v>122487</v>
          </cell>
          <cell r="Z1966">
            <v>6715.03</v>
          </cell>
          <cell r="AA1966">
            <v>12780</v>
          </cell>
          <cell r="AB1966">
            <v>234.36066666666665</v>
          </cell>
          <cell r="AC1966">
            <v>7100</v>
          </cell>
          <cell r="AD1966">
            <v>6838.1950000000006</v>
          </cell>
          <cell r="AE1966">
            <v>261.80499999999938</v>
          </cell>
          <cell r="AF1966">
            <v>-1035.0299999999997</v>
          </cell>
          <cell r="AG1966">
            <v>1000</v>
          </cell>
          <cell r="AN1966" t="str">
            <v xml:space="preserve">Contrato emergencial nº </v>
          </cell>
          <cell r="AO1966" t="str">
            <v>PE</v>
          </cell>
        </row>
        <row r="1967">
          <cell r="D1967" t="str">
            <v>3201/11</v>
          </cell>
          <cell r="E1967">
            <v>40854</v>
          </cell>
          <cell r="F1967">
            <v>41033</v>
          </cell>
          <cell r="G1967">
            <v>40908</v>
          </cell>
          <cell r="H1967" t="str">
            <v>2011-0.293.295-3</v>
          </cell>
          <cell r="I1967">
            <v>38261.760000000002</v>
          </cell>
          <cell r="J1967" t="str">
            <v xml:space="preserve">              123611122                  2848                    33903600</v>
          </cell>
          <cell r="K1967">
            <v>40854</v>
          </cell>
          <cell r="L1967">
            <v>55</v>
          </cell>
          <cell r="M1967">
            <v>11700</v>
          </cell>
          <cell r="N1967">
            <v>57278</v>
          </cell>
          <cell r="O1967">
            <v>38271</v>
          </cell>
          <cell r="P1967">
            <v>16</v>
          </cell>
          <cell r="Q1967">
            <v>3</v>
          </cell>
          <cell r="V1967">
            <v>6400</v>
          </cell>
          <cell r="W1967">
            <v>180</v>
          </cell>
          <cell r="X1967">
            <v>5120</v>
          </cell>
          <cell r="Y1967">
            <v>122072</v>
          </cell>
          <cell r="Z1967">
            <v>6919.69</v>
          </cell>
          <cell r="AA1967">
            <v>11520</v>
          </cell>
          <cell r="AB1967">
            <v>212.56533333333334</v>
          </cell>
          <cell r="AC1967">
            <v>6400</v>
          </cell>
          <cell r="AD1967">
            <v>5027.12</v>
          </cell>
          <cell r="AE1967">
            <v>1372.88</v>
          </cell>
          <cell r="AF1967">
            <v>-1799.6899999999996</v>
          </cell>
          <cell r="AG1967">
            <v>1700</v>
          </cell>
          <cell r="AN1967" t="str">
            <v xml:space="preserve">Contrato emergencial nº </v>
          </cell>
          <cell r="AO1967" t="str">
            <v>JT</v>
          </cell>
        </row>
        <row r="1968">
          <cell r="D1968" t="str">
            <v>3202/11</v>
          </cell>
          <cell r="E1968">
            <v>40854</v>
          </cell>
          <cell r="F1968">
            <v>41033</v>
          </cell>
          <cell r="G1968">
            <v>40908</v>
          </cell>
          <cell r="H1968" t="str">
            <v>2011-0.293.300-3</v>
          </cell>
          <cell r="I1968">
            <v>44324.52</v>
          </cell>
          <cell r="J1968" t="str">
            <v xml:space="preserve">              123611122                  2848                    33903600</v>
          </cell>
          <cell r="K1968">
            <v>40854</v>
          </cell>
          <cell r="L1968">
            <v>55</v>
          </cell>
          <cell r="M1968">
            <v>13600</v>
          </cell>
          <cell r="N1968">
            <v>57278</v>
          </cell>
          <cell r="O1968">
            <v>38272</v>
          </cell>
          <cell r="P1968">
            <v>16</v>
          </cell>
          <cell r="Q1968">
            <v>3</v>
          </cell>
          <cell r="V1968">
            <v>7400</v>
          </cell>
          <cell r="W1968">
            <v>180</v>
          </cell>
          <cell r="X1968">
            <v>5920</v>
          </cell>
          <cell r="Y1968">
            <v>122073</v>
          </cell>
          <cell r="Z1968">
            <v>7217.97</v>
          </cell>
          <cell r="AA1968">
            <v>13320</v>
          </cell>
          <cell r="AB1968">
            <v>246.2473333333333</v>
          </cell>
          <cell r="AC1968">
            <v>7400</v>
          </cell>
          <cell r="AD1968">
            <v>7348.29</v>
          </cell>
          <cell r="AE1968">
            <v>51.710000000000036</v>
          </cell>
          <cell r="AF1968">
            <v>-1297.9700000000003</v>
          </cell>
          <cell r="AG1968">
            <v>1200</v>
          </cell>
          <cell r="AN1968" t="str">
            <v xml:space="preserve">Contrato emergencial nº </v>
          </cell>
          <cell r="AO1968" t="str">
            <v>CS</v>
          </cell>
        </row>
        <row r="1969">
          <cell r="D1969" t="str">
            <v>3203/11</v>
          </cell>
          <cell r="E1969">
            <v>40854</v>
          </cell>
          <cell r="F1969">
            <v>41033</v>
          </cell>
          <cell r="G1969">
            <v>40908</v>
          </cell>
          <cell r="H1969" t="str">
            <v>2011-0.293.306-2</v>
          </cell>
          <cell r="I1969">
            <v>38261.760000000002</v>
          </cell>
          <cell r="J1969" t="str">
            <v xml:space="preserve">              123611122                  2848                    33903600</v>
          </cell>
          <cell r="K1969">
            <v>40854</v>
          </cell>
          <cell r="L1969">
            <v>55</v>
          </cell>
          <cell r="M1969">
            <v>11700</v>
          </cell>
          <cell r="N1969">
            <v>57278</v>
          </cell>
          <cell r="O1969">
            <v>38274</v>
          </cell>
          <cell r="P1969">
            <v>16</v>
          </cell>
          <cell r="Q1969">
            <v>3</v>
          </cell>
          <cell r="V1969">
            <v>6400</v>
          </cell>
          <cell r="W1969">
            <v>180</v>
          </cell>
          <cell r="X1969">
            <v>5120</v>
          </cell>
          <cell r="Y1969">
            <v>122076</v>
          </cell>
          <cell r="Z1969">
            <v>5977.8</v>
          </cell>
          <cell r="AA1969">
            <v>11520</v>
          </cell>
          <cell r="AB1969">
            <v>212.56533333333334</v>
          </cell>
          <cell r="AC1969">
            <v>6400</v>
          </cell>
          <cell r="AD1969">
            <v>6210.2099999999991</v>
          </cell>
          <cell r="AE1969">
            <v>189.79000000000087</v>
          </cell>
          <cell r="AF1969">
            <v>-857.80000000000018</v>
          </cell>
          <cell r="AG1969">
            <v>800</v>
          </cell>
          <cell r="AN1969" t="str">
            <v xml:space="preserve">Contrato emergencial nº </v>
          </cell>
          <cell r="AO1969" t="str">
            <v>IP</v>
          </cell>
        </row>
        <row r="1970">
          <cell r="D1970" t="str">
            <v>3204/11</v>
          </cell>
          <cell r="E1970">
            <v>40854</v>
          </cell>
          <cell r="F1970">
            <v>41033</v>
          </cell>
          <cell r="G1970">
            <v>40908</v>
          </cell>
          <cell r="H1970" t="str">
            <v>2011-0.293.309-7</v>
          </cell>
          <cell r="I1970">
            <v>41774.04</v>
          </cell>
          <cell r="J1970" t="str">
            <v xml:space="preserve">              123611122                  2848                    33903600</v>
          </cell>
          <cell r="K1970">
            <v>40854</v>
          </cell>
          <cell r="L1970">
            <v>55</v>
          </cell>
          <cell r="M1970">
            <v>12800</v>
          </cell>
          <cell r="N1970">
            <v>57278</v>
          </cell>
          <cell r="O1970">
            <v>38275</v>
          </cell>
          <cell r="P1970">
            <v>16</v>
          </cell>
          <cell r="Q1970">
            <v>3</v>
          </cell>
          <cell r="V1970">
            <v>7600</v>
          </cell>
          <cell r="W1970">
            <v>180</v>
          </cell>
          <cell r="X1970">
            <v>6080</v>
          </cell>
          <cell r="Y1970">
            <v>122078</v>
          </cell>
          <cell r="Z1970">
            <v>6901.85</v>
          </cell>
          <cell r="AA1970">
            <v>13680</v>
          </cell>
          <cell r="AB1970">
            <v>232.078</v>
          </cell>
          <cell r="AC1970">
            <v>7000</v>
          </cell>
          <cell r="AD1970">
            <v>7560.8399999999992</v>
          </cell>
          <cell r="AE1970">
            <v>-560.83999999999924</v>
          </cell>
          <cell r="AF1970">
            <v>-821.85000000000036</v>
          </cell>
          <cell r="AG1970">
            <v>800</v>
          </cell>
          <cell r="AN1970" t="str">
            <v xml:space="preserve">Contrato emergencial nº </v>
          </cell>
          <cell r="AO1970" t="str">
            <v>CS</v>
          </cell>
        </row>
        <row r="1971">
          <cell r="D1971" t="str">
            <v>3205/11</v>
          </cell>
          <cell r="E1971">
            <v>40854</v>
          </cell>
          <cell r="F1971">
            <v>41033</v>
          </cell>
          <cell r="G1971">
            <v>40908</v>
          </cell>
          <cell r="H1971" t="str">
            <v>2011-0.293.314-3</v>
          </cell>
          <cell r="I1971">
            <v>38261.760000000002</v>
          </cell>
          <cell r="J1971" t="str">
            <v xml:space="preserve">              123611122                  2848                    33903600</v>
          </cell>
          <cell r="K1971">
            <v>40854</v>
          </cell>
          <cell r="L1971">
            <v>55</v>
          </cell>
          <cell r="M1971">
            <v>11700</v>
          </cell>
          <cell r="N1971">
            <v>57278</v>
          </cell>
          <cell r="O1971">
            <v>38277</v>
          </cell>
          <cell r="P1971">
            <v>16</v>
          </cell>
          <cell r="Q1971">
            <v>3</v>
          </cell>
          <cell r="V1971">
            <v>6400</v>
          </cell>
          <cell r="W1971">
            <v>180</v>
          </cell>
          <cell r="X1971">
            <v>5120</v>
          </cell>
          <cell r="Y1971">
            <v>122081</v>
          </cell>
          <cell r="Z1971">
            <v>7311.17</v>
          </cell>
          <cell r="AA1971">
            <v>11520</v>
          </cell>
          <cell r="AB1971">
            <v>212.56533333333334</v>
          </cell>
          <cell r="AC1971">
            <v>6400</v>
          </cell>
          <cell r="AD1971">
            <v>4722.835</v>
          </cell>
          <cell r="AE1971">
            <v>1677.165</v>
          </cell>
          <cell r="AF1971">
            <v>-2191.17</v>
          </cell>
          <cell r="AG1971">
            <v>2100</v>
          </cell>
          <cell r="AN1971" t="str">
            <v xml:space="preserve">Contrato emergencial nº </v>
          </cell>
          <cell r="AO1971" t="str">
            <v>FO</v>
          </cell>
        </row>
        <row r="1972">
          <cell r="D1972" t="str">
            <v>3206/11</v>
          </cell>
          <cell r="E1972">
            <v>40854</v>
          </cell>
          <cell r="F1972">
            <v>41033</v>
          </cell>
          <cell r="G1972">
            <v>40908</v>
          </cell>
          <cell r="H1972" t="str">
            <v>2011-0.293.317-8</v>
          </cell>
          <cell r="I1972">
            <v>29744.400000000001</v>
          </cell>
          <cell r="J1972" t="str">
            <v xml:space="preserve">              123651121                 2847                    33903600</v>
          </cell>
          <cell r="K1972">
            <v>40854</v>
          </cell>
          <cell r="L1972">
            <v>55</v>
          </cell>
          <cell r="M1972">
            <v>9100</v>
          </cell>
          <cell r="N1972">
            <v>57273</v>
          </cell>
          <cell r="O1972">
            <v>38278</v>
          </cell>
          <cell r="P1972">
            <v>16</v>
          </cell>
          <cell r="Q1972">
            <v>2</v>
          </cell>
          <cell r="V1972">
            <v>6800</v>
          </cell>
          <cell r="W1972">
            <v>180</v>
          </cell>
          <cell r="X1972">
            <v>5440</v>
          </cell>
          <cell r="Y1972">
            <v>122083</v>
          </cell>
          <cell r="Z1972">
            <v>7645.38</v>
          </cell>
          <cell r="AA1972">
            <v>12240</v>
          </cell>
          <cell r="AB1972">
            <v>165.24666666666667</v>
          </cell>
          <cell r="AC1972">
            <v>5000</v>
          </cell>
          <cell r="AD1972">
            <v>6775.66</v>
          </cell>
          <cell r="AE1972">
            <v>-1775.6599999999999</v>
          </cell>
          <cell r="AF1972">
            <v>-2205.38</v>
          </cell>
          <cell r="AG1972">
            <v>2200</v>
          </cell>
          <cell r="AN1972" t="str">
            <v xml:space="preserve">Contrato emergencial nº </v>
          </cell>
          <cell r="AO1972" t="str">
            <v>MP</v>
          </cell>
        </row>
        <row r="1973">
          <cell r="D1973" t="str">
            <v>3207/11</v>
          </cell>
          <cell r="E1973">
            <v>40854</v>
          </cell>
          <cell r="F1973">
            <v>41033</v>
          </cell>
          <cell r="G1973">
            <v>40908</v>
          </cell>
          <cell r="H1973" t="str">
            <v>2011-0.293.324-0</v>
          </cell>
          <cell r="I1973">
            <v>52251.96</v>
          </cell>
          <cell r="J1973" t="str">
            <v xml:space="preserve">              123651121                 2847                    33903600</v>
          </cell>
          <cell r="K1973">
            <v>40854</v>
          </cell>
          <cell r="L1973">
            <v>55</v>
          </cell>
          <cell r="M1973">
            <v>16000</v>
          </cell>
          <cell r="N1973">
            <v>57273</v>
          </cell>
          <cell r="O1973">
            <v>38280</v>
          </cell>
          <cell r="P1973">
            <v>16</v>
          </cell>
          <cell r="Q1973">
            <v>2</v>
          </cell>
          <cell r="V1973">
            <v>9800</v>
          </cell>
          <cell r="W1973">
            <v>180</v>
          </cell>
          <cell r="X1973">
            <v>7840</v>
          </cell>
          <cell r="Y1973">
            <v>122086</v>
          </cell>
          <cell r="Z1973">
            <v>8262.2099999999991</v>
          </cell>
          <cell r="AA1973">
            <v>17640</v>
          </cell>
          <cell r="AB1973">
            <v>290.28866666666664</v>
          </cell>
          <cell r="AC1973">
            <v>8800</v>
          </cell>
          <cell r="AD1973">
            <v>9775.76</v>
          </cell>
          <cell r="AE1973">
            <v>-975.76000000000022</v>
          </cell>
          <cell r="AF1973">
            <v>-422.20999999999913</v>
          </cell>
          <cell r="AG1973">
            <v>400</v>
          </cell>
          <cell r="AN1973" t="str">
            <v xml:space="preserve">Contrato emergencial nº </v>
          </cell>
          <cell r="AO1973" t="str">
            <v>CS</v>
          </cell>
        </row>
        <row r="1974">
          <cell r="D1974" t="str">
            <v>3208/11</v>
          </cell>
          <cell r="E1974">
            <v>40854</v>
          </cell>
          <cell r="F1974">
            <v>41033</v>
          </cell>
          <cell r="G1974">
            <v>40908</v>
          </cell>
          <cell r="H1974" t="str">
            <v>2011-0.293.326-7</v>
          </cell>
          <cell r="I1974">
            <v>37607.879999999997</v>
          </cell>
          <cell r="J1974" t="str">
            <v xml:space="preserve">              123611122                  2848                    33903600</v>
          </cell>
          <cell r="K1974">
            <v>40854</v>
          </cell>
          <cell r="L1974">
            <v>55</v>
          </cell>
          <cell r="M1974">
            <v>11500</v>
          </cell>
          <cell r="N1974">
            <v>57278</v>
          </cell>
          <cell r="O1974">
            <v>38282</v>
          </cell>
          <cell r="P1974">
            <v>16</v>
          </cell>
          <cell r="Q1974">
            <v>3</v>
          </cell>
          <cell r="V1974">
            <v>6300</v>
          </cell>
          <cell r="W1974">
            <v>180</v>
          </cell>
          <cell r="X1974">
            <v>5040</v>
          </cell>
          <cell r="Y1974">
            <v>122090</v>
          </cell>
          <cell r="Z1974">
            <v>6771.07</v>
          </cell>
          <cell r="AA1974">
            <v>11340</v>
          </cell>
          <cell r="AB1974">
            <v>208.93266666666665</v>
          </cell>
          <cell r="AC1974">
            <v>6300</v>
          </cell>
          <cell r="AD1974">
            <v>5011.25</v>
          </cell>
          <cell r="AE1974">
            <v>1288.75</v>
          </cell>
          <cell r="AF1974">
            <v>-1731.0699999999997</v>
          </cell>
          <cell r="AG1974">
            <v>1700</v>
          </cell>
          <cell r="AN1974" t="str">
            <v xml:space="preserve">Contrato emergencial nº </v>
          </cell>
          <cell r="AO1974" t="str">
            <v xml:space="preserve">SA </v>
          </cell>
        </row>
        <row r="1975">
          <cell r="D1975" t="str">
            <v>3209/11</v>
          </cell>
          <cell r="E1975">
            <v>40854</v>
          </cell>
          <cell r="F1975">
            <v>41033</v>
          </cell>
          <cell r="G1975">
            <v>40908</v>
          </cell>
          <cell r="H1975" t="str">
            <v>2011-0.293.331-3</v>
          </cell>
          <cell r="I1975">
            <v>46078.02</v>
          </cell>
          <cell r="J1975" t="str">
            <v xml:space="preserve">              123611122                  2848                    33903600</v>
          </cell>
          <cell r="K1975">
            <v>40854</v>
          </cell>
          <cell r="L1975">
            <v>55</v>
          </cell>
          <cell r="M1975">
            <v>14100</v>
          </cell>
          <cell r="N1975">
            <v>57278</v>
          </cell>
          <cell r="O1975">
            <v>38284</v>
          </cell>
          <cell r="P1975">
            <v>16</v>
          </cell>
          <cell r="Q1975">
            <v>3</v>
          </cell>
          <cell r="V1975">
            <v>7700</v>
          </cell>
          <cell r="W1975">
            <v>180</v>
          </cell>
          <cell r="X1975">
            <v>6160</v>
          </cell>
          <cell r="Y1975">
            <v>122094</v>
          </cell>
          <cell r="Z1975">
            <v>7406.33</v>
          </cell>
          <cell r="AA1975">
            <v>13860</v>
          </cell>
          <cell r="AB1975">
            <v>255.98899999999998</v>
          </cell>
          <cell r="AC1975">
            <v>7700</v>
          </cell>
          <cell r="AD1975">
            <v>6327.1497777777786</v>
          </cell>
          <cell r="AE1975">
            <v>1372.8502222222214</v>
          </cell>
          <cell r="AF1975">
            <v>-1246.33</v>
          </cell>
          <cell r="AG1975">
            <v>1200</v>
          </cell>
          <cell r="AN1975" t="str">
            <v xml:space="preserve">Contrato emergencial nº </v>
          </cell>
          <cell r="AO1975" t="str">
            <v>PJ</v>
          </cell>
        </row>
        <row r="1976">
          <cell r="D1976" t="str">
            <v>3210/11</v>
          </cell>
          <cell r="E1976">
            <v>40854</v>
          </cell>
          <cell r="F1976">
            <v>41033</v>
          </cell>
          <cell r="G1976">
            <v>40908</v>
          </cell>
          <cell r="H1976" t="str">
            <v>2011-0.293.337-2</v>
          </cell>
          <cell r="I1976">
            <v>39569.46</v>
          </cell>
          <cell r="J1976" t="str">
            <v xml:space="preserve">              123611122                  2848                    33903600</v>
          </cell>
          <cell r="K1976">
            <v>40854</v>
          </cell>
          <cell r="L1976">
            <v>55</v>
          </cell>
          <cell r="M1976">
            <v>12100</v>
          </cell>
          <cell r="N1976">
            <v>57278</v>
          </cell>
          <cell r="O1976">
            <v>38285</v>
          </cell>
          <cell r="P1976">
            <v>16</v>
          </cell>
          <cell r="Q1976">
            <v>3</v>
          </cell>
          <cell r="V1976">
            <v>6600</v>
          </cell>
          <cell r="W1976">
            <v>180</v>
          </cell>
          <cell r="X1976">
            <v>5280</v>
          </cell>
          <cell r="Y1976">
            <v>122097</v>
          </cell>
          <cell r="Z1976">
            <v>6332.67</v>
          </cell>
          <cell r="AA1976">
            <v>11880</v>
          </cell>
          <cell r="AB1976">
            <v>219.83033333333333</v>
          </cell>
          <cell r="AC1976">
            <v>6600</v>
          </cell>
          <cell r="AD1976">
            <v>5424.6699999999992</v>
          </cell>
          <cell r="AE1976">
            <v>1175.3300000000008</v>
          </cell>
          <cell r="AF1976">
            <v>-1052.67</v>
          </cell>
          <cell r="AG1976">
            <v>1000</v>
          </cell>
          <cell r="AN1976" t="str">
            <v xml:space="preserve">Contrato emergencial nº </v>
          </cell>
          <cell r="AO1976" t="str">
            <v>CS</v>
          </cell>
        </row>
        <row r="1977">
          <cell r="D1977" t="str">
            <v>3211/11</v>
          </cell>
          <cell r="E1977">
            <v>40854</v>
          </cell>
          <cell r="F1977">
            <v>41033</v>
          </cell>
          <cell r="G1977">
            <v>40908</v>
          </cell>
          <cell r="H1977" t="str">
            <v>2011-0.293.340-2</v>
          </cell>
          <cell r="I1977">
            <v>38261.760000000002</v>
          </cell>
          <cell r="J1977" t="str">
            <v xml:space="preserve">              123611122                  2848                    33903600</v>
          </cell>
          <cell r="K1977">
            <v>40854</v>
          </cell>
          <cell r="L1977">
            <v>55</v>
          </cell>
          <cell r="M1977">
            <v>11700</v>
          </cell>
          <cell r="N1977">
            <v>57278</v>
          </cell>
          <cell r="O1977">
            <v>38286</v>
          </cell>
          <cell r="P1977">
            <v>16</v>
          </cell>
          <cell r="Q1977">
            <v>3</v>
          </cell>
          <cell r="V1977">
            <v>6400</v>
          </cell>
          <cell r="W1977">
            <v>180</v>
          </cell>
          <cell r="X1977">
            <v>5120</v>
          </cell>
          <cell r="Y1977">
            <v>122100</v>
          </cell>
          <cell r="Z1977">
            <v>6902.68</v>
          </cell>
          <cell r="AA1977">
            <v>11520</v>
          </cell>
          <cell r="AB1977">
            <v>212.56533333333334</v>
          </cell>
          <cell r="AC1977">
            <v>6400</v>
          </cell>
          <cell r="AD1977">
            <v>5269.12</v>
          </cell>
          <cell r="AE1977">
            <v>1130.8800000000001</v>
          </cell>
          <cell r="AF1977">
            <v>-1782.6800000000003</v>
          </cell>
          <cell r="AG1977">
            <v>1700</v>
          </cell>
          <cell r="AN1977" t="str">
            <v xml:space="preserve">Contrato emergencial nº </v>
          </cell>
          <cell r="AO1977" t="str">
            <v>MP</v>
          </cell>
        </row>
        <row r="1978">
          <cell r="D1978" t="str">
            <v>3212/11</v>
          </cell>
          <cell r="E1978">
            <v>40854</v>
          </cell>
          <cell r="F1978">
            <v>41033</v>
          </cell>
          <cell r="G1978">
            <v>40908</v>
          </cell>
          <cell r="H1978" t="str">
            <v>2011-0.293.344-5</v>
          </cell>
          <cell r="I1978">
            <v>30606.240000000002</v>
          </cell>
          <cell r="J1978" t="str">
            <v xml:space="preserve">              123651121                 2847                    33903600</v>
          </cell>
          <cell r="K1978">
            <v>40854</v>
          </cell>
          <cell r="L1978">
            <v>55</v>
          </cell>
          <cell r="M1978">
            <v>9400</v>
          </cell>
          <cell r="N1978">
            <v>57273</v>
          </cell>
          <cell r="P1978">
            <v>16</v>
          </cell>
          <cell r="Q1978">
            <v>2</v>
          </cell>
          <cell r="V1978">
            <v>10400</v>
          </cell>
          <cell r="W1978">
            <v>180</v>
          </cell>
          <cell r="X1978">
            <v>8320</v>
          </cell>
          <cell r="Y1978">
            <v>122104</v>
          </cell>
          <cell r="Z1978">
            <v>12293.8</v>
          </cell>
          <cell r="AA1978">
            <v>18720</v>
          </cell>
          <cell r="AB1978">
            <v>170.03466666666668</v>
          </cell>
          <cell r="AC1978">
            <v>5200</v>
          </cell>
          <cell r="AD1978">
            <v>10379.481999999998</v>
          </cell>
          <cell r="AE1978">
            <v>-5179.4819999999982</v>
          </cell>
          <cell r="AF1978">
            <v>-3973.7999999999993</v>
          </cell>
          <cell r="AG1978">
            <v>3900</v>
          </cell>
          <cell r="AN1978" t="str">
            <v xml:space="preserve">Contrato emergencial nº </v>
          </cell>
          <cell r="AO1978" t="str">
            <v>PJ</v>
          </cell>
        </row>
        <row r="1979">
          <cell r="D1979" t="str">
            <v>3213/11</v>
          </cell>
          <cell r="E1979">
            <v>40854</v>
          </cell>
          <cell r="F1979">
            <v>41033</v>
          </cell>
          <cell r="G1979">
            <v>40908</v>
          </cell>
          <cell r="H1979" t="str">
            <v>2011-0.293.347-0</v>
          </cell>
          <cell r="I1979">
            <v>45632.28</v>
          </cell>
          <cell r="J1979" t="str">
            <v xml:space="preserve">              123651121                 2847                    33903600</v>
          </cell>
          <cell r="K1979">
            <v>40854</v>
          </cell>
          <cell r="L1979">
            <v>55</v>
          </cell>
          <cell r="M1979">
            <v>14000</v>
          </cell>
          <cell r="N1979">
            <v>57273</v>
          </cell>
          <cell r="P1979">
            <v>16</v>
          </cell>
          <cell r="Q1979">
            <v>2</v>
          </cell>
          <cell r="V1979">
            <v>7700</v>
          </cell>
          <cell r="W1979">
            <v>180</v>
          </cell>
          <cell r="X1979">
            <v>6160</v>
          </cell>
          <cell r="Y1979">
            <v>122112</v>
          </cell>
          <cell r="Z1979">
            <v>7165.52</v>
          </cell>
          <cell r="AA1979">
            <v>13860</v>
          </cell>
          <cell r="AB1979">
            <v>253.51266666666666</v>
          </cell>
          <cell r="AC1979">
            <v>7700</v>
          </cell>
          <cell r="AD1979">
            <v>7682.62</v>
          </cell>
          <cell r="AE1979">
            <v>17.380000000000109</v>
          </cell>
          <cell r="AF1979">
            <v>-1005.5200000000004</v>
          </cell>
          <cell r="AG1979">
            <v>1000</v>
          </cell>
          <cell r="AN1979" t="str">
            <v xml:space="preserve">Contrato emergencial nº </v>
          </cell>
          <cell r="AO1979" t="str">
            <v>PJ</v>
          </cell>
        </row>
        <row r="1980">
          <cell r="D1980" t="str">
            <v>3214/11</v>
          </cell>
          <cell r="E1980">
            <v>40854</v>
          </cell>
          <cell r="F1980">
            <v>41033</v>
          </cell>
          <cell r="G1980">
            <v>40908</v>
          </cell>
          <cell r="H1980" t="str">
            <v>2011-0.293.354-2</v>
          </cell>
          <cell r="I1980">
            <v>37607.879999999997</v>
          </cell>
          <cell r="J1980" t="str">
            <v xml:space="preserve">              123651121                 2847                    33903600</v>
          </cell>
          <cell r="K1980">
            <v>40854</v>
          </cell>
          <cell r="L1980">
            <v>55</v>
          </cell>
          <cell r="M1980">
            <v>11500</v>
          </cell>
          <cell r="N1980">
            <v>57273</v>
          </cell>
          <cell r="P1980">
            <v>16</v>
          </cell>
          <cell r="Q1980">
            <v>2</v>
          </cell>
          <cell r="V1980">
            <v>6300</v>
          </cell>
          <cell r="W1980">
            <v>180</v>
          </cell>
          <cell r="X1980">
            <v>5040</v>
          </cell>
          <cell r="Y1980">
            <v>122114</v>
          </cell>
          <cell r="Z1980">
            <v>6134.49</v>
          </cell>
          <cell r="AA1980">
            <v>11340</v>
          </cell>
          <cell r="AB1980">
            <v>208.93266666666665</v>
          </cell>
          <cell r="AC1980">
            <v>6300</v>
          </cell>
          <cell r="AD1980">
            <v>5712.1899999999987</v>
          </cell>
          <cell r="AE1980">
            <v>587.81000000000131</v>
          </cell>
          <cell r="AF1980">
            <v>-1094.4899999999998</v>
          </cell>
          <cell r="AG1980">
            <v>1000</v>
          </cell>
          <cell r="AN1980" t="str">
            <v xml:space="preserve">Contrato emergencial nº </v>
          </cell>
          <cell r="AO1980" t="str">
            <v>JT</v>
          </cell>
        </row>
        <row r="1981">
          <cell r="D1981" t="str">
            <v>3215/11</v>
          </cell>
          <cell r="E1981">
            <v>40854</v>
          </cell>
          <cell r="F1981">
            <v>41033</v>
          </cell>
          <cell r="G1981">
            <v>40908</v>
          </cell>
          <cell r="H1981" t="str">
            <v>2011-0.293.361-5</v>
          </cell>
          <cell r="I1981">
            <v>31012.38</v>
          </cell>
          <cell r="J1981" t="str">
            <v xml:space="preserve">              123651121                 2847                    33903600</v>
          </cell>
          <cell r="K1981">
            <v>40854</v>
          </cell>
          <cell r="L1981">
            <v>55</v>
          </cell>
          <cell r="M1981">
            <v>9500</v>
          </cell>
          <cell r="N1981">
            <v>57273</v>
          </cell>
          <cell r="P1981">
            <v>16</v>
          </cell>
          <cell r="Q1981">
            <v>2</v>
          </cell>
          <cell r="V1981">
            <v>5700</v>
          </cell>
          <cell r="W1981">
            <v>180</v>
          </cell>
          <cell r="X1981">
            <v>4560</v>
          </cell>
          <cell r="Y1981">
            <v>122118</v>
          </cell>
          <cell r="Z1981">
            <v>6284.51</v>
          </cell>
          <cell r="AA1981">
            <v>10260</v>
          </cell>
          <cell r="AB1981">
            <v>172.291</v>
          </cell>
          <cell r="AC1981">
            <v>5200</v>
          </cell>
          <cell r="AD1981">
            <v>5615.2574999999997</v>
          </cell>
          <cell r="AE1981">
            <v>-415.25749999999971</v>
          </cell>
          <cell r="AF1981">
            <v>-1724.5100000000002</v>
          </cell>
          <cell r="AG1981">
            <v>1700</v>
          </cell>
          <cell r="AN1981" t="str">
            <v xml:space="preserve">Contrato emergencial nº </v>
          </cell>
          <cell r="AO1981" t="str">
            <v xml:space="preserve">SA </v>
          </cell>
        </row>
        <row r="1982">
          <cell r="D1982" t="str">
            <v>3216/11</v>
          </cell>
          <cell r="E1982">
            <v>40854</v>
          </cell>
          <cell r="F1982">
            <v>41033</v>
          </cell>
          <cell r="G1982">
            <v>40908</v>
          </cell>
          <cell r="H1982" t="str">
            <v>2011-0.293.365-8</v>
          </cell>
          <cell r="I1982">
            <v>37607.879999999997</v>
          </cell>
          <cell r="J1982" t="str">
            <v xml:space="preserve">              123651121                 2847                    33903600</v>
          </cell>
          <cell r="K1982">
            <v>40854</v>
          </cell>
          <cell r="L1982">
            <v>55</v>
          </cell>
          <cell r="M1982">
            <v>11500</v>
          </cell>
          <cell r="N1982">
            <v>57273</v>
          </cell>
          <cell r="P1982">
            <v>16</v>
          </cell>
          <cell r="Q1982">
            <v>2</v>
          </cell>
          <cell r="V1982">
            <v>6300</v>
          </cell>
          <cell r="W1982">
            <v>180</v>
          </cell>
          <cell r="X1982">
            <v>5040</v>
          </cell>
          <cell r="Y1982">
            <v>122122</v>
          </cell>
          <cell r="Z1982">
            <v>6100.02</v>
          </cell>
          <cell r="AA1982">
            <v>11340</v>
          </cell>
          <cell r="AB1982">
            <v>208.93266666666665</v>
          </cell>
          <cell r="AC1982">
            <v>6300</v>
          </cell>
          <cell r="AD1982">
            <v>5916.28</v>
          </cell>
          <cell r="AE1982">
            <v>383.72000000000025</v>
          </cell>
          <cell r="AF1982">
            <v>-1060.0200000000004</v>
          </cell>
          <cell r="AG1982">
            <v>1000</v>
          </cell>
          <cell r="AN1982" t="str">
            <v xml:space="preserve">Contrato emergencial nº </v>
          </cell>
          <cell r="AO1982" t="str">
            <v>JT</v>
          </cell>
        </row>
        <row r="1983">
          <cell r="D1983" t="str">
            <v>3217/11</v>
          </cell>
          <cell r="E1983">
            <v>40854</v>
          </cell>
          <cell r="F1983">
            <v>41033</v>
          </cell>
          <cell r="G1983">
            <v>40908</v>
          </cell>
          <cell r="H1983" t="str">
            <v>2011-0.293.371-2</v>
          </cell>
          <cell r="I1983">
            <v>31012.38</v>
          </cell>
          <cell r="J1983" t="str">
            <v xml:space="preserve">              123611122                  2848                    33903600</v>
          </cell>
          <cell r="K1983">
            <v>40854</v>
          </cell>
          <cell r="L1983">
            <v>55</v>
          </cell>
          <cell r="M1983">
            <v>9500</v>
          </cell>
          <cell r="N1983">
            <v>57278</v>
          </cell>
          <cell r="P1983">
            <v>16</v>
          </cell>
          <cell r="Q1983">
            <v>3</v>
          </cell>
          <cell r="V1983">
            <v>5400</v>
          </cell>
          <cell r="W1983">
            <v>180</v>
          </cell>
          <cell r="X1983">
            <v>4320</v>
          </cell>
          <cell r="Y1983">
            <v>122125</v>
          </cell>
          <cell r="Z1983">
            <v>4966.68</v>
          </cell>
          <cell r="AA1983">
            <v>9720</v>
          </cell>
          <cell r="AB1983">
            <v>172.291</v>
          </cell>
          <cell r="AC1983">
            <v>5200</v>
          </cell>
          <cell r="AD1983">
            <v>5372.4</v>
          </cell>
          <cell r="AE1983">
            <v>-172.39999999999964</v>
          </cell>
          <cell r="AF1983">
            <v>-646.68000000000029</v>
          </cell>
          <cell r="AG1983">
            <v>600</v>
          </cell>
          <cell r="AN1983" t="str">
            <v xml:space="preserve">Contrato emergencial nº </v>
          </cell>
          <cell r="AO1983" t="str">
            <v>JT</v>
          </cell>
        </row>
        <row r="1984">
          <cell r="D1984" t="str">
            <v>3218/11</v>
          </cell>
          <cell r="E1984">
            <v>40854</v>
          </cell>
          <cell r="F1984">
            <v>41033</v>
          </cell>
          <cell r="G1984">
            <v>40908</v>
          </cell>
          <cell r="H1984" t="str">
            <v>2011-0.293.380-1</v>
          </cell>
          <cell r="I1984">
            <v>30606.240000000002</v>
          </cell>
          <cell r="J1984" t="str">
            <v xml:space="preserve">              123611122                  2848                    33903600</v>
          </cell>
          <cell r="K1984">
            <v>40854</v>
          </cell>
          <cell r="L1984">
            <v>55</v>
          </cell>
          <cell r="M1984">
            <v>9400</v>
          </cell>
          <cell r="N1984">
            <v>57278</v>
          </cell>
          <cell r="P1984">
            <v>16</v>
          </cell>
          <cell r="Q1984">
            <v>3</v>
          </cell>
          <cell r="V1984">
            <v>6000</v>
          </cell>
          <cell r="W1984">
            <v>180</v>
          </cell>
          <cell r="X1984">
            <v>4800</v>
          </cell>
          <cell r="Y1984">
            <v>122127</v>
          </cell>
          <cell r="Z1984">
            <v>6384.05</v>
          </cell>
          <cell r="AA1984">
            <v>10800</v>
          </cell>
          <cell r="AB1984">
            <v>170.03466666666668</v>
          </cell>
          <cell r="AC1984">
            <v>5200</v>
          </cell>
          <cell r="AD1984">
            <v>5918.9999999999991</v>
          </cell>
          <cell r="AE1984">
            <v>-718.99999999999909</v>
          </cell>
          <cell r="AF1984">
            <v>-1584.0500000000002</v>
          </cell>
          <cell r="AG1984">
            <v>1500</v>
          </cell>
          <cell r="AN1984" t="str">
            <v xml:space="preserve">Contrato emergencial nº </v>
          </cell>
          <cell r="AO1984" t="str">
            <v>MP</v>
          </cell>
        </row>
        <row r="1985">
          <cell r="D1985" t="str">
            <v>3219/11</v>
          </cell>
          <cell r="E1985">
            <v>40854</v>
          </cell>
          <cell r="F1985">
            <v>41033</v>
          </cell>
          <cell r="G1985">
            <v>40908</v>
          </cell>
          <cell r="H1985" t="str">
            <v>2011-0.293.384-4</v>
          </cell>
          <cell r="I1985">
            <v>30606.240000000002</v>
          </cell>
          <cell r="J1985" t="str">
            <v xml:space="preserve">              123611122                  2848                    33903600</v>
          </cell>
          <cell r="K1985">
            <v>40854</v>
          </cell>
          <cell r="L1985">
            <v>55</v>
          </cell>
          <cell r="M1985">
            <v>9400</v>
          </cell>
          <cell r="N1985">
            <v>57278</v>
          </cell>
          <cell r="P1985">
            <v>16</v>
          </cell>
          <cell r="Q1985">
            <v>3</v>
          </cell>
          <cell r="V1985">
            <v>5900</v>
          </cell>
          <cell r="W1985">
            <v>180</v>
          </cell>
          <cell r="X1985">
            <v>4720</v>
          </cell>
          <cell r="Y1985">
            <v>121930</v>
          </cell>
          <cell r="Z1985">
            <v>5455.69</v>
          </cell>
          <cell r="AA1985">
            <v>10620</v>
          </cell>
          <cell r="AB1985">
            <v>170.03466666666668</v>
          </cell>
          <cell r="AC1985">
            <v>5200</v>
          </cell>
          <cell r="AD1985">
            <v>5863.6399999999985</v>
          </cell>
          <cell r="AE1985">
            <v>-663.63999999999851</v>
          </cell>
          <cell r="AF1985">
            <v>-735.6899999999996</v>
          </cell>
          <cell r="AG1985">
            <v>700</v>
          </cell>
          <cell r="AN1985" t="str">
            <v xml:space="preserve">Contrato emergencial nº </v>
          </cell>
          <cell r="AO1985" t="str">
            <v>SM</v>
          </cell>
        </row>
        <row r="1986">
          <cell r="D1986" t="str">
            <v>3220/11</v>
          </cell>
          <cell r="E1986">
            <v>40855</v>
          </cell>
          <cell r="F1986">
            <v>41034</v>
          </cell>
          <cell r="G1986">
            <v>40908</v>
          </cell>
          <cell r="H1986" t="str">
            <v>2011-0.293.387-9</v>
          </cell>
          <cell r="I1986">
            <v>44324.52</v>
          </cell>
          <cell r="J1986" t="str">
            <v xml:space="preserve">              123651121                 2847                    33903600</v>
          </cell>
          <cell r="K1986">
            <v>40855</v>
          </cell>
          <cell r="L1986">
            <v>54</v>
          </cell>
          <cell r="M1986">
            <v>13300</v>
          </cell>
          <cell r="N1986">
            <v>57273</v>
          </cell>
          <cell r="P1986">
            <v>16</v>
          </cell>
          <cell r="Q1986">
            <v>2</v>
          </cell>
          <cell r="V1986">
            <v>7400</v>
          </cell>
          <cell r="W1986">
            <v>180</v>
          </cell>
          <cell r="X1986">
            <v>5920</v>
          </cell>
          <cell r="Y1986">
            <v>121933</v>
          </cell>
          <cell r="Z1986">
            <v>8321.23</v>
          </cell>
          <cell r="AA1986">
            <v>13320</v>
          </cell>
          <cell r="AB1986">
            <v>246.2473333333333</v>
          </cell>
          <cell r="AC1986">
            <v>7400</v>
          </cell>
          <cell r="AD1986">
            <v>5454.2546666666667</v>
          </cell>
          <cell r="AE1986">
            <v>1945.7453333333333</v>
          </cell>
          <cell r="AF1986">
            <v>-2401.2299999999996</v>
          </cell>
          <cell r="AG1986">
            <v>2400</v>
          </cell>
          <cell r="AN1986" t="str">
            <v xml:space="preserve">Contrato emergencial nº </v>
          </cell>
          <cell r="AO1986" t="str">
            <v>PE</v>
          </cell>
        </row>
        <row r="1987">
          <cell r="D1987" t="str">
            <v>3221/11</v>
          </cell>
          <cell r="E1987">
            <v>40854</v>
          </cell>
          <cell r="F1987">
            <v>41033</v>
          </cell>
          <cell r="G1987">
            <v>40908</v>
          </cell>
          <cell r="H1987" t="str">
            <v>2011-0.293.390-9</v>
          </cell>
          <cell r="I1987">
            <v>42815.37</v>
          </cell>
          <cell r="J1987" t="str">
            <v xml:space="preserve">              123651121                 2847                    33903600</v>
          </cell>
          <cell r="K1987">
            <v>40854</v>
          </cell>
          <cell r="L1987">
            <v>55</v>
          </cell>
          <cell r="M1987">
            <v>13100</v>
          </cell>
          <cell r="N1987">
            <v>57273</v>
          </cell>
          <cell r="P1987">
            <v>16</v>
          </cell>
          <cell r="Q1987">
            <v>2</v>
          </cell>
          <cell r="V1987">
            <v>7200</v>
          </cell>
          <cell r="W1987">
            <v>180</v>
          </cell>
          <cell r="X1987">
            <v>5760</v>
          </cell>
          <cell r="Y1987">
            <v>121935</v>
          </cell>
          <cell r="Z1987">
            <v>12288</v>
          </cell>
          <cell r="AA1987">
            <v>12960</v>
          </cell>
          <cell r="AB1987">
            <v>237.86316666666667</v>
          </cell>
          <cell r="AC1987">
            <v>7200</v>
          </cell>
          <cell r="AD1987">
            <v>5936.76</v>
          </cell>
          <cell r="AE1987">
            <v>1263.2399999999998</v>
          </cell>
          <cell r="AF1987">
            <v>-6528</v>
          </cell>
          <cell r="AG1987">
            <v>6500</v>
          </cell>
          <cell r="AN1987" t="str">
            <v xml:space="preserve">Contrato emergencial nº </v>
          </cell>
          <cell r="AO1987" t="str">
            <v>JT</v>
          </cell>
        </row>
        <row r="1988">
          <cell r="D1988" t="str">
            <v>3222/11</v>
          </cell>
          <cell r="E1988">
            <v>40857</v>
          </cell>
          <cell r="F1988">
            <v>41036</v>
          </cell>
          <cell r="G1988">
            <v>40908</v>
          </cell>
          <cell r="H1988" t="str">
            <v>2011-0.293.394-1</v>
          </cell>
          <cell r="I1988">
            <v>51135.96</v>
          </cell>
          <cell r="J1988" t="str">
            <v xml:space="preserve">              123651121                 2847                    33903600</v>
          </cell>
          <cell r="K1988">
            <v>40857</v>
          </cell>
          <cell r="L1988">
            <v>52</v>
          </cell>
          <cell r="M1988">
            <v>14800</v>
          </cell>
          <cell r="N1988">
            <v>57273</v>
          </cell>
          <cell r="P1988">
            <v>16</v>
          </cell>
          <cell r="Q1988">
            <v>2</v>
          </cell>
          <cell r="V1988">
            <v>8600</v>
          </cell>
          <cell r="W1988">
            <v>180</v>
          </cell>
          <cell r="X1988">
            <v>6880</v>
          </cell>
          <cell r="Y1988">
            <v>121941</v>
          </cell>
          <cell r="Z1988">
            <v>9695.9599999999991</v>
          </cell>
          <cell r="AA1988">
            <v>15480</v>
          </cell>
          <cell r="AB1988">
            <v>284.08866666666665</v>
          </cell>
          <cell r="AC1988">
            <v>8600</v>
          </cell>
          <cell r="AD1988">
            <v>8600</v>
          </cell>
          <cell r="AE1988">
            <v>0</v>
          </cell>
          <cell r="AF1988">
            <v>-2815.9599999999991</v>
          </cell>
          <cell r="AG1988">
            <v>2800</v>
          </cell>
          <cell r="AN1988" t="str">
            <v xml:space="preserve">Contrato emergencial nº </v>
          </cell>
          <cell r="AO1988" t="str">
            <v>CS</v>
          </cell>
        </row>
        <row r="1989">
          <cell r="D1989" t="str">
            <v>3223/11</v>
          </cell>
          <cell r="E1989">
            <v>40854</v>
          </cell>
          <cell r="F1989">
            <v>41033</v>
          </cell>
          <cell r="G1989">
            <v>40908</v>
          </cell>
          <cell r="H1989" t="str">
            <v>2011-0.293.420-4</v>
          </cell>
          <cell r="I1989">
            <v>44324.52</v>
          </cell>
          <cell r="J1989" t="str">
            <v xml:space="preserve">              123651121                 2847                    33903600</v>
          </cell>
          <cell r="K1989">
            <v>40854</v>
          </cell>
          <cell r="L1989">
            <v>55</v>
          </cell>
          <cell r="M1989">
            <v>13600</v>
          </cell>
          <cell r="N1989">
            <v>57273</v>
          </cell>
          <cell r="P1989">
            <v>16</v>
          </cell>
          <cell r="Q1989">
            <v>2</v>
          </cell>
          <cell r="V1989">
            <v>7400</v>
          </cell>
          <cell r="W1989">
            <v>180</v>
          </cell>
          <cell r="X1989">
            <v>5920</v>
          </cell>
          <cell r="Y1989">
            <v>121944</v>
          </cell>
          <cell r="Z1989">
            <v>7648.54</v>
          </cell>
          <cell r="AA1989">
            <v>13320</v>
          </cell>
          <cell r="AB1989">
            <v>246.2473333333333</v>
          </cell>
          <cell r="AC1989">
            <v>7400</v>
          </cell>
          <cell r="AD1989">
            <v>6243.0849999999991</v>
          </cell>
          <cell r="AE1989">
            <v>1156.9150000000009</v>
          </cell>
          <cell r="AF1989">
            <v>-1728.54</v>
          </cell>
          <cell r="AG1989">
            <v>1700</v>
          </cell>
          <cell r="AN1989" t="str">
            <v xml:space="preserve">Contrato emergencial nº </v>
          </cell>
          <cell r="AO1989" t="str">
            <v>JT</v>
          </cell>
        </row>
        <row r="1990">
          <cell r="D1990" t="str">
            <v>3224/11</v>
          </cell>
          <cell r="E1990">
            <v>40854</v>
          </cell>
          <cell r="F1990">
            <v>41033</v>
          </cell>
          <cell r="G1990">
            <v>40908</v>
          </cell>
          <cell r="H1990" t="str">
            <v>2011-0.293.191-4</v>
          </cell>
          <cell r="I1990">
            <v>45632.28</v>
          </cell>
          <cell r="J1990" t="str">
            <v xml:space="preserve">              123611122                  2848                    33903600</v>
          </cell>
          <cell r="K1990">
            <v>40854</v>
          </cell>
          <cell r="L1990">
            <v>55</v>
          </cell>
          <cell r="M1990">
            <v>14000</v>
          </cell>
          <cell r="N1990">
            <v>57278</v>
          </cell>
          <cell r="P1990">
            <v>16</v>
          </cell>
          <cell r="Q1990">
            <v>3</v>
          </cell>
          <cell r="V1990">
            <v>7700</v>
          </cell>
          <cell r="W1990">
            <v>180</v>
          </cell>
          <cell r="X1990">
            <v>6160</v>
          </cell>
          <cell r="Y1990">
            <v>121948</v>
          </cell>
          <cell r="Z1990">
            <v>7569.8</v>
          </cell>
          <cell r="AA1990">
            <v>13860</v>
          </cell>
          <cell r="AB1990">
            <v>253.51266666666666</v>
          </cell>
          <cell r="AC1990">
            <v>7700</v>
          </cell>
          <cell r="AD1990">
            <v>6744.3700000000008</v>
          </cell>
          <cell r="AE1990">
            <v>955.6299999999992</v>
          </cell>
          <cell r="AF1990">
            <v>-1409.8000000000002</v>
          </cell>
          <cell r="AG1990">
            <v>1400</v>
          </cell>
          <cell r="AN1990" t="str">
            <v xml:space="preserve">Contrato emergencial nº </v>
          </cell>
          <cell r="AO1990" t="str">
            <v>JT</v>
          </cell>
        </row>
        <row r="1991">
          <cell r="D1991" t="str">
            <v>3225/11</v>
          </cell>
          <cell r="E1991">
            <v>40854</v>
          </cell>
          <cell r="F1991">
            <v>41033</v>
          </cell>
          <cell r="G1991">
            <v>40908</v>
          </cell>
          <cell r="H1991" t="str">
            <v>2011-0.293.196-5</v>
          </cell>
          <cell r="I1991">
            <v>44978.400000000001</v>
          </cell>
          <cell r="J1991" t="str">
            <v xml:space="preserve">              123611122                  2848                    33903600</v>
          </cell>
          <cell r="K1991">
            <v>40854</v>
          </cell>
          <cell r="L1991">
            <v>55</v>
          </cell>
          <cell r="M1991">
            <v>13800</v>
          </cell>
          <cell r="N1991">
            <v>57278</v>
          </cell>
          <cell r="P1991">
            <v>16</v>
          </cell>
          <cell r="Q1991">
            <v>3</v>
          </cell>
          <cell r="V1991">
            <v>7500</v>
          </cell>
          <cell r="W1991">
            <v>180</v>
          </cell>
          <cell r="X1991">
            <v>6000</v>
          </cell>
          <cell r="Y1991">
            <v>121950</v>
          </cell>
          <cell r="Z1991">
            <v>7812.29</v>
          </cell>
          <cell r="AA1991">
            <v>13500</v>
          </cell>
          <cell r="AB1991">
            <v>249.88</v>
          </cell>
          <cell r="AC1991">
            <v>7500</v>
          </cell>
          <cell r="AD1991">
            <v>6957.79</v>
          </cell>
          <cell r="AE1991">
            <v>542.21</v>
          </cell>
          <cell r="AF1991">
            <v>-1812.29</v>
          </cell>
          <cell r="AG1991">
            <v>1800</v>
          </cell>
          <cell r="AN1991" t="str">
            <v xml:space="preserve">Contrato emergencial nº </v>
          </cell>
          <cell r="AO1991" t="str">
            <v>PE</v>
          </cell>
        </row>
        <row r="1992">
          <cell r="D1992" t="str">
            <v>3226/11</v>
          </cell>
          <cell r="E1992">
            <v>40854</v>
          </cell>
          <cell r="F1992">
            <v>41033</v>
          </cell>
          <cell r="G1992">
            <v>40908</v>
          </cell>
          <cell r="H1992" t="str">
            <v>2011-0.293.200-7</v>
          </cell>
          <cell r="I1992">
            <v>24128.06</v>
          </cell>
          <cell r="J1992" t="str">
            <v xml:space="preserve">              123611122                  2848                    33903600</v>
          </cell>
          <cell r="K1992">
            <v>40854</v>
          </cell>
          <cell r="L1992">
            <v>55</v>
          </cell>
          <cell r="M1992">
            <v>7400</v>
          </cell>
          <cell r="N1992">
            <v>57278</v>
          </cell>
          <cell r="P1992">
            <v>16</v>
          </cell>
          <cell r="Q1992">
            <v>3</v>
          </cell>
          <cell r="V1992">
            <v>5900</v>
          </cell>
          <cell r="W1992">
            <v>180</v>
          </cell>
          <cell r="X1992">
            <v>4720</v>
          </cell>
          <cell r="Y1992">
            <v>121953</v>
          </cell>
          <cell r="Z1992">
            <v>6149.1</v>
          </cell>
          <cell r="AA1992">
            <v>10620</v>
          </cell>
          <cell r="AB1992">
            <v>134.0447777777778</v>
          </cell>
          <cell r="AC1992">
            <v>4100</v>
          </cell>
          <cell r="AD1992">
            <v>5859.82</v>
          </cell>
          <cell r="AE1992">
            <v>-1759.8199999999997</v>
          </cell>
          <cell r="AF1992">
            <v>-1429.1000000000004</v>
          </cell>
          <cell r="AG1992">
            <v>1400</v>
          </cell>
          <cell r="AN1992" t="str">
            <v xml:space="preserve">Contrato emergencial nº </v>
          </cell>
          <cell r="AO1992" t="str">
            <v>PJ</v>
          </cell>
        </row>
        <row r="1993">
          <cell r="D1993" t="str">
            <v>3227/11</v>
          </cell>
          <cell r="E1993">
            <v>40854</v>
          </cell>
          <cell r="F1993">
            <v>41033</v>
          </cell>
          <cell r="G1993">
            <v>40908</v>
          </cell>
          <cell r="H1993" t="str">
            <v>2011-0.293.203-1</v>
          </cell>
          <cell r="I1993">
            <v>38915.58</v>
          </cell>
          <cell r="J1993" t="str">
            <v xml:space="preserve">              123611122                  2848                    33903600</v>
          </cell>
          <cell r="K1993">
            <v>40854</v>
          </cell>
          <cell r="L1993">
            <v>55</v>
          </cell>
          <cell r="M1993">
            <v>11900</v>
          </cell>
          <cell r="N1993">
            <v>57278</v>
          </cell>
          <cell r="P1993">
            <v>16</v>
          </cell>
          <cell r="Q1993">
            <v>3</v>
          </cell>
          <cell r="V1993">
            <v>6500</v>
          </cell>
          <cell r="W1993">
            <v>180</v>
          </cell>
          <cell r="X1993">
            <v>5200</v>
          </cell>
          <cell r="Y1993">
            <v>121956</v>
          </cell>
          <cell r="Z1993">
            <v>6968.64</v>
          </cell>
          <cell r="AA1993">
            <v>11700</v>
          </cell>
          <cell r="AB1993">
            <v>216.19766666666666</v>
          </cell>
          <cell r="AC1993">
            <v>6500</v>
          </cell>
          <cell r="AD1993">
            <v>5114.04</v>
          </cell>
          <cell r="AE1993">
            <v>1385.96</v>
          </cell>
          <cell r="AF1993">
            <v>-1768.6400000000003</v>
          </cell>
          <cell r="AG1993">
            <v>1700</v>
          </cell>
          <cell r="AN1993" t="str">
            <v xml:space="preserve">Contrato emergencial nº </v>
          </cell>
          <cell r="AO1993" t="str">
            <v>SA</v>
          </cell>
        </row>
        <row r="1994">
          <cell r="D1994" t="str">
            <v>3228/11</v>
          </cell>
          <cell r="E1994">
            <v>40854</v>
          </cell>
          <cell r="F1994">
            <v>41033</v>
          </cell>
          <cell r="G1994">
            <v>40908</v>
          </cell>
          <cell r="H1994" t="str">
            <v>2011-0.293.213-9</v>
          </cell>
          <cell r="I1994">
            <v>38261.760000000002</v>
          </cell>
          <cell r="J1994" t="str">
            <v xml:space="preserve">              123651121                 2847                    33903600</v>
          </cell>
          <cell r="K1994">
            <v>40854</v>
          </cell>
          <cell r="L1994">
            <v>55</v>
          </cell>
          <cell r="M1994">
            <v>11700</v>
          </cell>
          <cell r="N1994">
            <v>57273</v>
          </cell>
          <cell r="P1994">
            <v>16</v>
          </cell>
          <cell r="Q1994">
            <v>2</v>
          </cell>
          <cell r="V1994">
            <v>6400</v>
          </cell>
          <cell r="W1994">
            <v>180</v>
          </cell>
          <cell r="X1994">
            <v>5120</v>
          </cell>
          <cell r="Y1994">
            <v>121961</v>
          </cell>
          <cell r="Z1994">
            <v>6857.65</v>
          </cell>
          <cell r="AA1994">
            <v>11520</v>
          </cell>
          <cell r="AB1994">
            <v>212.56533333333334</v>
          </cell>
          <cell r="AC1994">
            <v>6400</v>
          </cell>
          <cell r="AD1994">
            <v>5148.0599999999986</v>
          </cell>
          <cell r="AE1994">
            <v>1251.9400000000014</v>
          </cell>
          <cell r="AF1994">
            <v>-1737.6499999999996</v>
          </cell>
          <cell r="AG1994">
            <v>1700</v>
          </cell>
          <cell r="AN1994" t="str">
            <v xml:space="preserve">Contrato emergencial nº </v>
          </cell>
          <cell r="AO1994" t="str">
            <v>CL</v>
          </cell>
        </row>
        <row r="1995">
          <cell r="D1995" t="str">
            <v>3229/11</v>
          </cell>
          <cell r="E1995">
            <v>40854</v>
          </cell>
          <cell r="F1995">
            <v>41033</v>
          </cell>
          <cell r="G1995">
            <v>40908</v>
          </cell>
          <cell r="H1995" t="str">
            <v>2011-0.293.222-8</v>
          </cell>
          <cell r="I1995">
            <v>30606.240000000002</v>
          </cell>
          <cell r="J1995" t="str">
            <v xml:space="preserve">              123651121                 2847                    33903600</v>
          </cell>
          <cell r="K1995">
            <v>40854</v>
          </cell>
          <cell r="L1995">
            <v>55</v>
          </cell>
          <cell r="M1995">
            <v>9400</v>
          </cell>
          <cell r="N1995">
            <v>57273</v>
          </cell>
          <cell r="P1995">
            <v>16</v>
          </cell>
          <cell r="Q1995">
            <v>2</v>
          </cell>
          <cell r="V1995">
            <v>5600</v>
          </cell>
          <cell r="W1995">
            <v>180</v>
          </cell>
          <cell r="X1995">
            <v>4480</v>
          </cell>
          <cell r="Y1995">
            <v>121963</v>
          </cell>
          <cell r="Z1995">
            <v>6175.78</v>
          </cell>
          <cell r="AA1995">
            <v>10080</v>
          </cell>
          <cell r="AB1995">
            <v>170.03466666666668</v>
          </cell>
          <cell r="AC1995">
            <v>5200</v>
          </cell>
          <cell r="AD1995">
            <v>5519.52</v>
          </cell>
          <cell r="AE1995">
            <v>-319.52000000000044</v>
          </cell>
          <cell r="AF1995">
            <v>-1695.7799999999997</v>
          </cell>
          <cell r="AG1995">
            <v>1600</v>
          </cell>
          <cell r="AN1995" t="str">
            <v xml:space="preserve">Contrato emergencial nº </v>
          </cell>
          <cell r="AO1995" t="str">
            <v>CL</v>
          </cell>
        </row>
        <row r="1996">
          <cell r="D1996" t="str">
            <v>3230/11</v>
          </cell>
          <cell r="E1996">
            <v>40854</v>
          </cell>
          <cell r="F1996">
            <v>41033</v>
          </cell>
          <cell r="G1996">
            <v>40908</v>
          </cell>
          <cell r="H1996" t="str">
            <v>2011-0.293.230-9</v>
          </cell>
          <cell r="I1996">
            <v>38261.760000000002</v>
          </cell>
          <cell r="J1996" t="str">
            <v xml:space="preserve">              123651121                 2847                    33903600</v>
          </cell>
          <cell r="K1996">
            <v>40854</v>
          </cell>
          <cell r="L1996">
            <v>55</v>
          </cell>
          <cell r="M1996">
            <v>11700</v>
          </cell>
          <cell r="N1996">
            <v>57273</v>
          </cell>
          <cell r="P1996">
            <v>16</v>
          </cell>
          <cell r="Q1996">
            <v>2</v>
          </cell>
          <cell r="V1996">
            <v>6400</v>
          </cell>
          <cell r="W1996">
            <v>180</v>
          </cell>
          <cell r="X1996">
            <v>5120</v>
          </cell>
          <cell r="Y1996">
            <v>121967</v>
          </cell>
          <cell r="Z1996">
            <v>6956.91</v>
          </cell>
          <cell r="AA1996">
            <v>11520</v>
          </cell>
          <cell r="AB1996">
            <v>212.56533333333334</v>
          </cell>
          <cell r="AC1996">
            <v>6400</v>
          </cell>
          <cell r="AD1996">
            <v>4861.3600000000006</v>
          </cell>
          <cell r="AE1996">
            <v>1538.6399999999994</v>
          </cell>
          <cell r="AF1996">
            <v>-1836.9099999999999</v>
          </cell>
          <cell r="AG1996">
            <v>1800</v>
          </cell>
          <cell r="AN1996" t="str">
            <v xml:space="preserve">Contrato emergencial nº </v>
          </cell>
          <cell r="AO1996" t="str">
            <v>JT</v>
          </cell>
        </row>
        <row r="1997">
          <cell r="D1997" t="str">
            <v>3231/11</v>
          </cell>
          <cell r="E1997">
            <v>40854</v>
          </cell>
          <cell r="F1997">
            <v>41033</v>
          </cell>
          <cell r="G1997">
            <v>40908</v>
          </cell>
          <cell r="H1997" t="str">
            <v>2011-0.293.241-4</v>
          </cell>
          <cell r="I1997">
            <v>40976.639999999999</v>
          </cell>
          <cell r="J1997" t="str">
            <v xml:space="preserve">              123611122                  2848                    33903600</v>
          </cell>
          <cell r="K1997">
            <v>40854</v>
          </cell>
          <cell r="L1997">
            <v>55</v>
          </cell>
          <cell r="M1997">
            <v>12600</v>
          </cell>
          <cell r="N1997">
            <v>57278</v>
          </cell>
          <cell r="P1997">
            <v>16</v>
          </cell>
          <cell r="Q1997">
            <v>3</v>
          </cell>
          <cell r="V1997">
            <v>9700</v>
          </cell>
          <cell r="W1997">
            <v>180</v>
          </cell>
          <cell r="X1997">
            <v>7760</v>
          </cell>
          <cell r="Y1997">
            <v>121972</v>
          </cell>
          <cell r="Z1997">
            <v>8881.4500000000007</v>
          </cell>
          <cell r="AA1997">
            <v>17460</v>
          </cell>
          <cell r="AB1997">
            <v>227.648</v>
          </cell>
          <cell r="AC1997">
            <v>6900</v>
          </cell>
          <cell r="AD1997">
            <v>9682.2000000000007</v>
          </cell>
          <cell r="AE1997">
            <v>-2782.2000000000007</v>
          </cell>
          <cell r="AF1997">
            <v>-1121.4500000000007</v>
          </cell>
          <cell r="AG1997">
            <v>1100</v>
          </cell>
          <cell r="AN1997" t="str">
            <v xml:space="preserve">Contrato emergencial nº </v>
          </cell>
          <cell r="AO1997" t="str">
            <v>CS</v>
          </cell>
        </row>
        <row r="1998">
          <cell r="D1998" t="str">
            <v>3232/11</v>
          </cell>
          <cell r="E1998">
            <v>40854</v>
          </cell>
          <cell r="F1998">
            <v>41033</v>
          </cell>
          <cell r="G1998">
            <v>40908</v>
          </cell>
          <cell r="H1998" t="str">
            <v>2011-0.293.246-5</v>
          </cell>
          <cell r="I1998">
            <v>42184.92</v>
          </cell>
          <cell r="J1998" t="str">
            <v xml:space="preserve">             123671125                  2863                   33903600</v>
          </cell>
          <cell r="K1998">
            <v>40854</v>
          </cell>
          <cell r="L1998">
            <v>55</v>
          </cell>
          <cell r="M1998">
            <v>12900</v>
          </cell>
          <cell r="N1998">
            <v>57287</v>
          </cell>
          <cell r="P1998">
            <v>16</v>
          </cell>
          <cell r="Q1998">
            <v>4</v>
          </cell>
          <cell r="V1998">
            <v>7600</v>
          </cell>
          <cell r="W1998">
            <v>180</v>
          </cell>
          <cell r="X1998">
            <v>6080</v>
          </cell>
          <cell r="Y1998">
            <v>122489</v>
          </cell>
          <cell r="Z1998">
            <v>6051.94</v>
          </cell>
          <cell r="AA1998">
            <v>13680</v>
          </cell>
          <cell r="AB1998">
            <v>234.36066666666665</v>
          </cell>
          <cell r="AC1998">
            <v>7100</v>
          </cell>
          <cell r="AD1998">
            <v>7584.5</v>
          </cell>
          <cell r="AE1998">
            <v>-484.5</v>
          </cell>
          <cell r="AF1998">
            <v>28.0600000000004</v>
          </cell>
          <cell r="AN1998" t="str">
            <v xml:space="preserve">Contrato emergencial nº </v>
          </cell>
          <cell r="AO1998" t="str">
            <v>MP</v>
          </cell>
        </row>
        <row r="1999">
          <cell r="D1999" t="str">
            <v>3233/11</v>
          </cell>
          <cell r="E1999">
            <v>40854</v>
          </cell>
          <cell r="F1999">
            <v>41033</v>
          </cell>
          <cell r="G1999">
            <v>40908</v>
          </cell>
          <cell r="H1999" t="str">
            <v>2011-0.293.248-1</v>
          </cell>
          <cell r="I1999">
            <v>31418.52</v>
          </cell>
          <cell r="J1999" t="str">
            <v xml:space="preserve">              123611122                  2848                    33903600</v>
          </cell>
          <cell r="K1999">
            <v>40854</v>
          </cell>
          <cell r="L1999">
            <v>55</v>
          </cell>
          <cell r="M1999">
            <v>9700</v>
          </cell>
          <cell r="N1999">
            <v>57278</v>
          </cell>
          <cell r="P1999">
            <v>16</v>
          </cell>
          <cell r="Q1999">
            <v>3</v>
          </cell>
          <cell r="V1999">
            <v>5900</v>
          </cell>
          <cell r="W1999">
            <v>180</v>
          </cell>
          <cell r="X1999">
            <v>4720</v>
          </cell>
          <cell r="Y1999">
            <v>121981</v>
          </cell>
          <cell r="Z1999">
            <v>4677.07</v>
          </cell>
          <cell r="AA1999">
            <v>10620</v>
          </cell>
          <cell r="AB1999">
            <v>174.54733333333334</v>
          </cell>
          <cell r="AC1999">
            <v>5300</v>
          </cell>
          <cell r="AD1999">
            <v>5894.2960000000012</v>
          </cell>
          <cell r="AE1999">
            <v>-594.29600000000119</v>
          </cell>
          <cell r="AF1999">
            <v>42.930000000000291</v>
          </cell>
          <cell r="AN1999" t="str">
            <v xml:space="preserve">Contrato emergencial nº </v>
          </cell>
          <cell r="AO1999" t="str">
            <v>CS</v>
          </cell>
        </row>
        <row r="2000">
          <cell r="D2000" t="str">
            <v>3234/11</v>
          </cell>
          <cell r="E2000">
            <v>40854</v>
          </cell>
          <cell r="F2000">
            <v>41033</v>
          </cell>
          <cell r="G2000">
            <v>40908</v>
          </cell>
          <cell r="H2000" t="str">
            <v>2011-0.293.254-6</v>
          </cell>
          <cell r="I2000">
            <v>38261.760000000002</v>
          </cell>
          <cell r="J2000" t="str">
            <v xml:space="preserve">              123651121                 2847                    33903600</v>
          </cell>
          <cell r="K2000">
            <v>40854</v>
          </cell>
          <cell r="L2000">
            <v>55</v>
          </cell>
          <cell r="M2000">
            <v>11700</v>
          </cell>
          <cell r="N2000">
            <v>57273</v>
          </cell>
          <cell r="P2000">
            <v>16</v>
          </cell>
          <cell r="Q2000">
            <v>2</v>
          </cell>
          <cell r="V2000">
            <v>6400</v>
          </cell>
          <cell r="W2000">
            <v>180</v>
          </cell>
          <cell r="X2000">
            <v>5120</v>
          </cell>
          <cell r="Y2000">
            <v>121985</v>
          </cell>
          <cell r="Z2000">
            <v>6308.11</v>
          </cell>
          <cell r="AA2000">
            <v>11520</v>
          </cell>
          <cell r="AB2000">
            <v>212.56533333333334</v>
          </cell>
          <cell r="AC2000">
            <v>6400</v>
          </cell>
          <cell r="AD2000">
            <v>6400</v>
          </cell>
          <cell r="AE2000">
            <v>0</v>
          </cell>
          <cell r="AF2000">
            <v>-1188.1099999999997</v>
          </cell>
          <cell r="AG2000">
            <v>1100</v>
          </cell>
          <cell r="AN2000" t="str">
            <v xml:space="preserve">Contrato emergencial nº </v>
          </cell>
          <cell r="AO2000" t="str">
            <v>G</v>
          </cell>
        </row>
        <row r="2001">
          <cell r="D2001" t="str">
            <v>3235/11</v>
          </cell>
          <cell r="E2001">
            <v>40857</v>
          </cell>
          <cell r="F2001">
            <v>41036</v>
          </cell>
          <cell r="G2001">
            <v>40908</v>
          </cell>
          <cell r="H2001" t="str">
            <v>2011-0.293.287-2</v>
          </cell>
          <cell r="I2001">
            <v>24266.22</v>
          </cell>
          <cell r="J2001" t="str">
            <v xml:space="preserve">              123611122                  2848                    33903600</v>
          </cell>
          <cell r="K2001">
            <v>40857</v>
          </cell>
          <cell r="L2001">
            <v>52</v>
          </cell>
          <cell r="M2001">
            <v>7100</v>
          </cell>
          <cell r="N2001">
            <v>57278</v>
          </cell>
          <cell r="P2001">
            <v>16</v>
          </cell>
          <cell r="Q2001">
            <v>3</v>
          </cell>
          <cell r="V2001">
            <v>4600</v>
          </cell>
          <cell r="W2001">
            <v>180</v>
          </cell>
          <cell r="X2001">
            <v>3680</v>
          </cell>
          <cell r="Y2001">
            <v>121988</v>
          </cell>
          <cell r="Z2001">
            <v>4588.41</v>
          </cell>
          <cell r="AA2001">
            <v>8280</v>
          </cell>
          <cell r="AB2001">
            <v>134.81233333333333</v>
          </cell>
          <cell r="AC2001">
            <v>4100</v>
          </cell>
          <cell r="AD2001">
            <v>4509.6100000000006</v>
          </cell>
          <cell r="AE2001">
            <v>-409.61000000000058</v>
          </cell>
          <cell r="AF2001">
            <v>-908.40999999999985</v>
          </cell>
          <cell r="AG2001">
            <v>900</v>
          </cell>
          <cell r="AN2001" t="str">
            <v xml:space="preserve">Contrato emergencial nº </v>
          </cell>
          <cell r="AO2001" t="str">
            <v>CS</v>
          </cell>
        </row>
        <row r="2002">
          <cell r="D2002" t="str">
            <v>3236/11</v>
          </cell>
          <cell r="E2002">
            <v>40864</v>
          </cell>
          <cell r="F2002">
            <v>41043</v>
          </cell>
          <cell r="G2002">
            <v>40908</v>
          </cell>
          <cell r="H2002" t="str">
            <v>2011-0.293.293-7</v>
          </cell>
          <cell r="I2002">
            <v>23453.94</v>
          </cell>
          <cell r="J2002" t="str">
            <v xml:space="preserve">              123651121                 2847                    33903600</v>
          </cell>
          <cell r="K2002">
            <v>40864</v>
          </cell>
          <cell r="L2002">
            <v>45</v>
          </cell>
          <cell r="M2002">
            <v>5900</v>
          </cell>
          <cell r="N2002">
            <v>57273</v>
          </cell>
          <cell r="P2002">
            <v>16</v>
          </cell>
          <cell r="Q2002">
            <v>2</v>
          </cell>
          <cell r="V2002">
            <v>4700</v>
          </cell>
          <cell r="W2002">
            <v>180</v>
          </cell>
          <cell r="X2002">
            <v>3760</v>
          </cell>
          <cell r="Y2002">
            <v>121991</v>
          </cell>
          <cell r="Z2002">
            <v>6075.77</v>
          </cell>
          <cell r="AA2002">
            <v>8460</v>
          </cell>
          <cell r="AB2002">
            <v>130.29966666666667</v>
          </cell>
          <cell r="AC2002">
            <v>4000</v>
          </cell>
          <cell r="AD2002">
            <v>4627.84</v>
          </cell>
          <cell r="AE2002">
            <v>-627.84000000000015</v>
          </cell>
          <cell r="AF2002">
            <v>-2315.7700000000004</v>
          </cell>
          <cell r="AG2002">
            <v>2300</v>
          </cell>
          <cell r="AN2002" t="str">
            <v xml:space="preserve">Contrato emergencial nº </v>
          </cell>
          <cell r="AO2002" t="str">
            <v>CL</v>
          </cell>
        </row>
        <row r="2003">
          <cell r="D2003" t="str">
            <v>3237/11</v>
          </cell>
          <cell r="E2003">
            <v>40854</v>
          </cell>
          <cell r="F2003">
            <v>41033</v>
          </cell>
          <cell r="G2003">
            <v>40908</v>
          </cell>
          <cell r="H2003" t="str">
            <v>2011-0.293.298-8</v>
          </cell>
          <cell r="I2003">
            <v>28377.3</v>
          </cell>
          <cell r="J2003" t="str">
            <v xml:space="preserve">              123651121                 2847                    33903600</v>
          </cell>
          <cell r="K2003">
            <v>40854</v>
          </cell>
          <cell r="L2003">
            <v>55</v>
          </cell>
          <cell r="M2003">
            <v>8700</v>
          </cell>
          <cell r="N2003">
            <v>57273</v>
          </cell>
          <cell r="P2003">
            <v>16</v>
          </cell>
          <cell r="Q2003">
            <v>2</v>
          </cell>
          <cell r="V2003">
            <v>4800</v>
          </cell>
          <cell r="W2003">
            <v>180</v>
          </cell>
          <cell r="X2003">
            <v>3840</v>
          </cell>
          <cell r="Y2003">
            <v>121995</v>
          </cell>
          <cell r="Z2003">
            <v>3879.91</v>
          </cell>
          <cell r="AA2003">
            <v>8640</v>
          </cell>
          <cell r="AB2003">
            <v>157.65166666666667</v>
          </cell>
          <cell r="AC2003">
            <v>4800</v>
          </cell>
          <cell r="AD2003">
            <v>4800</v>
          </cell>
          <cell r="AE2003">
            <v>0</v>
          </cell>
          <cell r="AF2003">
            <v>-39.909999999999854</v>
          </cell>
          <cell r="AG2003">
            <v>0</v>
          </cell>
          <cell r="AN2003" t="str">
            <v xml:space="preserve">Contrato emergencial nº </v>
          </cell>
          <cell r="AO2003" t="str">
            <v>CS</v>
          </cell>
        </row>
        <row r="2004">
          <cell r="D2004" t="str">
            <v>3238/11</v>
          </cell>
          <cell r="E2004">
            <v>40854</v>
          </cell>
          <cell r="F2004">
            <v>41033</v>
          </cell>
          <cell r="G2004">
            <v>40908</v>
          </cell>
          <cell r="H2004" t="str">
            <v>2011-0.293.304-6</v>
          </cell>
          <cell r="I2004">
            <v>31012.38</v>
          </cell>
          <cell r="J2004" t="str">
            <v xml:space="preserve">              123611122                  2848                    33903600</v>
          </cell>
          <cell r="K2004">
            <v>40854</v>
          </cell>
          <cell r="L2004">
            <v>55</v>
          </cell>
          <cell r="M2004">
            <v>9500</v>
          </cell>
          <cell r="N2004">
            <v>57278</v>
          </cell>
          <cell r="P2004">
            <v>16</v>
          </cell>
          <cell r="Q2004">
            <v>3</v>
          </cell>
          <cell r="V2004">
            <v>5200</v>
          </cell>
          <cell r="W2004">
            <v>180</v>
          </cell>
          <cell r="X2004">
            <v>4160</v>
          </cell>
          <cell r="Y2004">
            <v>121997</v>
          </cell>
          <cell r="Z2004">
            <v>5018.21</v>
          </cell>
          <cell r="AA2004">
            <v>9360</v>
          </cell>
          <cell r="AB2004">
            <v>172.291</v>
          </cell>
          <cell r="AC2004">
            <v>5200</v>
          </cell>
          <cell r="AD2004">
            <v>3727.04</v>
          </cell>
          <cell r="AE2004">
            <v>1472.96</v>
          </cell>
          <cell r="AF2004">
            <v>-858.21</v>
          </cell>
          <cell r="AG2004">
            <v>800</v>
          </cell>
          <cell r="AN2004" t="str">
            <v xml:space="preserve">Contrato emergencial nº </v>
          </cell>
          <cell r="AO2004" t="str">
            <v>JT</v>
          </cell>
        </row>
        <row r="2005">
          <cell r="D2005" t="str">
            <v>3239/11</v>
          </cell>
          <cell r="E2005">
            <v>40854</v>
          </cell>
          <cell r="F2005">
            <v>41033</v>
          </cell>
          <cell r="G2005">
            <v>40908</v>
          </cell>
          <cell r="H2005" t="str">
            <v>2011-0.293.308-9</v>
          </cell>
          <cell r="I2005">
            <v>44324.52</v>
          </cell>
          <cell r="J2005" t="str">
            <v xml:space="preserve">              123651121                 2847                    33903600</v>
          </cell>
          <cell r="K2005">
            <v>40854</v>
          </cell>
          <cell r="L2005">
            <v>55</v>
          </cell>
          <cell r="M2005">
            <v>13600</v>
          </cell>
          <cell r="N2005">
            <v>57273</v>
          </cell>
          <cell r="P2005">
            <v>16</v>
          </cell>
          <cell r="Q2005">
            <v>2</v>
          </cell>
          <cell r="V2005">
            <v>7400</v>
          </cell>
          <cell r="W2005">
            <v>180</v>
          </cell>
          <cell r="X2005">
            <v>5920</v>
          </cell>
          <cell r="Y2005">
            <v>122003</v>
          </cell>
          <cell r="Z2005">
            <v>6933.63</v>
          </cell>
          <cell r="AA2005">
            <v>13320</v>
          </cell>
          <cell r="AB2005">
            <v>246.2473333333333</v>
          </cell>
          <cell r="AC2005">
            <v>7400</v>
          </cell>
          <cell r="AD2005">
            <v>7245.22</v>
          </cell>
          <cell r="AE2005">
            <v>154.77999999999975</v>
          </cell>
          <cell r="AF2005">
            <v>-1013.6300000000001</v>
          </cell>
          <cell r="AG2005">
            <v>1000</v>
          </cell>
          <cell r="AN2005" t="str">
            <v xml:space="preserve">Contrato emergencial nº </v>
          </cell>
          <cell r="AO2005" t="str">
            <v>PJ</v>
          </cell>
        </row>
        <row r="2006">
          <cell r="D2006" t="str">
            <v>3240/11</v>
          </cell>
          <cell r="E2006">
            <v>40854</v>
          </cell>
          <cell r="F2006">
            <v>41033</v>
          </cell>
          <cell r="G2006">
            <v>40908</v>
          </cell>
          <cell r="H2006" t="str">
            <v>2011-0.293.313-5</v>
          </cell>
          <cell r="I2006">
            <v>35646.480000000003</v>
          </cell>
          <cell r="J2006" t="str">
            <v xml:space="preserve">              123651121                 2847                    33903600</v>
          </cell>
          <cell r="K2006">
            <v>40854</v>
          </cell>
          <cell r="L2006">
            <v>55</v>
          </cell>
          <cell r="M2006">
            <v>10900</v>
          </cell>
          <cell r="N2006">
            <v>57273</v>
          </cell>
          <cell r="P2006">
            <v>16</v>
          </cell>
          <cell r="Q2006">
            <v>2</v>
          </cell>
          <cell r="V2006">
            <v>6600</v>
          </cell>
          <cell r="W2006">
            <v>180</v>
          </cell>
          <cell r="X2006">
            <v>5280</v>
          </cell>
          <cell r="Y2006">
            <v>122006</v>
          </cell>
          <cell r="Z2006">
            <v>6461.31</v>
          </cell>
          <cell r="AA2006">
            <v>11880</v>
          </cell>
          <cell r="AB2006">
            <v>198.03600000000003</v>
          </cell>
          <cell r="AC2006">
            <v>6000</v>
          </cell>
          <cell r="AD2006">
            <v>6524.5</v>
          </cell>
          <cell r="AE2006">
            <v>-524.5</v>
          </cell>
          <cell r="AF2006">
            <v>-1181.3100000000004</v>
          </cell>
          <cell r="AG2006">
            <v>1100</v>
          </cell>
          <cell r="AN2006" t="str">
            <v xml:space="preserve">Contrato emergencial nº </v>
          </cell>
          <cell r="AO2006" t="str">
            <v>CS</v>
          </cell>
        </row>
        <row r="2007">
          <cell r="D2007" t="str">
            <v>3241/11</v>
          </cell>
          <cell r="E2007">
            <v>40854</v>
          </cell>
          <cell r="F2007">
            <v>41033</v>
          </cell>
          <cell r="G2007">
            <v>40908</v>
          </cell>
          <cell r="H2007" t="str">
            <v>2011-0.293.325-9</v>
          </cell>
          <cell r="I2007">
            <v>40835.160000000003</v>
          </cell>
          <cell r="J2007" t="str">
            <v xml:space="preserve">              123611122                  2848                    33903600</v>
          </cell>
          <cell r="K2007">
            <v>40854</v>
          </cell>
          <cell r="L2007">
            <v>55</v>
          </cell>
          <cell r="M2007">
            <v>12500</v>
          </cell>
          <cell r="N2007">
            <v>57278</v>
          </cell>
          <cell r="P2007">
            <v>16</v>
          </cell>
          <cell r="Q2007">
            <v>3</v>
          </cell>
          <cell r="V2007">
            <v>6900</v>
          </cell>
          <cell r="W2007">
            <v>180</v>
          </cell>
          <cell r="X2007">
            <v>5520</v>
          </cell>
          <cell r="AA2007">
            <v>12420</v>
          </cell>
          <cell r="AB2007">
            <v>226.86200000000002</v>
          </cell>
          <cell r="AC2007">
            <v>6900</v>
          </cell>
          <cell r="AD2007">
            <v>6495.9</v>
          </cell>
          <cell r="AE2007">
            <v>404.10000000000036</v>
          </cell>
          <cell r="AN2007" t="str">
            <v xml:space="preserve">Contrato emergencial nº </v>
          </cell>
          <cell r="AO2007" t="str">
            <v>G</v>
          </cell>
        </row>
        <row r="2008">
          <cell r="D2008" t="str">
            <v>3242/11</v>
          </cell>
          <cell r="E2008">
            <v>40854</v>
          </cell>
          <cell r="F2008">
            <v>41033</v>
          </cell>
          <cell r="G2008">
            <v>40908</v>
          </cell>
          <cell r="H2008" t="str">
            <v>2011-0.293.332-1</v>
          </cell>
          <cell r="I2008">
            <v>29536.32</v>
          </cell>
          <cell r="J2008" t="str">
            <v xml:space="preserve">              123611122                  2848                    33903600</v>
          </cell>
          <cell r="K2008">
            <v>40854</v>
          </cell>
          <cell r="L2008">
            <v>55</v>
          </cell>
          <cell r="M2008">
            <v>9100</v>
          </cell>
          <cell r="N2008">
            <v>57278</v>
          </cell>
          <cell r="P2008">
            <v>16</v>
          </cell>
          <cell r="Q2008">
            <v>3</v>
          </cell>
          <cell r="V2008">
            <v>5000</v>
          </cell>
          <cell r="W2008">
            <v>180</v>
          </cell>
          <cell r="X2008">
            <v>4000</v>
          </cell>
          <cell r="Y2008">
            <v>122015</v>
          </cell>
          <cell r="Z2008">
            <v>5525.84</v>
          </cell>
          <cell r="AA2008">
            <v>9000</v>
          </cell>
          <cell r="AB2008">
            <v>164.09066666666666</v>
          </cell>
          <cell r="AC2008">
            <v>5000</v>
          </cell>
          <cell r="AD2008">
            <v>3746.68</v>
          </cell>
          <cell r="AE2008">
            <v>1253.3200000000002</v>
          </cell>
          <cell r="AF2008">
            <v>-1525.8400000000001</v>
          </cell>
          <cell r="AG2008">
            <v>1500</v>
          </cell>
          <cell r="AN2008" t="str">
            <v xml:space="preserve">Contrato emergencial nº </v>
          </cell>
          <cell r="AO2008" t="str">
            <v>PJ</v>
          </cell>
        </row>
        <row r="2009">
          <cell r="D2009" t="str">
            <v>3243/11</v>
          </cell>
          <cell r="E2009">
            <v>40854</v>
          </cell>
          <cell r="F2009">
            <v>41033</v>
          </cell>
          <cell r="G2009">
            <v>40908</v>
          </cell>
          <cell r="H2009" t="str">
            <v>2011-0.293.339-9</v>
          </cell>
          <cell r="I2009">
            <v>31012.38</v>
          </cell>
          <cell r="J2009" t="str">
            <v xml:space="preserve">              123651121                 2847                    33903600</v>
          </cell>
          <cell r="K2009">
            <v>40854</v>
          </cell>
          <cell r="L2009">
            <v>55</v>
          </cell>
          <cell r="M2009">
            <v>9500</v>
          </cell>
          <cell r="N2009">
            <v>57273</v>
          </cell>
          <cell r="P2009">
            <v>16</v>
          </cell>
          <cell r="Q2009">
            <v>2</v>
          </cell>
          <cell r="V2009">
            <v>5900</v>
          </cell>
          <cell r="W2009">
            <v>180</v>
          </cell>
          <cell r="X2009">
            <v>4720</v>
          </cell>
          <cell r="Y2009">
            <v>122017</v>
          </cell>
          <cell r="Z2009">
            <v>5427.88</v>
          </cell>
          <cell r="AA2009">
            <v>10620</v>
          </cell>
          <cell r="AB2009">
            <v>172.291</v>
          </cell>
          <cell r="AC2009">
            <v>5200</v>
          </cell>
          <cell r="AD2009">
            <v>5875.5249999999996</v>
          </cell>
          <cell r="AE2009">
            <v>-675.52499999999964</v>
          </cell>
          <cell r="AF2009">
            <v>-707.88000000000011</v>
          </cell>
          <cell r="AG2009">
            <v>700</v>
          </cell>
          <cell r="AN2009" t="str">
            <v xml:space="preserve">Contrato emergencial nº </v>
          </cell>
          <cell r="AO2009" t="str">
            <v>SA</v>
          </cell>
        </row>
        <row r="2010">
          <cell r="D2010" t="str">
            <v>3244/11</v>
          </cell>
          <cell r="E2010">
            <v>40855</v>
          </cell>
          <cell r="F2010">
            <v>41034</v>
          </cell>
          <cell r="G2010">
            <v>40908</v>
          </cell>
          <cell r="H2010" t="str">
            <v>2011-0.293.341-0</v>
          </cell>
          <cell r="I2010">
            <v>36954.120000000003</v>
          </cell>
          <cell r="J2010" t="str">
            <v xml:space="preserve">              123651121                 2847                    33903600</v>
          </cell>
          <cell r="K2010">
            <v>40855</v>
          </cell>
          <cell r="L2010">
            <v>54</v>
          </cell>
          <cell r="M2010">
            <v>11100</v>
          </cell>
          <cell r="N2010">
            <v>57273</v>
          </cell>
          <cell r="P2010">
            <v>16</v>
          </cell>
          <cell r="Q2010">
            <v>2</v>
          </cell>
          <cell r="V2010">
            <v>8200</v>
          </cell>
          <cell r="W2010">
            <v>180</v>
          </cell>
          <cell r="X2010">
            <v>6560</v>
          </cell>
          <cell r="Y2010">
            <v>122019</v>
          </cell>
          <cell r="Z2010">
            <v>8527.11</v>
          </cell>
          <cell r="AA2010">
            <v>14760</v>
          </cell>
          <cell r="AB2010">
            <v>205.30066666666667</v>
          </cell>
          <cell r="AC2010">
            <v>6200</v>
          </cell>
          <cell r="AD2010">
            <v>8170.87</v>
          </cell>
          <cell r="AE2010">
            <v>-1970.87</v>
          </cell>
          <cell r="AF2010">
            <v>-1967.1100000000006</v>
          </cell>
          <cell r="AG2010">
            <v>1900</v>
          </cell>
          <cell r="AN2010" t="str">
            <v xml:space="preserve">Contrato emergencial nº </v>
          </cell>
          <cell r="AO2010" t="str">
            <v>CS</v>
          </cell>
        </row>
        <row r="2011">
          <cell r="D2011" t="str">
            <v>3245/11</v>
          </cell>
          <cell r="E2011">
            <v>40855</v>
          </cell>
          <cell r="F2011">
            <v>41034</v>
          </cell>
          <cell r="G2011">
            <v>40908</v>
          </cell>
          <cell r="H2011" t="str">
            <v>2011-0.293.355-0</v>
          </cell>
          <cell r="I2011">
            <v>42184.92</v>
          </cell>
          <cell r="J2011" t="str">
            <v xml:space="preserve">             123671125                  2863                   33903600</v>
          </cell>
          <cell r="K2011">
            <v>40855</v>
          </cell>
          <cell r="L2011">
            <v>54</v>
          </cell>
          <cell r="M2011">
            <v>12700</v>
          </cell>
          <cell r="N2011">
            <v>57287</v>
          </cell>
          <cell r="P2011">
            <v>16</v>
          </cell>
          <cell r="Q2011">
            <v>4</v>
          </cell>
          <cell r="V2011">
            <v>7100</v>
          </cell>
          <cell r="W2011">
            <v>180</v>
          </cell>
          <cell r="X2011">
            <v>5680</v>
          </cell>
          <cell r="Y2011">
            <v>122490</v>
          </cell>
          <cell r="Z2011">
            <v>7238.15</v>
          </cell>
          <cell r="AA2011">
            <v>12780</v>
          </cell>
          <cell r="AB2011">
            <v>234.36066666666665</v>
          </cell>
          <cell r="AC2011">
            <v>7100</v>
          </cell>
          <cell r="AD2011">
            <v>6395.7800000000007</v>
          </cell>
          <cell r="AE2011">
            <v>704.21999999999935</v>
          </cell>
          <cell r="AF2011">
            <v>-1558.1499999999996</v>
          </cell>
          <cell r="AG2011">
            <v>1500</v>
          </cell>
          <cell r="AN2011" t="str">
            <v xml:space="preserve">Contrato emergencial nº </v>
          </cell>
          <cell r="AO2011" t="str">
            <v>SA</v>
          </cell>
        </row>
        <row r="2012">
          <cell r="D2012" t="str">
            <v>3246/11</v>
          </cell>
          <cell r="E2012">
            <v>40857</v>
          </cell>
          <cell r="F2012">
            <v>41036</v>
          </cell>
          <cell r="G2012">
            <v>40908</v>
          </cell>
          <cell r="H2012" t="str">
            <v>2011-0.293.363-1</v>
          </cell>
          <cell r="I2012">
            <v>38261.760000000002</v>
          </cell>
          <cell r="J2012" t="str">
            <v xml:space="preserve">              123651121                 2847                    33903600</v>
          </cell>
          <cell r="K2012">
            <v>40857</v>
          </cell>
          <cell r="L2012">
            <v>52</v>
          </cell>
          <cell r="M2012">
            <v>11100</v>
          </cell>
          <cell r="N2012">
            <v>57273</v>
          </cell>
          <cell r="P2012">
            <v>16</v>
          </cell>
          <cell r="Q2012">
            <v>2</v>
          </cell>
          <cell r="V2012">
            <v>6600</v>
          </cell>
          <cell r="W2012">
            <v>180</v>
          </cell>
          <cell r="X2012">
            <v>5280</v>
          </cell>
          <cell r="Y2012">
            <v>122020</v>
          </cell>
          <cell r="Z2012">
            <v>6769.46</v>
          </cell>
          <cell r="AA2012">
            <v>11880</v>
          </cell>
          <cell r="AB2012">
            <v>212.56533333333334</v>
          </cell>
          <cell r="AC2012">
            <v>6400</v>
          </cell>
          <cell r="AD2012">
            <v>6556.0399999999991</v>
          </cell>
          <cell r="AE2012">
            <v>-156.03999999999905</v>
          </cell>
          <cell r="AF2012">
            <v>-1489.46</v>
          </cell>
          <cell r="AG2012">
            <v>1400</v>
          </cell>
          <cell r="AN2012" t="str">
            <v xml:space="preserve">Contrato emergencial nº </v>
          </cell>
          <cell r="AO2012" t="str">
            <v>PJ</v>
          </cell>
        </row>
        <row r="2013">
          <cell r="D2013" t="str">
            <v>3247/11</v>
          </cell>
          <cell r="E2013">
            <v>40863</v>
          </cell>
          <cell r="F2013">
            <v>41042</v>
          </cell>
          <cell r="G2013">
            <v>40908</v>
          </cell>
          <cell r="H2013" t="str">
            <v>2011-0.293.369-0</v>
          </cell>
          <cell r="I2013">
            <v>40976.639999999999</v>
          </cell>
          <cell r="J2013" t="str">
            <v xml:space="preserve">              123611122                  2848                    33903600</v>
          </cell>
          <cell r="K2013">
            <v>40863</v>
          </cell>
          <cell r="L2013">
            <v>46</v>
          </cell>
          <cell r="M2013">
            <v>10500</v>
          </cell>
          <cell r="N2013">
            <v>57278</v>
          </cell>
          <cell r="P2013">
            <v>16</v>
          </cell>
          <cell r="Q2013">
            <v>3</v>
          </cell>
          <cell r="V2013">
            <v>7300</v>
          </cell>
          <cell r="W2013">
            <v>180</v>
          </cell>
          <cell r="X2013">
            <v>5840</v>
          </cell>
          <cell r="Y2013">
            <v>122025</v>
          </cell>
          <cell r="Z2013">
            <v>8759.5</v>
          </cell>
          <cell r="AA2013">
            <v>13140</v>
          </cell>
          <cell r="AB2013">
            <v>227.648</v>
          </cell>
          <cell r="AC2013">
            <v>6900</v>
          </cell>
          <cell r="AD2013">
            <v>7218.9400000000005</v>
          </cell>
          <cell r="AE2013">
            <v>-318.94000000000051</v>
          </cell>
          <cell r="AF2013">
            <v>-2919.5</v>
          </cell>
          <cell r="AG2013">
            <v>2900</v>
          </cell>
          <cell r="AN2013" t="str">
            <v xml:space="preserve">Contrato emergencial nº </v>
          </cell>
          <cell r="AO2013" t="str">
            <v>CS</v>
          </cell>
        </row>
        <row r="2014">
          <cell r="D2014" t="str">
            <v>3248/11</v>
          </cell>
          <cell r="E2014">
            <v>40863</v>
          </cell>
          <cell r="F2014">
            <v>41042</v>
          </cell>
          <cell r="G2014">
            <v>40908</v>
          </cell>
          <cell r="H2014" t="str">
            <v>2011-0.293.374-7</v>
          </cell>
          <cell r="I2014">
            <v>40976.639999999999</v>
          </cell>
          <cell r="J2014" t="str">
            <v xml:space="preserve">              123611122                  2848                    33903600</v>
          </cell>
          <cell r="K2014">
            <v>40863</v>
          </cell>
          <cell r="L2014">
            <v>46</v>
          </cell>
          <cell r="M2014">
            <v>10500</v>
          </cell>
          <cell r="N2014">
            <v>57278</v>
          </cell>
          <cell r="P2014">
            <v>16</v>
          </cell>
          <cell r="Q2014">
            <v>3</v>
          </cell>
          <cell r="V2014">
            <v>6900</v>
          </cell>
          <cell r="W2014">
            <v>180</v>
          </cell>
          <cell r="X2014">
            <v>5520</v>
          </cell>
          <cell r="Y2014">
            <v>122027</v>
          </cell>
          <cell r="Z2014">
            <v>9704.42</v>
          </cell>
          <cell r="AA2014">
            <v>12420</v>
          </cell>
          <cell r="AB2014">
            <v>227.648</v>
          </cell>
          <cell r="AC2014">
            <v>6900</v>
          </cell>
          <cell r="AD2014">
            <v>5805.0499999999993</v>
          </cell>
          <cell r="AE2014">
            <v>1094.9500000000007</v>
          </cell>
          <cell r="AF2014">
            <v>-4184.42</v>
          </cell>
          <cell r="AG2014">
            <v>4100</v>
          </cell>
          <cell r="AN2014" t="str">
            <v xml:space="preserve">Contrato emergencial nº </v>
          </cell>
          <cell r="AO2014" t="str">
            <v>JT</v>
          </cell>
        </row>
        <row r="2015">
          <cell r="D2015" t="str">
            <v>3249/11</v>
          </cell>
          <cell r="E2015">
            <v>40863</v>
          </cell>
          <cell r="F2015">
            <v>41042</v>
          </cell>
          <cell r="G2015">
            <v>40908</v>
          </cell>
          <cell r="H2015" t="str">
            <v>2011-0.293.383-6</v>
          </cell>
          <cell r="I2015">
            <v>22592.1</v>
          </cell>
          <cell r="J2015" t="str">
            <v xml:space="preserve">              123651121                 2847                    33903600</v>
          </cell>
          <cell r="K2015">
            <v>40863</v>
          </cell>
          <cell r="L2015">
            <v>46</v>
          </cell>
          <cell r="M2015">
            <v>5800</v>
          </cell>
          <cell r="N2015">
            <v>57273</v>
          </cell>
          <cell r="P2015">
            <v>16</v>
          </cell>
          <cell r="Q2015">
            <v>2</v>
          </cell>
          <cell r="V2015">
            <v>4900</v>
          </cell>
          <cell r="W2015">
            <v>180</v>
          </cell>
          <cell r="X2015">
            <v>3920</v>
          </cell>
          <cell r="Y2015">
            <v>122030</v>
          </cell>
          <cell r="Z2015">
            <v>5961.71</v>
          </cell>
          <cell r="AA2015">
            <v>8820</v>
          </cell>
          <cell r="AB2015">
            <v>125.51166666666666</v>
          </cell>
          <cell r="AC2015">
            <v>3800</v>
          </cell>
          <cell r="AD2015">
            <v>4846.91</v>
          </cell>
          <cell r="AE2015">
            <v>-1046.9099999999999</v>
          </cell>
          <cell r="AF2015">
            <v>-2041.71</v>
          </cell>
          <cell r="AG2015">
            <v>2000</v>
          </cell>
          <cell r="AN2015" t="str">
            <v xml:space="preserve">Contrato emergencial nº </v>
          </cell>
          <cell r="AO2015" t="str">
            <v>MP</v>
          </cell>
        </row>
        <row r="2016">
          <cell r="D2016" t="str">
            <v>3250/11</v>
          </cell>
          <cell r="E2016">
            <v>40863</v>
          </cell>
          <cell r="F2016">
            <v>41042</v>
          </cell>
          <cell r="G2016">
            <v>40908</v>
          </cell>
          <cell r="H2016" t="str">
            <v>2011-0.293.435-2</v>
          </cell>
          <cell r="I2016">
            <v>40835.160000000003</v>
          </cell>
          <cell r="J2016" t="str">
            <v xml:space="preserve">              123651121                 2847                    33903600</v>
          </cell>
          <cell r="K2016">
            <v>40863</v>
          </cell>
          <cell r="L2016">
            <v>46</v>
          </cell>
          <cell r="M2016">
            <v>10500</v>
          </cell>
          <cell r="N2016">
            <v>57273</v>
          </cell>
          <cell r="P2016">
            <v>16</v>
          </cell>
          <cell r="Q2016">
            <v>2</v>
          </cell>
          <cell r="V2016">
            <v>8100</v>
          </cell>
          <cell r="W2016">
            <v>180</v>
          </cell>
          <cell r="X2016">
            <v>6480</v>
          </cell>
          <cell r="Y2016">
            <v>122033</v>
          </cell>
          <cell r="Z2016">
            <v>9763.4500000000007</v>
          </cell>
          <cell r="AA2016">
            <v>14580</v>
          </cell>
          <cell r="AB2016">
            <v>226.86200000000002</v>
          </cell>
          <cell r="AC2016">
            <v>6900</v>
          </cell>
          <cell r="AD2016">
            <v>8074.9800000000005</v>
          </cell>
          <cell r="AE2016">
            <v>-1174.9800000000005</v>
          </cell>
          <cell r="AF2016">
            <v>-3283.4500000000007</v>
          </cell>
          <cell r="AG2016">
            <v>3200</v>
          </cell>
          <cell r="AN2016" t="str">
            <v xml:space="preserve">Contrato emergencial nº </v>
          </cell>
          <cell r="AO2016" t="str">
            <v>CL</v>
          </cell>
        </row>
        <row r="2017">
          <cell r="D2017" t="str">
            <v>3251/11</v>
          </cell>
          <cell r="E2017">
            <v>40863</v>
          </cell>
          <cell r="F2017">
            <v>41042</v>
          </cell>
          <cell r="G2017">
            <v>40908</v>
          </cell>
          <cell r="H2017" t="str">
            <v>2011-0.293.441-7</v>
          </cell>
          <cell r="I2017">
            <v>27971.16</v>
          </cell>
          <cell r="J2017" t="str">
            <v xml:space="preserve">              123611122                  2848                    33903600</v>
          </cell>
          <cell r="K2017">
            <v>40863</v>
          </cell>
          <cell r="L2017">
            <v>46</v>
          </cell>
          <cell r="M2017">
            <v>7200</v>
          </cell>
          <cell r="N2017">
            <v>57278</v>
          </cell>
          <cell r="P2017">
            <v>16</v>
          </cell>
          <cell r="Q2017">
            <v>3</v>
          </cell>
          <cell r="V2017">
            <v>5700</v>
          </cell>
          <cell r="W2017">
            <v>180</v>
          </cell>
          <cell r="X2017">
            <v>4560</v>
          </cell>
          <cell r="Y2017">
            <v>122036</v>
          </cell>
          <cell r="Z2017">
            <v>6917.38</v>
          </cell>
          <cell r="AA2017">
            <v>10260</v>
          </cell>
          <cell r="AB2017">
            <v>155.39533333333333</v>
          </cell>
          <cell r="AC2017">
            <v>4700</v>
          </cell>
          <cell r="AD2017">
            <v>5675.79</v>
          </cell>
          <cell r="AE2017">
            <v>-975.79</v>
          </cell>
          <cell r="AF2017">
            <v>-2357.38</v>
          </cell>
          <cell r="AG2017">
            <v>2300</v>
          </cell>
          <cell r="AN2017" t="str">
            <v xml:space="preserve">Contrato emergencial nº </v>
          </cell>
          <cell r="AO2017" t="str">
            <v xml:space="preserve">SA </v>
          </cell>
        </row>
        <row r="2018">
          <cell r="D2018" t="str">
            <v>3252/11</v>
          </cell>
          <cell r="E2018">
            <v>40863</v>
          </cell>
          <cell r="F2018">
            <v>41042</v>
          </cell>
          <cell r="G2018">
            <v>40908</v>
          </cell>
          <cell r="H2018" t="str">
            <v>2011-0.293.443-3</v>
          </cell>
          <cell r="I2018">
            <v>52251.96</v>
          </cell>
          <cell r="J2018" t="str">
            <v xml:space="preserve">              123611122                  2848                    33903600</v>
          </cell>
          <cell r="K2018">
            <v>40863</v>
          </cell>
          <cell r="L2018">
            <v>46</v>
          </cell>
          <cell r="M2018">
            <v>13400</v>
          </cell>
          <cell r="N2018">
            <v>57278</v>
          </cell>
          <cell r="P2018">
            <v>16</v>
          </cell>
          <cell r="Q2018">
            <v>3</v>
          </cell>
          <cell r="V2018">
            <v>8800</v>
          </cell>
          <cell r="W2018">
            <v>180</v>
          </cell>
          <cell r="X2018">
            <v>7040</v>
          </cell>
          <cell r="Y2018">
            <v>122038</v>
          </cell>
          <cell r="Z2018">
            <v>11789.78</v>
          </cell>
          <cell r="AA2018">
            <v>15840</v>
          </cell>
          <cell r="AB2018">
            <v>290.28866666666664</v>
          </cell>
          <cell r="AC2018">
            <v>8800</v>
          </cell>
          <cell r="AD2018">
            <v>8800</v>
          </cell>
          <cell r="AE2018">
            <v>0</v>
          </cell>
          <cell r="AF2018">
            <v>-4749.7800000000007</v>
          </cell>
          <cell r="AG2018">
            <v>4700</v>
          </cell>
          <cell r="AN2018" t="str">
            <v xml:space="preserve">Contrato emergencial nº </v>
          </cell>
          <cell r="AO2018" t="str">
            <v>CS</v>
          </cell>
        </row>
        <row r="2019">
          <cell r="D2019" t="str">
            <v>3253/11</v>
          </cell>
          <cell r="E2019">
            <v>40863</v>
          </cell>
          <cell r="F2019">
            <v>41042</v>
          </cell>
          <cell r="G2019">
            <v>40908</v>
          </cell>
          <cell r="H2019" t="str">
            <v>2011-0.293.449-2</v>
          </cell>
          <cell r="I2019">
            <v>52251.96</v>
          </cell>
          <cell r="J2019" t="str">
            <v xml:space="preserve">              123611122                  2848                    33903600</v>
          </cell>
          <cell r="K2019">
            <v>40863</v>
          </cell>
          <cell r="L2019">
            <v>46</v>
          </cell>
          <cell r="M2019">
            <v>13400</v>
          </cell>
          <cell r="N2019">
            <v>57278</v>
          </cell>
          <cell r="P2019">
            <v>16</v>
          </cell>
          <cell r="Q2019">
            <v>3</v>
          </cell>
          <cell r="V2019">
            <v>8800</v>
          </cell>
          <cell r="W2019">
            <v>180</v>
          </cell>
          <cell r="X2019">
            <v>7040</v>
          </cell>
          <cell r="Y2019">
            <v>122042</v>
          </cell>
          <cell r="Z2019">
            <v>11547.68</v>
          </cell>
          <cell r="AA2019">
            <v>15840</v>
          </cell>
          <cell r="AB2019">
            <v>290.28866666666664</v>
          </cell>
          <cell r="AC2019">
            <v>8800</v>
          </cell>
          <cell r="AD2019">
            <v>5363.2400000000007</v>
          </cell>
          <cell r="AE2019">
            <v>3436.7599999999993</v>
          </cell>
          <cell r="AF2019">
            <v>-4507.68</v>
          </cell>
          <cell r="AG2019">
            <v>4500</v>
          </cell>
          <cell r="AN2019" t="str">
            <v xml:space="preserve">Contrato emergencial nº </v>
          </cell>
          <cell r="AO2019" t="str">
            <v>G</v>
          </cell>
        </row>
        <row r="2020">
          <cell r="D2020" t="str">
            <v>3254/11</v>
          </cell>
          <cell r="E2020">
            <v>40863</v>
          </cell>
          <cell r="F2020">
            <v>41042</v>
          </cell>
          <cell r="G2020">
            <v>40908</v>
          </cell>
          <cell r="H2020" t="str">
            <v>2011-0.293.451-4</v>
          </cell>
          <cell r="I2020">
            <v>40877.160000000003</v>
          </cell>
          <cell r="J2020" t="str">
            <v xml:space="preserve">             123671125                  2863                   33903600</v>
          </cell>
          <cell r="K2020">
            <v>40863</v>
          </cell>
          <cell r="L2020">
            <v>46</v>
          </cell>
          <cell r="M2020">
            <v>10500</v>
          </cell>
          <cell r="N2020">
            <v>57287</v>
          </cell>
          <cell r="P2020">
            <v>16</v>
          </cell>
          <cell r="Q2020">
            <v>4</v>
          </cell>
          <cell r="V2020">
            <v>6900</v>
          </cell>
          <cell r="W2020">
            <v>180</v>
          </cell>
          <cell r="X2020">
            <v>5520</v>
          </cell>
          <cell r="Y2020">
            <v>122493</v>
          </cell>
          <cell r="Z2020">
            <v>8502.77</v>
          </cell>
          <cell r="AA2020">
            <v>12420</v>
          </cell>
          <cell r="AB2020">
            <v>227.09533333333334</v>
          </cell>
          <cell r="AC2020">
            <v>6900</v>
          </cell>
          <cell r="AD2020">
            <v>6546.6849999999995</v>
          </cell>
          <cell r="AE2020">
            <v>353.31500000000051</v>
          </cell>
          <cell r="AF2020">
            <v>-2982.7700000000004</v>
          </cell>
          <cell r="AG2020">
            <v>2900</v>
          </cell>
          <cell r="AN2020" t="str">
            <v xml:space="preserve">Contrato emergencial nº </v>
          </cell>
          <cell r="AO2020" t="str">
            <v>JT</v>
          </cell>
        </row>
        <row r="2021">
          <cell r="D2021" t="str">
            <v>3255/11</v>
          </cell>
          <cell r="E2021">
            <v>40863</v>
          </cell>
          <cell r="F2021">
            <v>41042</v>
          </cell>
          <cell r="G2021">
            <v>40908</v>
          </cell>
          <cell r="H2021" t="str">
            <v>2011-0.293.453-0</v>
          </cell>
          <cell r="I2021">
            <v>51135.96</v>
          </cell>
          <cell r="J2021" t="str">
            <v xml:space="preserve">              123611122                  2848                    33903600</v>
          </cell>
          <cell r="K2021">
            <v>40863</v>
          </cell>
          <cell r="L2021">
            <v>46</v>
          </cell>
          <cell r="M2021">
            <v>13100</v>
          </cell>
          <cell r="N2021">
            <v>57278</v>
          </cell>
          <cell r="P2021">
            <v>16</v>
          </cell>
          <cell r="Q2021">
            <v>3</v>
          </cell>
          <cell r="V2021">
            <v>8600</v>
          </cell>
          <cell r="W2021">
            <v>180</v>
          </cell>
          <cell r="X2021">
            <v>6880</v>
          </cell>
          <cell r="Y2021">
            <v>122046</v>
          </cell>
          <cell r="Z2021">
            <v>10449.969999999999</v>
          </cell>
          <cell r="AA2021">
            <v>15480</v>
          </cell>
          <cell r="AB2021">
            <v>284.08866666666665</v>
          </cell>
          <cell r="AC2021">
            <v>8600</v>
          </cell>
          <cell r="AD2021">
            <v>8377.86</v>
          </cell>
          <cell r="AE2021">
            <v>222.13999999999942</v>
          </cell>
          <cell r="AF2021">
            <v>-3569.9699999999993</v>
          </cell>
          <cell r="AG2021">
            <v>3500</v>
          </cell>
          <cell r="AN2021" t="str">
            <v xml:space="preserve">Contrato emergencial nº </v>
          </cell>
          <cell r="AO2021" t="str">
            <v>CS</v>
          </cell>
        </row>
        <row r="2022">
          <cell r="D2022" t="str">
            <v>3256/11</v>
          </cell>
          <cell r="E2022">
            <v>40863</v>
          </cell>
          <cell r="F2022">
            <v>41042</v>
          </cell>
          <cell r="G2022">
            <v>40908</v>
          </cell>
          <cell r="H2022" t="str">
            <v>2011-0.293.459-0</v>
          </cell>
          <cell r="I2022">
            <v>53427.96</v>
          </cell>
          <cell r="J2022" t="str">
            <v xml:space="preserve">              123611122                  2848                    33903600</v>
          </cell>
          <cell r="K2022">
            <v>40863</v>
          </cell>
          <cell r="L2022">
            <v>46</v>
          </cell>
          <cell r="M2022">
            <v>13700</v>
          </cell>
          <cell r="N2022">
            <v>57278</v>
          </cell>
          <cell r="P2022">
            <v>16</v>
          </cell>
          <cell r="Q2022">
            <v>3</v>
          </cell>
          <cell r="V2022">
            <v>9000</v>
          </cell>
          <cell r="W2022">
            <v>180</v>
          </cell>
          <cell r="X2022">
            <v>7200</v>
          </cell>
          <cell r="Y2022">
            <v>122049</v>
          </cell>
          <cell r="Z2022">
            <v>11410.84</v>
          </cell>
          <cell r="AA2022">
            <v>16200</v>
          </cell>
          <cell r="AB2022">
            <v>296.822</v>
          </cell>
          <cell r="AC2022">
            <v>9000</v>
          </cell>
          <cell r="AD2022">
            <v>9000</v>
          </cell>
          <cell r="AE2022">
            <v>0</v>
          </cell>
          <cell r="AF2022">
            <v>-4210.84</v>
          </cell>
          <cell r="AG2022">
            <v>4200</v>
          </cell>
          <cell r="AN2022" t="str">
            <v xml:space="preserve">Contrato emergencial nº </v>
          </cell>
          <cell r="AO2022" t="str">
            <v>CS</v>
          </cell>
        </row>
        <row r="2023">
          <cell r="D2023" t="str">
            <v>3257/11</v>
          </cell>
          <cell r="E2023">
            <v>40863</v>
          </cell>
          <cell r="F2023">
            <v>41042</v>
          </cell>
          <cell r="G2023">
            <v>40908</v>
          </cell>
          <cell r="H2023" t="str">
            <v>2011-0.293.463-8</v>
          </cell>
          <cell r="I2023">
            <v>39800.639999999999</v>
          </cell>
          <cell r="J2023" t="str">
            <v xml:space="preserve">              123611122                  2848                    33903600</v>
          </cell>
          <cell r="K2023">
            <v>40863</v>
          </cell>
          <cell r="L2023">
            <v>46</v>
          </cell>
          <cell r="M2023">
            <v>10200</v>
          </cell>
          <cell r="N2023">
            <v>57278</v>
          </cell>
          <cell r="P2023">
            <v>16</v>
          </cell>
          <cell r="Q2023">
            <v>3</v>
          </cell>
          <cell r="V2023">
            <v>7600</v>
          </cell>
          <cell r="W2023">
            <v>180</v>
          </cell>
          <cell r="X2023">
            <v>6080</v>
          </cell>
          <cell r="Y2023">
            <v>122052</v>
          </cell>
          <cell r="Z2023">
            <v>9254.27</v>
          </cell>
          <cell r="AA2023">
            <v>13680</v>
          </cell>
          <cell r="AB2023">
            <v>221.11466666666666</v>
          </cell>
          <cell r="AC2023">
            <v>6700</v>
          </cell>
          <cell r="AD2023">
            <v>7521.7749999999996</v>
          </cell>
          <cell r="AE2023">
            <v>-821.77499999999964</v>
          </cell>
          <cell r="AF2023">
            <v>-3174.2700000000004</v>
          </cell>
          <cell r="AG2023">
            <v>3100</v>
          </cell>
          <cell r="AN2023" t="str">
            <v xml:space="preserve">Contrato emergencial nº </v>
          </cell>
          <cell r="AO2023" t="str">
            <v>MP</v>
          </cell>
        </row>
        <row r="2024">
          <cell r="D2024" t="str">
            <v>3258/11</v>
          </cell>
          <cell r="E2024">
            <v>40863</v>
          </cell>
          <cell r="F2024">
            <v>41042</v>
          </cell>
          <cell r="G2024">
            <v>40908</v>
          </cell>
          <cell r="H2024" t="str">
            <v>2011-0.293.470-0</v>
          </cell>
          <cell r="I2024">
            <v>40976.639999999999</v>
          </cell>
          <cell r="J2024" t="str">
            <v xml:space="preserve">              123651121                 2847                    33903600</v>
          </cell>
          <cell r="K2024">
            <v>40863</v>
          </cell>
          <cell r="L2024">
            <v>46</v>
          </cell>
          <cell r="M2024">
            <v>10500</v>
          </cell>
          <cell r="N2024">
            <v>57273</v>
          </cell>
          <cell r="P2024">
            <v>16</v>
          </cell>
          <cell r="Q2024">
            <v>2</v>
          </cell>
          <cell r="V2024">
            <v>6900</v>
          </cell>
          <cell r="W2024">
            <v>180</v>
          </cell>
          <cell r="X2024">
            <v>5520</v>
          </cell>
          <cell r="Y2024">
            <v>122054</v>
          </cell>
          <cell r="Z2024">
            <v>9186.18</v>
          </cell>
          <cell r="AA2024">
            <v>12420</v>
          </cell>
          <cell r="AB2024">
            <v>227.648</v>
          </cell>
          <cell r="AC2024">
            <v>6900</v>
          </cell>
          <cell r="AD2024">
            <v>5338.01</v>
          </cell>
          <cell r="AE2024">
            <v>1561.9899999999998</v>
          </cell>
          <cell r="AF2024">
            <v>-3666.1800000000003</v>
          </cell>
          <cell r="AG2024">
            <v>3600</v>
          </cell>
          <cell r="AN2024" t="str">
            <v xml:space="preserve">Contrato emergencial nº </v>
          </cell>
          <cell r="AO2024" t="str">
            <v>FO</v>
          </cell>
        </row>
        <row r="2025">
          <cell r="D2025" t="str">
            <v>3259/11</v>
          </cell>
          <cell r="E2025">
            <v>40863</v>
          </cell>
          <cell r="F2025">
            <v>41042</v>
          </cell>
          <cell r="G2025">
            <v>40908</v>
          </cell>
          <cell r="H2025" t="str">
            <v>2011-0.293.479-4</v>
          </cell>
          <cell r="I2025">
            <v>36684.720000000001</v>
          </cell>
          <cell r="J2025" t="str">
            <v xml:space="preserve">              123651121                 2847                    33903600</v>
          </cell>
          <cell r="K2025">
            <v>40863</v>
          </cell>
          <cell r="L2025">
            <v>46</v>
          </cell>
          <cell r="M2025">
            <v>9400</v>
          </cell>
          <cell r="N2025">
            <v>57273</v>
          </cell>
          <cell r="P2025">
            <v>16</v>
          </cell>
          <cell r="Q2025">
            <v>2</v>
          </cell>
          <cell r="V2025">
            <v>6200</v>
          </cell>
          <cell r="W2025">
            <v>180</v>
          </cell>
          <cell r="X2025">
            <v>4960</v>
          </cell>
          <cell r="Y2025">
            <v>122056</v>
          </cell>
          <cell r="Z2025">
            <v>7514.96</v>
          </cell>
          <cell r="AA2025">
            <v>11160</v>
          </cell>
          <cell r="AB2025">
            <v>203.804</v>
          </cell>
          <cell r="AC2025">
            <v>6200</v>
          </cell>
          <cell r="AD2025">
            <v>5598.7526000000007</v>
          </cell>
          <cell r="AE2025">
            <v>601.24739999999929</v>
          </cell>
          <cell r="AF2025">
            <v>-2554.96</v>
          </cell>
          <cell r="AG2025">
            <v>2500</v>
          </cell>
          <cell r="AN2025" t="str">
            <v xml:space="preserve">Contrato emergencial nº </v>
          </cell>
          <cell r="AO2025" t="str">
            <v>FO</v>
          </cell>
        </row>
        <row r="2026">
          <cell r="D2026" t="str">
            <v>3260/11</v>
          </cell>
          <cell r="E2026">
            <v>40863</v>
          </cell>
          <cell r="F2026">
            <v>41042</v>
          </cell>
          <cell r="G2026">
            <v>40908</v>
          </cell>
          <cell r="H2026" t="str">
            <v>2011-0.293.485-9</v>
          </cell>
          <cell r="I2026">
            <v>40976.639999999999</v>
          </cell>
          <cell r="J2026" t="str">
            <v xml:space="preserve">              123651121                 2847                    33903600</v>
          </cell>
          <cell r="K2026">
            <v>40863</v>
          </cell>
          <cell r="L2026">
            <v>46</v>
          </cell>
          <cell r="M2026">
            <v>10500</v>
          </cell>
          <cell r="N2026">
            <v>57273</v>
          </cell>
          <cell r="P2026">
            <v>16</v>
          </cell>
          <cell r="Q2026">
            <v>2</v>
          </cell>
          <cell r="V2026">
            <v>6900</v>
          </cell>
          <cell r="W2026">
            <v>180</v>
          </cell>
          <cell r="X2026">
            <v>5520</v>
          </cell>
          <cell r="Y2026">
            <v>122058</v>
          </cell>
          <cell r="Z2026">
            <v>10027.77</v>
          </cell>
          <cell r="AA2026">
            <v>12420</v>
          </cell>
          <cell r="AB2026">
            <v>227.648</v>
          </cell>
          <cell r="AC2026">
            <v>6900</v>
          </cell>
          <cell r="AD2026">
            <v>6900</v>
          </cell>
          <cell r="AE2026">
            <v>0</v>
          </cell>
          <cell r="AF2026">
            <v>-4507.7700000000004</v>
          </cell>
          <cell r="AG2026">
            <v>4500</v>
          </cell>
          <cell r="AN2026" t="str">
            <v xml:space="preserve">Contrato emergencial nº </v>
          </cell>
          <cell r="AO2026" t="str">
            <v>FO</v>
          </cell>
        </row>
        <row r="2027">
          <cell r="D2027" t="str">
            <v>3261/11</v>
          </cell>
          <cell r="E2027">
            <v>40863</v>
          </cell>
          <cell r="F2027">
            <v>41042</v>
          </cell>
          <cell r="G2027">
            <v>40908</v>
          </cell>
          <cell r="H2027" t="str">
            <v>2011-0.293.487-5</v>
          </cell>
          <cell r="I2027">
            <v>40976.639999999999</v>
          </cell>
          <cell r="J2027" t="str">
            <v xml:space="preserve">              123651121                 2847                    33903600</v>
          </cell>
          <cell r="K2027">
            <v>40863</v>
          </cell>
          <cell r="L2027">
            <v>46</v>
          </cell>
          <cell r="M2027">
            <v>10500</v>
          </cell>
          <cell r="N2027">
            <v>57273</v>
          </cell>
          <cell r="P2027">
            <v>16</v>
          </cell>
          <cell r="Q2027">
            <v>2</v>
          </cell>
          <cell r="V2027">
            <v>6900</v>
          </cell>
          <cell r="W2027">
            <v>180</v>
          </cell>
          <cell r="X2027">
            <v>5520</v>
          </cell>
          <cell r="Y2027">
            <v>122061</v>
          </cell>
          <cell r="Z2027">
            <v>9020.4699999999993</v>
          </cell>
          <cell r="AA2027">
            <v>12420</v>
          </cell>
          <cell r="AB2027">
            <v>227.648</v>
          </cell>
          <cell r="AC2027">
            <v>6900</v>
          </cell>
          <cell r="AD2027">
            <v>6900</v>
          </cell>
          <cell r="AE2027">
            <v>0</v>
          </cell>
          <cell r="AF2027">
            <v>-3500.4699999999993</v>
          </cell>
          <cell r="AG2027">
            <v>3500</v>
          </cell>
          <cell r="AN2027" t="str">
            <v xml:space="preserve">Contrato emergencial nº </v>
          </cell>
          <cell r="AO2027" t="str">
            <v>FO</v>
          </cell>
        </row>
        <row r="2028">
          <cell r="D2028" t="str">
            <v>3262/11</v>
          </cell>
          <cell r="E2028">
            <v>40863</v>
          </cell>
          <cell r="F2028">
            <v>41042</v>
          </cell>
          <cell r="G2028">
            <v>40908</v>
          </cell>
          <cell r="H2028" t="str">
            <v>2011-0.293.492-1</v>
          </cell>
          <cell r="I2028">
            <v>40976.639999999999</v>
          </cell>
          <cell r="J2028" t="str">
            <v xml:space="preserve">              123651121                 2847                    33903600</v>
          </cell>
          <cell r="K2028">
            <v>40863</v>
          </cell>
          <cell r="L2028">
            <v>46</v>
          </cell>
          <cell r="M2028">
            <v>10500</v>
          </cell>
          <cell r="N2028">
            <v>57273</v>
          </cell>
          <cell r="P2028">
            <v>16</v>
          </cell>
          <cell r="Q2028">
            <v>2</v>
          </cell>
          <cell r="V2028">
            <v>6900</v>
          </cell>
          <cell r="W2028">
            <v>180</v>
          </cell>
          <cell r="X2028">
            <v>5520</v>
          </cell>
          <cell r="Y2028">
            <v>122063</v>
          </cell>
          <cell r="Z2028">
            <v>8349.65</v>
          </cell>
          <cell r="AA2028">
            <v>12420</v>
          </cell>
          <cell r="AB2028">
            <v>227.648</v>
          </cell>
          <cell r="AC2028">
            <v>6900</v>
          </cell>
          <cell r="AD2028">
            <v>6900</v>
          </cell>
          <cell r="AE2028">
            <v>0</v>
          </cell>
          <cell r="AF2028">
            <v>-2829.6499999999996</v>
          </cell>
          <cell r="AG2028">
            <v>2800</v>
          </cell>
          <cell r="AN2028" t="str">
            <v xml:space="preserve">Contrato emergencial nº </v>
          </cell>
          <cell r="AO2028" t="str">
            <v>FO</v>
          </cell>
        </row>
        <row r="2029">
          <cell r="D2029" t="str">
            <v>3263/11</v>
          </cell>
          <cell r="E2029">
            <v>40863</v>
          </cell>
          <cell r="F2029">
            <v>41042</v>
          </cell>
          <cell r="G2029">
            <v>40908</v>
          </cell>
          <cell r="H2029" t="str">
            <v>2011-0.293.494-8</v>
          </cell>
          <cell r="I2029">
            <v>28377.3</v>
          </cell>
          <cell r="J2029" t="str">
            <v xml:space="preserve">              123611122                  2848                    33903600</v>
          </cell>
          <cell r="K2029">
            <v>40863</v>
          </cell>
          <cell r="L2029">
            <v>46</v>
          </cell>
          <cell r="M2029">
            <v>7300</v>
          </cell>
          <cell r="N2029">
            <v>57278</v>
          </cell>
          <cell r="P2029">
            <v>16</v>
          </cell>
          <cell r="Q2029">
            <v>3</v>
          </cell>
          <cell r="V2029">
            <v>4900</v>
          </cell>
          <cell r="W2029">
            <v>180</v>
          </cell>
          <cell r="X2029">
            <v>3920</v>
          </cell>
          <cell r="Y2029">
            <v>122065</v>
          </cell>
          <cell r="Z2029">
            <v>5946.65</v>
          </cell>
          <cell r="AA2029">
            <v>8820</v>
          </cell>
          <cell r="AB2029">
            <v>157.65166666666667</v>
          </cell>
          <cell r="AC2029">
            <v>4800</v>
          </cell>
          <cell r="AD2029">
            <v>4825.4299999999994</v>
          </cell>
          <cell r="AE2029">
            <v>-25.429999999999382</v>
          </cell>
          <cell r="AF2029">
            <v>-2026.6499999999996</v>
          </cell>
          <cell r="AG2029">
            <v>2000</v>
          </cell>
          <cell r="AN2029" t="str">
            <v xml:space="preserve">Contrato emergencial nº </v>
          </cell>
          <cell r="AO2029" t="str">
            <v>FO</v>
          </cell>
        </row>
        <row r="2030">
          <cell r="D2030" t="str">
            <v>3264/11</v>
          </cell>
          <cell r="E2030">
            <v>40863</v>
          </cell>
          <cell r="F2030">
            <v>41042</v>
          </cell>
          <cell r="G2030">
            <v>40908</v>
          </cell>
          <cell r="H2030" t="str">
            <v>2011-0.293.495-6</v>
          </cell>
          <cell r="I2030">
            <v>30606.240000000002</v>
          </cell>
          <cell r="J2030" t="str">
            <v xml:space="preserve">              123611122                  2848                    33903600</v>
          </cell>
          <cell r="K2030">
            <v>40863</v>
          </cell>
          <cell r="L2030">
            <v>46</v>
          </cell>
          <cell r="M2030">
            <v>7900</v>
          </cell>
          <cell r="N2030">
            <v>57278</v>
          </cell>
          <cell r="P2030">
            <v>16</v>
          </cell>
          <cell r="Q2030">
            <v>3</v>
          </cell>
          <cell r="V2030">
            <v>5200</v>
          </cell>
          <cell r="W2030">
            <v>180</v>
          </cell>
          <cell r="X2030">
            <v>4160</v>
          </cell>
          <cell r="Y2030">
            <v>122067</v>
          </cell>
          <cell r="Z2030">
            <v>6918.19</v>
          </cell>
          <cell r="AA2030">
            <v>9360</v>
          </cell>
          <cell r="AB2030">
            <v>170.03466666666668</v>
          </cell>
          <cell r="AC2030">
            <v>5200</v>
          </cell>
          <cell r="AD2030">
            <v>3883.0600000000004</v>
          </cell>
          <cell r="AE2030">
            <v>1316.9399999999996</v>
          </cell>
          <cell r="AF2030">
            <v>-2758.1899999999996</v>
          </cell>
          <cell r="AG2030">
            <v>2700</v>
          </cell>
          <cell r="AN2030" t="str">
            <v xml:space="preserve">Contrato emergencial nº </v>
          </cell>
          <cell r="AO2030" t="str">
            <v>FO</v>
          </cell>
        </row>
        <row r="2031">
          <cell r="D2031" t="str">
            <v>3265/11</v>
          </cell>
          <cell r="E2031">
            <v>40863</v>
          </cell>
          <cell r="F2031">
            <v>41042</v>
          </cell>
          <cell r="G2031">
            <v>40908</v>
          </cell>
          <cell r="H2031" t="str">
            <v>2011-0.293.498-0</v>
          </cell>
          <cell r="I2031">
            <v>45632.28</v>
          </cell>
          <cell r="J2031" t="str">
            <v xml:space="preserve">              123611122                  2848                    33903600</v>
          </cell>
          <cell r="K2031">
            <v>40863</v>
          </cell>
          <cell r="L2031">
            <v>46</v>
          </cell>
          <cell r="M2031">
            <v>11700</v>
          </cell>
          <cell r="N2031">
            <v>57278</v>
          </cell>
          <cell r="P2031">
            <v>16</v>
          </cell>
          <cell r="Q2031">
            <v>3</v>
          </cell>
          <cell r="V2031">
            <v>8000</v>
          </cell>
          <cell r="W2031">
            <v>180</v>
          </cell>
          <cell r="X2031">
            <v>6400</v>
          </cell>
          <cell r="Y2031">
            <v>122069</v>
          </cell>
          <cell r="Z2031">
            <v>10423.92</v>
          </cell>
          <cell r="AA2031">
            <v>14400</v>
          </cell>
          <cell r="AB2031">
            <v>253.51266666666666</v>
          </cell>
          <cell r="AC2031">
            <v>7700</v>
          </cell>
          <cell r="AD2031">
            <v>7943.41</v>
          </cell>
          <cell r="AE2031">
            <v>-243.40999999999985</v>
          </cell>
          <cell r="AF2031">
            <v>-4023.92</v>
          </cell>
          <cell r="AG2031">
            <v>4000</v>
          </cell>
          <cell r="AN2031" t="str">
            <v xml:space="preserve">Contrato emergencial nº </v>
          </cell>
          <cell r="AO2031" t="str">
            <v>FO</v>
          </cell>
        </row>
        <row r="2032">
          <cell r="D2032" t="str">
            <v>3266/11</v>
          </cell>
          <cell r="E2032">
            <v>40863</v>
          </cell>
          <cell r="F2032">
            <v>41042</v>
          </cell>
          <cell r="G2032">
            <v>40908</v>
          </cell>
          <cell r="H2032" t="str">
            <v>2011-0.293.500-6</v>
          </cell>
          <cell r="I2032">
            <v>36954.120000000003</v>
          </cell>
          <cell r="J2032" t="str">
            <v xml:space="preserve">              123611122                  2848                    33903600</v>
          </cell>
          <cell r="K2032">
            <v>40863</v>
          </cell>
          <cell r="L2032">
            <v>46</v>
          </cell>
          <cell r="M2032">
            <v>9500</v>
          </cell>
          <cell r="N2032">
            <v>57278</v>
          </cell>
          <cell r="P2032">
            <v>16</v>
          </cell>
          <cell r="Q2032">
            <v>3</v>
          </cell>
          <cell r="V2032">
            <v>6200</v>
          </cell>
          <cell r="W2032">
            <v>180</v>
          </cell>
          <cell r="X2032">
            <v>4960</v>
          </cell>
          <cell r="Y2032">
            <v>122071</v>
          </cell>
          <cell r="Z2032">
            <v>8074.28</v>
          </cell>
          <cell r="AA2032">
            <v>11160</v>
          </cell>
          <cell r="AB2032">
            <v>205.30066666666667</v>
          </cell>
          <cell r="AC2032">
            <v>6200</v>
          </cell>
          <cell r="AD2032">
            <v>5020.1280000000006</v>
          </cell>
          <cell r="AE2032">
            <v>1179.8719999999994</v>
          </cell>
          <cell r="AF2032">
            <v>-3114.2799999999997</v>
          </cell>
          <cell r="AG2032">
            <v>3100</v>
          </cell>
          <cell r="AN2032" t="str">
            <v xml:space="preserve">Contrato emergencial nº </v>
          </cell>
          <cell r="AO2032" t="str">
            <v>FO</v>
          </cell>
        </row>
        <row r="2033">
          <cell r="D2033" t="str">
            <v>3267/11</v>
          </cell>
          <cell r="E2033">
            <v>40863</v>
          </cell>
          <cell r="F2033">
            <v>41042</v>
          </cell>
          <cell r="G2033">
            <v>40908</v>
          </cell>
          <cell r="H2033" t="str">
            <v>2011-0.293.503-0</v>
          </cell>
          <cell r="I2033">
            <v>42218.64</v>
          </cell>
          <cell r="J2033" t="str">
            <v xml:space="preserve">              123611122                  2848                    33903600</v>
          </cell>
          <cell r="K2033">
            <v>40863</v>
          </cell>
          <cell r="L2033">
            <v>46</v>
          </cell>
          <cell r="M2033">
            <v>10800</v>
          </cell>
          <cell r="N2033">
            <v>57278</v>
          </cell>
          <cell r="P2033">
            <v>16</v>
          </cell>
          <cell r="Q2033">
            <v>3</v>
          </cell>
          <cell r="V2033">
            <v>7400</v>
          </cell>
          <cell r="W2033">
            <v>180</v>
          </cell>
          <cell r="X2033">
            <v>5920</v>
          </cell>
          <cell r="Y2033">
            <v>122075</v>
          </cell>
          <cell r="Z2033">
            <v>8898.0300000000007</v>
          </cell>
          <cell r="AA2033">
            <v>13320</v>
          </cell>
          <cell r="AB2033">
            <v>234.548</v>
          </cell>
          <cell r="AC2033">
            <v>7100</v>
          </cell>
          <cell r="AD2033">
            <v>7321.5929999999998</v>
          </cell>
          <cell r="AE2033">
            <v>-221.59299999999985</v>
          </cell>
          <cell r="AF2033">
            <v>-2978.0300000000007</v>
          </cell>
          <cell r="AG2033">
            <v>2900</v>
          </cell>
          <cell r="AN2033" t="str">
            <v xml:space="preserve">Contrato emergencial nº </v>
          </cell>
          <cell r="AO2033" t="str">
            <v>PJ</v>
          </cell>
        </row>
        <row r="2034">
          <cell r="D2034" t="str">
            <v>3268/11</v>
          </cell>
          <cell r="E2034">
            <v>40863</v>
          </cell>
          <cell r="F2034">
            <v>41042</v>
          </cell>
          <cell r="G2034">
            <v>40908</v>
          </cell>
          <cell r="H2034" t="str">
            <v>2011-0.293.507-3</v>
          </cell>
          <cell r="I2034">
            <v>27158.880000000001</v>
          </cell>
          <cell r="J2034" t="str">
            <v xml:space="preserve">              123611122                  2848                    33903600</v>
          </cell>
          <cell r="K2034">
            <v>40863</v>
          </cell>
          <cell r="L2034">
            <v>46</v>
          </cell>
          <cell r="M2034">
            <v>7000</v>
          </cell>
          <cell r="N2034">
            <v>57278</v>
          </cell>
          <cell r="P2034">
            <v>16</v>
          </cell>
          <cell r="Q2034">
            <v>3</v>
          </cell>
          <cell r="V2034">
            <v>4600</v>
          </cell>
          <cell r="W2034">
            <v>180</v>
          </cell>
          <cell r="X2034">
            <v>3680</v>
          </cell>
          <cell r="Y2034">
            <v>122077</v>
          </cell>
          <cell r="Z2034">
            <v>5564.79</v>
          </cell>
          <cell r="AA2034">
            <v>8280</v>
          </cell>
          <cell r="AB2034">
            <v>150.88266666666667</v>
          </cell>
          <cell r="AC2034">
            <v>4600</v>
          </cell>
          <cell r="AD2034">
            <v>4579.01</v>
          </cell>
          <cell r="AE2034">
            <v>20.989999999999782</v>
          </cell>
          <cell r="AF2034">
            <v>-1884.79</v>
          </cell>
          <cell r="AG2034">
            <v>1800</v>
          </cell>
          <cell r="AN2034" t="str">
            <v xml:space="preserve">Contrato emergencial nº </v>
          </cell>
          <cell r="AO2034" t="str">
            <v>FO</v>
          </cell>
        </row>
        <row r="2035">
          <cell r="D2035" t="str">
            <v>3269/11</v>
          </cell>
          <cell r="E2035">
            <v>40863</v>
          </cell>
          <cell r="F2035">
            <v>41042</v>
          </cell>
          <cell r="G2035">
            <v>40908</v>
          </cell>
          <cell r="H2035" t="str">
            <v>2011-0.293.510-3</v>
          </cell>
          <cell r="I2035">
            <v>40835.160000000003</v>
          </cell>
          <cell r="J2035" t="str">
            <v xml:space="preserve">              123611122                  2848                    33903600</v>
          </cell>
          <cell r="K2035">
            <v>40863</v>
          </cell>
          <cell r="L2035">
            <v>46</v>
          </cell>
          <cell r="M2035">
            <v>10500</v>
          </cell>
          <cell r="N2035">
            <v>57278</v>
          </cell>
          <cell r="P2035">
            <v>16</v>
          </cell>
          <cell r="Q2035">
            <v>3</v>
          </cell>
          <cell r="V2035">
            <v>6900</v>
          </cell>
          <cell r="W2035">
            <v>180</v>
          </cell>
          <cell r="X2035">
            <v>5520</v>
          </cell>
          <cell r="Y2035">
            <v>122080</v>
          </cell>
          <cell r="Z2035">
            <v>9211.6299999999992</v>
          </cell>
          <cell r="AA2035">
            <v>12420</v>
          </cell>
          <cell r="AB2035">
            <v>226.86200000000002</v>
          </cell>
          <cell r="AC2035">
            <v>6900</v>
          </cell>
          <cell r="AD2035">
            <v>5188.9299999999985</v>
          </cell>
          <cell r="AE2035">
            <v>1711.0700000000015</v>
          </cell>
          <cell r="AF2035">
            <v>-3691.6299999999992</v>
          </cell>
          <cell r="AG2035">
            <v>3600</v>
          </cell>
          <cell r="AN2035" t="str">
            <v xml:space="preserve">Contrato emergencial nº </v>
          </cell>
          <cell r="AO2035" t="str">
            <v>FO</v>
          </cell>
        </row>
        <row r="2036">
          <cell r="D2036" t="str">
            <v>3270/11</v>
          </cell>
          <cell r="E2036">
            <v>40863</v>
          </cell>
          <cell r="F2036">
            <v>41042</v>
          </cell>
          <cell r="G2036">
            <v>40908</v>
          </cell>
          <cell r="H2036" t="str">
            <v>2011-0.293.512-0</v>
          </cell>
          <cell r="I2036">
            <v>39800.639999999999</v>
          </cell>
          <cell r="J2036" t="str">
            <v xml:space="preserve">              123611122                  2848                    33903600</v>
          </cell>
          <cell r="K2036">
            <v>40863</v>
          </cell>
          <cell r="L2036">
            <v>46</v>
          </cell>
          <cell r="M2036">
            <v>10200</v>
          </cell>
          <cell r="N2036">
            <v>57278</v>
          </cell>
          <cell r="P2036">
            <v>16</v>
          </cell>
          <cell r="Q2036">
            <v>3</v>
          </cell>
          <cell r="V2036">
            <v>6700</v>
          </cell>
          <cell r="W2036">
            <v>180</v>
          </cell>
          <cell r="X2036">
            <v>5360</v>
          </cell>
          <cell r="Y2036">
            <v>122082</v>
          </cell>
          <cell r="Z2036">
            <v>8328.69</v>
          </cell>
          <cell r="AA2036">
            <v>12060</v>
          </cell>
          <cell r="AB2036">
            <v>221.11466666666666</v>
          </cell>
          <cell r="AC2036">
            <v>6700</v>
          </cell>
          <cell r="AD2036">
            <v>6273.9699999999993</v>
          </cell>
          <cell r="AE2036">
            <v>426.03000000000065</v>
          </cell>
          <cell r="AF2036">
            <v>-2968.6900000000005</v>
          </cell>
          <cell r="AG2036">
            <v>2900</v>
          </cell>
          <cell r="AN2036" t="str">
            <v xml:space="preserve">Contrato emergencial nº </v>
          </cell>
          <cell r="AO2036" t="str">
            <v xml:space="preserve">SA </v>
          </cell>
        </row>
        <row r="2037">
          <cell r="D2037" t="str">
            <v>3271/11</v>
          </cell>
          <cell r="E2037">
            <v>40863</v>
          </cell>
          <cell r="F2037">
            <v>41042</v>
          </cell>
          <cell r="G2037">
            <v>40908</v>
          </cell>
          <cell r="H2037" t="str">
            <v>2011-0.293.523-5</v>
          </cell>
          <cell r="I2037">
            <v>43520.639999999999</v>
          </cell>
          <cell r="J2037" t="str">
            <v xml:space="preserve">              123651121                 2847                    33903600</v>
          </cell>
          <cell r="K2037">
            <v>40863</v>
          </cell>
          <cell r="L2037">
            <v>46</v>
          </cell>
          <cell r="M2037">
            <v>11200</v>
          </cell>
          <cell r="N2037">
            <v>57273</v>
          </cell>
          <cell r="P2037">
            <v>16</v>
          </cell>
          <cell r="Q2037">
            <v>2</v>
          </cell>
          <cell r="V2037">
            <v>7300</v>
          </cell>
          <cell r="W2037">
            <v>180</v>
          </cell>
          <cell r="X2037">
            <v>5840</v>
          </cell>
          <cell r="Y2037">
            <v>122085</v>
          </cell>
          <cell r="Z2037">
            <v>9932.42</v>
          </cell>
          <cell r="AA2037">
            <v>13140</v>
          </cell>
          <cell r="AB2037">
            <v>241.78133333333332</v>
          </cell>
          <cell r="AC2037">
            <v>7300</v>
          </cell>
          <cell r="AD2037">
            <v>5110.6177999999991</v>
          </cell>
          <cell r="AE2037">
            <v>2189.3822000000009</v>
          </cell>
          <cell r="AF2037">
            <v>-4092.42</v>
          </cell>
          <cell r="AG2037">
            <v>4000</v>
          </cell>
          <cell r="AN2037" t="str">
            <v xml:space="preserve">Contrato emergencial nº </v>
          </cell>
          <cell r="AO2037" t="str">
            <v>FO</v>
          </cell>
        </row>
        <row r="2038">
          <cell r="D2038" t="str">
            <v>3272/11</v>
          </cell>
          <cell r="E2038">
            <v>40863</v>
          </cell>
          <cell r="F2038">
            <v>41042</v>
          </cell>
          <cell r="G2038">
            <v>40908</v>
          </cell>
          <cell r="H2038" t="str">
            <v>2011-0.293.526-0</v>
          </cell>
          <cell r="I2038">
            <v>36684.720000000001</v>
          </cell>
          <cell r="J2038" t="str">
            <v xml:space="preserve">              123651121                 2847                    33903600</v>
          </cell>
          <cell r="K2038">
            <v>40863</v>
          </cell>
          <cell r="L2038">
            <v>46</v>
          </cell>
          <cell r="M2038">
            <v>9400</v>
          </cell>
          <cell r="N2038">
            <v>57273</v>
          </cell>
          <cell r="P2038">
            <v>16</v>
          </cell>
          <cell r="Q2038">
            <v>2</v>
          </cell>
          <cell r="V2038">
            <v>7600</v>
          </cell>
          <cell r="W2038">
            <v>180</v>
          </cell>
          <cell r="X2038">
            <v>6080</v>
          </cell>
          <cell r="Y2038">
            <v>122088</v>
          </cell>
          <cell r="Z2038">
            <v>9033.7199999999993</v>
          </cell>
          <cell r="AA2038">
            <v>13680</v>
          </cell>
          <cell r="AB2038">
            <v>203.804</v>
          </cell>
          <cell r="AC2038">
            <v>6200</v>
          </cell>
          <cell r="AD2038">
            <v>7570.653666666667</v>
          </cell>
          <cell r="AE2038">
            <v>-1370.653666666667</v>
          </cell>
          <cell r="AF2038">
            <v>-2953.7199999999993</v>
          </cell>
          <cell r="AG2038">
            <v>2900</v>
          </cell>
          <cell r="AN2038" t="str">
            <v xml:space="preserve">Contrato emergencial nº </v>
          </cell>
          <cell r="AO2038" t="str">
            <v>MP</v>
          </cell>
        </row>
        <row r="2039">
          <cell r="D2039" t="str">
            <v>3273/11</v>
          </cell>
          <cell r="E2039">
            <v>40863</v>
          </cell>
          <cell r="F2039">
            <v>41042</v>
          </cell>
          <cell r="G2039">
            <v>40908</v>
          </cell>
          <cell r="H2039" t="str">
            <v>2011-0.293.527-8</v>
          </cell>
          <cell r="I2039">
            <v>40976.639999999999</v>
          </cell>
          <cell r="J2039" t="str">
            <v xml:space="preserve">              123651121                 2847                    33903600</v>
          </cell>
          <cell r="K2039">
            <v>40863</v>
          </cell>
          <cell r="L2039">
            <v>46</v>
          </cell>
          <cell r="M2039">
            <v>10500</v>
          </cell>
          <cell r="N2039">
            <v>57273</v>
          </cell>
          <cell r="P2039">
            <v>16</v>
          </cell>
          <cell r="Q2039">
            <v>2</v>
          </cell>
          <cell r="V2039">
            <v>7600</v>
          </cell>
          <cell r="W2039">
            <v>180</v>
          </cell>
          <cell r="X2039">
            <v>6080</v>
          </cell>
          <cell r="Y2039">
            <v>122091</v>
          </cell>
          <cell r="Z2039">
            <v>9185.9599999999991</v>
          </cell>
          <cell r="AA2039">
            <v>13680</v>
          </cell>
          <cell r="AB2039">
            <v>227.648</v>
          </cell>
          <cell r="AC2039">
            <v>6900</v>
          </cell>
          <cell r="AD2039">
            <v>7569.42</v>
          </cell>
          <cell r="AE2039">
            <v>-669.42000000000007</v>
          </cell>
          <cell r="AF2039">
            <v>-3105.9599999999991</v>
          </cell>
          <cell r="AG2039">
            <v>3100</v>
          </cell>
          <cell r="AN2039" t="str">
            <v xml:space="preserve">Contrato emergencial nº </v>
          </cell>
          <cell r="AO2039" t="str">
            <v>MP</v>
          </cell>
        </row>
        <row r="2040">
          <cell r="D2040" t="str">
            <v>3274/11</v>
          </cell>
          <cell r="E2040">
            <v>40863</v>
          </cell>
          <cell r="F2040">
            <v>41042</v>
          </cell>
          <cell r="G2040">
            <v>40908</v>
          </cell>
          <cell r="H2040" t="str">
            <v>2011-0.293.533-2</v>
          </cell>
          <cell r="I2040">
            <v>36684.720000000001</v>
          </cell>
          <cell r="J2040" t="str">
            <v xml:space="preserve">              123651121                 2847                    33903600</v>
          </cell>
          <cell r="K2040">
            <v>40863</v>
          </cell>
          <cell r="L2040">
            <v>46</v>
          </cell>
          <cell r="M2040">
            <v>9400</v>
          </cell>
          <cell r="N2040">
            <v>57273</v>
          </cell>
          <cell r="P2040">
            <v>16</v>
          </cell>
          <cell r="Q2040">
            <v>2</v>
          </cell>
          <cell r="V2040">
            <v>7500</v>
          </cell>
          <cell r="W2040">
            <v>180</v>
          </cell>
          <cell r="X2040">
            <v>6000</v>
          </cell>
          <cell r="Y2040">
            <v>122095</v>
          </cell>
          <cell r="Z2040">
            <v>9061.92</v>
          </cell>
          <cell r="AA2040">
            <v>13500</v>
          </cell>
          <cell r="AB2040">
            <v>203.804</v>
          </cell>
          <cell r="AC2040">
            <v>6200</v>
          </cell>
          <cell r="AD2040">
            <v>7476.16</v>
          </cell>
          <cell r="AE2040">
            <v>-1276.1599999999999</v>
          </cell>
          <cell r="AF2040">
            <v>-3061.92</v>
          </cell>
          <cell r="AG2040">
            <v>3000</v>
          </cell>
          <cell r="AN2040" t="str">
            <v xml:space="preserve">Contrato emergencial nº </v>
          </cell>
          <cell r="AO2040" t="str">
            <v>MP</v>
          </cell>
        </row>
        <row r="2041">
          <cell r="D2041" t="str">
            <v>3275/11</v>
          </cell>
          <cell r="E2041">
            <v>40863</v>
          </cell>
          <cell r="F2041">
            <v>41042</v>
          </cell>
          <cell r="G2041">
            <v>40908</v>
          </cell>
          <cell r="H2041" t="str">
            <v>2011-0.293.537-5</v>
          </cell>
          <cell r="I2041">
            <v>40976.639999999999</v>
          </cell>
          <cell r="J2041" t="str">
            <v xml:space="preserve">              123651121                 2847                    33903600</v>
          </cell>
          <cell r="K2041">
            <v>40863</v>
          </cell>
          <cell r="L2041">
            <v>46</v>
          </cell>
          <cell r="M2041">
            <v>10500</v>
          </cell>
          <cell r="N2041">
            <v>57273</v>
          </cell>
          <cell r="P2041">
            <v>16</v>
          </cell>
          <cell r="Q2041">
            <v>2</v>
          </cell>
          <cell r="V2041">
            <v>8000</v>
          </cell>
          <cell r="W2041">
            <v>180</v>
          </cell>
          <cell r="X2041">
            <v>6400</v>
          </cell>
          <cell r="Y2041">
            <v>122098</v>
          </cell>
          <cell r="Z2041">
            <v>9685.58</v>
          </cell>
          <cell r="AA2041">
            <v>14400</v>
          </cell>
          <cell r="AB2041">
            <v>227.648</v>
          </cell>
          <cell r="AC2041">
            <v>6900</v>
          </cell>
          <cell r="AD2041">
            <v>7935.5</v>
          </cell>
          <cell r="AE2041">
            <v>-1035.5</v>
          </cell>
          <cell r="AF2041">
            <v>-3285.58</v>
          </cell>
          <cell r="AG2041">
            <v>3200</v>
          </cell>
          <cell r="AN2041" t="str">
            <v xml:space="preserve">Contrato emergencial nº </v>
          </cell>
          <cell r="AO2041" t="str">
            <v>MP</v>
          </cell>
        </row>
        <row r="2042">
          <cell r="D2042" t="str">
            <v>3276/11</v>
          </cell>
          <cell r="E2042">
            <v>40863</v>
          </cell>
          <cell r="F2042">
            <v>41042</v>
          </cell>
          <cell r="G2042">
            <v>40908</v>
          </cell>
          <cell r="H2042" t="str">
            <v>2011-0.293.197-3</v>
          </cell>
          <cell r="I2042">
            <v>40976.639999999999</v>
          </cell>
          <cell r="J2042" t="str">
            <v xml:space="preserve">              123651121                 2847                    33903600</v>
          </cell>
          <cell r="K2042">
            <v>40863</v>
          </cell>
          <cell r="L2042">
            <v>46</v>
          </cell>
          <cell r="M2042">
            <v>10500</v>
          </cell>
          <cell r="N2042">
            <v>57273</v>
          </cell>
          <cell r="P2042">
            <v>16</v>
          </cell>
          <cell r="Q2042">
            <v>2</v>
          </cell>
          <cell r="V2042">
            <v>7000</v>
          </cell>
          <cell r="W2042">
            <v>180</v>
          </cell>
          <cell r="X2042">
            <v>5600</v>
          </cell>
          <cell r="Y2042">
            <v>122101</v>
          </cell>
          <cell r="Z2042">
            <v>8489.94</v>
          </cell>
          <cell r="AA2042">
            <v>12600</v>
          </cell>
          <cell r="AB2042">
            <v>227.648</v>
          </cell>
          <cell r="AC2042">
            <v>6900</v>
          </cell>
          <cell r="AD2042">
            <v>6913.46</v>
          </cell>
          <cell r="AE2042">
            <v>-13.460000000000036</v>
          </cell>
          <cell r="AF2042">
            <v>-2889.9400000000005</v>
          </cell>
          <cell r="AG2042">
            <v>2800</v>
          </cell>
          <cell r="AN2042" t="str">
            <v xml:space="preserve">Contrato emergencial nº </v>
          </cell>
          <cell r="AO2042" t="str">
            <v>MP</v>
          </cell>
        </row>
        <row r="2043">
          <cell r="D2043" t="str">
            <v>3277/11</v>
          </cell>
          <cell r="E2043">
            <v>40863</v>
          </cell>
          <cell r="F2043">
            <v>41042</v>
          </cell>
          <cell r="G2043">
            <v>40908</v>
          </cell>
          <cell r="H2043" t="str">
            <v>2011-0.293.204-0</v>
          </cell>
          <cell r="I2043">
            <v>38417.160000000003</v>
          </cell>
          <cell r="J2043" t="str">
            <v xml:space="preserve">              123651121                 2847                    33903600</v>
          </cell>
          <cell r="K2043">
            <v>40863</v>
          </cell>
          <cell r="L2043">
            <v>46</v>
          </cell>
          <cell r="M2043">
            <v>9900</v>
          </cell>
          <cell r="N2043">
            <v>57273</v>
          </cell>
          <cell r="P2043">
            <v>16</v>
          </cell>
          <cell r="Q2043">
            <v>2</v>
          </cell>
          <cell r="V2043">
            <v>7200</v>
          </cell>
          <cell r="W2043">
            <v>180</v>
          </cell>
          <cell r="X2043">
            <v>5760</v>
          </cell>
          <cell r="Y2043">
            <v>122102</v>
          </cell>
          <cell r="Z2043">
            <v>8348.52</v>
          </cell>
          <cell r="AA2043">
            <v>12960</v>
          </cell>
          <cell r="AB2043">
            <v>213.42866666666669</v>
          </cell>
          <cell r="AC2043">
            <v>6500</v>
          </cell>
          <cell r="AD2043">
            <v>7127.3200000000006</v>
          </cell>
          <cell r="AE2043">
            <v>-627.32000000000062</v>
          </cell>
          <cell r="AF2043">
            <v>-2588.5200000000004</v>
          </cell>
          <cell r="AG2043">
            <v>2500</v>
          </cell>
          <cell r="AN2043" t="str">
            <v xml:space="preserve">Contrato emergencial nº </v>
          </cell>
          <cell r="AO2043" t="str">
            <v>MP</v>
          </cell>
        </row>
        <row r="2044">
          <cell r="D2044" t="str">
            <v>3278/11</v>
          </cell>
          <cell r="E2044">
            <v>40863</v>
          </cell>
          <cell r="F2044">
            <v>41042</v>
          </cell>
          <cell r="G2044">
            <v>40908</v>
          </cell>
          <cell r="H2044" t="str">
            <v>2011-0.293.210-4</v>
          </cell>
          <cell r="I2044">
            <v>40835.160000000003</v>
          </cell>
          <cell r="J2044" t="str">
            <v xml:space="preserve">              123651121                 2847                    33903600</v>
          </cell>
          <cell r="K2044">
            <v>40863</v>
          </cell>
          <cell r="L2044">
            <v>46</v>
          </cell>
          <cell r="M2044">
            <v>10500</v>
          </cell>
          <cell r="N2044">
            <v>57273</v>
          </cell>
          <cell r="P2044">
            <v>16</v>
          </cell>
          <cell r="Q2044">
            <v>2</v>
          </cell>
          <cell r="V2044">
            <v>7700</v>
          </cell>
          <cell r="W2044">
            <v>180</v>
          </cell>
          <cell r="X2044">
            <v>6160</v>
          </cell>
          <cell r="Y2044">
            <v>122103</v>
          </cell>
          <cell r="Z2044">
            <v>9299.59</v>
          </cell>
          <cell r="AA2044">
            <v>13860</v>
          </cell>
          <cell r="AB2044">
            <v>226.86200000000002</v>
          </cell>
          <cell r="AC2044">
            <v>6900</v>
          </cell>
          <cell r="AD2044">
            <v>7683.4800000000005</v>
          </cell>
          <cell r="AE2044">
            <v>-783.48000000000047</v>
          </cell>
          <cell r="AF2044">
            <v>-3139.59</v>
          </cell>
          <cell r="AG2044">
            <v>3100</v>
          </cell>
          <cell r="AN2044" t="str">
            <v xml:space="preserve">Contrato emergencial nº </v>
          </cell>
          <cell r="AO2044" t="str">
            <v>MP</v>
          </cell>
        </row>
        <row r="2045">
          <cell r="D2045" t="str">
            <v>3279/11</v>
          </cell>
          <cell r="E2045">
            <v>40863</v>
          </cell>
          <cell r="F2045">
            <v>41042</v>
          </cell>
          <cell r="G2045">
            <v>40908</v>
          </cell>
          <cell r="H2045" t="str">
            <v>2011-0.293.216-3</v>
          </cell>
          <cell r="I2045">
            <v>54669.96</v>
          </cell>
          <cell r="J2045" t="str">
            <v xml:space="preserve">              123611122                  2848                    33903600</v>
          </cell>
          <cell r="K2045">
            <v>40863</v>
          </cell>
          <cell r="L2045">
            <v>46</v>
          </cell>
          <cell r="M2045">
            <v>14000</v>
          </cell>
          <cell r="N2045">
            <v>57278</v>
          </cell>
          <cell r="P2045">
            <v>16</v>
          </cell>
          <cell r="Q2045">
            <v>3</v>
          </cell>
          <cell r="V2045">
            <v>9200</v>
          </cell>
          <cell r="W2045">
            <v>180</v>
          </cell>
          <cell r="X2045">
            <v>7360</v>
          </cell>
          <cell r="Y2045">
            <v>122106</v>
          </cell>
          <cell r="Z2045">
            <v>10988.73</v>
          </cell>
          <cell r="AA2045">
            <v>16560</v>
          </cell>
          <cell r="AB2045">
            <v>303.72199999999998</v>
          </cell>
          <cell r="AC2045">
            <v>9200</v>
          </cell>
          <cell r="AD2045">
            <v>9145.27</v>
          </cell>
          <cell r="AE2045">
            <v>54.729999999999563</v>
          </cell>
          <cell r="AF2045">
            <v>-3628.7299999999996</v>
          </cell>
          <cell r="AG2045">
            <v>3600</v>
          </cell>
          <cell r="AN2045" t="str">
            <v xml:space="preserve">Contrato emergencial nº </v>
          </cell>
          <cell r="AO2045" t="str">
            <v>CL</v>
          </cell>
        </row>
        <row r="2046">
          <cell r="D2046" t="str">
            <v>3280/11</v>
          </cell>
          <cell r="E2046">
            <v>40863</v>
          </cell>
          <cell r="F2046">
            <v>41042</v>
          </cell>
          <cell r="G2046">
            <v>40908</v>
          </cell>
          <cell r="H2046" t="str">
            <v>2011-0.293.220-1</v>
          </cell>
          <cell r="I2046">
            <v>50500.08</v>
          </cell>
          <cell r="J2046" t="str">
            <v xml:space="preserve">             123671125                  2863                   33903600</v>
          </cell>
          <cell r="K2046">
            <v>40863</v>
          </cell>
          <cell r="L2046">
            <v>46</v>
          </cell>
          <cell r="M2046">
            <v>13000</v>
          </cell>
          <cell r="N2046">
            <v>57287</v>
          </cell>
          <cell r="P2046">
            <v>16</v>
          </cell>
          <cell r="Q2046">
            <v>4</v>
          </cell>
          <cell r="V2046">
            <v>12400</v>
          </cell>
          <cell r="W2046">
            <v>180</v>
          </cell>
          <cell r="X2046">
            <v>9920</v>
          </cell>
          <cell r="Y2046">
            <v>122495</v>
          </cell>
          <cell r="Z2046">
            <v>14652.03</v>
          </cell>
          <cell r="AA2046">
            <v>22320</v>
          </cell>
          <cell r="AB2046">
            <v>280.55599999999998</v>
          </cell>
          <cell r="AC2046">
            <v>8500</v>
          </cell>
          <cell r="AD2046">
            <v>12374.897000000001</v>
          </cell>
          <cell r="AE2046">
            <v>-3874.8970000000008</v>
          </cell>
          <cell r="AF2046">
            <v>-4732.0300000000007</v>
          </cell>
          <cell r="AG2046">
            <v>4700</v>
          </cell>
          <cell r="AN2046" t="str">
            <v xml:space="preserve">Contrato emergencial nº </v>
          </cell>
          <cell r="AO2046" t="str">
            <v>MP</v>
          </cell>
        </row>
        <row r="2047">
          <cell r="D2047" t="str">
            <v>3281/11</v>
          </cell>
          <cell r="E2047">
            <v>40863</v>
          </cell>
          <cell r="F2047">
            <v>41042</v>
          </cell>
          <cell r="G2047">
            <v>40908</v>
          </cell>
          <cell r="H2047" t="str">
            <v>2011-0.293.225-2</v>
          </cell>
          <cell r="I2047">
            <v>40835.160000000003</v>
          </cell>
          <cell r="J2047" t="str">
            <v xml:space="preserve">              123611122                  2848                    33903600</v>
          </cell>
          <cell r="K2047">
            <v>40863</v>
          </cell>
          <cell r="L2047">
            <v>46</v>
          </cell>
          <cell r="M2047">
            <v>10500</v>
          </cell>
          <cell r="N2047">
            <v>57278</v>
          </cell>
          <cell r="P2047">
            <v>16</v>
          </cell>
          <cell r="Q2047">
            <v>3</v>
          </cell>
          <cell r="V2047">
            <v>6900</v>
          </cell>
          <cell r="W2047">
            <v>180</v>
          </cell>
          <cell r="X2047">
            <v>5520</v>
          </cell>
          <cell r="Y2047">
            <v>122108</v>
          </cell>
          <cell r="Z2047">
            <v>8720.58</v>
          </cell>
          <cell r="AA2047">
            <v>12420</v>
          </cell>
          <cell r="AB2047">
            <v>226.86200000000002</v>
          </cell>
          <cell r="AC2047">
            <v>6900</v>
          </cell>
          <cell r="AD2047">
            <v>5938.3189999999995</v>
          </cell>
          <cell r="AE2047">
            <v>961.68100000000049</v>
          </cell>
          <cell r="AF2047">
            <v>-3200.58</v>
          </cell>
          <cell r="AG2047">
            <v>3200</v>
          </cell>
          <cell r="AN2047" t="str">
            <v xml:space="preserve">Contrato emergencial nº </v>
          </cell>
          <cell r="AO2047" t="str">
            <v>MP</v>
          </cell>
        </row>
        <row r="2048">
          <cell r="D2048" t="str">
            <v>3282/11</v>
          </cell>
          <cell r="E2048">
            <v>40863</v>
          </cell>
          <cell r="F2048">
            <v>41042</v>
          </cell>
          <cell r="G2048">
            <v>40908</v>
          </cell>
          <cell r="H2048" t="str">
            <v>2011-0.293.228-7</v>
          </cell>
          <cell r="I2048">
            <v>40976.639999999999</v>
          </cell>
          <cell r="J2048" t="str">
            <v xml:space="preserve">              123611122                  2848                    33903600</v>
          </cell>
          <cell r="K2048">
            <v>40863</v>
          </cell>
          <cell r="L2048">
            <v>46</v>
          </cell>
          <cell r="M2048">
            <v>10500</v>
          </cell>
          <cell r="N2048">
            <v>57278</v>
          </cell>
          <cell r="P2048">
            <v>16</v>
          </cell>
          <cell r="Q2048">
            <v>3</v>
          </cell>
          <cell r="V2048">
            <v>6900</v>
          </cell>
          <cell r="W2048">
            <v>180</v>
          </cell>
          <cell r="X2048">
            <v>5520</v>
          </cell>
          <cell r="Y2048">
            <v>122109</v>
          </cell>
          <cell r="Z2048">
            <v>9201.3799999999992</v>
          </cell>
          <cell r="AA2048">
            <v>12420</v>
          </cell>
          <cell r="AB2048">
            <v>227.648</v>
          </cell>
          <cell r="AC2048">
            <v>6900</v>
          </cell>
          <cell r="AD2048">
            <v>5186.9400000000005</v>
          </cell>
          <cell r="AE2048">
            <v>1713.0599999999995</v>
          </cell>
          <cell r="AF2048">
            <v>-3681.3799999999992</v>
          </cell>
          <cell r="AG2048">
            <v>3600</v>
          </cell>
          <cell r="AN2048" t="str">
            <v xml:space="preserve">Contrato emergencial nº </v>
          </cell>
          <cell r="AO2048" t="str">
            <v>MP</v>
          </cell>
        </row>
        <row r="2049">
          <cell r="D2049" t="str">
            <v>3283/11</v>
          </cell>
          <cell r="E2049">
            <v>40863</v>
          </cell>
          <cell r="F2049">
            <v>41042</v>
          </cell>
          <cell r="G2049">
            <v>40908</v>
          </cell>
          <cell r="H2049" t="str">
            <v>2011-0.293.234-1</v>
          </cell>
          <cell r="I2049">
            <v>39593.160000000003</v>
          </cell>
          <cell r="J2049" t="str">
            <v xml:space="preserve">              123611122                  2848                    33903600</v>
          </cell>
          <cell r="K2049">
            <v>40863</v>
          </cell>
          <cell r="L2049">
            <v>46</v>
          </cell>
          <cell r="M2049">
            <v>10200</v>
          </cell>
          <cell r="N2049">
            <v>57278</v>
          </cell>
          <cell r="P2049">
            <v>16</v>
          </cell>
          <cell r="Q2049">
            <v>3</v>
          </cell>
          <cell r="V2049">
            <v>6600</v>
          </cell>
          <cell r="W2049">
            <v>180</v>
          </cell>
          <cell r="X2049">
            <v>5280</v>
          </cell>
          <cell r="AA2049">
            <v>11880</v>
          </cell>
          <cell r="AB2049">
            <v>219.96200000000002</v>
          </cell>
          <cell r="AC2049">
            <v>6600</v>
          </cell>
          <cell r="AD2049">
            <v>2442.4999999999995</v>
          </cell>
          <cell r="AE2049">
            <v>4157.5</v>
          </cell>
          <cell r="AN2049" t="str">
            <v xml:space="preserve">Contrato emergencial nº </v>
          </cell>
          <cell r="AO2049" t="str">
            <v>MP</v>
          </cell>
        </row>
        <row r="2050">
          <cell r="D2050" t="str">
            <v>3284/11</v>
          </cell>
          <cell r="E2050">
            <v>40863</v>
          </cell>
          <cell r="F2050">
            <v>41042</v>
          </cell>
          <cell r="G2050">
            <v>40908</v>
          </cell>
          <cell r="H2050" t="str">
            <v>2011-0.293.239-2</v>
          </cell>
          <cell r="I2050">
            <v>52251.96</v>
          </cell>
          <cell r="J2050" t="str">
            <v xml:space="preserve">              123611122                  2848                    33903600</v>
          </cell>
          <cell r="K2050">
            <v>40863</v>
          </cell>
          <cell r="L2050">
            <v>46</v>
          </cell>
          <cell r="M2050">
            <v>13400</v>
          </cell>
          <cell r="N2050">
            <v>57278</v>
          </cell>
          <cell r="P2050">
            <v>16</v>
          </cell>
          <cell r="Q2050">
            <v>3</v>
          </cell>
          <cell r="V2050">
            <v>8800</v>
          </cell>
          <cell r="W2050">
            <v>180</v>
          </cell>
          <cell r="X2050">
            <v>7040</v>
          </cell>
          <cell r="Y2050">
            <v>122111</v>
          </cell>
          <cell r="Z2050">
            <v>11521.6</v>
          </cell>
          <cell r="AA2050">
            <v>15840</v>
          </cell>
          <cell r="AB2050">
            <v>290.28866666666664</v>
          </cell>
          <cell r="AC2050">
            <v>8800</v>
          </cell>
          <cell r="AD2050">
            <v>7132.6049999999996</v>
          </cell>
          <cell r="AE2050">
            <v>1667.3950000000004</v>
          </cell>
          <cell r="AF2050">
            <v>-4481.6000000000004</v>
          </cell>
          <cell r="AG2050">
            <v>4400</v>
          </cell>
          <cell r="AN2050" t="str">
            <v xml:space="preserve">Contrato emergencial nº </v>
          </cell>
          <cell r="AO2050" t="str">
            <v>MP</v>
          </cell>
        </row>
        <row r="2051">
          <cell r="D2051" t="str">
            <v>3285/11</v>
          </cell>
          <cell r="E2051">
            <v>40863</v>
          </cell>
          <cell r="F2051">
            <v>41042</v>
          </cell>
          <cell r="G2051">
            <v>40908</v>
          </cell>
          <cell r="H2051" t="str">
            <v>2011-0.293.244-9</v>
          </cell>
          <cell r="I2051">
            <v>39566.04</v>
          </cell>
          <cell r="J2051" t="str">
            <v xml:space="preserve">              123651121                 2847                    33903600</v>
          </cell>
          <cell r="K2051">
            <v>40863</v>
          </cell>
          <cell r="L2051">
            <v>46</v>
          </cell>
          <cell r="M2051">
            <v>10200</v>
          </cell>
          <cell r="N2051">
            <v>57273</v>
          </cell>
          <cell r="P2051">
            <v>16</v>
          </cell>
          <cell r="Q2051">
            <v>2</v>
          </cell>
          <cell r="V2051">
            <v>10400</v>
          </cell>
          <cell r="W2051">
            <v>180</v>
          </cell>
          <cell r="X2051">
            <v>8320</v>
          </cell>
          <cell r="Y2051">
            <v>122113</v>
          </cell>
          <cell r="Z2051">
            <v>12889.01</v>
          </cell>
          <cell r="AA2051">
            <v>18720</v>
          </cell>
          <cell r="AB2051">
            <v>219.81133333333335</v>
          </cell>
          <cell r="AC2051">
            <v>6600</v>
          </cell>
          <cell r="AD2051">
            <v>10371.450000000001</v>
          </cell>
          <cell r="AE2051">
            <v>-3771.4500000000007</v>
          </cell>
          <cell r="AF2051">
            <v>-4569.01</v>
          </cell>
          <cell r="AG2051">
            <v>4500</v>
          </cell>
          <cell r="AN2051" t="str">
            <v xml:space="preserve">Contrato emergencial nº </v>
          </cell>
          <cell r="AO2051" t="str">
            <v>CS</v>
          </cell>
        </row>
        <row r="2052">
          <cell r="D2052" t="str">
            <v>3286/11</v>
          </cell>
          <cell r="E2052">
            <v>40863</v>
          </cell>
          <cell r="F2052">
            <v>41042</v>
          </cell>
          <cell r="G2052">
            <v>40908</v>
          </cell>
          <cell r="H2052" t="str">
            <v>2011-0.293.247-3</v>
          </cell>
          <cell r="I2052">
            <v>36684.720000000001</v>
          </cell>
          <cell r="J2052" t="str">
            <v xml:space="preserve">              123651121                 2847                    33903600</v>
          </cell>
          <cell r="K2052">
            <v>40863</v>
          </cell>
          <cell r="L2052">
            <v>46</v>
          </cell>
          <cell r="M2052">
            <v>9400</v>
          </cell>
          <cell r="N2052">
            <v>57273</v>
          </cell>
          <cell r="P2052">
            <v>16</v>
          </cell>
          <cell r="Q2052">
            <v>2</v>
          </cell>
          <cell r="V2052">
            <v>6900</v>
          </cell>
          <cell r="W2052">
            <v>180</v>
          </cell>
          <cell r="X2052">
            <v>5520</v>
          </cell>
          <cell r="Y2052">
            <v>122117</v>
          </cell>
          <cell r="Z2052">
            <v>8439.14</v>
          </cell>
          <cell r="AA2052">
            <v>12420</v>
          </cell>
          <cell r="AB2052">
            <v>203.804</v>
          </cell>
          <cell r="AC2052">
            <v>6200</v>
          </cell>
          <cell r="AD2052">
            <v>6806.58</v>
          </cell>
          <cell r="AE2052">
            <v>-606.57999999999993</v>
          </cell>
          <cell r="AF2052">
            <v>-2919.1399999999994</v>
          </cell>
          <cell r="AG2052">
            <v>2900</v>
          </cell>
          <cell r="AN2052" t="str">
            <v xml:space="preserve">Contrato emergencial nº </v>
          </cell>
          <cell r="AO2052" t="str">
            <v>MP</v>
          </cell>
        </row>
        <row r="2053">
          <cell r="D2053" t="str">
            <v>3287/11</v>
          </cell>
          <cell r="E2053">
            <v>40863</v>
          </cell>
          <cell r="F2053">
            <v>41042</v>
          </cell>
          <cell r="G2053">
            <v>40908</v>
          </cell>
          <cell r="H2053" t="str">
            <v>2011-0.293.252-0</v>
          </cell>
          <cell r="I2053">
            <v>40835.160000000003</v>
          </cell>
          <cell r="J2053" t="str">
            <v xml:space="preserve">              123651121                 2847                    33903600</v>
          </cell>
          <cell r="K2053">
            <v>40863</v>
          </cell>
          <cell r="L2053">
            <v>46</v>
          </cell>
          <cell r="M2053">
            <v>10500</v>
          </cell>
          <cell r="N2053">
            <v>57273</v>
          </cell>
          <cell r="P2053">
            <v>16</v>
          </cell>
          <cell r="Q2053">
            <v>2</v>
          </cell>
          <cell r="V2053">
            <v>7800</v>
          </cell>
          <cell r="W2053">
            <v>180</v>
          </cell>
          <cell r="X2053">
            <v>6240</v>
          </cell>
          <cell r="Y2053">
            <v>122119</v>
          </cell>
          <cell r="Z2053">
            <v>9451.56</v>
          </cell>
          <cell r="AA2053">
            <v>14040</v>
          </cell>
          <cell r="AB2053">
            <v>226.86200000000002</v>
          </cell>
          <cell r="AC2053">
            <v>6900</v>
          </cell>
          <cell r="AD2053">
            <v>7792.9</v>
          </cell>
          <cell r="AE2053">
            <v>-892.89999999999964</v>
          </cell>
          <cell r="AF2053">
            <v>-3211.5599999999995</v>
          </cell>
          <cell r="AG2053">
            <v>3200</v>
          </cell>
          <cell r="AN2053" t="str">
            <v xml:space="preserve">Contrato emergencial nº </v>
          </cell>
          <cell r="AO2053" t="str">
            <v>PJ</v>
          </cell>
        </row>
        <row r="2054">
          <cell r="D2054" t="str">
            <v>3288/11</v>
          </cell>
          <cell r="E2054">
            <v>40863</v>
          </cell>
          <cell r="F2054">
            <v>41042</v>
          </cell>
          <cell r="G2054">
            <v>40908</v>
          </cell>
          <cell r="H2054" t="str">
            <v>2011-0.293.257-0</v>
          </cell>
          <cell r="I2054">
            <v>20967.419999999998</v>
          </cell>
          <cell r="J2054" t="str">
            <v xml:space="preserve">              123611122                  2848                    33903600</v>
          </cell>
          <cell r="K2054">
            <v>40863</v>
          </cell>
          <cell r="L2054">
            <v>46</v>
          </cell>
          <cell r="M2054">
            <v>5400</v>
          </cell>
          <cell r="N2054">
            <v>57278</v>
          </cell>
          <cell r="P2054">
            <v>16</v>
          </cell>
          <cell r="Q2054">
            <v>3</v>
          </cell>
          <cell r="V2054">
            <v>3900</v>
          </cell>
          <cell r="W2054">
            <v>180</v>
          </cell>
          <cell r="X2054">
            <v>3120</v>
          </cell>
          <cell r="Y2054">
            <v>122496</v>
          </cell>
          <cell r="Z2054">
            <v>6812.5</v>
          </cell>
          <cell r="AA2054">
            <v>7020</v>
          </cell>
          <cell r="AB2054">
            <v>116.48566666666666</v>
          </cell>
          <cell r="AC2054">
            <v>3500</v>
          </cell>
          <cell r="AD2054">
            <v>3844.53</v>
          </cell>
          <cell r="AE2054">
            <v>-344.5300000000002</v>
          </cell>
          <cell r="AF2054">
            <v>-3692.5</v>
          </cell>
          <cell r="AG2054">
            <v>3600</v>
          </cell>
          <cell r="AN2054" t="str">
            <v xml:space="preserve">Contrato emergencial nº </v>
          </cell>
          <cell r="AO2054" t="str">
            <v>JT</v>
          </cell>
        </row>
        <row r="2055">
          <cell r="D2055" t="str">
            <v>3289/11</v>
          </cell>
          <cell r="E2055">
            <v>40863</v>
          </cell>
          <cell r="F2055">
            <v>41042</v>
          </cell>
          <cell r="G2055">
            <v>40908</v>
          </cell>
          <cell r="H2055" t="str">
            <v>2011-0.293.260-0</v>
          </cell>
          <cell r="I2055">
            <v>40976.639999999999</v>
          </cell>
          <cell r="J2055" t="str">
            <v xml:space="preserve">              123651121                 2847                    33903600</v>
          </cell>
          <cell r="K2055">
            <v>40863</v>
          </cell>
          <cell r="L2055">
            <v>46</v>
          </cell>
          <cell r="M2055">
            <v>10500</v>
          </cell>
          <cell r="N2055">
            <v>57273</v>
          </cell>
          <cell r="P2055">
            <v>16</v>
          </cell>
          <cell r="Q2055">
            <v>2</v>
          </cell>
          <cell r="V2055">
            <v>9000</v>
          </cell>
          <cell r="W2055">
            <v>180</v>
          </cell>
          <cell r="X2055">
            <v>7200</v>
          </cell>
          <cell r="Y2055">
            <v>122124</v>
          </cell>
          <cell r="Z2055">
            <v>10467.040000000001</v>
          </cell>
          <cell r="AA2055">
            <v>16200</v>
          </cell>
          <cell r="AB2055">
            <v>227.648</v>
          </cell>
          <cell r="AC2055">
            <v>6900</v>
          </cell>
          <cell r="AD2055">
            <v>8901.119999999999</v>
          </cell>
          <cell r="AE2055">
            <v>-2001.119999999999</v>
          </cell>
          <cell r="AF2055">
            <v>-3267.0400000000009</v>
          </cell>
          <cell r="AG2055">
            <v>3200</v>
          </cell>
          <cell r="AN2055" t="str">
            <v xml:space="preserve">Contrato emergencial nº </v>
          </cell>
          <cell r="AO2055" t="str">
            <v>CS</v>
          </cell>
        </row>
        <row r="2056">
          <cell r="D2056" t="str">
            <v>3290/11</v>
          </cell>
          <cell r="E2056">
            <v>40863</v>
          </cell>
          <cell r="F2056">
            <v>41042</v>
          </cell>
          <cell r="G2056">
            <v>40908</v>
          </cell>
          <cell r="H2056" t="str">
            <v>2011-0.293.266-0</v>
          </cell>
          <cell r="I2056">
            <v>43520.639999999999</v>
          </cell>
          <cell r="J2056" t="str">
            <v xml:space="preserve">              123611122                  2848                    33903600</v>
          </cell>
          <cell r="K2056">
            <v>40863</v>
          </cell>
          <cell r="L2056">
            <v>46</v>
          </cell>
          <cell r="M2056">
            <v>11200</v>
          </cell>
          <cell r="N2056">
            <v>57278</v>
          </cell>
          <cell r="P2056">
            <v>16</v>
          </cell>
          <cell r="Q2056">
            <v>3</v>
          </cell>
          <cell r="V2056">
            <v>7300</v>
          </cell>
          <cell r="W2056">
            <v>180</v>
          </cell>
          <cell r="X2056">
            <v>5840</v>
          </cell>
          <cell r="Y2056">
            <v>122121</v>
          </cell>
          <cell r="Z2056">
            <v>9067.85</v>
          </cell>
          <cell r="AA2056">
            <v>13140</v>
          </cell>
          <cell r="AB2056">
            <v>241.78133333333332</v>
          </cell>
          <cell r="AC2056">
            <v>7300</v>
          </cell>
          <cell r="AD2056">
            <v>6968.4500000000007</v>
          </cell>
          <cell r="AE2056">
            <v>331.54999999999927</v>
          </cell>
          <cell r="AF2056">
            <v>-3227.8500000000004</v>
          </cell>
          <cell r="AG2056">
            <v>3200</v>
          </cell>
          <cell r="AN2056" t="str">
            <v xml:space="preserve">Contrato emergencial nº </v>
          </cell>
          <cell r="AO2056" t="str">
            <v>PJ</v>
          </cell>
        </row>
        <row r="2057">
          <cell r="D2057" t="str">
            <v>3291/11</v>
          </cell>
          <cell r="E2057">
            <v>40863</v>
          </cell>
          <cell r="F2057">
            <v>41042</v>
          </cell>
          <cell r="G2057">
            <v>40908</v>
          </cell>
          <cell r="H2057" t="str">
            <v>2011-0.293.269-4</v>
          </cell>
          <cell r="I2057">
            <v>33150.720000000001</v>
          </cell>
          <cell r="J2057" t="str">
            <v xml:space="preserve">              123651121                 2847                    33903600</v>
          </cell>
          <cell r="K2057">
            <v>40863</v>
          </cell>
          <cell r="L2057">
            <v>46</v>
          </cell>
          <cell r="M2057">
            <v>8500</v>
          </cell>
          <cell r="N2057">
            <v>57273</v>
          </cell>
          <cell r="P2057">
            <v>16</v>
          </cell>
          <cell r="Q2057">
            <v>2</v>
          </cell>
          <cell r="V2057">
            <v>5600</v>
          </cell>
          <cell r="W2057">
            <v>180</v>
          </cell>
          <cell r="X2057">
            <v>4480</v>
          </cell>
          <cell r="Y2057">
            <v>122498</v>
          </cell>
          <cell r="Z2057">
            <v>7644.68</v>
          </cell>
          <cell r="AA2057">
            <v>10080</v>
          </cell>
          <cell r="AB2057">
            <v>184.17066666666668</v>
          </cell>
          <cell r="AC2057">
            <v>5600</v>
          </cell>
          <cell r="AD2057">
            <v>3870.8</v>
          </cell>
          <cell r="AE2057">
            <v>1729.1999999999998</v>
          </cell>
          <cell r="AF2057">
            <v>-3164.6800000000003</v>
          </cell>
          <cell r="AG2057">
            <v>3100</v>
          </cell>
          <cell r="AN2057" t="str">
            <v xml:space="preserve">Contrato emergencial nº </v>
          </cell>
          <cell r="AO2057" t="str">
            <v>FO</v>
          </cell>
        </row>
        <row r="2058">
          <cell r="D2058" t="str">
            <v>3292/11</v>
          </cell>
          <cell r="E2058">
            <v>40863</v>
          </cell>
          <cell r="F2058">
            <v>41042</v>
          </cell>
          <cell r="G2058">
            <v>40908</v>
          </cell>
          <cell r="H2058" t="str">
            <v>2011-0.293.271-6</v>
          </cell>
          <cell r="I2058">
            <v>40835.160000000003</v>
          </cell>
          <cell r="J2058" t="str">
            <v xml:space="preserve">              123611122                  2848                    33903600</v>
          </cell>
          <cell r="K2058">
            <v>40863</v>
          </cell>
          <cell r="L2058">
            <v>46</v>
          </cell>
          <cell r="M2058">
            <v>10500</v>
          </cell>
          <cell r="N2058">
            <v>57278</v>
          </cell>
          <cell r="P2058">
            <v>16</v>
          </cell>
          <cell r="Q2058">
            <v>3</v>
          </cell>
          <cell r="V2058">
            <v>6900</v>
          </cell>
          <cell r="W2058">
            <v>180</v>
          </cell>
          <cell r="X2058">
            <v>5520</v>
          </cell>
          <cell r="Y2058">
            <v>122128</v>
          </cell>
          <cell r="Z2058">
            <v>9237.2999999999993</v>
          </cell>
          <cell r="AA2058">
            <v>12420</v>
          </cell>
          <cell r="AB2058">
            <v>226.86200000000002</v>
          </cell>
          <cell r="AC2058">
            <v>6900</v>
          </cell>
          <cell r="AD2058">
            <v>5074.54</v>
          </cell>
          <cell r="AE2058">
            <v>1825.46</v>
          </cell>
          <cell r="AF2058">
            <v>-3717.2999999999993</v>
          </cell>
          <cell r="AG2058">
            <v>3700</v>
          </cell>
          <cell r="AN2058" t="str">
            <v xml:space="preserve">Contrato emergencial nº </v>
          </cell>
          <cell r="AO2058" t="str">
            <v>MP</v>
          </cell>
        </row>
        <row r="2059">
          <cell r="D2059" t="str">
            <v>3293/11</v>
          </cell>
          <cell r="E2059">
            <v>40863</v>
          </cell>
          <cell r="F2059">
            <v>41042</v>
          </cell>
          <cell r="G2059">
            <v>40908</v>
          </cell>
          <cell r="H2059" t="str">
            <v>2011-0.293.278-3</v>
          </cell>
          <cell r="I2059">
            <v>30606.240000000002</v>
          </cell>
          <cell r="J2059" t="str">
            <v xml:space="preserve">              123651121                 2847                    33903600</v>
          </cell>
          <cell r="K2059">
            <v>40863</v>
          </cell>
          <cell r="L2059">
            <v>46</v>
          </cell>
          <cell r="M2059">
            <v>7900</v>
          </cell>
          <cell r="N2059">
            <v>57273</v>
          </cell>
          <cell r="P2059">
            <v>16</v>
          </cell>
          <cell r="Q2059">
            <v>2</v>
          </cell>
          <cell r="V2059">
            <v>6800</v>
          </cell>
          <cell r="W2059">
            <v>180</v>
          </cell>
          <cell r="X2059">
            <v>5440</v>
          </cell>
          <cell r="Y2059">
            <v>122499</v>
          </cell>
          <cell r="Z2059">
            <v>8180.42</v>
          </cell>
          <cell r="AA2059">
            <v>12240</v>
          </cell>
          <cell r="AB2059">
            <v>170.03466666666668</v>
          </cell>
          <cell r="AC2059">
            <v>5200</v>
          </cell>
          <cell r="AD2059">
            <v>6781.56</v>
          </cell>
          <cell r="AE2059">
            <v>-1581.5600000000004</v>
          </cell>
          <cell r="AF2059">
            <v>-2740.42</v>
          </cell>
          <cell r="AG2059">
            <v>2700</v>
          </cell>
          <cell r="AN2059" t="str">
            <v xml:space="preserve">Contrato emergencial nº </v>
          </cell>
          <cell r="AO2059" t="str">
            <v>PE</v>
          </cell>
        </row>
        <row r="2060">
          <cell r="D2060" t="str">
            <v>3294/11</v>
          </cell>
          <cell r="E2060">
            <v>40863</v>
          </cell>
          <cell r="F2060">
            <v>41042</v>
          </cell>
          <cell r="G2060">
            <v>40908</v>
          </cell>
          <cell r="H2060" t="str">
            <v>2011-0.293.281-3</v>
          </cell>
          <cell r="I2060">
            <v>40976.639999999999</v>
          </cell>
          <cell r="J2060" t="str">
            <v xml:space="preserve">              123611122                  2848                    33903600</v>
          </cell>
          <cell r="K2060">
            <v>40863</v>
          </cell>
          <cell r="L2060">
            <v>46</v>
          </cell>
          <cell r="M2060">
            <v>10500</v>
          </cell>
          <cell r="N2060">
            <v>57278</v>
          </cell>
          <cell r="P2060">
            <v>16</v>
          </cell>
          <cell r="Q2060">
            <v>3</v>
          </cell>
          <cell r="V2060">
            <v>7000</v>
          </cell>
          <cell r="W2060">
            <v>180</v>
          </cell>
          <cell r="X2060">
            <v>5600</v>
          </cell>
          <cell r="Y2060">
            <v>122131</v>
          </cell>
          <cell r="Z2060">
            <v>8652</v>
          </cell>
          <cell r="AA2060">
            <v>12600</v>
          </cell>
          <cell r="AB2060">
            <v>227.648</v>
          </cell>
          <cell r="AC2060">
            <v>6900</v>
          </cell>
          <cell r="AD2060">
            <v>6960.9349999999995</v>
          </cell>
          <cell r="AE2060">
            <v>-60.934999999999491</v>
          </cell>
          <cell r="AF2060">
            <v>-3052</v>
          </cell>
          <cell r="AG2060">
            <v>3000</v>
          </cell>
          <cell r="AN2060" t="str">
            <v xml:space="preserve">Contrato emergencial nº </v>
          </cell>
          <cell r="AO2060" t="str">
            <v>SA</v>
          </cell>
        </row>
        <row r="2061">
          <cell r="D2061" t="str">
            <v>3295/11</v>
          </cell>
          <cell r="E2061">
            <v>40863</v>
          </cell>
          <cell r="F2061">
            <v>41042</v>
          </cell>
          <cell r="G2061">
            <v>40908</v>
          </cell>
          <cell r="H2061" t="str">
            <v>2011-0.293.288-0</v>
          </cell>
          <cell r="I2061">
            <v>33473.160000000003</v>
          </cell>
          <cell r="J2061" t="str">
            <v xml:space="preserve">              123651121                 2847                    33903600</v>
          </cell>
          <cell r="K2061">
            <v>40863</v>
          </cell>
          <cell r="L2061">
            <v>46</v>
          </cell>
          <cell r="M2061">
            <v>8600</v>
          </cell>
          <cell r="N2061">
            <v>57273</v>
          </cell>
          <cell r="P2061">
            <v>16</v>
          </cell>
          <cell r="Q2061">
            <v>2</v>
          </cell>
          <cell r="V2061">
            <v>5600</v>
          </cell>
          <cell r="W2061">
            <v>180</v>
          </cell>
          <cell r="X2061">
            <v>4480</v>
          </cell>
          <cell r="Y2061">
            <v>122501</v>
          </cell>
          <cell r="Z2061">
            <v>7344.51</v>
          </cell>
          <cell r="AA2061">
            <v>10080</v>
          </cell>
          <cell r="AB2061">
            <v>185.96200000000002</v>
          </cell>
          <cell r="AC2061">
            <v>5600</v>
          </cell>
          <cell r="AD2061">
            <v>4594.51</v>
          </cell>
          <cell r="AE2061">
            <v>1005.4899999999998</v>
          </cell>
          <cell r="AF2061">
            <v>-2864.51</v>
          </cell>
          <cell r="AG2061">
            <v>2800</v>
          </cell>
          <cell r="AN2061" t="str">
            <v xml:space="preserve">Contrato emergencial nº </v>
          </cell>
          <cell r="AO2061" t="str">
            <v>SA</v>
          </cell>
        </row>
        <row r="2062">
          <cell r="D2062" t="str">
            <v>3296/11</v>
          </cell>
          <cell r="E2062">
            <v>40863</v>
          </cell>
          <cell r="F2062">
            <v>41042</v>
          </cell>
          <cell r="G2062">
            <v>40908</v>
          </cell>
          <cell r="H2062" t="str">
            <v>2011-0.293.294-5</v>
          </cell>
          <cell r="I2062">
            <v>31418.52</v>
          </cell>
          <cell r="J2062" t="str">
            <v xml:space="preserve">              123651121                 2847                    33903600</v>
          </cell>
          <cell r="K2062">
            <v>40863</v>
          </cell>
          <cell r="L2062">
            <v>46</v>
          </cell>
          <cell r="M2062">
            <v>8100</v>
          </cell>
          <cell r="N2062">
            <v>57273</v>
          </cell>
          <cell r="P2062">
            <v>16</v>
          </cell>
          <cell r="Q2062">
            <v>2</v>
          </cell>
          <cell r="V2062">
            <v>5500</v>
          </cell>
          <cell r="W2062">
            <v>180</v>
          </cell>
          <cell r="X2062">
            <v>4400</v>
          </cell>
          <cell r="Y2062">
            <v>122505</v>
          </cell>
          <cell r="Z2062">
            <v>6413.3</v>
          </cell>
          <cell r="AA2062">
            <v>9900</v>
          </cell>
          <cell r="AB2062">
            <v>174.54733333333334</v>
          </cell>
          <cell r="AC2062">
            <v>5300</v>
          </cell>
          <cell r="AD2062">
            <v>5410.1399999999994</v>
          </cell>
          <cell r="AE2062">
            <v>-110.13999999999942</v>
          </cell>
          <cell r="AF2062">
            <v>-2013.3000000000002</v>
          </cell>
          <cell r="AG2062">
            <v>2000</v>
          </cell>
          <cell r="AN2062" t="str">
            <v xml:space="preserve">Contrato emergencial nº </v>
          </cell>
          <cell r="AO2062" t="str">
            <v>MP</v>
          </cell>
        </row>
        <row r="2063">
          <cell r="D2063" t="str">
            <v>3297/11</v>
          </cell>
          <cell r="E2063">
            <v>40863</v>
          </cell>
          <cell r="F2063">
            <v>41042</v>
          </cell>
          <cell r="G2063">
            <v>40908</v>
          </cell>
          <cell r="H2063" t="str">
            <v>2011-0.293.301-1</v>
          </cell>
          <cell r="I2063">
            <v>31418.52</v>
          </cell>
          <cell r="J2063" t="str">
            <v xml:space="preserve">              123611122                  2848                    33903600</v>
          </cell>
          <cell r="K2063">
            <v>40863</v>
          </cell>
          <cell r="L2063">
            <v>46</v>
          </cell>
          <cell r="M2063">
            <v>8100</v>
          </cell>
          <cell r="N2063">
            <v>57278</v>
          </cell>
          <cell r="P2063">
            <v>16</v>
          </cell>
          <cell r="Q2063">
            <v>3</v>
          </cell>
          <cell r="V2063">
            <v>5300</v>
          </cell>
          <cell r="W2063">
            <v>180</v>
          </cell>
          <cell r="X2063">
            <v>4240</v>
          </cell>
          <cell r="Y2063">
            <v>122132</v>
          </cell>
          <cell r="Z2063">
            <v>6560.83</v>
          </cell>
          <cell r="AA2063">
            <v>9540</v>
          </cell>
          <cell r="AB2063">
            <v>174.54733333333334</v>
          </cell>
          <cell r="AC2063">
            <v>5300</v>
          </cell>
          <cell r="AD2063">
            <v>4663.1400000000003</v>
          </cell>
          <cell r="AE2063">
            <v>636.85999999999967</v>
          </cell>
          <cell r="AF2063">
            <v>-2320.83</v>
          </cell>
          <cell r="AG2063">
            <v>2300</v>
          </cell>
          <cell r="AN2063" t="str">
            <v xml:space="preserve">Contrato emergencial nº </v>
          </cell>
          <cell r="AO2063" t="str">
            <v>FO</v>
          </cell>
        </row>
        <row r="2064">
          <cell r="D2064" t="str">
            <v>3298/11</v>
          </cell>
          <cell r="E2064">
            <v>40868</v>
          </cell>
          <cell r="F2064">
            <v>41047</v>
          </cell>
          <cell r="G2064">
            <v>40908</v>
          </cell>
          <cell r="H2064" t="str">
            <v>2011-0.293.307-0</v>
          </cell>
          <cell r="I2064">
            <v>24414.78</v>
          </cell>
          <cell r="J2064" t="str">
            <v xml:space="preserve">              123651121                 2847                    33903600</v>
          </cell>
          <cell r="K2064">
            <v>40868</v>
          </cell>
          <cell r="L2064">
            <v>41</v>
          </cell>
          <cell r="M2064">
            <v>5600</v>
          </cell>
          <cell r="N2064">
            <v>57273</v>
          </cell>
          <cell r="P2064">
            <v>16</v>
          </cell>
          <cell r="Q2064">
            <v>2</v>
          </cell>
          <cell r="V2064">
            <v>4100</v>
          </cell>
          <cell r="W2064">
            <v>180</v>
          </cell>
          <cell r="X2064">
            <v>3280</v>
          </cell>
          <cell r="Y2064">
            <v>122506</v>
          </cell>
          <cell r="Z2064">
            <v>6778.96</v>
          </cell>
          <cell r="AA2064">
            <v>7380</v>
          </cell>
          <cell r="AB2064">
            <v>135.63766666666666</v>
          </cell>
          <cell r="AC2064">
            <v>4100</v>
          </cell>
          <cell r="AD2064">
            <v>3280.9900000000002</v>
          </cell>
          <cell r="AE2064">
            <v>819.00999999999976</v>
          </cell>
          <cell r="AF2064">
            <v>-3498.96</v>
          </cell>
          <cell r="AG2064">
            <v>3400</v>
          </cell>
          <cell r="AN2064" t="str">
            <v xml:space="preserve">Contrato emergencial nº </v>
          </cell>
          <cell r="AO2064" t="str">
            <v>PJ</v>
          </cell>
        </row>
        <row r="2065">
          <cell r="D2065" t="str">
            <v>3299/11</v>
          </cell>
          <cell r="E2065">
            <v>40868</v>
          </cell>
          <cell r="F2065">
            <v>41047</v>
          </cell>
          <cell r="G2065">
            <v>40908</v>
          </cell>
          <cell r="H2065" t="str">
            <v>2011-0.293.310-0</v>
          </cell>
          <cell r="I2065">
            <v>51135.96</v>
          </cell>
          <cell r="J2065" t="str">
            <v xml:space="preserve">              123611122                  2848                    33903600</v>
          </cell>
          <cell r="K2065">
            <v>40868</v>
          </cell>
          <cell r="L2065">
            <v>41</v>
          </cell>
          <cell r="M2065">
            <v>11700</v>
          </cell>
          <cell r="N2065">
            <v>57278</v>
          </cell>
          <cell r="P2065">
            <v>16</v>
          </cell>
          <cell r="Q2065">
            <v>3</v>
          </cell>
          <cell r="V2065">
            <v>8600</v>
          </cell>
          <cell r="W2065">
            <v>180</v>
          </cell>
          <cell r="X2065">
            <v>6880</v>
          </cell>
          <cell r="Y2065">
            <v>122130</v>
          </cell>
          <cell r="Z2065">
            <v>11984.64</v>
          </cell>
          <cell r="AA2065">
            <v>15480</v>
          </cell>
          <cell r="AB2065">
            <v>284.08866666666665</v>
          </cell>
          <cell r="AC2065">
            <v>8600</v>
          </cell>
          <cell r="AD2065">
            <v>7922.0599999999995</v>
          </cell>
          <cell r="AE2065">
            <v>677.94000000000051</v>
          </cell>
          <cell r="AF2065">
            <v>-5104.6399999999994</v>
          </cell>
          <cell r="AG2065">
            <v>5100</v>
          </cell>
          <cell r="AN2065" t="str">
            <v xml:space="preserve">Contrato emergencial nº </v>
          </cell>
          <cell r="AO2065" t="str">
            <v>G</v>
          </cell>
        </row>
        <row r="2066">
          <cell r="D2066" t="str">
            <v>3300/11</v>
          </cell>
          <cell r="E2066">
            <v>40868</v>
          </cell>
          <cell r="F2066">
            <v>41047</v>
          </cell>
          <cell r="G2066">
            <v>40908</v>
          </cell>
          <cell r="H2066" t="str">
            <v>2011-0.293.315-1</v>
          </cell>
          <cell r="I2066">
            <v>39871.08</v>
          </cell>
          <cell r="J2066" t="str">
            <v xml:space="preserve">              123651121                 2847                    33903600</v>
          </cell>
          <cell r="K2066">
            <v>40868</v>
          </cell>
          <cell r="L2066">
            <v>41</v>
          </cell>
          <cell r="M2066">
            <v>9100</v>
          </cell>
          <cell r="N2066">
            <v>57273</v>
          </cell>
          <cell r="P2066">
            <v>16</v>
          </cell>
          <cell r="Q2066">
            <v>2</v>
          </cell>
          <cell r="V2066">
            <v>6700</v>
          </cell>
          <cell r="W2066">
            <v>180</v>
          </cell>
          <cell r="X2066">
            <v>5360</v>
          </cell>
          <cell r="Y2066">
            <v>122134</v>
          </cell>
          <cell r="Z2066">
            <v>9295.01</v>
          </cell>
          <cell r="AA2066">
            <v>12060</v>
          </cell>
          <cell r="AB2066">
            <v>221.506</v>
          </cell>
          <cell r="AC2066">
            <v>6700</v>
          </cell>
          <cell r="AD2066">
            <v>6287.68</v>
          </cell>
          <cell r="AE2066">
            <v>412.31999999999971</v>
          </cell>
          <cell r="AF2066">
            <v>-3935.01</v>
          </cell>
          <cell r="AG2066">
            <v>3900</v>
          </cell>
          <cell r="AN2066" t="str">
            <v xml:space="preserve">Contrato emergencial nº </v>
          </cell>
          <cell r="AO2066" t="str">
            <v>CS</v>
          </cell>
        </row>
        <row r="2067">
          <cell r="D2067" t="str">
            <v>3301/11</v>
          </cell>
          <cell r="E2067">
            <v>40868</v>
          </cell>
          <cell r="F2067">
            <v>41047</v>
          </cell>
          <cell r="G2067">
            <v>40908</v>
          </cell>
          <cell r="H2067" t="str">
            <v>2011-0.293.323-2</v>
          </cell>
          <cell r="I2067">
            <v>51135.96</v>
          </cell>
          <cell r="J2067" t="str">
            <v xml:space="preserve">              123611122                  2848                    33903600</v>
          </cell>
          <cell r="K2067">
            <v>40868</v>
          </cell>
          <cell r="L2067">
            <v>41</v>
          </cell>
          <cell r="M2067">
            <v>11700</v>
          </cell>
          <cell r="N2067">
            <v>57278</v>
          </cell>
          <cell r="P2067">
            <v>16</v>
          </cell>
          <cell r="Q2067">
            <v>3</v>
          </cell>
          <cell r="V2067">
            <v>8600</v>
          </cell>
          <cell r="W2067">
            <v>180</v>
          </cell>
          <cell r="X2067">
            <v>6880</v>
          </cell>
          <cell r="Y2067">
            <v>122136</v>
          </cell>
          <cell r="Z2067">
            <v>12436.82</v>
          </cell>
          <cell r="AA2067">
            <v>15480</v>
          </cell>
          <cell r="AB2067">
            <v>284.08866666666665</v>
          </cell>
          <cell r="AC2067">
            <v>8600</v>
          </cell>
          <cell r="AD2067">
            <v>6398.5999999999995</v>
          </cell>
          <cell r="AE2067">
            <v>2201.4000000000005</v>
          </cell>
          <cell r="AF2067">
            <v>-5556.82</v>
          </cell>
          <cell r="AG2067">
            <v>5500</v>
          </cell>
          <cell r="AN2067" t="str">
            <v xml:space="preserve">Contrato emergencial nº </v>
          </cell>
          <cell r="AO2067" t="str">
            <v>CL</v>
          </cell>
        </row>
        <row r="2068">
          <cell r="D2068" t="str">
            <v>3302/11</v>
          </cell>
          <cell r="E2068">
            <v>40868</v>
          </cell>
          <cell r="F2068">
            <v>41047</v>
          </cell>
          <cell r="G2068">
            <v>40908</v>
          </cell>
          <cell r="H2068" t="str">
            <v>2011-0.293.183-3</v>
          </cell>
          <cell r="I2068">
            <v>41531.040000000001</v>
          </cell>
          <cell r="J2068" t="str">
            <v xml:space="preserve">             123671125                  2863                   33903600</v>
          </cell>
          <cell r="K2068">
            <v>40868</v>
          </cell>
          <cell r="L2068">
            <v>41</v>
          </cell>
          <cell r="M2068">
            <v>9500</v>
          </cell>
          <cell r="N2068">
            <v>57287</v>
          </cell>
          <cell r="P2068">
            <v>16</v>
          </cell>
          <cell r="Q2068">
            <v>4</v>
          </cell>
          <cell r="V2068">
            <v>7000</v>
          </cell>
          <cell r="W2068">
            <v>180</v>
          </cell>
          <cell r="X2068">
            <v>5600</v>
          </cell>
          <cell r="Y2068">
            <v>122509</v>
          </cell>
          <cell r="Z2068">
            <v>9599.35</v>
          </cell>
          <cell r="AA2068">
            <v>12600</v>
          </cell>
          <cell r="AB2068">
            <v>230.72800000000001</v>
          </cell>
          <cell r="AC2068">
            <v>7000</v>
          </cell>
          <cell r="AD2068">
            <v>6853.3300000000008</v>
          </cell>
          <cell r="AE2068">
            <v>146.66999999999916</v>
          </cell>
          <cell r="AF2068">
            <v>-3999.3500000000004</v>
          </cell>
          <cell r="AG2068">
            <v>3900</v>
          </cell>
          <cell r="AN2068" t="str">
            <v xml:space="preserve">Contrato emergencial nº </v>
          </cell>
          <cell r="AO2068" t="str">
            <v>CS</v>
          </cell>
        </row>
        <row r="2069">
          <cell r="D2069" t="str">
            <v>3303/11</v>
          </cell>
          <cell r="E2069">
            <v>40868</v>
          </cell>
          <cell r="F2069">
            <v>41047</v>
          </cell>
          <cell r="G2069">
            <v>40908</v>
          </cell>
          <cell r="H2069" t="str">
            <v>2011-0.293.190-6</v>
          </cell>
          <cell r="I2069">
            <v>26039.46</v>
          </cell>
          <cell r="J2069" t="str">
            <v xml:space="preserve">              123611122                  2848                    33903600</v>
          </cell>
          <cell r="K2069">
            <v>40868</v>
          </cell>
          <cell r="L2069">
            <v>41</v>
          </cell>
          <cell r="M2069">
            <v>6000</v>
          </cell>
          <cell r="N2069">
            <v>57278</v>
          </cell>
          <cell r="P2069">
            <v>16</v>
          </cell>
          <cell r="Q2069">
            <v>3</v>
          </cell>
          <cell r="V2069">
            <v>4700</v>
          </cell>
          <cell r="W2069">
            <v>180</v>
          </cell>
          <cell r="X2069">
            <v>3760</v>
          </cell>
          <cell r="Y2069">
            <v>122138</v>
          </cell>
          <cell r="Z2069">
            <v>6430.69</v>
          </cell>
          <cell r="AA2069">
            <v>8460</v>
          </cell>
          <cell r="AB2069">
            <v>144.66366666666667</v>
          </cell>
          <cell r="AC2069">
            <v>4400</v>
          </cell>
          <cell r="AD2069">
            <v>4639.91</v>
          </cell>
          <cell r="AE2069">
            <v>-239.90999999999985</v>
          </cell>
          <cell r="AF2069">
            <v>-2670.6899999999996</v>
          </cell>
          <cell r="AG2069">
            <v>2600</v>
          </cell>
          <cell r="AN2069" t="str">
            <v xml:space="preserve">Contrato emergencial nº </v>
          </cell>
          <cell r="AO2069" t="str">
            <v>BT</v>
          </cell>
        </row>
        <row r="2070">
          <cell r="D2070" t="str">
            <v>3304/11</v>
          </cell>
          <cell r="E2070">
            <v>40868</v>
          </cell>
          <cell r="F2070">
            <v>41047</v>
          </cell>
          <cell r="G2070">
            <v>40908</v>
          </cell>
          <cell r="H2070" t="str">
            <v>2011-0.293.192-2</v>
          </cell>
          <cell r="I2070">
            <v>30606.240000000002</v>
          </cell>
          <cell r="J2070" t="str">
            <v xml:space="preserve">              123611122                  2848                    33903600</v>
          </cell>
          <cell r="K2070">
            <v>40868</v>
          </cell>
          <cell r="L2070">
            <v>41</v>
          </cell>
          <cell r="M2070">
            <v>7000</v>
          </cell>
          <cell r="N2070">
            <v>57278</v>
          </cell>
          <cell r="P2070">
            <v>16</v>
          </cell>
          <cell r="Q2070">
            <v>3</v>
          </cell>
          <cell r="V2070">
            <v>5200</v>
          </cell>
          <cell r="W2070">
            <v>180</v>
          </cell>
          <cell r="X2070">
            <v>4160</v>
          </cell>
          <cell r="AA2070">
            <v>9360</v>
          </cell>
          <cell r="AB2070">
            <v>170.03466666666668</v>
          </cell>
          <cell r="AC2070">
            <v>5200</v>
          </cell>
          <cell r="AD2070">
            <v>3873.33</v>
          </cell>
          <cell r="AE2070">
            <v>1326.67</v>
          </cell>
          <cell r="AN2070" t="str">
            <v xml:space="preserve">Contrato emergencial nº </v>
          </cell>
          <cell r="AO2070" t="str">
            <v>JT</v>
          </cell>
        </row>
        <row r="2071">
          <cell r="D2071" t="str">
            <v>3305/11</v>
          </cell>
          <cell r="E2071">
            <v>40868</v>
          </cell>
          <cell r="F2071">
            <v>41047</v>
          </cell>
          <cell r="G2071">
            <v>40908</v>
          </cell>
          <cell r="H2071" t="str">
            <v>2011-0.293.198-1</v>
          </cell>
          <cell r="I2071">
            <v>27158.880000000001</v>
          </cell>
          <cell r="J2071" t="str">
            <v xml:space="preserve">              123611122                  2848                    33903600</v>
          </cell>
          <cell r="K2071">
            <v>40868</v>
          </cell>
          <cell r="L2071">
            <v>41</v>
          </cell>
          <cell r="M2071">
            <v>6200</v>
          </cell>
          <cell r="N2071">
            <v>57278</v>
          </cell>
          <cell r="P2071">
            <v>16</v>
          </cell>
          <cell r="Q2071">
            <v>3</v>
          </cell>
          <cell r="V2071">
            <v>5600</v>
          </cell>
          <cell r="W2071">
            <v>180</v>
          </cell>
          <cell r="X2071">
            <v>4480</v>
          </cell>
          <cell r="Y2071">
            <v>122139</v>
          </cell>
          <cell r="Z2071">
            <v>7814.76</v>
          </cell>
          <cell r="AA2071">
            <v>10080</v>
          </cell>
          <cell r="AB2071">
            <v>150.88266666666667</v>
          </cell>
          <cell r="AC2071">
            <v>4600</v>
          </cell>
          <cell r="AD2071">
            <v>5541.7199999999984</v>
          </cell>
          <cell r="AE2071">
            <v>-941.71999999999844</v>
          </cell>
          <cell r="AF2071">
            <v>-3334.76</v>
          </cell>
          <cell r="AG2071">
            <v>3300</v>
          </cell>
          <cell r="AN2071" t="str">
            <v xml:space="preserve">Contrato emergencial nº </v>
          </cell>
          <cell r="AO2071" t="str">
            <v>FO</v>
          </cell>
        </row>
        <row r="2072">
          <cell r="D2072" t="str">
            <v>3306/11</v>
          </cell>
          <cell r="E2072">
            <v>40868</v>
          </cell>
          <cell r="F2072">
            <v>41047</v>
          </cell>
          <cell r="G2072">
            <v>40908</v>
          </cell>
          <cell r="H2072" t="str">
            <v>2011-0.293.202-3</v>
          </cell>
          <cell r="I2072">
            <v>53427.96</v>
          </cell>
          <cell r="J2072" t="str">
            <v xml:space="preserve">              123611122                  2848                    33903600</v>
          </cell>
          <cell r="K2072">
            <v>40868</v>
          </cell>
          <cell r="L2072">
            <v>41</v>
          </cell>
          <cell r="M2072">
            <v>12200</v>
          </cell>
          <cell r="N2072">
            <v>57278</v>
          </cell>
          <cell r="P2072">
            <v>16</v>
          </cell>
          <cell r="Q2072">
            <v>3</v>
          </cell>
          <cell r="V2072">
            <v>9400</v>
          </cell>
          <cell r="W2072">
            <v>180</v>
          </cell>
          <cell r="X2072">
            <v>7520</v>
          </cell>
          <cell r="Y2072">
            <v>122141</v>
          </cell>
          <cell r="Z2072">
            <v>13097.06</v>
          </cell>
          <cell r="AA2072">
            <v>16920</v>
          </cell>
          <cell r="AB2072">
            <v>296.822</v>
          </cell>
          <cell r="AC2072">
            <v>9000</v>
          </cell>
          <cell r="AD2072">
            <v>9325.2199999999993</v>
          </cell>
          <cell r="AE2072">
            <v>-325.21999999999935</v>
          </cell>
          <cell r="AF2072">
            <v>-5577.0599999999995</v>
          </cell>
          <cell r="AG2072">
            <v>5500</v>
          </cell>
          <cell r="AN2072" t="str">
            <v xml:space="preserve">Contrato emergencial nº </v>
          </cell>
          <cell r="AO2072" t="str">
            <v>MP</v>
          </cell>
        </row>
        <row r="2073">
          <cell r="D2073" t="str">
            <v>3307/11</v>
          </cell>
          <cell r="E2073">
            <v>40868</v>
          </cell>
          <cell r="F2073">
            <v>41047</v>
          </cell>
          <cell r="G2073">
            <v>40908</v>
          </cell>
          <cell r="H2073" t="str">
            <v>2011-0.293.205-8</v>
          </cell>
          <cell r="I2073">
            <v>39800.639999999999</v>
          </cell>
          <cell r="J2073" t="str">
            <v xml:space="preserve">              123611122                  2848                    33903600</v>
          </cell>
          <cell r="K2073">
            <v>40868</v>
          </cell>
          <cell r="L2073">
            <v>41</v>
          </cell>
          <cell r="M2073">
            <v>9100</v>
          </cell>
          <cell r="N2073">
            <v>57278</v>
          </cell>
          <cell r="P2073">
            <v>16</v>
          </cell>
          <cell r="Q2073">
            <v>3</v>
          </cell>
          <cell r="V2073">
            <v>6700</v>
          </cell>
          <cell r="W2073">
            <v>180</v>
          </cell>
          <cell r="X2073">
            <v>5360</v>
          </cell>
          <cell r="Y2073">
            <v>122142</v>
          </cell>
          <cell r="Z2073">
            <v>9439.44</v>
          </cell>
          <cell r="AA2073">
            <v>12060</v>
          </cell>
          <cell r="AB2073">
            <v>221.11466666666666</v>
          </cell>
          <cell r="AC2073">
            <v>6700</v>
          </cell>
          <cell r="AD2073">
            <v>5740.4400000000005</v>
          </cell>
          <cell r="AE2073">
            <v>959.55999999999949</v>
          </cell>
          <cell r="AF2073">
            <v>-4079.4400000000005</v>
          </cell>
          <cell r="AG2073">
            <v>4000</v>
          </cell>
          <cell r="AN2073" t="str">
            <v xml:space="preserve">Contrato emergencial nº </v>
          </cell>
          <cell r="AO2073" t="str">
            <v>CL</v>
          </cell>
        </row>
        <row r="2074">
          <cell r="D2074" t="str">
            <v>3308/11</v>
          </cell>
          <cell r="E2074">
            <v>40868</v>
          </cell>
          <cell r="F2074">
            <v>41047</v>
          </cell>
          <cell r="G2074">
            <v>40908</v>
          </cell>
          <cell r="H2074" t="str">
            <v>2011-0.293.209-0</v>
          </cell>
          <cell r="I2074">
            <v>50500.08</v>
          </cell>
          <cell r="J2074" t="str">
            <v xml:space="preserve">             123671125                  2863                   33903600</v>
          </cell>
          <cell r="K2074">
            <v>40868</v>
          </cell>
          <cell r="L2074">
            <v>41</v>
          </cell>
          <cell r="M2074">
            <v>11600</v>
          </cell>
          <cell r="N2074">
            <v>57287</v>
          </cell>
          <cell r="P2074">
            <v>16</v>
          </cell>
          <cell r="Q2074">
            <v>4</v>
          </cell>
          <cell r="V2074">
            <v>9700</v>
          </cell>
          <cell r="W2074">
            <v>180</v>
          </cell>
          <cell r="X2074">
            <v>7760</v>
          </cell>
          <cell r="Y2074">
            <v>122510</v>
          </cell>
          <cell r="Z2074">
            <v>13376.54</v>
          </cell>
          <cell r="AA2074">
            <v>17460</v>
          </cell>
          <cell r="AB2074">
            <v>280.55599999999998</v>
          </cell>
          <cell r="AC2074">
            <v>8500</v>
          </cell>
          <cell r="AD2074">
            <v>9657.3799999999992</v>
          </cell>
          <cell r="AE2074">
            <v>-1157.3799999999992</v>
          </cell>
          <cell r="AF2074">
            <v>-5616.5400000000009</v>
          </cell>
          <cell r="AG2074">
            <v>5600</v>
          </cell>
          <cell r="AN2074" t="str">
            <v xml:space="preserve">Contrato emergencial nº </v>
          </cell>
          <cell r="AO2074" t="str">
            <v>CL</v>
          </cell>
        </row>
        <row r="2075">
          <cell r="D2075" t="str">
            <v>3309/11</v>
          </cell>
          <cell r="E2075">
            <v>40870</v>
          </cell>
          <cell r="F2075">
            <v>41049</v>
          </cell>
          <cell r="G2075">
            <v>40908</v>
          </cell>
          <cell r="H2075" t="str">
            <v>2011-0.293.212-0</v>
          </cell>
          <cell r="I2075">
            <v>30606.240000000002</v>
          </cell>
          <cell r="J2075" t="str">
            <v xml:space="preserve">              123651121                 2847                    33903600</v>
          </cell>
          <cell r="K2075">
            <v>40870</v>
          </cell>
          <cell r="L2075">
            <v>39</v>
          </cell>
          <cell r="M2075">
            <v>6700</v>
          </cell>
          <cell r="N2075">
            <v>57273</v>
          </cell>
          <cell r="P2075">
            <v>16</v>
          </cell>
          <cell r="Q2075">
            <v>2</v>
          </cell>
          <cell r="V2075">
            <v>5400</v>
          </cell>
          <cell r="W2075">
            <v>180</v>
          </cell>
          <cell r="X2075">
            <v>4320</v>
          </cell>
          <cell r="Y2075">
            <v>122154</v>
          </cell>
          <cell r="Z2075">
            <v>7790.73</v>
          </cell>
          <cell r="AA2075">
            <v>9720</v>
          </cell>
          <cell r="AB2075">
            <v>170.03466666666668</v>
          </cell>
          <cell r="AC2075">
            <v>5200</v>
          </cell>
          <cell r="AD2075">
            <v>5363.0399999999991</v>
          </cell>
          <cell r="AE2075">
            <v>-163.03999999999905</v>
          </cell>
          <cell r="AF2075">
            <v>-3470.7299999999996</v>
          </cell>
          <cell r="AG2075">
            <v>3400</v>
          </cell>
          <cell r="AN2075" t="str">
            <v xml:space="preserve">Contrato emergencial nº </v>
          </cell>
          <cell r="AO2075" t="str">
            <v>CL</v>
          </cell>
        </row>
        <row r="2076">
          <cell r="D2076" t="str">
            <v>3310/11</v>
          </cell>
          <cell r="E2076">
            <v>40868</v>
          </cell>
          <cell r="F2076">
            <v>41047</v>
          </cell>
          <cell r="G2076">
            <v>40908</v>
          </cell>
          <cell r="H2076" t="str">
            <v>2011-0.293.215-5</v>
          </cell>
          <cell r="I2076">
            <v>30150.54</v>
          </cell>
          <cell r="J2076" t="str">
            <v xml:space="preserve">              123611122                  2848                    33903600</v>
          </cell>
          <cell r="K2076">
            <v>40868</v>
          </cell>
          <cell r="L2076">
            <v>41</v>
          </cell>
          <cell r="M2076">
            <v>6900</v>
          </cell>
          <cell r="N2076">
            <v>57278</v>
          </cell>
          <cell r="P2076">
            <v>16</v>
          </cell>
          <cell r="Q2076">
            <v>3</v>
          </cell>
          <cell r="V2076">
            <v>5600</v>
          </cell>
          <cell r="W2076">
            <v>180</v>
          </cell>
          <cell r="X2076">
            <v>4480</v>
          </cell>
          <cell r="Y2076">
            <v>122143</v>
          </cell>
          <cell r="Z2076">
            <v>7685.78</v>
          </cell>
          <cell r="AA2076">
            <v>10080</v>
          </cell>
          <cell r="AB2076">
            <v>167.50300000000001</v>
          </cell>
          <cell r="AC2076">
            <v>5100</v>
          </cell>
          <cell r="AD2076">
            <v>5533.93</v>
          </cell>
          <cell r="AE2076">
            <v>-433.93000000000029</v>
          </cell>
          <cell r="AF2076">
            <v>-3205.7799999999997</v>
          </cell>
          <cell r="AG2076">
            <v>3200</v>
          </cell>
          <cell r="AN2076" t="str">
            <v xml:space="preserve">Contrato emergencial nº </v>
          </cell>
          <cell r="AO2076" t="str">
            <v>CS</v>
          </cell>
        </row>
        <row r="2077">
          <cell r="D2077" t="str">
            <v>3311/11</v>
          </cell>
          <cell r="E2077">
            <v>40868</v>
          </cell>
          <cell r="F2077">
            <v>41047</v>
          </cell>
          <cell r="G2077">
            <v>40908</v>
          </cell>
          <cell r="H2077" t="str">
            <v>2011-0.293.218-0</v>
          </cell>
          <cell r="I2077">
            <v>45216.18</v>
          </cell>
          <cell r="J2077" t="str">
            <v xml:space="preserve">              123651121                 2847                    33903600</v>
          </cell>
          <cell r="K2077">
            <v>40868</v>
          </cell>
          <cell r="L2077">
            <v>41</v>
          </cell>
          <cell r="M2077">
            <v>10300</v>
          </cell>
          <cell r="N2077">
            <v>57273</v>
          </cell>
          <cell r="P2077">
            <v>16</v>
          </cell>
          <cell r="Q2077">
            <v>2</v>
          </cell>
          <cell r="V2077">
            <v>7600</v>
          </cell>
          <cell r="W2077">
            <v>180</v>
          </cell>
          <cell r="X2077">
            <v>6080</v>
          </cell>
          <cell r="Y2077">
            <v>120902</v>
          </cell>
          <cell r="Z2077">
            <v>10607.42</v>
          </cell>
          <cell r="AA2077">
            <v>13680</v>
          </cell>
          <cell r="AB2077">
            <v>251.20099999999999</v>
          </cell>
          <cell r="AC2077">
            <v>7600</v>
          </cell>
          <cell r="AD2077">
            <v>6896.1100000000006</v>
          </cell>
          <cell r="AE2077">
            <v>703.88999999999942</v>
          </cell>
          <cell r="AF2077">
            <v>-4527.42</v>
          </cell>
          <cell r="AG2077">
            <v>4500</v>
          </cell>
          <cell r="AN2077" t="str">
            <v xml:space="preserve">Contrato emergencial nº </v>
          </cell>
          <cell r="AO2077" t="str">
            <v>CS</v>
          </cell>
        </row>
        <row r="2078">
          <cell r="D2078" t="str">
            <v>3312/11</v>
          </cell>
          <cell r="E2078">
            <v>40868</v>
          </cell>
          <cell r="F2078">
            <v>41047</v>
          </cell>
          <cell r="G2078">
            <v>40908</v>
          </cell>
          <cell r="H2078" t="str">
            <v>2011-0.293.223-6</v>
          </cell>
          <cell r="I2078">
            <v>31012.38</v>
          </cell>
          <cell r="J2078" t="str">
            <v xml:space="preserve">              123651121                 2847                    33903600</v>
          </cell>
          <cell r="K2078">
            <v>40868</v>
          </cell>
          <cell r="L2078">
            <v>41</v>
          </cell>
          <cell r="M2078">
            <v>7100</v>
          </cell>
          <cell r="N2078">
            <v>57273</v>
          </cell>
          <cell r="P2078">
            <v>16</v>
          </cell>
          <cell r="Q2078">
            <v>2</v>
          </cell>
          <cell r="V2078">
            <v>5600</v>
          </cell>
          <cell r="W2078">
            <v>180</v>
          </cell>
          <cell r="X2078">
            <v>4480</v>
          </cell>
          <cell r="Y2078">
            <v>122511</v>
          </cell>
          <cell r="Z2078">
            <v>7689.38</v>
          </cell>
          <cell r="AA2078">
            <v>10080</v>
          </cell>
          <cell r="AB2078">
            <v>172.291</v>
          </cell>
          <cell r="AC2078">
            <v>5200</v>
          </cell>
          <cell r="AD2078">
            <v>5574.8</v>
          </cell>
          <cell r="AE2078">
            <v>-374.80000000000018</v>
          </cell>
          <cell r="AF2078">
            <v>-3209.38</v>
          </cell>
          <cell r="AG2078">
            <v>3200</v>
          </cell>
          <cell r="AN2078" t="str">
            <v xml:space="preserve">Contrato emergencial nº </v>
          </cell>
          <cell r="AO2078" t="str">
            <v>CL</v>
          </cell>
        </row>
        <row r="2079">
          <cell r="D2079" t="str">
            <v>3313/11</v>
          </cell>
          <cell r="E2079">
            <v>40868</v>
          </cell>
          <cell r="F2079">
            <v>41047</v>
          </cell>
          <cell r="G2079">
            <v>40908</v>
          </cell>
          <cell r="H2079" t="str">
            <v>2011-0.293.229-5</v>
          </cell>
          <cell r="I2079">
            <v>23189.759999999998</v>
          </cell>
          <cell r="J2079" t="str">
            <v xml:space="preserve">              123651121                 2847                    33903600</v>
          </cell>
          <cell r="K2079">
            <v>40868</v>
          </cell>
          <cell r="L2079">
            <v>41</v>
          </cell>
          <cell r="M2079">
            <v>5300</v>
          </cell>
          <cell r="N2079">
            <v>57273</v>
          </cell>
          <cell r="P2079">
            <v>16</v>
          </cell>
          <cell r="Q2079">
            <v>2</v>
          </cell>
          <cell r="V2079">
            <v>4300</v>
          </cell>
          <cell r="W2079">
            <v>180</v>
          </cell>
          <cell r="X2079">
            <v>3440</v>
          </cell>
          <cell r="Y2079">
            <v>122513</v>
          </cell>
          <cell r="Z2079">
            <v>6230.49</v>
          </cell>
          <cell r="AA2079">
            <v>7740</v>
          </cell>
          <cell r="AB2079">
            <v>128.83199999999999</v>
          </cell>
          <cell r="AC2079">
            <v>3900</v>
          </cell>
          <cell r="AD2079">
            <v>4265.3600000000006</v>
          </cell>
          <cell r="AE2079">
            <v>-365.36000000000058</v>
          </cell>
          <cell r="AF2079">
            <v>-2790.49</v>
          </cell>
          <cell r="AG2079">
            <v>2700</v>
          </cell>
          <cell r="AN2079" t="str">
            <v xml:space="preserve">Contrato emergencial nº </v>
          </cell>
          <cell r="AO2079" t="str">
            <v>MP</v>
          </cell>
        </row>
        <row r="2080">
          <cell r="D2080" t="str">
            <v>3314/11</v>
          </cell>
          <cell r="E2080">
            <v>40869</v>
          </cell>
          <cell r="F2080">
            <v>41048</v>
          </cell>
          <cell r="G2080">
            <v>40908</v>
          </cell>
          <cell r="H2080" t="str">
            <v>2011-0.293.233-3</v>
          </cell>
          <cell r="I2080">
            <v>36954.120000000003</v>
          </cell>
          <cell r="J2080" t="str">
            <v xml:space="preserve">              123651121                 2847                    33903600</v>
          </cell>
          <cell r="K2080">
            <v>40869</v>
          </cell>
          <cell r="L2080">
            <v>40</v>
          </cell>
          <cell r="M2080">
            <v>8300</v>
          </cell>
          <cell r="N2080">
            <v>57273</v>
          </cell>
          <cell r="P2080">
            <v>16</v>
          </cell>
          <cell r="Q2080">
            <v>2</v>
          </cell>
          <cell r="V2080">
            <v>6200</v>
          </cell>
          <cell r="W2080">
            <v>180</v>
          </cell>
          <cell r="X2080">
            <v>4960</v>
          </cell>
          <cell r="Y2080">
            <v>122514</v>
          </cell>
          <cell r="Z2080">
            <v>8943.32</v>
          </cell>
          <cell r="AA2080">
            <v>11160</v>
          </cell>
          <cell r="AB2080">
            <v>205.30066666666667</v>
          </cell>
          <cell r="AC2080">
            <v>6200</v>
          </cell>
          <cell r="AD2080">
            <v>5180.4950000000008</v>
          </cell>
          <cell r="AE2080">
            <v>1019.5049999999992</v>
          </cell>
          <cell r="AF2080">
            <v>-3983.3199999999997</v>
          </cell>
          <cell r="AG2080">
            <v>3900</v>
          </cell>
          <cell r="AN2080" t="str">
            <v xml:space="preserve">Contrato emergencial nº </v>
          </cell>
          <cell r="AO2080" t="str">
            <v>MP</v>
          </cell>
        </row>
        <row r="2081">
          <cell r="D2081" t="str">
            <v>3315/11</v>
          </cell>
          <cell r="E2081">
            <v>40875</v>
          </cell>
          <cell r="F2081">
            <v>41054</v>
          </cell>
          <cell r="G2081">
            <v>40908</v>
          </cell>
          <cell r="H2081" t="str">
            <v>2011-0.293.236-8</v>
          </cell>
          <cell r="I2081">
            <v>37607.879999999997</v>
          </cell>
          <cell r="J2081" t="str">
            <v xml:space="preserve">              123651121                 2847                    33903600</v>
          </cell>
          <cell r="K2081">
            <v>40875</v>
          </cell>
          <cell r="L2081">
            <v>34</v>
          </cell>
          <cell r="M2081">
            <v>7200</v>
          </cell>
          <cell r="N2081">
            <v>57273</v>
          </cell>
          <cell r="P2081">
            <v>16</v>
          </cell>
          <cell r="Q2081">
            <v>2</v>
          </cell>
          <cell r="V2081">
            <v>6300</v>
          </cell>
          <cell r="W2081">
            <v>180</v>
          </cell>
          <cell r="X2081">
            <v>5040</v>
          </cell>
          <cell r="AA2081">
            <v>11340</v>
          </cell>
          <cell r="AB2081">
            <v>208.93266666666665</v>
          </cell>
          <cell r="AC2081">
            <v>6300</v>
          </cell>
          <cell r="AD2081">
            <v>5966.73</v>
          </cell>
          <cell r="AE2081">
            <v>333.27000000000044</v>
          </cell>
          <cell r="AF2081">
            <v>5040</v>
          </cell>
          <cell r="AN2081" t="str">
            <v xml:space="preserve">Contrato emergencial nº </v>
          </cell>
          <cell r="AO2081" t="str">
            <v>IP</v>
          </cell>
        </row>
        <row r="2082">
          <cell r="D2082" t="str">
            <v>3316/11</v>
          </cell>
          <cell r="E2082">
            <v>40875</v>
          </cell>
          <cell r="F2082">
            <v>41054</v>
          </cell>
          <cell r="G2082">
            <v>40908</v>
          </cell>
          <cell r="H2082" t="str">
            <v>2011-0.293.240-6</v>
          </cell>
          <cell r="I2082">
            <v>31012.38</v>
          </cell>
          <cell r="J2082" t="str">
            <v xml:space="preserve">              123611122                  2848                    33903600</v>
          </cell>
          <cell r="K2082">
            <v>40875</v>
          </cell>
          <cell r="L2082">
            <v>34</v>
          </cell>
          <cell r="M2082">
            <v>5900</v>
          </cell>
          <cell r="N2082">
            <v>57278</v>
          </cell>
          <cell r="P2082">
            <v>16</v>
          </cell>
          <cell r="Q2082">
            <v>3</v>
          </cell>
          <cell r="V2082">
            <v>5200</v>
          </cell>
          <cell r="W2082">
            <v>180</v>
          </cell>
          <cell r="X2082">
            <v>4160</v>
          </cell>
          <cell r="Y2082">
            <v>122515</v>
          </cell>
          <cell r="Z2082">
            <v>8492.36</v>
          </cell>
          <cell r="AA2082">
            <v>9360</v>
          </cell>
          <cell r="AB2082">
            <v>172.291</v>
          </cell>
          <cell r="AC2082">
            <v>5200</v>
          </cell>
          <cell r="AD2082">
            <v>4125.3770000000004</v>
          </cell>
          <cell r="AE2082">
            <v>1074.6229999999996</v>
          </cell>
          <cell r="AF2082">
            <v>-4332.3600000000006</v>
          </cell>
          <cell r="AG2082">
            <v>4300</v>
          </cell>
          <cell r="AN2082" t="str">
            <v xml:space="preserve">Contrato emergencial nº </v>
          </cell>
          <cell r="AO2082" t="str">
            <v>CL</v>
          </cell>
        </row>
        <row r="2083">
          <cell r="D2083" t="str">
            <v>3317/11</v>
          </cell>
          <cell r="E2083">
            <v>40875</v>
          </cell>
          <cell r="F2083">
            <v>41054</v>
          </cell>
          <cell r="G2083">
            <v>40908</v>
          </cell>
          <cell r="H2083" t="str">
            <v>2011-0.293.245-7</v>
          </cell>
          <cell r="I2083">
            <v>40835.160000000003</v>
          </cell>
          <cell r="J2083" t="str">
            <v xml:space="preserve">              123651121                 2847                    33903600</v>
          </cell>
          <cell r="K2083">
            <v>40875</v>
          </cell>
          <cell r="L2083">
            <v>34</v>
          </cell>
          <cell r="M2083">
            <v>7800</v>
          </cell>
          <cell r="N2083">
            <v>57273</v>
          </cell>
          <cell r="P2083">
            <v>16</v>
          </cell>
          <cell r="Q2083">
            <v>2</v>
          </cell>
          <cell r="V2083">
            <v>8100</v>
          </cell>
          <cell r="W2083">
            <v>180</v>
          </cell>
          <cell r="X2083">
            <v>6480</v>
          </cell>
          <cell r="Y2083">
            <v>122517</v>
          </cell>
          <cell r="Z2083">
            <v>12897.46</v>
          </cell>
          <cell r="AA2083">
            <v>14580</v>
          </cell>
          <cell r="AB2083">
            <v>226.86200000000002</v>
          </cell>
          <cell r="AC2083">
            <v>6900</v>
          </cell>
          <cell r="AD2083">
            <v>8005.09</v>
          </cell>
          <cell r="AE2083">
            <v>-1105.0900000000001</v>
          </cell>
          <cell r="AF2083">
            <v>-6417.4599999999991</v>
          </cell>
          <cell r="AG2083">
            <v>6400</v>
          </cell>
          <cell r="AN2083" t="str">
            <v xml:space="preserve">Contrato emergencial nº </v>
          </cell>
          <cell r="AO2083" t="str">
            <v>BT</v>
          </cell>
        </row>
        <row r="2084">
          <cell r="D2084" t="str">
            <v>3318/11</v>
          </cell>
          <cell r="E2084">
            <v>40875</v>
          </cell>
          <cell r="F2084">
            <v>41054</v>
          </cell>
          <cell r="G2084">
            <v>40908</v>
          </cell>
          <cell r="H2084" t="str">
            <v>2011-0.293.256-2</v>
          </cell>
          <cell r="I2084">
            <v>45632.28</v>
          </cell>
          <cell r="J2084" t="str">
            <v xml:space="preserve">              123611122                  2848                    33903600</v>
          </cell>
          <cell r="K2084">
            <v>40875</v>
          </cell>
          <cell r="L2084">
            <v>34</v>
          </cell>
          <cell r="M2084">
            <v>8700</v>
          </cell>
          <cell r="N2084">
            <v>57278</v>
          </cell>
          <cell r="P2084">
            <v>16</v>
          </cell>
          <cell r="Q2084">
            <v>3</v>
          </cell>
          <cell r="V2084">
            <v>7700</v>
          </cell>
          <cell r="W2084">
            <v>180</v>
          </cell>
          <cell r="X2084">
            <v>6160</v>
          </cell>
          <cell r="Y2084">
            <v>122146</v>
          </cell>
          <cell r="Z2084">
            <v>12397</v>
          </cell>
          <cell r="AA2084">
            <v>13860</v>
          </cell>
          <cell r="AB2084">
            <v>253.51266666666666</v>
          </cell>
          <cell r="AC2084">
            <v>7700</v>
          </cell>
          <cell r="AD2084">
            <v>6921.92</v>
          </cell>
          <cell r="AE2084">
            <v>778.07999999999993</v>
          </cell>
          <cell r="AF2084">
            <v>-6237</v>
          </cell>
          <cell r="AG2084">
            <v>6200</v>
          </cell>
          <cell r="AN2084" t="str">
            <v xml:space="preserve">Contrato emergencial nº </v>
          </cell>
          <cell r="AO2084" t="str">
            <v>PJ</v>
          </cell>
        </row>
        <row r="2085">
          <cell r="D2085" t="str">
            <v>3319/11</v>
          </cell>
          <cell r="E2085">
            <v>40875</v>
          </cell>
          <cell r="F2085">
            <v>41054</v>
          </cell>
          <cell r="G2085">
            <v>40908</v>
          </cell>
          <cell r="H2085" t="str">
            <v>2011-0.293.259-7</v>
          </cell>
          <cell r="I2085">
            <v>38261.760000000002</v>
          </cell>
          <cell r="J2085" t="str">
            <v xml:space="preserve">              123611122                  2848                    33903600</v>
          </cell>
          <cell r="K2085">
            <v>40875</v>
          </cell>
          <cell r="L2085">
            <v>34</v>
          </cell>
          <cell r="M2085">
            <v>7300</v>
          </cell>
          <cell r="N2085">
            <v>57278</v>
          </cell>
          <cell r="P2085">
            <v>16</v>
          </cell>
          <cell r="Q2085">
            <v>3</v>
          </cell>
          <cell r="V2085">
            <v>6400</v>
          </cell>
          <cell r="W2085">
            <v>180</v>
          </cell>
          <cell r="X2085">
            <v>5120</v>
          </cell>
          <cell r="AA2085">
            <v>11520</v>
          </cell>
          <cell r="AB2085">
            <v>212.56533333333334</v>
          </cell>
          <cell r="AC2085">
            <v>6400</v>
          </cell>
          <cell r="AD2085">
            <v>4827.1849999999995</v>
          </cell>
          <cell r="AE2085">
            <v>1572.8150000000005</v>
          </cell>
          <cell r="AN2085" t="str">
            <v xml:space="preserve">Contrato emergencial nº </v>
          </cell>
          <cell r="AO2085" t="str">
            <v>IQ</v>
          </cell>
        </row>
        <row r="2086">
          <cell r="D2086" t="str">
            <v>3320/11</v>
          </cell>
          <cell r="E2086">
            <v>40875</v>
          </cell>
          <cell r="F2086">
            <v>41054</v>
          </cell>
          <cell r="G2086">
            <v>40908</v>
          </cell>
          <cell r="H2086" t="str">
            <v>2011-0.293.261-9</v>
          </cell>
          <cell r="I2086">
            <v>52251.96</v>
          </cell>
          <cell r="J2086" t="str">
            <v xml:space="preserve">              123651121                 2847                    33903600</v>
          </cell>
          <cell r="K2086">
            <v>40875</v>
          </cell>
          <cell r="L2086">
            <v>34</v>
          </cell>
          <cell r="M2086">
            <v>9900</v>
          </cell>
          <cell r="N2086">
            <v>57273</v>
          </cell>
          <cell r="P2086">
            <v>16</v>
          </cell>
          <cell r="Q2086">
            <v>2</v>
          </cell>
          <cell r="V2086">
            <v>8800</v>
          </cell>
          <cell r="W2086">
            <v>180</v>
          </cell>
          <cell r="X2086">
            <v>7040</v>
          </cell>
          <cell r="AA2086">
            <v>15840</v>
          </cell>
          <cell r="AB2086">
            <v>290.28866666666664</v>
          </cell>
          <cell r="AC2086">
            <v>8800</v>
          </cell>
          <cell r="AD2086">
            <v>8454.59</v>
          </cell>
          <cell r="AE2086">
            <v>345.40999999999985</v>
          </cell>
          <cell r="AN2086" t="str">
            <v xml:space="preserve">Contrato emergencial nº </v>
          </cell>
          <cell r="AO2086" t="str">
            <v>CS</v>
          </cell>
        </row>
        <row r="2087">
          <cell r="D2087" t="str">
            <v>3321/11</v>
          </cell>
          <cell r="E2087">
            <v>40875</v>
          </cell>
          <cell r="F2087">
            <v>41054</v>
          </cell>
          <cell r="G2087">
            <v>40908</v>
          </cell>
          <cell r="H2087" t="str">
            <v>2011-0.293.346-1</v>
          </cell>
          <cell r="I2087">
            <v>38261.760000000002</v>
          </cell>
          <cell r="J2087" t="str">
            <v xml:space="preserve">              123611122                  2848                    33903600</v>
          </cell>
          <cell r="K2087">
            <v>40875</v>
          </cell>
          <cell r="L2087">
            <v>34</v>
          </cell>
          <cell r="M2087">
            <v>7300</v>
          </cell>
          <cell r="N2087">
            <v>57278</v>
          </cell>
          <cell r="P2087">
            <v>16</v>
          </cell>
          <cell r="Q2087">
            <v>3</v>
          </cell>
          <cell r="V2087">
            <v>6400</v>
          </cell>
          <cell r="W2087">
            <v>180</v>
          </cell>
          <cell r="X2087">
            <v>5120</v>
          </cell>
          <cell r="Y2087">
            <v>122147</v>
          </cell>
          <cell r="Z2087">
            <v>10248.75</v>
          </cell>
          <cell r="AA2087">
            <v>11520</v>
          </cell>
          <cell r="AB2087">
            <v>212.56533333333334</v>
          </cell>
          <cell r="AC2087">
            <v>6400</v>
          </cell>
          <cell r="AD2087">
            <v>5820.9699999999993</v>
          </cell>
          <cell r="AE2087">
            <v>579.03000000000065</v>
          </cell>
          <cell r="AF2087">
            <v>-5128.75</v>
          </cell>
          <cell r="AG2087">
            <v>5100</v>
          </cell>
          <cell r="AN2087" t="str">
            <v xml:space="preserve">Contrato emergencial nº </v>
          </cell>
          <cell r="AO2087" t="str">
            <v>MP</v>
          </cell>
        </row>
        <row r="2088">
          <cell r="D2088" t="str">
            <v>3322/11</v>
          </cell>
          <cell r="E2088">
            <v>40875</v>
          </cell>
          <cell r="F2088">
            <v>41054</v>
          </cell>
          <cell r="G2088">
            <v>40908</v>
          </cell>
          <cell r="H2088" t="str">
            <v>2011-0.293.349-6</v>
          </cell>
          <cell r="I2088">
            <v>30150.54</v>
          </cell>
          <cell r="J2088" t="str">
            <v xml:space="preserve">              123651121                 2847                    33903600</v>
          </cell>
          <cell r="K2088">
            <v>40875</v>
          </cell>
          <cell r="L2088">
            <v>34</v>
          </cell>
          <cell r="M2088">
            <v>5700</v>
          </cell>
          <cell r="N2088">
            <v>57273</v>
          </cell>
          <cell r="P2088">
            <v>16</v>
          </cell>
          <cell r="Q2088">
            <v>2</v>
          </cell>
          <cell r="V2088">
            <v>5700</v>
          </cell>
          <cell r="W2088">
            <v>180</v>
          </cell>
          <cell r="X2088">
            <v>4560</v>
          </cell>
          <cell r="AA2088">
            <v>10260</v>
          </cell>
          <cell r="AB2088">
            <v>167.50300000000001</v>
          </cell>
          <cell r="AC2088">
            <v>5100</v>
          </cell>
          <cell r="AD2088">
            <v>5674.8099999999995</v>
          </cell>
          <cell r="AE2088">
            <v>-574.80999999999949</v>
          </cell>
          <cell r="AN2088" t="str">
            <v xml:space="preserve">Contrato emergencial nº </v>
          </cell>
          <cell r="AO2088" t="str">
            <v>BT</v>
          </cell>
        </row>
        <row r="2089">
          <cell r="D2089" t="str">
            <v>3323/11</v>
          </cell>
          <cell r="E2089">
            <v>40875</v>
          </cell>
          <cell r="F2089">
            <v>41054</v>
          </cell>
          <cell r="G2089">
            <v>40908</v>
          </cell>
          <cell r="H2089" t="str">
            <v>2011-0.293.356-9</v>
          </cell>
          <cell r="I2089">
            <v>35442.720000000001</v>
          </cell>
          <cell r="J2089" t="str">
            <v xml:space="preserve">              123651121                 2847                    33903600</v>
          </cell>
          <cell r="K2089">
            <v>40875</v>
          </cell>
          <cell r="L2089">
            <v>34</v>
          </cell>
          <cell r="M2089">
            <v>6700</v>
          </cell>
          <cell r="N2089">
            <v>57273</v>
          </cell>
          <cell r="P2089">
            <v>16</v>
          </cell>
          <cell r="Q2089">
            <v>2</v>
          </cell>
          <cell r="V2089">
            <v>6000</v>
          </cell>
          <cell r="W2089">
            <v>180</v>
          </cell>
          <cell r="X2089">
            <v>4800</v>
          </cell>
          <cell r="AA2089">
            <v>10800</v>
          </cell>
          <cell r="AB2089">
            <v>196.904</v>
          </cell>
          <cell r="AC2089">
            <v>6000</v>
          </cell>
          <cell r="AD2089">
            <v>5070.047333333333</v>
          </cell>
          <cell r="AE2089">
            <v>929.95266666666703</v>
          </cell>
          <cell r="AN2089" t="str">
            <v xml:space="preserve">Contrato emergencial nº </v>
          </cell>
          <cell r="AO2089" t="str">
            <v>FO</v>
          </cell>
        </row>
        <row r="2090">
          <cell r="D2090" t="str">
            <v>3324/11</v>
          </cell>
          <cell r="E2090">
            <v>40875</v>
          </cell>
          <cell r="F2090">
            <v>41054</v>
          </cell>
          <cell r="G2090">
            <v>40908</v>
          </cell>
          <cell r="H2090" t="str">
            <v>2011-0.293.360-7</v>
          </cell>
          <cell r="I2090">
            <v>40835.160000000003</v>
          </cell>
          <cell r="J2090" t="str">
            <v xml:space="preserve">              123611122                  2848                    33903600</v>
          </cell>
          <cell r="K2090">
            <v>40875</v>
          </cell>
          <cell r="L2090">
            <v>34</v>
          </cell>
          <cell r="M2090">
            <v>7800</v>
          </cell>
          <cell r="N2090">
            <v>57278</v>
          </cell>
          <cell r="P2090">
            <v>16</v>
          </cell>
          <cell r="Q2090">
            <v>3</v>
          </cell>
          <cell r="V2090">
            <v>6900</v>
          </cell>
          <cell r="W2090">
            <v>180</v>
          </cell>
          <cell r="X2090">
            <v>5520</v>
          </cell>
          <cell r="Y2090">
            <v>122518</v>
          </cell>
          <cell r="Z2090">
            <v>11226.3</v>
          </cell>
          <cell r="AA2090">
            <v>12420</v>
          </cell>
          <cell r="AB2090">
            <v>226.86200000000002</v>
          </cell>
          <cell r="AC2090">
            <v>6900</v>
          </cell>
          <cell r="AD2090">
            <v>4932.84</v>
          </cell>
          <cell r="AE2090">
            <v>1967.1599999999999</v>
          </cell>
          <cell r="AF2090">
            <v>-5706.2999999999993</v>
          </cell>
          <cell r="AG2090">
            <v>5700</v>
          </cell>
          <cell r="AN2090" t="str">
            <v xml:space="preserve">Contrato emergencial nº </v>
          </cell>
          <cell r="AO2090" t="str">
            <v xml:space="preserve">SA </v>
          </cell>
        </row>
        <row r="2091">
          <cell r="D2091" t="str">
            <v>3325/11</v>
          </cell>
          <cell r="E2091">
            <v>40875</v>
          </cell>
          <cell r="F2091">
            <v>41054</v>
          </cell>
          <cell r="G2091">
            <v>40908</v>
          </cell>
          <cell r="H2091" t="str">
            <v>2011-0.293.364-0</v>
          </cell>
          <cell r="I2091">
            <v>42421.2</v>
          </cell>
          <cell r="J2091" t="str">
            <v xml:space="preserve">              123651121                 2847                    33903600</v>
          </cell>
          <cell r="K2091">
            <v>40875</v>
          </cell>
          <cell r="L2091">
            <v>34</v>
          </cell>
          <cell r="M2091">
            <v>8100</v>
          </cell>
          <cell r="N2091">
            <v>57273</v>
          </cell>
          <cell r="P2091">
            <v>16</v>
          </cell>
          <cell r="Q2091">
            <v>2</v>
          </cell>
          <cell r="V2091">
            <v>7100</v>
          </cell>
          <cell r="W2091">
            <v>180</v>
          </cell>
          <cell r="X2091">
            <v>5680</v>
          </cell>
          <cell r="AA2091">
            <v>12780</v>
          </cell>
          <cell r="AB2091">
            <v>235.67333333333332</v>
          </cell>
          <cell r="AC2091">
            <v>7100</v>
          </cell>
          <cell r="AD2091">
            <v>5366.1399999999985</v>
          </cell>
          <cell r="AE2091">
            <v>1733.8600000000015</v>
          </cell>
          <cell r="AN2091" t="str">
            <v xml:space="preserve">Contrato emergencial nº </v>
          </cell>
          <cell r="AO2091" t="str">
            <v>CS</v>
          </cell>
        </row>
        <row r="2092">
          <cell r="D2092" t="str">
            <v>3326/11</v>
          </cell>
          <cell r="E2092">
            <v>40875</v>
          </cell>
          <cell r="F2092">
            <v>41054</v>
          </cell>
          <cell r="G2092">
            <v>40908</v>
          </cell>
          <cell r="H2092" t="str">
            <v>2011-0.293.368-2</v>
          </cell>
          <cell r="I2092">
            <v>53635.44</v>
          </cell>
          <cell r="J2092" t="str">
            <v xml:space="preserve">              123611122                  2848                    33903600</v>
          </cell>
          <cell r="K2092">
            <v>40875</v>
          </cell>
          <cell r="L2092">
            <v>34</v>
          </cell>
          <cell r="M2092">
            <v>10200</v>
          </cell>
          <cell r="N2092">
            <v>57278</v>
          </cell>
          <cell r="P2092">
            <v>16</v>
          </cell>
          <cell r="Q2092">
            <v>3</v>
          </cell>
          <cell r="V2092">
            <v>9000</v>
          </cell>
          <cell r="W2092">
            <v>180</v>
          </cell>
          <cell r="X2092">
            <v>7200</v>
          </cell>
          <cell r="Y2092">
            <v>122148</v>
          </cell>
          <cell r="Z2092">
            <v>14415.61</v>
          </cell>
          <cell r="AA2092">
            <v>16200</v>
          </cell>
          <cell r="AB2092">
            <v>297.97466666666668</v>
          </cell>
          <cell r="AC2092">
            <v>9000</v>
          </cell>
          <cell r="AD2092">
            <v>8469.18</v>
          </cell>
          <cell r="AE2092">
            <v>530.81999999999971</v>
          </cell>
          <cell r="AF2092">
            <v>-7215.6100000000006</v>
          </cell>
          <cell r="AG2092">
            <v>7200</v>
          </cell>
          <cell r="AN2092" t="str">
            <v xml:space="preserve">Contrato emergencial nº </v>
          </cell>
          <cell r="AO2092" t="str">
            <v>CS</v>
          </cell>
        </row>
        <row r="2093">
          <cell r="D2093" t="str">
            <v>3356/11</v>
          </cell>
          <cell r="E2093" t="str">
            <v>05/12/2011</v>
          </cell>
          <cell r="F2093">
            <v>41061</v>
          </cell>
          <cell r="G2093">
            <v>40908</v>
          </cell>
          <cell r="H2093" t="str">
            <v>2011-0.330.406-9</v>
          </cell>
          <cell r="I2093">
            <v>36300.300000000003</v>
          </cell>
          <cell r="J2093" t="str">
            <v xml:space="preserve">              123651121                 2847                    33903600</v>
          </cell>
          <cell r="K2093" t="str">
            <v>05/12/2011</v>
          </cell>
          <cell r="L2093">
            <v>27</v>
          </cell>
          <cell r="M2093">
            <v>5500</v>
          </cell>
          <cell r="N2093">
            <v>57273</v>
          </cell>
          <cell r="O2093">
            <v>41224</v>
          </cell>
          <cell r="V2093">
            <v>6100</v>
          </cell>
          <cell r="W2093">
            <v>180</v>
          </cell>
          <cell r="X2093">
            <v>4880</v>
          </cell>
          <cell r="AA2093">
            <v>10980</v>
          </cell>
          <cell r="AB2093">
            <v>201.66833333333335</v>
          </cell>
          <cell r="AC2093">
            <v>6100</v>
          </cell>
          <cell r="AD2093">
            <v>5313.8377777777778</v>
          </cell>
          <cell r="AE2093">
            <v>786.16222222222223</v>
          </cell>
          <cell r="AN2093" t="str">
            <v xml:space="preserve">Contrato emergencial nº </v>
          </cell>
          <cell r="AO2093" t="str">
            <v>CL</v>
          </cell>
        </row>
        <row r="2094">
          <cell r="D2094" t="str">
            <v>3357/11</v>
          </cell>
          <cell r="E2094" t="str">
            <v>05/12/2011</v>
          </cell>
          <cell r="F2094">
            <v>41061</v>
          </cell>
          <cell r="G2094">
            <v>40908</v>
          </cell>
          <cell r="H2094" t="str">
            <v>2011-0.330.408-5</v>
          </cell>
          <cell r="I2094">
            <v>40976.639999999999</v>
          </cell>
          <cell r="J2094" t="str">
            <v xml:space="preserve">              123651121                 2847                    33903600</v>
          </cell>
          <cell r="K2094" t="str">
            <v>05/12/2011</v>
          </cell>
          <cell r="L2094">
            <v>27</v>
          </cell>
          <cell r="M2094">
            <v>6200</v>
          </cell>
          <cell r="N2094">
            <v>57273</v>
          </cell>
          <cell r="O2094">
            <v>40689</v>
          </cell>
          <cell r="V2094">
            <v>6900</v>
          </cell>
          <cell r="W2094">
            <v>180</v>
          </cell>
          <cell r="X2094">
            <v>5520</v>
          </cell>
          <cell r="AA2094">
            <v>12420</v>
          </cell>
          <cell r="AB2094">
            <v>227.648</v>
          </cell>
          <cell r="AC2094">
            <v>6900</v>
          </cell>
          <cell r="AD2094">
            <v>6527.67</v>
          </cell>
          <cell r="AE2094">
            <v>372.32999999999993</v>
          </cell>
          <cell r="AN2094" t="str">
            <v xml:space="preserve">Contrato emergencial nº </v>
          </cell>
          <cell r="AO2094" t="str">
            <v xml:space="preserve">SA </v>
          </cell>
        </row>
        <row r="2095">
          <cell r="D2095" t="str">
            <v>3358/11</v>
          </cell>
          <cell r="E2095" t="str">
            <v>05/12/2011</v>
          </cell>
          <cell r="F2095">
            <v>41061</v>
          </cell>
          <cell r="G2095">
            <v>40908</v>
          </cell>
          <cell r="H2095" t="str">
            <v>2011-0.330.414-0</v>
          </cell>
          <cell r="I2095">
            <v>39800.639999999999</v>
          </cell>
          <cell r="J2095" t="str">
            <v xml:space="preserve">              123651121                 2847                    33903600</v>
          </cell>
          <cell r="K2095" t="str">
            <v>05/12/2011</v>
          </cell>
          <cell r="L2095">
            <v>27</v>
          </cell>
          <cell r="M2095">
            <v>6000</v>
          </cell>
          <cell r="N2095">
            <v>57273</v>
          </cell>
          <cell r="O2095">
            <v>40690</v>
          </cell>
          <cell r="V2095">
            <v>6700</v>
          </cell>
          <cell r="W2095">
            <v>180</v>
          </cell>
          <cell r="X2095">
            <v>5360</v>
          </cell>
          <cell r="AA2095">
            <v>12060</v>
          </cell>
          <cell r="AB2095">
            <v>221.11466666666666</v>
          </cell>
          <cell r="AC2095">
            <v>6700</v>
          </cell>
          <cell r="AD2095">
            <v>5895.8337777777779</v>
          </cell>
          <cell r="AE2095">
            <v>804.16622222222213</v>
          </cell>
          <cell r="AN2095" t="str">
            <v xml:space="preserve">Contrato emergencial nº </v>
          </cell>
          <cell r="AO2095" t="str">
            <v>CL</v>
          </cell>
        </row>
        <row r="2096">
          <cell r="D2096" t="str">
            <v>3359/11</v>
          </cell>
          <cell r="E2096" t="str">
            <v>05/12/2011</v>
          </cell>
          <cell r="F2096">
            <v>41061</v>
          </cell>
          <cell r="G2096">
            <v>40908</v>
          </cell>
          <cell r="H2096" t="str">
            <v>2011-0.330.417-4</v>
          </cell>
          <cell r="I2096">
            <v>49324.08</v>
          </cell>
          <cell r="J2096" t="str">
            <v xml:space="preserve">             123671125                  2863                   33903600</v>
          </cell>
          <cell r="K2096" t="str">
            <v>05/12/2011</v>
          </cell>
          <cell r="L2096">
            <v>27</v>
          </cell>
          <cell r="M2096">
            <v>7400</v>
          </cell>
          <cell r="N2096">
            <v>57287</v>
          </cell>
          <cell r="V2096">
            <v>13200</v>
          </cell>
          <cell r="W2096">
            <v>180</v>
          </cell>
          <cell r="X2096">
            <v>10560</v>
          </cell>
          <cell r="AA2096">
            <v>23760</v>
          </cell>
          <cell r="AB2096">
            <v>274.02266666666668</v>
          </cell>
          <cell r="AC2096">
            <v>8300</v>
          </cell>
          <cell r="AD2096">
            <v>13122.025</v>
          </cell>
          <cell r="AE2096">
            <v>-4822.0249999999996</v>
          </cell>
          <cell r="AN2096" t="str">
            <v xml:space="preserve">Contrato emergencial nº </v>
          </cell>
          <cell r="AO2096" t="str">
            <v>SM</v>
          </cell>
        </row>
        <row r="2097">
          <cell r="D2097" t="str">
            <v>3360/11</v>
          </cell>
          <cell r="E2097" t="str">
            <v>05/12/2011</v>
          </cell>
          <cell r="F2097">
            <v>41061</v>
          </cell>
          <cell r="G2097">
            <v>40908</v>
          </cell>
          <cell r="H2097" t="str">
            <v>2011-0.330.418-2</v>
          </cell>
          <cell r="I2097">
            <v>49324.08</v>
          </cell>
          <cell r="J2097" t="str">
            <v xml:space="preserve">             123671125                  2863                   33903600</v>
          </cell>
          <cell r="K2097" t="str">
            <v>05/12/2011</v>
          </cell>
          <cell r="L2097">
            <v>27</v>
          </cell>
          <cell r="M2097">
            <v>7400</v>
          </cell>
          <cell r="N2097">
            <v>57287</v>
          </cell>
          <cell r="O2097">
            <v>40691</v>
          </cell>
          <cell r="V2097">
            <v>13000</v>
          </cell>
          <cell r="W2097">
            <v>180</v>
          </cell>
          <cell r="X2097">
            <v>10400</v>
          </cell>
          <cell r="AA2097">
            <v>23400</v>
          </cell>
          <cell r="AB2097">
            <v>274.02266666666668</v>
          </cell>
          <cell r="AC2097">
            <v>8300</v>
          </cell>
          <cell r="AD2097">
            <v>12963.11</v>
          </cell>
          <cell r="AE2097">
            <v>-4663.1100000000006</v>
          </cell>
          <cell r="AN2097" t="str">
            <v xml:space="preserve">Contrato emergencial nº </v>
          </cell>
          <cell r="AO2097" t="str">
            <v>CL</v>
          </cell>
        </row>
        <row r="2098">
          <cell r="D2098" t="str">
            <v>3361/11</v>
          </cell>
          <cell r="E2098" t="str">
            <v>05/12/2011</v>
          </cell>
          <cell r="F2098">
            <v>41061</v>
          </cell>
          <cell r="G2098">
            <v>40908</v>
          </cell>
          <cell r="H2098" t="str">
            <v>2011-0.330.421-2</v>
          </cell>
          <cell r="I2098">
            <v>50500.08</v>
          </cell>
          <cell r="J2098" t="str">
            <v xml:space="preserve">             123671125                  2863                   33903600</v>
          </cell>
          <cell r="K2098" t="str">
            <v>05/12/2011</v>
          </cell>
          <cell r="L2098">
            <v>27</v>
          </cell>
          <cell r="M2098">
            <v>7600</v>
          </cell>
          <cell r="N2098">
            <v>57287</v>
          </cell>
          <cell r="O2098">
            <v>40693</v>
          </cell>
          <cell r="V2098">
            <v>8500</v>
          </cell>
          <cell r="W2098">
            <v>180</v>
          </cell>
          <cell r="X2098">
            <v>6800</v>
          </cell>
          <cell r="AA2098">
            <v>15300</v>
          </cell>
          <cell r="AB2098">
            <v>280.55599999999998</v>
          </cell>
          <cell r="AC2098">
            <v>8500</v>
          </cell>
          <cell r="AE2098">
            <v>8500</v>
          </cell>
          <cell r="AN2098" t="str">
            <v xml:space="preserve">Contrato emergencial nº </v>
          </cell>
          <cell r="AO2098" t="str">
            <v>G</v>
          </cell>
        </row>
        <row r="2099">
          <cell r="D2099" t="str">
            <v>3362/11</v>
          </cell>
          <cell r="E2099" t="str">
            <v>05/12/2011</v>
          </cell>
          <cell r="F2099">
            <v>41061</v>
          </cell>
          <cell r="G2099">
            <v>40908</v>
          </cell>
          <cell r="H2099" t="str">
            <v>2011-0.330.425-5</v>
          </cell>
          <cell r="I2099">
            <v>50500.08</v>
          </cell>
          <cell r="J2099" t="str">
            <v xml:space="preserve">             123671125                  2863                   33903600</v>
          </cell>
          <cell r="K2099" t="str">
            <v>05/12/2011</v>
          </cell>
          <cell r="L2099">
            <v>27</v>
          </cell>
          <cell r="M2099">
            <v>7600</v>
          </cell>
          <cell r="N2099">
            <v>57287</v>
          </cell>
          <cell r="O2099">
            <v>40695</v>
          </cell>
          <cell r="V2099">
            <v>10400</v>
          </cell>
          <cell r="W2099">
            <v>180</v>
          </cell>
          <cell r="X2099">
            <v>8320</v>
          </cell>
          <cell r="AA2099">
            <v>18720</v>
          </cell>
          <cell r="AB2099">
            <v>280.55599999999998</v>
          </cell>
          <cell r="AC2099">
            <v>8500</v>
          </cell>
          <cell r="AD2099">
            <v>10328.82</v>
          </cell>
          <cell r="AE2099">
            <v>-1828.8199999999997</v>
          </cell>
          <cell r="AN2099" t="str">
            <v xml:space="preserve">Contrato emergencial nº </v>
          </cell>
          <cell r="AO2099" t="str">
            <v>CL</v>
          </cell>
        </row>
        <row r="2100">
          <cell r="D2100" t="str">
            <v>3363/11</v>
          </cell>
          <cell r="E2100" t="str">
            <v>05/12/2011</v>
          </cell>
          <cell r="F2100">
            <v>41061</v>
          </cell>
          <cell r="G2100">
            <v>40908</v>
          </cell>
          <cell r="H2100" t="str">
            <v>2011-0.330.431-0</v>
          </cell>
          <cell r="I2100">
            <v>49631.4</v>
          </cell>
          <cell r="J2100" t="str">
            <v xml:space="preserve">             123671125                  2863                   33903600</v>
          </cell>
          <cell r="K2100" t="str">
            <v>05/12/2011</v>
          </cell>
          <cell r="L2100">
            <v>27</v>
          </cell>
          <cell r="M2100">
            <v>7500</v>
          </cell>
          <cell r="N2100">
            <v>57287</v>
          </cell>
          <cell r="O2100">
            <v>40696</v>
          </cell>
          <cell r="V2100">
            <v>8300</v>
          </cell>
          <cell r="W2100">
            <v>180</v>
          </cell>
          <cell r="X2100">
            <v>6640</v>
          </cell>
          <cell r="AA2100">
            <v>14940</v>
          </cell>
          <cell r="AB2100">
            <v>275.73</v>
          </cell>
          <cell r="AC2100">
            <v>8300</v>
          </cell>
          <cell r="AD2100">
            <v>7743.1799999999994</v>
          </cell>
          <cell r="AE2100">
            <v>556.82000000000062</v>
          </cell>
          <cell r="AN2100" t="str">
            <v xml:space="preserve">Contrato emergencial nº </v>
          </cell>
          <cell r="AO2100" t="str">
            <v>SM</v>
          </cell>
        </row>
        <row r="2101">
          <cell r="D2101" t="str">
            <v>3364/11</v>
          </cell>
          <cell r="E2101" t="str">
            <v>05/12/2011</v>
          </cell>
          <cell r="F2101">
            <v>41061</v>
          </cell>
          <cell r="G2101">
            <v>40908</v>
          </cell>
          <cell r="H2101" t="str">
            <v>2011-0.330.438-7</v>
          </cell>
          <cell r="I2101">
            <v>25682.76</v>
          </cell>
          <cell r="J2101" t="str">
            <v xml:space="preserve">              123651121                 2847                    33903600</v>
          </cell>
          <cell r="K2101" t="str">
            <v>05/12/2011</v>
          </cell>
          <cell r="L2101">
            <v>27</v>
          </cell>
          <cell r="M2101">
            <v>3900</v>
          </cell>
          <cell r="N2101">
            <v>57273</v>
          </cell>
          <cell r="O2101">
            <v>40697</v>
          </cell>
          <cell r="V2101">
            <v>4800</v>
          </cell>
          <cell r="W2101">
            <v>180</v>
          </cell>
          <cell r="X2101">
            <v>3840</v>
          </cell>
          <cell r="AA2101">
            <v>8640</v>
          </cell>
          <cell r="AB2101">
            <v>142.68199999999999</v>
          </cell>
          <cell r="AC2101">
            <v>4300</v>
          </cell>
          <cell r="AD2101">
            <v>4739.67</v>
          </cell>
          <cell r="AE2101">
            <v>-439.67000000000007</v>
          </cell>
          <cell r="AN2101" t="str">
            <v xml:space="preserve">Contrato emergencial nº </v>
          </cell>
          <cell r="AO2101" t="str">
            <v>JT</v>
          </cell>
        </row>
        <row r="2102">
          <cell r="D2102" t="str">
            <v>3365/11</v>
          </cell>
          <cell r="E2102" t="str">
            <v>05/12/2011</v>
          </cell>
          <cell r="F2102">
            <v>41061</v>
          </cell>
          <cell r="G2102">
            <v>40908</v>
          </cell>
          <cell r="H2102" t="str">
            <v>2011-0.330.441-7</v>
          </cell>
          <cell r="I2102">
            <v>39800.639999999999</v>
          </cell>
          <cell r="J2102" t="str">
            <v xml:space="preserve">              123611122                  2848                    33903600</v>
          </cell>
          <cell r="K2102" t="str">
            <v>05/12/2011</v>
          </cell>
          <cell r="L2102">
            <v>27</v>
          </cell>
          <cell r="M2102">
            <v>6000</v>
          </cell>
          <cell r="N2102">
            <v>57278</v>
          </cell>
          <cell r="O2102">
            <v>40699</v>
          </cell>
          <cell r="V2102">
            <v>6700</v>
          </cell>
          <cell r="W2102">
            <v>180</v>
          </cell>
          <cell r="X2102">
            <v>5360</v>
          </cell>
          <cell r="AA2102">
            <v>12060</v>
          </cell>
          <cell r="AB2102">
            <v>221.11466666666666</v>
          </cell>
          <cell r="AC2102">
            <v>6700</v>
          </cell>
          <cell r="AD2102">
            <v>6062.9</v>
          </cell>
          <cell r="AE2102">
            <v>637.10000000000036</v>
          </cell>
          <cell r="AN2102" t="str">
            <v xml:space="preserve">Contrato emergencial nº </v>
          </cell>
          <cell r="AO2102" t="str">
            <v>PJ</v>
          </cell>
        </row>
        <row r="2103">
          <cell r="D2103" t="str">
            <v>3366/11</v>
          </cell>
          <cell r="E2103" t="str">
            <v>05/12/2011</v>
          </cell>
          <cell r="F2103">
            <v>41061</v>
          </cell>
          <cell r="G2103">
            <v>40908</v>
          </cell>
          <cell r="H2103" t="str">
            <v>2011-0.330.443-3</v>
          </cell>
          <cell r="I2103">
            <v>41531.040000000001</v>
          </cell>
          <cell r="J2103" t="str">
            <v xml:space="preserve">             123671125                  2863                   33903600</v>
          </cell>
          <cell r="K2103" t="str">
            <v>05/12/2011</v>
          </cell>
          <cell r="L2103">
            <v>27</v>
          </cell>
          <cell r="M2103">
            <v>6300</v>
          </cell>
          <cell r="N2103">
            <v>57287</v>
          </cell>
          <cell r="O2103">
            <v>41225</v>
          </cell>
          <cell r="V2103">
            <v>7000</v>
          </cell>
          <cell r="W2103">
            <v>180</v>
          </cell>
          <cell r="X2103">
            <v>5600</v>
          </cell>
          <cell r="AA2103">
            <v>12600</v>
          </cell>
          <cell r="AB2103">
            <v>230.72800000000001</v>
          </cell>
          <cell r="AC2103">
            <v>7000</v>
          </cell>
          <cell r="AD2103">
            <v>6789.65</v>
          </cell>
          <cell r="AE2103">
            <v>210.35000000000036</v>
          </cell>
          <cell r="AN2103" t="str">
            <v xml:space="preserve">Contrato emergencial nº </v>
          </cell>
          <cell r="AO2103" t="str">
            <v>IQ</v>
          </cell>
        </row>
        <row r="2104">
          <cell r="D2104" t="str">
            <v>3367/11</v>
          </cell>
          <cell r="E2104" t="str">
            <v>05/12/2011</v>
          </cell>
          <cell r="F2104">
            <v>41061</v>
          </cell>
          <cell r="G2104">
            <v>40908</v>
          </cell>
          <cell r="H2104" t="str">
            <v>2011-0.330.445-0</v>
          </cell>
          <cell r="I2104">
            <v>39800.639999999999</v>
          </cell>
          <cell r="J2104" t="str">
            <v xml:space="preserve">              123651121                 2847                    33903600</v>
          </cell>
          <cell r="K2104" t="str">
            <v>05/12/2011</v>
          </cell>
          <cell r="L2104">
            <v>27</v>
          </cell>
          <cell r="M2104">
            <v>6000</v>
          </cell>
          <cell r="N2104">
            <v>57273</v>
          </cell>
          <cell r="O2104">
            <v>40700</v>
          </cell>
          <cell r="V2104">
            <v>6700</v>
          </cell>
          <cell r="W2104">
            <v>180</v>
          </cell>
          <cell r="X2104">
            <v>5360</v>
          </cell>
          <cell r="AA2104">
            <v>12060</v>
          </cell>
          <cell r="AB2104">
            <v>221.11466666666666</v>
          </cell>
          <cell r="AC2104">
            <v>6700</v>
          </cell>
          <cell r="AD2104">
            <v>6322.65</v>
          </cell>
          <cell r="AE2104">
            <v>377.35000000000036</v>
          </cell>
          <cell r="AN2104" t="str">
            <v xml:space="preserve">Contrato emergencial nº </v>
          </cell>
          <cell r="AO2104" t="str">
            <v>MP</v>
          </cell>
        </row>
        <row r="2105">
          <cell r="D2105" t="str">
            <v>3368/11</v>
          </cell>
          <cell r="E2105" t="str">
            <v>05/12/2011</v>
          </cell>
          <cell r="F2105">
            <v>41061</v>
          </cell>
          <cell r="G2105">
            <v>40908</v>
          </cell>
          <cell r="H2105" t="str">
            <v>2011-0.330.459-0</v>
          </cell>
          <cell r="I2105">
            <v>35442.720000000001</v>
          </cell>
          <cell r="J2105" t="str">
            <v xml:space="preserve">              123651121                 2847                    33903600</v>
          </cell>
          <cell r="K2105" t="str">
            <v>05/12/2011</v>
          </cell>
          <cell r="L2105">
            <v>27</v>
          </cell>
          <cell r="M2105">
            <v>5400</v>
          </cell>
          <cell r="N2105">
            <v>57273</v>
          </cell>
          <cell r="O2105">
            <v>40702</v>
          </cell>
          <cell r="V2105">
            <v>6000</v>
          </cell>
          <cell r="W2105">
            <v>180</v>
          </cell>
          <cell r="X2105">
            <v>4800</v>
          </cell>
          <cell r="AA2105">
            <v>10800</v>
          </cell>
          <cell r="AB2105">
            <v>196.904</v>
          </cell>
          <cell r="AC2105">
            <v>6000</v>
          </cell>
          <cell r="AD2105">
            <v>3659.8019999999997</v>
          </cell>
          <cell r="AE2105">
            <v>2340.1980000000003</v>
          </cell>
          <cell r="AN2105" t="str">
            <v xml:space="preserve">Contrato emergencial nº </v>
          </cell>
          <cell r="AO2105" t="str">
            <v>FO</v>
          </cell>
        </row>
        <row r="2106">
          <cell r="D2106" t="str">
            <v>3369/11</v>
          </cell>
          <cell r="E2106" t="str">
            <v>05/12/2011</v>
          </cell>
          <cell r="F2106">
            <v>41061</v>
          </cell>
          <cell r="G2106">
            <v>40908</v>
          </cell>
          <cell r="H2106" t="str">
            <v>2011-0.330.462-0</v>
          </cell>
          <cell r="I2106">
            <v>37607.879999999997</v>
          </cell>
          <cell r="J2106" t="str">
            <v xml:space="preserve">              123611122                  2848                    33903600</v>
          </cell>
          <cell r="K2106" t="str">
            <v>05/12/2011</v>
          </cell>
          <cell r="L2106">
            <v>27</v>
          </cell>
          <cell r="M2106">
            <v>5700</v>
          </cell>
          <cell r="N2106">
            <v>57278</v>
          </cell>
          <cell r="O2106">
            <v>40703</v>
          </cell>
          <cell r="V2106">
            <v>6300</v>
          </cell>
          <cell r="W2106">
            <v>180</v>
          </cell>
          <cell r="X2106">
            <v>5040</v>
          </cell>
          <cell r="AA2106">
            <v>11340</v>
          </cell>
          <cell r="AB2106">
            <v>208.93266666666665</v>
          </cell>
          <cell r="AC2106">
            <v>6300</v>
          </cell>
          <cell r="AD2106">
            <v>6149.64</v>
          </cell>
          <cell r="AE2106">
            <v>150.35999999999967</v>
          </cell>
          <cell r="AN2106" t="str">
            <v xml:space="preserve">Contrato emergencial nº </v>
          </cell>
          <cell r="AO2106" t="str">
            <v>IP</v>
          </cell>
        </row>
        <row r="2107">
          <cell r="D2107" t="str">
            <v>3370/11</v>
          </cell>
          <cell r="E2107" t="str">
            <v>05/12/2011</v>
          </cell>
          <cell r="F2107">
            <v>41061</v>
          </cell>
          <cell r="G2107">
            <v>40908</v>
          </cell>
          <cell r="H2107" t="str">
            <v>2011-0.330.464-6</v>
          </cell>
          <cell r="I2107">
            <v>27971.16</v>
          </cell>
          <cell r="J2107" t="str">
            <v xml:space="preserve">              123651121                 2847                    33903600</v>
          </cell>
          <cell r="K2107" t="str">
            <v>05/12/2011</v>
          </cell>
          <cell r="L2107">
            <v>27</v>
          </cell>
          <cell r="M2107">
            <v>4200</v>
          </cell>
          <cell r="N2107">
            <v>57273</v>
          </cell>
          <cell r="O2107">
            <v>41226</v>
          </cell>
          <cell r="V2107">
            <v>4700</v>
          </cell>
          <cell r="W2107">
            <v>180</v>
          </cell>
          <cell r="X2107">
            <v>3760</v>
          </cell>
          <cell r="AA2107">
            <v>8460</v>
          </cell>
          <cell r="AB2107">
            <v>155.39533333333333</v>
          </cell>
          <cell r="AC2107">
            <v>4700</v>
          </cell>
          <cell r="AE2107">
            <v>4700</v>
          </cell>
          <cell r="AN2107" t="str">
            <v xml:space="preserve">Contrato emergencial nº </v>
          </cell>
          <cell r="AO2107" t="str">
            <v>MP</v>
          </cell>
        </row>
        <row r="2108">
          <cell r="D2108" t="str">
            <v>3371/11</v>
          </cell>
          <cell r="E2108" t="str">
            <v>07/12/2011</v>
          </cell>
          <cell r="F2108">
            <v>41063</v>
          </cell>
          <cell r="G2108">
            <v>40908</v>
          </cell>
          <cell r="H2108" t="str">
            <v>2011-0.330.466-2</v>
          </cell>
          <cell r="I2108">
            <v>31418.52</v>
          </cell>
          <cell r="J2108" t="str">
            <v xml:space="preserve">              123651121                 2847                    33903600</v>
          </cell>
          <cell r="K2108" t="str">
            <v>07/12/2011</v>
          </cell>
          <cell r="L2108">
            <v>25</v>
          </cell>
          <cell r="M2108">
            <v>4400</v>
          </cell>
          <cell r="N2108">
            <v>57273</v>
          </cell>
          <cell r="O2108">
            <v>41227</v>
          </cell>
          <cell r="V2108">
            <v>5300</v>
          </cell>
          <cell r="W2108">
            <v>180</v>
          </cell>
          <cell r="X2108">
            <v>4240</v>
          </cell>
          <cell r="AA2108">
            <v>9540</v>
          </cell>
          <cell r="AB2108">
            <v>174.54733333333334</v>
          </cell>
          <cell r="AC2108">
            <v>5300</v>
          </cell>
          <cell r="AD2108">
            <v>3581.6200000000003</v>
          </cell>
          <cell r="AE2108">
            <v>1718.3799999999997</v>
          </cell>
          <cell r="AN2108" t="str">
            <v xml:space="preserve">Contrato emergencial nº </v>
          </cell>
          <cell r="AO2108" t="str">
            <v>PE</v>
          </cell>
        </row>
        <row r="2109">
          <cell r="D2109" t="str">
            <v>3372/11</v>
          </cell>
          <cell r="E2109" t="str">
            <v>12/12/2011</v>
          </cell>
          <cell r="F2109">
            <v>41068</v>
          </cell>
          <cell r="G2109">
            <v>40908</v>
          </cell>
          <cell r="H2109" t="str">
            <v>2011-0.330.471-9</v>
          </cell>
          <cell r="I2109">
            <v>28803.24</v>
          </cell>
          <cell r="J2109" t="str">
            <v xml:space="preserve">              123651121                 2847                    33903600</v>
          </cell>
          <cell r="K2109" t="str">
            <v>12/12/2011</v>
          </cell>
          <cell r="L2109">
            <v>20</v>
          </cell>
          <cell r="M2109">
            <v>3300</v>
          </cell>
          <cell r="N2109">
            <v>57273</v>
          </cell>
          <cell r="O2109">
            <v>41228</v>
          </cell>
          <cell r="V2109">
            <v>5000</v>
          </cell>
          <cell r="W2109">
            <v>180</v>
          </cell>
          <cell r="X2109">
            <v>4000</v>
          </cell>
          <cell r="AA2109">
            <v>9000</v>
          </cell>
          <cell r="AB2109">
            <v>160.018</v>
          </cell>
          <cell r="AC2109">
            <v>4900</v>
          </cell>
          <cell r="AD2109">
            <v>4972.1399999999994</v>
          </cell>
          <cell r="AE2109">
            <v>-72.139999999999418</v>
          </cell>
          <cell r="AN2109" t="str">
            <v xml:space="preserve">Contrato emergencial nº </v>
          </cell>
          <cell r="AO2109" t="str">
            <v>CS</v>
          </cell>
        </row>
        <row r="2110">
          <cell r="D2110" t="str">
            <v>3373/11</v>
          </cell>
          <cell r="E2110" t="str">
            <v>12/12/2011</v>
          </cell>
          <cell r="F2110">
            <v>41068</v>
          </cell>
          <cell r="G2110">
            <v>40908</v>
          </cell>
          <cell r="H2110" t="str">
            <v>2011-0.330.475-1</v>
          </cell>
          <cell r="I2110">
            <v>42184.92</v>
          </cell>
          <cell r="J2110" t="str">
            <v xml:space="preserve">             123671125                  2863                   33903600</v>
          </cell>
          <cell r="K2110" t="str">
            <v>12/12/2011</v>
          </cell>
          <cell r="L2110">
            <v>20</v>
          </cell>
          <cell r="M2110">
            <v>4700</v>
          </cell>
          <cell r="N2110">
            <v>57287</v>
          </cell>
          <cell r="O2110">
            <v>41229</v>
          </cell>
          <cell r="V2110">
            <v>7100</v>
          </cell>
          <cell r="W2110">
            <v>180</v>
          </cell>
          <cell r="X2110">
            <v>5680</v>
          </cell>
          <cell r="AA2110">
            <v>12780</v>
          </cell>
          <cell r="AB2110">
            <v>234.36066666666665</v>
          </cell>
          <cell r="AC2110">
            <v>7100</v>
          </cell>
          <cell r="AD2110">
            <v>6296.1000000000013</v>
          </cell>
          <cell r="AE2110">
            <v>803.89999999999873</v>
          </cell>
          <cell r="AN2110" t="str">
            <v xml:space="preserve">Contrato emergencial nº </v>
          </cell>
          <cell r="AO2110" t="str">
            <v>BT</v>
          </cell>
        </row>
        <row r="2111">
          <cell r="D2111" t="str">
            <v>3374/11</v>
          </cell>
          <cell r="E2111" t="str">
            <v>12/12/2011</v>
          </cell>
          <cell r="F2111">
            <v>41068</v>
          </cell>
          <cell r="G2111">
            <v>40908</v>
          </cell>
          <cell r="H2111" t="str">
            <v>2011-0.330.479-4</v>
          </cell>
          <cell r="I2111">
            <v>31265.16</v>
          </cell>
          <cell r="J2111" t="str">
            <v xml:space="preserve">              123651121                 2847                    33903600</v>
          </cell>
          <cell r="K2111" t="str">
            <v>12/12/2011</v>
          </cell>
          <cell r="L2111">
            <v>20</v>
          </cell>
          <cell r="M2111">
            <v>3500</v>
          </cell>
          <cell r="N2111">
            <v>57273</v>
          </cell>
          <cell r="O2111">
            <v>41230</v>
          </cell>
          <cell r="V2111">
            <v>5300</v>
          </cell>
          <cell r="W2111">
            <v>180</v>
          </cell>
          <cell r="X2111">
            <v>4240</v>
          </cell>
          <cell r="AA2111">
            <v>9540</v>
          </cell>
          <cell r="AB2111">
            <v>173.69533333333334</v>
          </cell>
          <cell r="AC2111">
            <v>5300</v>
          </cell>
          <cell r="AD2111">
            <v>0</v>
          </cell>
          <cell r="AE2111">
            <v>5300</v>
          </cell>
          <cell r="AN2111" t="str">
            <v xml:space="preserve">Contrato emergencial nº </v>
          </cell>
          <cell r="AO2111" t="str">
            <v>MP</v>
          </cell>
        </row>
        <row r="2112">
          <cell r="D2112" t="str">
            <v>3375/11</v>
          </cell>
          <cell r="E2112" t="str">
            <v>12/12/2011</v>
          </cell>
          <cell r="F2112">
            <v>41068</v>
          </cell>
          <cell r="G2112">
            <v>40908</v>
          </cell>
          <cell r="H2112" t="str">
            <v>2011-0.330.482-4</v>
          </cell>
          <cell r="I2112">
            <v>31824.66</v>
          </cell>
          <cell r="J2112" t="str">
            <v xml:space="preserve">              123651121                 2847                    33903600</v>
          </cell>
          <cell r="K2112" t="str">
            <v>12/12/2011</v>
          </cell>
          <cell r="L2112">
            <v>20</v>
          </cell>
          <cell r="M2112">
            <v>3600</v>
          </cell>
          <cell r="N2112">
            <v>57273</v>
          </cell>
          <cell r="V2112">
            <v>5400</v>
          </cell>
          <cell r="W2112">
            <v>180</v>
          </cell>
          <cell r="X2112">
            <v>4320</v>
          </cell>
          <cell r="AA2112">
            <v>9720</v>
          </cell>
          <cell r="AB2112">
            <v>176.80366666666666</v>
          </cell>
          <cell r="AC2112">
            <v>5400</v>
          </cell>
          <cell r="AD2112">
            <v>4790.08</v>
          </cell>
          <cell r="AE2112">
            <v>609.92000000000007</v>
          </cell>
          <cell r="AN2112" t="str">
            <v xml:space="preserve">Contrato emergencial nº </v>
          </cell>
          <cell r="AO2112" t="str">
            <v>SA</v>
          </cell>
        </row>
        <row r="2113">
          <cell r="D2113" t="str">
            <v>3376/11</v>
          </cell>
          <cell r="E2113" t="str">
            <v>12/12/2011</v>
          </cell>
          <cell r="F2113">
            <v>41068</v>
          </cell>
          <cell r="G2113">
            <v>40908</v>
          </cell>
          <cell r="H2113" t="str">
            <v>2011-0.330.484-0</v>
          </cell>
          <cell r="I2113">
            <v>21443.119999999999</v>
          </cell>
          <cell r="J2113" t="str">
            <v xml:space="preserve">              123651121                 2847                    33903600</v>
          </cell>
          <cell r="K2113" t="str">
            <v>12/12/2011</v>
          </cell>
          <cell r="L2113">
            <v>20</v>
          </cell>
          <cell r="M2113">
            <v>2400</v>
          </cell>
          <cell r="N2113">
            <v>57273</v>
          </cell>
          <cell r="V2113">
            <v>3600</v>
          </cell>
          <cell r="W2113">
            <v>180</v>
          </cell>
          <cell r="X2113">
            <v>2880</v>
          </cell>
          <cell r="AA2113">
            <v>6480</v>
          </cell>
          <cell r="AB2113">
            <v>119.12844444444444</v>
          </cell>
          <cell r="AC2113">
            <v>3600</v>
          </cell>
          <cell r="AD2113">
            <v>0</v>
          </cell>
          <cell r="AE2113">
            <v>3600</v>
          </cell>
          <cell r="AN2113" t="str">
            <v xml:space="preserve">Contrato emergencial nº </v>
          </cell>
          <cell r="AO2113" t="str">
            <v>JT</v>
          </cell>
        </row>
        <row r="2114">
          <cell r="D2114" t="str">
            <v>3377/11</v>
          </cell>
          <cell r="E2114" t="str">
            <v>12/12/2011</v>
          </cell>
          <cell r="F2114">
            <v>41068</v>
          </cell>
          <cell r="G2114">
            <v>40908</v>
          </cell>
          <cell r="H2114" t="str">
            <v>2011-0.330.486-7</v>
          </cell>
          <cell r="I2114">
            <v>31418.52</v>
          </cell>
          <cell r="J2114" t="str">
            <v xml:space="preserve">              123651121                 2847                    33903600</v>
          </cell>
          <cell r="K2114" t="str">
            <v>12/12/2011</v>
          </cell>
          <cell r="L2114">
            <v>20</v>
          </cell>
          <cell r="M2114">
            <v>3500</v>
          </cell>
          <cell r="N2114">
            <v>57273</v>
          </cell>
          <cell r="O2114">
            <v>41231</v>
          </cell>
          <cell r="V2114">
            <v>5300</v>
          </cell>
          <cell r="W2114">
            <v>180</v>
          </cell>
          <cell r="X2114">
            <v>4240</v>
          </cell>
          <cell r="AA2114">
            <v>9540</v>
          </cell>
          <cell r="AB2114">
            <v>174.54733333333334</v>
          </cell>
          <cell r="AC2114">
            <v>5300</v>
          </cell>
          <cell r="AD2114">
            <v>5124.2000000000007</v>
          </cell>
          <cell r="AE2114">
            <v>175.79999999999927</v>
          </cell>
          <cell r="AN2114" t="str">
            <v xml:space="preserve">Contrato emergencial nº </v>
          </cell>
          <cell r="AO2114" t="str">
            <v>CS</v>
          </cell>
        </row>
        <row r="2115">
          <cell r="D2115" t="str">
            <v>3378/11</v>
          </cell>
          <cell r="E2115" t="str">
            <v>12/12/2011</v>
          </cell>
          <cell r="F2115">
            <v>41068</v>
          </cell>
          <cell r="G2115">
            <v>40908</v>
          </cell>
          <cell r="H2115" t="str">
            <v>2011-0.330.490-5</v>
          </cell>
          <cell r="I2115">
            <v>31418.52</v>
          </cell>
          <cell r="J2115" t="str">
            <v xml:space="preserve">              123651121                 2847                    33903600</v>
          </cell>
          <cell r="K2115" t="str">
            <v>12/12/2011</v>
          </cell>
          <cell r="L2115">
            <v>20</v>
          </cell>
          <cell r="M2115">
            <v>3500</v>
          </cell>
          <cell r="N2115">
            <v>57273</v>
          </cell>
          <cell r="V2115">
            <v>5300</v>
          </cell>
          <cell r="W2115">
            <v>180</v>
          </cell>
          <cell r="X2115">
            <v>4240</v>
          </cell>
          <cell r="AA2115">
            <v>9540</v>
          </cell>
          <cell r="AB2115">
            <v>174.54733333333334</v>
          </cell>
          <cell r="AC2115">
            <v>5300</v>
          </cell>
          <cell r="AD2115">
            <v>3837.5250000000005</v>
          </cell>
          <cell r="AE2115">
            <v>1462.4749999999995</v>
          </cell>
          <cell r="AN2115" t="str">
            <v xml:space="preserve">Contrato emergencial nº </v>
          </cell>
          <cell r="AO2115" t="str">
            <v>PE</v>
          </cell>
        </row>
        <row r="2116">
          <cell r="D2116" t="str">
            <v>3379/11</v>
          </cell>
          <cell r="E2116" t="str">
            <v>12/12/2011</v>
          </cell>
          <cell r="F2116">
            <v>41068</v>
          </cell>
          <cell r="G2116">
            <v>40908</v>
          </cell>
          <cell r="H2116" t="str">
            <v>2011-0.330.493-0</v>
          </cell>
          <cell r="I2116">
            <v>27971.16</v>
          </cell>
          <cell r="J2116" t="str">
            <v xml:space="preserve">              123651121                 2847                    33903600</v>
          </cell>
          <cell r="K2116" t="str">
            <v>12/12/2011</v>
          </cell>
          <cell r="L2116">
            <v>20</v>
          </cell>
          <cell r="M2116">
            <v>3200</v>
          </cell>
          <cell r="N2116">
            <v>57273</v>
          </cell>
          <cell r="O2116">
            <v>41233</v>
          </cell>
          <cell r="V2116">
            <v>4700</v>
          </cell>
          <cell r="W2116">
            <v>180</v>
          </cell>
          <cell r="X2116">
            <v>3760</v>
          </cell>
          <cell r="AA2116">
            <v>8460</v>
          </cell>
          <cell r="AB2116">
            <v>155.39533333333333</v>
          </cell>
          <cell r="AC2116">
            <v>4700</v>
          </cell>
          <cell r="AD2116">
            <v>4148.1050000000005</v>
          </cell>
          <cell r="AE2116">
            <v>551.89499999999953</v>
          </cell>
          <cell r="AN2116" t="str">
            <v xml:space="preserve">Contrato emergencial nº </v>
          </cell>
          <cell r="AO2116" t="str">
            <v>IQ</v>
          </cell>
        </row>
        <row r="2117">
          <cell r="D2117" t="str">
            <v>3380/11</v>
          </cell>
          <cell r="E2117" t="str">
            <v>19/12/2011</v>
          </cell>
          <cell r="F2117">
            <v>41075</v>
          </cell>
          <cell r="G2117">
            <v>40908</v>
          </cell>
          <cell r="H2117" t="str">
            <v>2011-0.330.495-6</v>
          </cell>
          <cell r="I2117">
            <v>39593.160000000003</v>
          </cell>
          <cell r="J2117" t="str">
            <v xml:space="preserve">              123651121                 2847                    33903600</v>
          </cell>
          <cell r="K2117" t="str">
            <v>19/12/2011</v>
          </cell>
          <cell r="L2117">
            <v>13</v>
          </cell>
          <cell r="M2117">
            <v>2900</v>
          </cell>
          <cell r="N2117">
            <v>57273</v>
          </cell>
          <cell r="V2117">
            <v>7800</v>
          </cell>
          <cell r="W2117">
            <v>180</v>
          </cell>
          <cell r="X2117">
            <v>6240</v>
          </cell>
          <cell r="AA2117">
            <v>14040</v>
          </cell>
          <cell r="AB2117">
            <v>219.96200000000002</v>
          </cell>
          <cell r="AC2117">
            <v>6600</v>
          </cell>
          <cell r="AD2117">
            <v>7781.38</v>
          </cell>
          <cell r="AE2117">
            <v>-1181.3800000000001</v>
          </cell>
          <cell r="AN2117" t="str">
            <v xml:space="preserve">Contrato emergencial nº </v>
          </cell>
          <cell r="AO2117" t="str">
            <v>PJ</v>
          </cell>
        </row>
        <row r="2118">
          <cell r="D2118" t="str">
            <v>3381/11</v>
          </cell>
          <cell r="E2118" t="str">
            <v>19/12/2011</v>
          </cell>
          <cell r="F2118">
            <v>41075</v>
          </cell>
          <cell r="G2118">
            <v>40908</v>
          </cell>
          <cell r="H2118" t="str">
            <v>2011-0.330.499-9</v>
          </cell>
          <cell r="I2118">
            <v>37301.160000000003</v>
          </cell>
          <cell r="J2118" t="str">
            <v xml:space="preserve">              123651121                 2847                    33903600</v>
          </cell>
          <cell r="K2118" t="str">
            <v>19/12/2011</v>
          </cell>
          <cell r="L2118">
            <v>13</v>
          </cell>
          <cell r="M2118">
            <v>2700</v>
          </cell>
          <cell r="N2118">
            <v>57273</v>
          </cell>
          <cell r="V2118">
            <v>8100</v>
          </cell>
          <cell r="W2118">
            <v>180</v>
          </cell>
          <cell r="X2118">
            <v>6480</v>
          </cell>
          <cell r="AA2118">
            <v>14580</v>
          </cell>
          <cell r="AB2118">
            <v>207.2286666666667</v>
          </cell>
          <cell r="AC2118">
            <v>6300</v>
          </cell>
          <cell r="AD2118">
            <v>8045.47</v>
          </cell>
          <cell r="AE2118">
            <v>-1745.4700000000003</v>
          </cell>
          <cell r="AN2118" t="str">
            <v xml:space="preserve">Contrato emergencial nº </v>
          </cell>
          <cell r="AO2118" t="str">
            <v>FO</v>
          </cell>
        </row>
        <row r="2119">
          <cell r="D2119" t="str">
            <v>0791/11</v>
          </cell>
          <cell r="H2119" t="str">
            <v>2011-0.048.190-3</v>
          </cell>
          <cell r="J2119" t="str">
            <v xml:space="preserve">              123651121                 2847                    33903600</v>
          </cell>
          <cell r="X2119">
            <v>696.87</v>
          </cell>
          <cell r="AA2119">
            <v>696.87</v>
          </cell>
        </row>
        <row r="2120">
          <cell r="D2120" t="str">
            <v>0555/11</v>
          </cell>
          <cell r="H2120" t="str">
            <v>2011-0.044.617-2</v>
          </cell>
          <cell r="J2120" t="str">
            <v xml:space="preserve">              123651121                 2847                    33903600</v>
          </cell>
          <cell r="X2120">
            <v>1973.65</v>
          </cell>
          <cell r="AA2120">
            <v>1973.65</v>
          </cell>
        </row>
        <row r="2121">
          <cell r="D2121" t="str">
            <v>0720/11</v>
          </cell>
          <cell r="H2121" t="str">
            <v>2011-0.046.449-9</v>
          </cell>
          <cell r="J2121" t="str">
            <v xml:space="preserve">              123651121                 2847                    33903600</v>
          </cell>
          <cell r="X2121">
            <v>6030.11</v>
          </cell>
          <cell r="AA2121">
            <v>6030.11</v>
          </cell>
        </row>
        <row r="2122">
          <cell r="D2122" t="str">
            <v>0591/11</v>
          </cell>
          <cell r="H2122" t="str">
            <v>2011-0.044.780-2</v>
          </cell>
          <cell r="J2122" t="str">
            <v xml:space="preserve">              123651121                 2847                    33903600</v>
          </cell>
          <cell r="X2122">
            <v>2105.0700000000002</v>
          </cell>
          <cell r="AA2122">
            <v>2105.0700000000002</v>
          </cell>
        </row>
        <row r="2123">
          <cell r="D2123" t="str">
            <v>2569/10</v>
          </cell>
          <cell r="H2123" t="str">
            <v>2010-0.268.737-0</v>
          </cell>
          <cell r="J2123" t="str">
            <v xml:space="preserve">              123651121                 2847                    33903600</v>
          </cell>
          <cell r="X2123">
            <v>378.79</v>
          </cell>
          <cell r="AA2123">
            <v>378.79</v>
          </cell>
        </row>
        <row r="2124">
          <cell r="D2124" t="str">
            <v>237/11</v>
          </cell>
          <cell r="H2124" t="str">
            <v>2011-0.040.112-8</v>
          </cell>
          <cell r="J2124" t="str">
            <v xml:space="preserve">              123651121                 2847                    33903600</v>
          </cell>
          <cell r="X2124">
            <v>251.9</v>
          </cell>
          <cell r="AA2124">
            <v>251.9</v>
          </cell>
        </row>
        <row r="2125">
          <cell r="D2125" t="str">
            <v>705/11</v>
          </cell>
          <cell r="H2125" t="str">
            <v>2011-0.046.397-2</v>
          </cell>
          <cell r="J2125" t="str">
            <v xml:space="preserve">              123651121                 2847                    33903600</v>
          </cell>
          <cell r="X2125">
            <v>3058.1000000000004</v>
          </cell>
          <cell r="AA2125">
            <v>3058.1000000000004</v>
          </cell>
        </row>
        <row r="2126">
          <cell r="D2126" t="str">
            <v>0600/11</v>
          </cell>
          <cell r="H2126" t="str">
            <v>2011-0.044.875-2</v>
          </cell>
          <cell r="J2126" t="str">
            <v xml:space="preserve">              123651121                 2847                    33903600</v>
          </cell>
          <cell r="X2126">
            <v>514.91</v>
          </cell>
          <cell r="AA2126">
            <v>514.91</v>
          </cell>
        </row>
        <row r="2127">
          <cell r="D2127" t="str">
            <v>0704/11</v>
          </cell>
          <cell r="H2127" t="str">
            <v>2011-0.046.396-4</v>
          </cell>
          <cell r="J2127" t="str">
            <v xml:space="preserve">              123651121                 2847                    33903600</v>
          </cell>
          <cell r="X2127">
            <v>1215.5899999999999</v>
          </cell>
          <cell r="AA2127">
            <v>1215.5899999999999</v>
          </cell>
        </row>
        <row r="2128">
          <cell r="D2128" t="str">
            <v>0176/11</v>
          </cell>
          <cell r="H2128" t="str">
            <v>2011-0.039.815-1</v>
          </cell>
          <cell r="J2128" t="str">
            <v xml:space="preserve">              123651121                 2847                    33903600</v>
          </cell>
          <cell r="X2128">
            <v>3786.02</v>
          </cell>
          <cell r="AA2128">
            <v>3786.02</v>
          </cell>
        </row>
        <row r="2129">
          <cell r="D2129" t="str">
            <v>0386/11</v>
          </cell>
          <cell r="H2129" t="str">
            <v>2011-0.041.526-9</v>
          </cell>
          <cell r="J2129" t="str">
            <v xml:space="preserve">              123651121                 2847                    33903600</v>
          </cell>
          <cell r="X2129">
            <v>3489.2</v>
          </cell>
          <cell r="AA2129">
            <v>3489.2</v>
          </cell>
        </row>
        <row r="2130">
          <cell r="D2130" t="str">
            <v>0772/11</v>
          </cell>
          <cell r="H2130" t="str">
            <v>2011-0.048.106-7</v>
          </cell>
          <cell r="J2130" t="str">
            <v xml:space="preserve">              123651121                 2847                    33903600</v>
          </cell>
          <cell r="X2130">
            <v>2426.2800000000002</v>
          </cell>
          <cell r="AA2130">
            <v>2426.2800000000002</v>
          </cell>
        </row>
        <row r="2131">
          <cell r="D2131" t="str">
            <v>2256/11</v>
          </cell>
        </row>
        <row r="2132">
          <cell r="D2132" t="str">
            <v>2365/11</v>
          </cell>
        </row>
        <row r="64923">
          <cell r="Y64923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CONT VENC."/>
      <sheetName val="DEMO"/>
      <sheetName val="LIQUIDAÇÃO"/>
      <sheetName val="OBSERVAÇÕES"/>
    </sheetNames>
    <sheetDataSet>
      <sheetData sheetId="0" refreshError="1"/>
      <sheetData sheetId="1" refreshError="1">
        <row r="2">
          <cell r="D2" t="str">
            <v>APONTAMENTO (JANEIRO / 2011)</v>
          </cell>
          <cell r="K2" t="str">
            <v>As células pintadas de AMARELO dizem respeito às viagens do TEG ESPECIAL</v>
          </cell>
          <cell r="CW2" t="str">
            <v xml:space="preserve">DRE </v>
          </cell>
          <cell r="CX2" t="str">
            <v>CAPELA DO SOCORRO</v>
          </cell>
          <cell r="DB2" t="str">
            <v>CS</v>
          </cell>
        </row>
        <row r="3">
          <cell r="D3" t="str">
            <v>DRE CAPELA DO SOCORRO</v>
          </cell>
        </row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  <cell r="X4">
            <v>22</v>
          </cell>
          <cell r="Y4">
            <v>23</v>
          </cell>
          <cell r="Z4">
            <v>24</v>
          </cell>
          <cell r="AA4">
            <v>25</v>
          </cell>
          <cell r="AB4">
            <v>26</v>
          </cell>
          <cell r="AC4">
            <v>27</v>
          </cell>
          <cell r="AD4">
            <v>28</v>
          </cell>
          <cell r="AE4">
            <v>29</v>
          </cell>
          <cell r="AF4">
            <v>30</v>
          </cell>
          <cell r="AG4">
            <v>31</v>
          </cell>
          <cell r="AH4">
            <v>32</v>
          </cell>
          <cell r="AI4">
            <v>33</v>
          </cell>
          <cell r="AJ4">
            <v>34</v>
          </cell>
          <cell r="AK4">
            <v>35</v>
          </cell>
          <cell r="AL4">
            <v>36</v>
          </cell>
          <cell r="AM4">
            <v>37</v>
          </cell>
          <cell r="AN4">
            <v>38</v>
          </cell>
          <cell r="AO4">
            <v>39</v>
          </cell>
          <cell r="AP4">
            <v>40</v>
          </cell>
          <cell r="AQ4">
            <v>41</v>
          </cell>
          <cell r="AR4">
            <v>42</v>
          </cell>
          <cell r="AS4">
            <v>43</v>
          </cell>
          <cell r="AT4">
            <v>44</v>
          </cell>
          <cell r="AU4">
            <v>45</v>
          </cell>
          <cell r="AV4">
            <v>46</v>
          </cell>
          <cell r="AW4">
            <v>47</v>
          </cell>
          <cell r="AX4">
            <v>48</v>
          </cell>
          <cell r="AY4">
            <v>49</v>
          </cell>
          <cell r="AZ4">
            <v>50</v>
          </cell>
          <cell r="BA4">
            <v>51</v>
          </cell>
          <cell r="BB4">
            <v>52</v>
          </cell>
          <cell r="BC4">
            <v>53</v>
          </cell>
          <cell r="BD4">
            <v>54</v>
          </cell>
          <cell r="BE4">
            <v>55</v>
          </cell>
          <cell r="BF4">
            <v>56</v>
          </cell>
          <cell r="BG4">
            <v>57</v>
          </cell>
          <cell r="BH4">
            <v>58</v>
          </cell>
          <cell r="BI4">
            <v>59</v>
          </cell>
          <cell r="BJ4">
            <v>60</v>
          </cell>
          <cell r="BK4">
            <v>61</v>
          </cell>
          <cell r="BL4">
            <v>62</v>
          </cell>
          <cell r="BM4">
            <v>63</v>
          </cell>
          <cell r="BN4">
            <v>64</v>
          </cell>
          <cell r="BO4">
            <v>65</v>
          </cell>
          <cell r="BP4">
            <v>66</v>
          </cell>
          <cell r="BQ4">
            <v>67</v>
          </cell>
          <cell r="BR4">
            <v>68</v>
          </cell>
          <cell r="BS4">
            <v>69</v>
          </cell>
          <cell r="BT4">
            <v>70</v>
          </cell>
          <cell r="BU4">
            <v>71</v>
          </cell>
          <cell r="BV4">
            <v>72</v>
          </cell>
          <cell r="BW4">
            <v>73</v>
          </cell>
          <cell r="BX4">
            <v>74</v>
          </cell>
          <cell r="BY4">
            <v>75</v>
          </cell>
          <cell r="BZ4">
            <v>76</v>
          </cell>
          <cell r="CX4" t="str">
            <v>CNPJ SMT      46.392.155/0001-11</v>
          </cell>
        </row>
        <row r="5">
          <cell r="C5" t="str">
            <v>CONTRATO</v>
          </cell>
          <cell r="D5" t="str">
            <v>PERÍODO</v>
          </cell>
          <cell r="E5" t="str">
            <v>NOME CONDUTOR</v>
          </cell>
          <cell r="F5" t="str">
            <v>TIPO DE ESCOLA (EMEI-EMEF-EMEE-ESP NORM-ESP MISTA-CONV NORM-CONV MISTA)</v>
          </cell>
          <cell r="G5" t="str">
            <v>Dias Trabalhados</v>
          </cell>
          <cell r="J5" t="str">
            <v>1ª VIAGEM</v>
          </cell>
          <cell r="N5" t="str">
            <v>2ª VIAGEM</v>
          </cell>
          <cell r="R5" t="str">
            <v>3ª VIAGEM</v>
          </cell>
          <cell r="V5" t="str">
            <v>Faltas</v>
          </cell>
          <cell r="AC5" t="str">
            <v>Dias do mês FALTAS</v>
          </cell>
          <cell r="AD5" t="str">
            <v>DISPENSAS</v>
          </cell>
          <cell r="AK5" t="str">
            <v>Dias do mês DISPENSAS</v>
          </cell>
          <cell r="AL5" t="str">
            <v>Dias Úteis</v>
          </cell>
          <cell r="AM5" t="str">
            <v>Dias veiculo</v>
          </cell>
          <cell r="AN5" t="str">
            <v>Dias crianças</v>
          </cell>
          <cell r="AO5" t="str">
            <v>TOTAL Km</v>
          </cell>
          <cell r="AP5" t="str">
            <v>TOTAL Criança</v>
          </cell>
          <cell r="AQ5" t="str">
            <v>OBSERVAÇÕES / RECESSO</v>
          </cell>
          <cell r="AS5" t="str">
            <v>ANO</v>
          </cell>
          <cell r="AT5" t="str">
            <v>CAPACIDADE</v>
          </cell>
          <cell r="AV5" t="str">
            <v>Kilômetros</v>
          </cell>
          <cell r="AZ5" t="str">
            <v>Crianças</v>
          </cell>
          <cell r="BK5" t="str">
            <v>R$ Total Crianças</v>
          </cell>
          <cell r="BL5" t="str">
            <v>VEÍCULO</v>
          </cell>
          <cell r="BN5" t="str">
            <v>Faltas 1° V</v>
          </cell>
          <cell r="BO5" t="str">
            <v>Faltas 2°V</v>
          </cell>
          <cell r="BP5" t="str">
            <v>Faltas 3°V</v>
          </cell>
          <cell r="BQ5" t="str">
            <v>R$ Total Falta</v>
          </cell>
          <cell r="BR5" t="str">
            <v>Dispensa 1°v</v>
          </cell>
          <cell r="BS5" t="str">
            <v>Dispensa 2°v</v>
          </cell>
          <cell r="BT5" t="str">
            <v>Dispensa 3°v</v>
          </cell>
          <cell r="BU5" t="str">
            <v>R$ Total Dispensa</v>
          </cell>
          <cell r="BV5" t="str">
            <v>AJUSTE POSIT.</v>
          </cell>
          <cell r="BW5" t="str">
            <v>AJUSTE NEGAT</v>
          </cell>
          <cell r="BX5" t="str">
            <v>MULTA CONTR.</v>
          </cell>
          <cell r="BY5" t="str">
            <v>VALOR BRUTO</v>
          </cell>
          <cell r="BZ5" t="str">
            <v>OBSERVAÇÕES</v>
          </cell>
          <cell r="CX5" t="str">
            <v>SAF INSS  1170</v>
          </cell>
        </row>
        <row r="6">
          <cell r="AZ6" t="str">
            <v>1ª Viagem</v>
          </cell>
          <cell r="BC6" t="str">
            <v>2ª Viagem</v>
          </cell>
          <cell r="BF6" t="str">
            <v>3ª Viagem</v>
          </cell>
          <cell r="BI6" t="str">
            <v>CADEIRANTES</v>
          </cell>
          <cell r="BJ6" t="str">
            <v>VALOR CADEIRANTES</v>
          </cell>
        </row>
        <row r="7">
          <cell r="G7" t="str">
            <v>1ª</v>
          </cell>
          <cell r="H7" t="str">
            <v>2ª</v>
          </cell>
          <cell r="I7" t="str">
            <v>3ª</v>
          </cell>
          <cell r="J7" t="str">
            <v>Escola</v>
          </cell>
          <cell r="K7" t="str">
            <v>Km</v>
          </cell>
          <cell r="L7" t="str">
            <v>Criança</v>
          </cell>
          <cell r="M7" t="str">
            <v>Criança cadeirante</v>
          </cell>
          <cell r="N7" t="str">
            <v>Escola</v>
          </cell>
          <cell r="O7" t="str">
            <v>Km</v>
          </cell>
          <cell r="P7" t="str">
            <v>Criança</v>
          </cell>
          <cell r="Q7" t="str">
            <v>Criança cadeirante</v>
          </cell>
          <cell r="R7" t="str">
            <v>Escola</v>
          </cell>
          <cell r="S7" t="str">
            <v>Km</v>
          </cell>
          <cell r="T7" t="str">
            <v>Criança</v>
          </cell>
          <cell r="U7" t="str">
            <v>Criança cadeirante</v>
          </cell>
          <cell r="V7" t="str">
            <v>1ªV</v>
          </cell>
          <cell r="X7" t="str">
            <v>2ªV</v>
          </cell>
          <cell r="Z7" t="str">
            <v>3ªV</v>
          </cell>
          <cell r="AB7" t="str">
            <v>Total</v>
          </cell>
          <cell r="AD7" t="str">
            <v>1ªV</v>
          </cell>
          <cell r="AF7" t="str">
            <v>2ªV</v>
          </cell>
          <cell r="AH7" t="str">
            <v>3ªV</v>
          </cell>
          <cell r="AJ7" t="str">
            <v>Total</v>
          </cell>
          <cell r="AT7" t="str">
            <v>DETRAN</v>
          </cell>
          <cell r="AU7" t="str">
            <v>DTP</v>
          </cell>
          <cell r="AV7" t="str">
            <v>Qtde/dia</v>
          </cell>
          <cell r="AW7" t="str">
            <v>R$ unit.</v>
          </cell>
          <cell r="AX7" t="str">
            <v>Qtde/mês</v>
          </cell>
          <cell r="AY7" t="str">
            <v>R$ total</v>
          </cell>
          <cell r="AZ7" t="str">
            <v>R$ unit.</v>
          </cell>
          <cell r="BA7" t="str">
            <v>Qtde</v>
          </cell>
          <cell r="BB7" t="str">
            <v>R$ Tot.</v>
          </cell>
          <cell r="BC7" t="str">
            <v>R$ unit.</v>
          </cell>
          <cell r="BD7" t="str">
            <v>Qtde</v>
          </cell>
          <cell r="BE7" t="str">
            <v>R$ Tot.</v>
          </cell>
          <cell r="BF7" t="str">
            <v>R$ unit.</v>
          </cell>
          <cell r="BG7" t="str">
            <v>Qtde</v>
          </cell>
          <cell r="BH7" t="str">
            <v>R$ Tot.</v>
          </cell>
          <cell r="BL7" t="str">
            <v>REMUN</v>
          </cell>
          <cell r="BM7" t="str">
            <v>A PAGAR</v>
          </cell>
          <cell r="CX7" t="str">
            <v xml:space="preserve"> Mês base .........:</v>
          </cell>
          <cell r="CZ7">
            <v>40544</v>
          </cell>
        </row>
        <row r="8">
          <cell r="C8" t="str">
            <v>2991/10</v>
          </cell>
          <cell r="D8" t="str">
            <v>01/01 A 31/01/11</v>
          </cell>
          <cell r="E8" t="str">
            <v>ADAIL JOSE GUIMARAES</v>
          </cell>
          <cell r="F8" t="str">
            <v>EMEI</v>
          </cell>
          <cell r="G8">
            <v>16</v>
          </cell>
          <cell r="H8">
            <v>16</v>
          </cell>
          <cell r="I8">
            <v>16</v>
          </cell>
          <cell r="J8">
            <v>90603</v>
          </cell>
          <cell r="K8">
            <v>37</v>
          </cell>
          <cell r="L8">
            <v>27</v>
          </cell>
          <cell r="M8">
            <v>0</v>
          </cell>
          <cell r="N8">
            <v>90603</v>
          </cell>
          <cell r="O8">
            <v>33</v>
          </cell>
          <cell r="P8">
            <v>27</v>
          </cell>
          <cell r="Q8">
            <v>0</v>
          </cell>
          <cell r="R8">
            <v>90603</v>
          </cell>
          <cell r="S8">
            <v>31</v>
          </cell>
          <cell r="T8">
            <v>27</v>
          </cell>
          <cell r="U8">
            <v>0</v>
          </cell>
          <cell r="W8">
            <v>1</v>
          </cell>
          <cell r="Y8">
            <v>1</v>
          </cell>
          <cell r="AA8">
            <v>1</v>
          </cell>
          <cell r="AB8">
            <v>0</v>
          </cell>
          <cell r="AE8">
            <v>1</v>
          </cell>
          <cell r="AG8">
            <v>1</v>
          </cell>
          <cell r="AI8">
            <v>1</v>
          </cell>
          <cell r="AJ8">
            <v>0</v>
          </cell>
          <cell r="AL8">
            <v>16</v>
          </cell>
          <cell r="AM8">
            <v>30</v>
          </cell>
          <cell r="AN8">
            <v>22</v>
          </cell>
          <cell r="AO8">
            <v>101</v>
          </cell>
          <cell r="AP8">
            <v>81</v>
          </cell>
          <cell r="AS8">
            <v>2007</v>
          </cell>
          <cell r="AT8">
            <v>29</v>
          </cell>
          <cell r="AU8">
            <v>27</v>
          </cell>
          <cell r="AV8">
            <v>101</v>
          </cell>
          <cell r="AW8">
            <v>0.65</v>
          </cell>
          <cell r="AX8">
            <v>1616</v>
          </cell>
          <cell r="AY8">
            <v>1050.4000000000001</v>
          </cell>
          <cell r="AZ8">
            <v>48.26</v>
          </cell>
          <cell r="BA8">
            <v>27</v>
          </cell>
          <cell r="BB8">
            <v>955.548</v>
          </cell>
          <cell r="BC8">
            <v>48.26</v>
          </cell>
          <cell r="BD8">
            <v>27</v>
          </cell>
          <cell r="BE8">
            <v>955.548</v>
          </cell>
          <cell r="BF8">
            <v>48.26</v>
          </cell>
          <cell r="BG8">
            <v>27</v>
          </cell>
          <cell r="BH8">
            <v>955.548</v>
          </cell>
          <cell r="BI8">
            <v>0</v>
          </cell>
          <cell r="BJ8">
            <v>0</v>
          </cell>
          <cell r="BK8">
            <v>2866.6440000000002</v>
          </cell>
          <cell r="BL8">
            <v>2483</v>
          </cell>
          <cell r="BM8">
            <v>2483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Y8">
            <v>6400.0439999999999</v>
          </cell>
        </row>
        <row r="9">
          <cell r="C9" t="str">
            <v>2125/10</v>
          </cell>
          <cell r="D9" t="str">
            <v>01/01 A 31/01/11</v>
          </cell>
          <cell r="E9" t="str">
            <v>ADEILDO JOSE SOUZA DOS SANTOS</v>
          </cell>
          <cell r="F9" t="str">
            <v>EMEF</v>
          </cell>
          <cell r="G9">
            <v>15</v>
          </cell>
          <cell r="H9">
            <v>15</v>
          </cell>
          <cell r="I9">
            <v>16</v>
          </cell>
          <cell r="J9">
            <v>19496</v>
          </cell>
          <cell r="K9">
            <v>20</v>
          </cell>
          <cell r="L9">
            <v>27</v>
          </cell>
          <cell r="M9">
            <v>0</v>
          </cell>
          <cell r="N9">
            <v>19496</v>
          </cell>
          <cell r="O9">
            <v>30</v>
          </cell>
          <cell r="P9">
            <v>27</v>
          </cell>
          <cell r="Q9">
            <v>0</v>
          </cell>
          <cell r="R9">
            <v>19291</v>
          </cell>
          <cell r="S9">
            <v>47</v>
          </cell>
          <cell r="T9">
            <v>27</v>
          </cell>
          <cell r="U9">
            <v>0</v>
          </cell>
          <cell r="W9">
            <v>1</v>
          </cell>
          <cell r="Y9">
            <v>1</v>
          </cell>
          <cell r="AA9">
            <v>1</v>
          </cell>
          <cell r="AB9">
            <v>0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I9">
            <v>1</v>
          </cell>
          <cell r="AJ9">
            <v>0.66666666666666663</v>
          </cell>
          <cell r="AK9">
            <v>10</v>
          </cell>
          <cell r="AL9">
            <v>16</v>
          </cell>
          <cell r="AM9">
            <v>30</v>
          </cell>
          <cell r="AN9">
            <v>22</v>
          </cell>
          <cell r="AO9">
            <v>97</v>
          </cell>
          <cell r="AP9">
            <v>81</v>
          </cell>
          <cell r="AS9">
            <v>2007</v>
          </cell>
          <cell r="AT9">
            <v>29</v>
          </cell>
          <cell r="AU9">
            <v>27</v>
          </cell>
          <cell r="AV9">
            <v>97</v>
          </cell>
          <cell r="AW9">
            <v>0.25</v>
          </cell>
          <cell r="AX9">
            <v>1552</v>
          </cell>
          <cell r="AY9">
            <v>388</v>
          </cell>
          <cell r="AZ9">
            <v>36.880000000000003</v>
          </cell>
          <cell r="BA9">
            <v>27</v>
          </cell>
          <cell r="BB9">
            <v>730.22400000000005</v>
          </cell>
          <cell r="BC9">
            <v>36.880000000000003</v>
          </cell>
          <cell r="BD9">
            <v>27</v>
          </cell>
          <cell r="BE9">
            <v>730.22400000000005</v>
          </cell>
          <cell r="BF9">
            <v>36.880000000000003</v>
          </cell>
          <cell r="BG9">
            <v>27</v>
          </cell>
          <cell r="BH9">
            <v>730.22400000000005</v>
          </cell>
          <cell r="BI9">
            <v>0</v>
          </cell>
          <cell r="BJ9">
            <v>0</v>
          </cell>
          <cell r="BK9">
            <v>2190.672</v>
          </cell>
          <cell r="BL9">
            <v>3618.12</v>
          </cell>
          <cell r="BM9">
            <v>3618.12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5</v>
          </cell>
          <cell r="BS9">
            <v>7.5</v>
          </cell>
          <cell r="BT9">
            <v>0</v>
          </cell>
          <cell r="BU9">
            <v>12.5</v>
          </cell>
          <cell r="BY9">
            <v>6184.2919999999995</v>
          </cell>
          <cell r="CP9" t="str">
            <v>Contrato</v>
          </cell>
          <cell r="CQ9" t="str">
            <v>Data Início Vigência</v>
          </cell>
          <cell r="CR9" t="str">
            <v>Data Térm. Vigência</v>
          </cell>
          <cell r="CS9" t="str">
            <v xml:space="preserve">P.A. </v>
          </cell>
          <cell r="CT9" t="str">
            <v>CONTRATADO</v>
          </cell>
          <cell r="CU9" t="str">
            <v>CPF</v>
          </cell>
          <cell r="CV9" t="str">
            <v>Empenho</v>
          </cell>
          <cell r="CW9" t="str">
            <v>Valor Bruto</v>
          </cell>
          <cell r="CX9" t="str">
            <v>Retenção de INSS</v>
          </cell>
          <cell r="CY9" t="str">
            <v xml:space="preserve">Retenção Sest/ Senat </v>
          </cell>
          <cell r="CZ9" t="str">
            <v>Base de Cálculo IR</v>
          </cell>
          <cell r="DA9" t="str">
            <v>IR Retido</v>
          </cell>
          <cell r="DB9" t="str">
            <v>Número Liquidação</v>
          </cell>
        </row>
        <row r="10">
          <cell r="C10" t="str">
            <v>1861/10</v>
          </cell>
          <cell r="D10" t="str">
            <v>01/01 A 31/01/11</v>
          </cell>
          <cell r="E10" t="str">
            <v>ADEMICIO LINS DE ARAUJO</v>
          </cell>
          <cell r="F10" t="str">
            <v>EMEF</v>
          </cell>
          <cell r="G10">
            <v>14</v>
          </cell>
          <cell r="H10">
            <v>14</v>
          </cell>
          <cell r="I10">
            <v>14</v>
          </cell>
          <cell r="J10">
            <v>93394</v>
          </cell>
          <cell r="K10">
            <v>39</v>
          </cell>
          <cell r="L10">
            <v>37</v>
          </cell>
          <cell r="M10">
            <v>0</v>
          </cell>
          <cell r="N10">
            <v>93394</v>
          </cell>
          <cell r="O10">
            <v>36</v>
          </cell>
          <cell r="P10">
            <v>37</v>
          </cell>
          <cell r="Q10">
            <v>0</v>
          </cell>
          <cell r="R10">
            <v>93394</v>
          </cell>
          <cell r="S10">
            <v>35</v>
          </cell>
          <cell r="T10">
            <v>27</v>
          </cell>
          <cell r="U10">
            <v>0</v>
          </cell>
          <cell r="W10">
            <v>1</v>
          </cell>
          <cell r="Y10">
            <v>1</v>
          </cell>
          <cell r="AA10">
            <v>1</v>
          </cell>
          <cell r="AB10">
            <v>0</v>
          </cell>
          <cell r="AD10">
            <v>2</v>
          </cell>
          <cell r="AE10">
            <v>1</v>
          </cell>
          <cell r="AF10">
            <v>2</v>
          </cell>
          <cell r="AG10">
            <v>1</v>
          </cell>
          <cell r="AH10">
            <v>2</v>
          </cell>
          <cell r="AI10">
            <v>1</v>
          </cell>
          <cell r="AJ10">
            <v>2</v>
          </cell>
          <cell r="AK10" t="str">
            <v>21 e 22</v>
          </cell>
          <cell r="AL10">
            <v>16</v>
          </cell>
          <cell r="AM10">
            <v>30</v>
          </cell>
          <cell r="AN10">
            <v>22</v>
          </cell>
          <cell r="AO10">
            <v>110</v>
          </cell>
          <cell r="AP10">
            <v>101</v>
          </cell>
          <cell r="AS10">
            <v>2010</v>
          </cell>
          <cell r="AT10">
            <v>39</v>
          </cell>
          <cell r="AU10">
            <v>37</v>
          </cell>
          <cell r="AV10">
            <v>110</v>
          </cell>
          <cell r="AW10">
            <v>0.25</v>
          </cell>
          <cell r="AX10">
            <v>1760</v>
          </cell>
          <cell r="AY10">
            <v>440</v>
          </cell>
          <cell r="AZ10">
            <v>36.880000000000003</v>
          </cell>
          <cell r="BA10">
            <v>37</v>
          </cell>
          <cell r="BB10">
            <v>1000.6773333333334</v>
          </cell>
          <cell r="BC10">
            <v>36.880000000000003</v>
          </cell>
          <cell r="BD10">
            <v>37</v>
          </cell>
          <cell r="BE10">
            <v>1000.6773333333334</v>
          </cell>
          <cell r="BF10">
            <v>36.880000000000003</v>
          </cell>
          <cell r="BG10">
            <v>27</v>
          </cell>
          <cell r="BH10">
            <v>730.22400000000005</v>
          </cell>
          <cell r="BI10">
            <v>0</v>
          </cell>
          <cell r="BJ10">
            <v>0</v>
          </cell>
          <cell r="BK10">
            <v>2731.5786666666668</v>
          </cell>
          <cell r="BL10">
            <v>3945.03</v>
          </cell>
          <cell r="BM10">
            <v>3945.03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19.5</v>
          </cell>
          <cell r="BS10">
            <v>18</v>
          </cell>
          <cell r="BT10">
            <v>17.5</v>
          </cell>
          <cell r="BU10">
            <v>55</v>
          </cell>
          <cell r="BY10">
            <v>7061.608666666667</v>
          </cell>
        </row>
        <row r="11">
          <cell r="C11" t="str">
            <v>2097/10</v>
          </cell>
          <cell r="D11" t="str">
            <v>01/01 A 31/01/11</v>
          </cell>
          <cell r="E11" t="str">
            <v>ADENILDO FERREIRA RODRIGUES</v>
          </cell>
          <cell r="F11" t="str">
            <v>EMEF</v>
          </cell>
          <cell r="G11">
            <v>15</v>
          </cell>
          <cell r="H11">
            <v>15</v>
          </cell>
          <cell r="I11">
            <v>16</v>
          </cell>
          <cell r="J11">
            <v>19228</v>
          </cell>
          <cell r="K11">
            <v>18</v>
          </cell>
          <cell r="L11">
            <v>26</v>
          </cell>
          <cell r="M11">
            <v>0</v>
          </cell>
          <cell r="N11">
            <v>19228</v>
          </cell>
          <cell r="O11">
            <v>10</v>
          </cell>
          <cell r="P11">
            <v>27</v>
          </cell>
          <cell r="Q11">
            <v>0</v>
          </cell>
          <cell r="R11">
            <v>0</v>
          </cell>
          <cell r="U11">
            <v>0</v>
          </cell>
          <cell r="W11">
            <v>1</v>
          </cell>
          <cell r="Y11">
            <v>1</v>
          </cell>
          <cell r="AA11">
            <v>0</v>
          </cell>
          <cell r="AB11">
            <v>0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I11">
            <v>0</v>
          </cell>
          <cell r="AJ11">
            <v>1</v>
          </cell>
          <cell r="AK11">
            <v>3</v>
          </cell>
          <cell r="AL11">
            <v>16</v>
          </cell>
          <cell r="AM11">
            <v>30</v>
          </cell>
          <cell r="AN11">
            <v>22</v>
          </cell>
          <cell r="AO11">
            <v>28</v>
          </cell>
          <cell r="AP11">
            <v>53</v>
          </cell>
          <cell r="AS11">
            <v>2007</v>
          </cell>
          <cell r="AT11">
            <v>29</v>
          </cell>
          <cell r="AU11">
            <v>27</v>
          </cell>
          <cell r="AV11">
            <v>28</v>
          </cell>
          <cell r="AW11">
            <v>0.25</v>
          </cell>
          <cell r="AX11">
            <v>448</v>
          </cell>
          <cell r="AY11">
            <v>112</v>
          </cell>
          <cell r="AZ11">
            <v>36.880000000000003</v>
          </cell>
          <cell r="BA11">
            <v>26</v>
          </cell>
          <cell r="BB11">
            <v>703.1786666666668</v>
          </cell>
          <cell r="BC11">
            <v>36.880000000000003</v>
          </cell>
          <cell r="BD11">
            <v>27</v>
          </cell>
          <cell r="BE11">
            <v>730.22400000000005</v>
          </cell>
          <cell r="BF11">
            <v>36.880000000000003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1433.4026666666668</v>
          </cell>
          <cell r="BL11">
            <v>3618.12</v>
          </cell>
          <cell r="BM11">
            <v>3618.12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4.5</v>
          </cell>
          <cell r="BS11">
            <v>2.5</v>
          </cell>
          <cell r="BT11">
            <v>0</v>
          </cell>
          <cell r="BU11">
            <v>7</v>
          </cell>
          <cell r="BY11">
            <v>5156.5226666666667</v>
          </cell>
          <cell r="CP11" t="str">
            <v>2991/10</v>
          </cell>
          <cell r="CQ11">
            <v>40490</v>
          </cell>
          <cell r="CR11">
            <v>40669</v>
          </cell>
          <cell r="CS11" t="str">
            <v>2010-0.288.508-2</v>
          </cell>
          <cell r="CT11" t="str">
            <v>ADAIL JOSE GUIMARAES</v>
          </cell>
          <cell r="CU11" t="str">
            <v>086.870.918-26</v>
          </cell>
          <cell r="CV11">
            <v>122499</v>
          </cell>
          <cell r="CW11">
            <v>6400.0439999999999</v>
          </cell>
          <cell r="CX11">
            <v>172.80118800000002</v>
          </cell>
          <cell r="CY11">
            <v>32.000220000000006</v>
          </cell>
          <cell r="CZ11">
            <v>3840.0263999999997</v>
          </cell>
          <cell r="DA11">
            <v>363.22726000000011</v>
          </cell>
          <cell r="DD11">
            <v>363.22726000000011</v>
          </cell>
          <cell r="DG11" t="str">
            <v>Nova base de cálculo IRRF</v>
          </cell>
        </row>
        <row r="12">
          <cell r="C12" t="str">
            <v>2045/10</v>
          </cell>
          <cell r="D12" t="str">
            <v>01/01 A 31/01/11</v>
          </cell>
          <cell r="E12" t="str">
            <v>AGNALDO MENDES DE LIMA</v>
          </cell>
          <cell r="F12" t="str">
            <v>EMEF</v>
          </cell>
          <cell r="G12">
            <v>15</v>
          </cell>
          <cell r="H12">
            <v>15</v>
          </cell>
          <cell r="I12">
            <v>15</v>
          </cell>
          <cell r="J12">
            <v>93378</v>
          </cell>
          <cell r="K12">
            <v>26</v>
          </cell>
          <cell r="L12">
            <v>18</v>
          </cell>
          <cell r="M12">
            <v>0</v>
          </cell>
          <cell r="N12">
            <v>93378</v>
          </cell>
          <cell r="O12">
            <v>20</v>
          </cell>
          <cell r="P12">
            <v>18</v>
          </cell>
          <cell r="Q12">
            <v>0</v>
          </cell>
          <cell r="R12">
            <v>93378</v>
          </cell>
          <cell r="S12">
            <v>40</v>
          </cell>
          <cell r="T12">
            <v>18</v>
          </cell>
          <cell r="U12">
            <v>0</v>
          </cell>
          <cell r="W12">
            <v>1</v>
          </cell>
          <cell r="Y12">
            <v>1</v>
          </cell>
          <cell r="AA12">
            <v>1</v>
          </cell>
          <cell r="AB12">
            <v>0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22</v>
          </cell>
          <cell r="AL12">
            <v>16</v>
          </cell>
          <cell r="AM12">
            <v>30</v>
          </cell>
          <cell r="AN12">
            <v>22</v>
          </cell>
          <cell r="AO12">
            <v>86</v>
          </cell>
          <cell r="AP12">
            <v>54</v>
          </cell>
          <cell r="AS12">
            <v>1998</v>
          </cell>
          <cell r="AT12">
            <v>20</v>
          </cell>
          <cell r="AU12">
            <v>18</v>
          </cell>
          <cell r="AV12">
            <v>86</v>
          </cell>
          <cell r="AW12">
            <v>0.25</v>
          </cell>
          <cell r="AX12">
            <v>1376</v>
          </cell>
          <cell r="AY12">
            <v>344</v>
          </cell>
          <cell r="AZ12">
            <v>36.880000000000003</v>
          </cell>
          <cell r="BA12">
            <v>18</v>
          </cell>
          <cell r="BB12">
            <v>486.81600000000003</v>
          </cell>
          <cell r="BC12">
            <v>36.880000000000003</v>
          </cell>
          <cell r="BD12">
            <v>18</v>
          </cell>
          <cell r="BE12">
            <v>486.81600000000003</v>
          </cell>
          <cell r="BF12">
            <v>36.880000000000003</v>
          </cell>
          <cell r="BG12">
            <v>18</v>
          </cell>
          <cell r="BH12">
            <v>486.81600000000003</v>
          </cell>
          <cell r="BI12">
            <v>0</v>
          </cell>
          <cell r="BJ12">
            <v>0</v>
          </cell>
          <cell r="BK12">
            <v>1460.4480000000001</v>
          </cell>
          <cell r="BL12">
            <v>1906.28</v>
          </cell>
          <cell r="BM12">
            <v>1906.28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6.5</v>
          </cell>
          <cell r="BS12">
            <v>5</v>
          </cell>
          <cell r="BT12">
            <v>10</v>
          </cell>
          <cell r="BU12">
            <v>21.5</v>
          </cell>
          <cell r="BY12">
            <v>3689.2280000000001</v>
          </cell>
          <cell r="CP12" t="str">
            <v>2125/10</v>
          </cell>
          <cell r="CQ12">
            <v>40448</v>
          </cell>
          <cell r="CR12">
            <v>40627</v>
          </cell>
          <cell r="CS12" t="str">
            <v>2010-0.238.907-7</v>
          </cell>
          <cell r="CT12" t="str">
            <v>ADEILDO JOSE SOUZA DOS SANTOS</v>
          </cell>
          <cell r="CU12" t="str">
            <v>012.606.358-30</v>
          </cell>
          <cell r="CV12">
            <v>105972</v>
          </cell>
          <cell r="CW12">
            <v>6184.2919999999995</v>
          </cell>
          <cell r="CX12">
            <v>166.97588400000001</v>
          </cell>
          <cell r="CY12">
            <v>30.921460000000003</v>
          </cell>
          <cell r="CZ12">
            <v>3710.5751999999993</v>
          </cell>
          <cell r="DA12">
            <v>329.25941999999986</v>
          </cell>
          <cell r="DD12">
            <v>329.25941999999986</v>
          </cell>
          <cell r="DG12" t="str">
            <v>Valor base</v>
          </cell>
          <cell r="DH12" t="str">
            <v>% retenção</v>
          </cell>
          <cell r="DI12" t="str">
            <v>Desconto</v>
          </cell>
        </row>
        <row r="13">
          <cell r="C13" t="str">
            <v>1862/10</v>
          </cell>
          <cell r="D13" t="str">
            <v>01/01 A 31/01/11</v>
          </cell>
          <cell r="E13" t="str">
            <v>AILTON ANTONIO DO NASCIMENTO</v>
          </cell>
          <cell r="F13" t="str">
            <v>EMEI</v>
          </cell>
          <cell r="G13">
            <v>15</v>
          </cell>
          <cell r="H13">
            <v>15</v>
          </cell>
          <cell r="I13">
            <v>15</v>
          </cell>
          <cell r="J13">
            <v>90565</v>
          </cell>
          <cell r="K13">
            <v>34</v>
          </cell>
          <cell r="L13">
            <v>27</v>
          </cell>
          <cell r="M13">
            <v>0</v>
          </cell>
          <cell r="N13">
            <v>90565</v>
          </cell>
          <cell r="O13">
            <v>41</v>
          </cell>
          <cell r="P13">
            <v>27</v>
          </cell>
          <cell r="Q13">
            <v>0</v>
          </cell>
          <cell r="R13">
            <v>90565</v>
          </cell>
          <cell r="S13">
            <v>28</v>
          </cell>
          <cell r="T13">
            <v>26</v>
          </cell>
          <cell r="U13">
            <v>0</v>
          </cell>
          <cell r="W13">
            <v>1</v>
          </cell>
          <cell r="Y13">
            <v>1</v>
          </cell>
          <cell r="AA13">
            <v>1</v>
          </cell>
          <cell r="AB13">
            <v>0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9</v>
          </cell>
          <cell r="AL13">
            <v>16</v>
          </cell>
          <cell r="AM13">
            <v>30</v>
          </cell>
          <cell r="AN13">
            <v>22</v>
          </cell>
          <cell r="AO13">
            <v>103</v>
          </cell>
          <cell r="AP13">
            <v>80</v>
          </cell>
          <cell r="AS13">
            <v>2010</v>
          </cell>
          <cell r="AT13">
            <v>28</v>
          </cell>
          <cell r="AU13">
            <v>27</v>
          </cell>
          <cell r="AV13">
            <v>103</v>
          </cell>
          <cell r="AW13">
            <v>0.25</v>
          </cell>
          <cell r="AX13">
            <v>1648</v>
          </cell>
          <cell r="AY13">
            <v>412</v>
          </cell>
          <cell r="AZ13">
            <v>36.880000000000003</v>
          </cell>
          <cell r="BA13">
            <v>27</v>
          </cell>
          <cell r="BB13">
            <v>730.22400000000005</v>
          </cell>
          <cell r="BC13">
            <v>36.880000000000003</v>
          </cell>
          <cell r="BD13">
            <v>27</v>
          </cell>
          <cell r="BE13">
            <v>730.22400000000005</v>
          </cell>
          <cell r="BF13">
            <v>36.880000000000003</v>
          </cell>
          <cell r="BG13">
            <v>26</v>
          </cell>
          <cell r="BH13">
            <v>703.1786666666668</v>
          </cell>
          <cell r="BI13">
            <v>0</v>
          </cell>
          <cell r="BJ13">
            <v>0</v>
          </cell>
          <cell r="BK13">
            <v>2163.626666666667</v>
          </cell>
          <cell r="BL13">
            <v>3945.03</v>
          </cell>
          <cell r="BM13">
            <v>3945.03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8.5</v>
          </cell>
          <cell r="BS13">
            <v>10.25</v>
          </cell>
          <cell r="BT13">
            <v>7</v>
          </cell>
          <cell r="BU13">
            <v>25.75</v>
          </cell>
          <cell r="BY13">
            <v>6494.9066666666677</v>
          </cell>
          <cell r="CP13" t="str">
            <v>1861/10</v>
          </cell>
          <cell r="CQ13">
            <v>40441</v>
          </cell>
          <cell r="CR13">
            <v>40620</v>
          </cell>
          <cell r="CS13" t="str">
            <v>2010-0.229.272-3</v>
          </cell>
          <cell r="CT13" t="str">
            <v>ADEMICIO LINS DE ARAUJO</v>
          </cell>
          <cell r="CU13">
            <v>43077374404</v>
          </cell>
          <cell r="CV13">
            <v>104774</v>
          </cell>
          <cell r="CW13">
            <v>7061.608666666667</v>
          </cell>
          <cell r="CX13">
            <v>190.66343400000002</v>
          </cell>
          <cell r="CY13">
            <v>35.308043333333337</v>
          </cell>
          <cell r="CZ13">
            <v>4236.9651999999996</v>
          </cell>
          <cell r="DA13">
            <v>472.38543000000004</v>
          </cell>
          <cell r="DD13">
            <v>472.38543000000004</v>
          </cell>
          <cell r="DG13">
            <v>1499.15</v>
          </cell>
          <cell r="DH13">
            <v>0</v>
          </cell>
          <cell r="DI13">
            <v>0</v>
          </cell>
        </row>
        <row r="14">
          <cell r="C14" t="str">
            <v>2539/10</v>
          </cell>
          <cell r="D14" t="str">
            <v>01/01 A 31/01/11</v>
          </cell>
          <cell r="E14" t="str">
            <v>AILTON RIBEIRO DE SOUZA</v>
          </cell>
          <cell r="F14" t="str">
            <v>EMEI</v>
          </cell>
          <cell r="G14">
            <v>16</v>
          </cell>
          <cell r="H14">
            <v>16</v>
          </cell>
          <cell r="I14">
            <v>16</v>
          </cell>
          <cell r="J14">
            <v>11568</v>
          </cell>
          <cell r="K14">
            <v>44</v>
          </cell>
          <cell r="L14">
            <v>28</v>
          </cell>
          <cell r="M14">
            <v>0</v>
          </cell>
          <cell r="N14">
            <v>11568</v>
          </cell>
          <cell r="O14">
            <v>46</v>
          </cell>
          <cell r="P14">
            <v>28</v>
          </cell>
          <cell r="Q14">
            <v>0</v>
          </cell>
          <cell r="R14">
            <v>19441</v>
          </cell>
          <cell r="S14">
            <v>29</v>
          </cell>
          <cell r="T14">
            <v>12</v>
          </cell>
          <cell r="U14">
            <v>0</v>
          </cell>
          <cell r="W14">
            <v>1</v>
          </cell>
          <cell r="Y14">
            <v>1</v>
          </cell>
          <cell r="AA14">
            <v>1</v>
          </cell>
          <cell r="AB14">
            <v>0</v>
          </cell>
          <cell r="AE14">
            <v>1</v>
          </cell>
          <cell r="AG14">
            <v>1</v>
          </cell>
          <cell r="AI14">
            <v>1</v>
          </cell>
          <cell r="AJ14">
            <v>0</v>
          </cell>
          <cell r="AL14">
            <v>16</v>
          </cell>
          <cell r="AM14">
            <v>30</v>
          </cell>
          <cell r="AN14">
            <v>22</v>
          </cell>
          <cell r="AO14">
            <v>119</v>
          </cell>
          <cell r="AP14">
            <v>68</v>
          </cell>
          <cell r="AS14">
            <v>2007</v>
          </cell>
          <cell r="AT14">
            <v>30</v>
          </cell>
          <cell r="AU14">
            <v>28</v>
          </cell>
          <cell r="AV14">
            <v>119</v>
          </cell>
          <cell r="AW14">
            <v>0.25</v>
          </cell>
          <cell r="AX14">
            <v>1904</v>
          </cell>
          <cell r="AY14">
            <v>476</v>
          </cell>
          <cell r="AZ14">
            <v>36.880000000000003</v>
          </cell>
          <cell r="BA14">
            <v>28</v>
          </cell>
          <cell r="BB14">
            <v>757.26933333333341</v>
          </cell>
          <cell r="BC14">
            <v>36.880000000000003</v>
          </cell>
          <cell r="BD14">
            <v>28</v>
          </cell>
          <cell r="BE14">
            <v>757.26933333333341</v>
          </cell>
          <cell r="BF14">
            <v>36.880000000000003</v>
          </cell>
          <cell r="BG14">
            <v>12</v>
          </cell>
          <cell r="BH14">
            <v>324.54400000000004</v>
          </cell>
          <cell r="BI14">
            <v>0</v>
          </cell>
          <cell r="BJ14">
            <v>0</v>
          </cell>
          <cell r="BK14">
            <v>1839.0826666666669</v>
          </cell>
          <cell r="BL14">
            <v>3618.12</v>
          </cell>
          <cell r="BM14">
            <v>3618.12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Y14">
            <v>5933.202666666667</v>
          </cell>
          <cell r="CP14" t="str">
            <v>2097/10</v>
          </cell>
          <cell r="CQ14">
            <v>40448</v>
          </cell>
          <cell r="CR14">
            <v>40627</v>
          </cell>
          <cell r="CS14" t="str">
            <v>2010-0.236.644-1</v>
          </cell>
          <cell r="CT14" t="str">
            <v>ADENILDO FERREIRA RODRIGUES</v>
          </cell>
          <cell r="CU14">
            <v>14910775811</v>
          </cell>
          <cell r="CV14">
            <v>105930</v>
          </cell>
          <cell r="CW14">
            <v>5156.5226666666667</v>
          </cell>
          <cell r="CX14">
            <v>139.22611200000003</v>
          </cell>
          <cell r="CY14">
            <v>25.782613333333337</v>
          </cell>
          <cell r="CZ14">
            <v>3093.9135999999999</v>
          </cell>
          <cell r="DA14">
            <v>190.51055999999994</v>
          </cell>
          <cell r="DD14">
            <v>190.51055999999994</v>
          </cell>
          <cell r="DG14">
            <v>2246.75</v>
          </cell>
          <cell r="DH14">
            <v>7.4999999999999997E-2</v>
          </cell>
          <cell r="DI14">
            <v>112.43</v>
          </cell>
        </row>
        <row r="15">
          <cell r="C15" t="str">
            <v>1996/10</v>
          </cell>
          <cell r="D15" t="str">
            <v>01/01 A 31/01/11</v>
          </cell>
          <cell r="E15" t="str">
            <v>AIRTON MOLINA GARCIA</v>
          </cell>
          <cell r="F15" t="str">
            <v>EMEI</v>
          </cell>
          <cell r="G15">
            <v>16</v>
          </cell>
          <cell r="H15">
            <v>16</v>
          </cell>
          <cell r="I15">
            <v>16</v>
          </cell>
          <cell r="J15">
            <v>19151</v>
          </cell>
          <cell r="K15">
            <v>32</v>
          </cell>
          <cell r="L15">
            <v>27</v>
          </cell>
          <cell r="M15">
            <v>0</v>
          </cell>
          <cell r="N15">
            <v>19151</v>
          </cell>
          <cell r="O15">
            <v>16</v>
          </cell>
          <cell r="P15">
            <v>26</v>
          </cell>
          <cell r="Q15">
            <v>0</v>
          </cell>
          <cell r="R15">
            <v>19151</v>
          </cell>
          <cell r="S15">
            <v>16</v>
          </cell>
          <cell r="T15">
            <v>25</v>
          </cell>
          <cell r="U15">
            <v>0</v>
          </cell>
          <cell r="W15">
            <v>1</v>
          </cell>
          <cell r="Y15">
            <v>1</v>
          </cell>
          <cell r="AA15">
            <v>1</v>
          </cell>
          <cell r="AB15">
            <v>0</v>
          </cell>
          <cell r="AE15">
            <v>1</v>
          </cell>
          <cell r="AG15">
            <v>1</v>
          </cell>
          <cell r="AI15">
            <v>1</v>
          </cell>
          <cell r="AJ15">
            <v>0</v>
          </cell>
          <cell r="AL15">
            <v>16</v>
          </cell>
          <cell r="AM15">
            <v>30</v>
          </cell>
          <cell r="AN15">
            <v>22</v>
          </cell>
          <cell r="AO15">
            <v>64</v>
          </cell>
          <cell r="AP15">
            <v>78</v>
          </cell>
          <cell r="AS15">
            <v>2007</v>
          </cell>
          <cell r="AT15">
            <v>29</v>
          </cell>
          <cell r="AU15">
            <v>27</v>
          </cell>
          <cell r="AV15">
            <v>64</v>
          </cell>
          <cell r="AW15">
            <v>0.25</v>
          </cell>
          <cell r="AX15">
            <v>1024</v>
          </cell>
          <cell r="AY15">
            <v>256</v>
          </cell>
          <cell r="AZ15">
            <v>36.880000000000003</v>
          </cell>
          <cell r="BA15">
            <v>27</v>
          </cell>
          <cell r="BB15">
            <v>730.22400000000005</v>
          </cell>
          <cell r="BC15">
            <v>36.880000000000003</v>
          </cell>
          <cell r="BD15">
            <v>26</v>
          </cell>
          <cell r="BE15">
            <v>703.1786666666668</v>
          </cell>
          <cell r="BF15">
            <v>36.880000000000003</v>
          </cell>
          <cell r="BG15">
            <v>25</v>
          </cell>
          <cell r="BH15">
            <v>676.13333333333344</v>
          </cell>
          <cell r="BI15">
            <v>0</v>
          </cell>
          <cell r="BJ15">
            <v>0</v>
          </cell>
          <cell r="BK15">
            <v>2109.5360000000001</v>
          </cell>
          <cell r="BL15">
            <v>3618.12</v>
          </cell>
          <cell r="BM15">
            <v>3618.12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Y15">
            <v>5983.6559999999999</v>
          </cell>
          <cell r="CP15" t="str">
            <v>2045/10</v>
          </cell>
          <cell r="CQ15">
            <v>40441</v>
          </cell>
          <cell r="CR15">
            <v>40620</v>
          </cell>
          <cell r="CS15" t="str">
            <v>2010-0.235.442-7</v>
          </cell>
          <cell r="CT15" t="str">
            <v>AGNALDO MENDES DE LIMA</v>
          </cell>
          <cell r="CU15">
            <v>14758181810</v>
          </cell>
          <cell r="CV15">
            <v>104781</v>
          </cell>
          <cell r="CW15">
            <v>3689.2280000000001</v>
          </cell>
          <cell r="CX15">
            <v>99.609156000000027</v>
          </cell>
          <cell r="CY15">
            <v>18.446140000000003</v>
          </cell>
          <cell r="CZ15">
            <v>2213.5367999999999</v>
          </cell>
          <cell r="DA15">
            <v>53.585259999999977</v>
          </cell>
          <cell r="DD15">
            <v>51.09051999999997</v>
          </cell>
          <cell r="DG15">
            <v>2995.7</v>
          </cell>
          <cell r="DH15">
            <v>0.15</v>
          </cell>
          <cell r="DI15">
            <v>280.94</v>
          </cell>
        </row>
        <row r="16">
          <cell r="C16" t="str">
            <v>1997/10</v>
          </cell>
          <cell r="D16" t="str">
            <v>01/01 A 31/01/11</v>
          </cell>
          <cell r="E16" t="str">
            <v>ALAN KARDEC DAMASCENO DE OLIVEIRA</v>
          </cell>
          <cell r="F16" t="str">
            <v>EMEF</v>
          </cell>
          <cell r="G16">
            <v>15</v>
          </cell>
          <cell r="H16">
            <v>15</v>
          </cell>
          <cell r="I16">
            <v>16</v>
          </cell>
          <cell r="J16">
            <v>19228</v>
          </cell>
          <cell r="K16">
            <v>18</v>
          </cell>
          <cell r="L16">
            <v>26</v>
          </cell>
          <cell r="M16">
            <v>0</v>
          </cell>
          <cell r="N16">
            <v>19228</v>
          </cell>
          <cell r="O16">
            <v>20</v>
          </cell>
          <cell r="P16">
            <v>24</v>
          </cell>
          <cell r="Q16">
            <v>0</v>
          </cell>
          <cell r="R16">
            <v>0</v>
          </cell>
          <cell r="U16">
            <v>0</v>
          </cell>
          <cell r="W16">
            <v>1</v>
          </cell>
          <cell r="Y16">
            <v>1</v>
          </cell>
          <cell r="AA16">
            <v>0</v>
          </cell>
          <cell r="AB16">
            <v>0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I16">
            <v>0</v>
          </cell>
          <cell r="AJ16">
            <v>1</v>
          </cell>
          <cell r="AK16">
            <v>3</v>
          </cell>
          <cell r="AL16">
            <v>16</v>
          </cell>
          <cell r="AM16">
            <v>30</v>
          </cell>
          <cell r="AN16">
            <v>22</v>
          </cell>
          <cell r="AO16">
            <v>38</v>
          </cell>
          <cell r="AP16">
            <v>50</v>
          </cell>
          <cell r="AS16">
            <v>2007</v>
          </cell>
          <cell r="AT16">
            <v>29</v>
          </cell>
          <cell r="AU16">
            <v>27</v>
          </cell>
          <cell r="AV16">
            <v>38</v>
          </cell>
          <cell r="AW16">
            <v>0.25</v>
          </cell>
          <cell r="AX16">
            <v>608</v>
          </cell>
          <cell r="AY16">
            <v>152</v>
          </cell>
          <cell r="AZ16">
            <v>36.880000000000003</v>
          </cell>
          <cell r="BA16">
            <v>26</v>
          </cell>
          <cell r="BB16">
            <v>703.1786666666668</v>
          </cell>
          <cell r="BC16">
            <v>36.880000000000003</v>
          </cell>
          <cell r="BD16">
            <v>24</v>
          </cell>
          <cell r="BE16">
            <v>649.08800000000008</v>
          </cell>
          <cell r="BF16">
            <v>36.880000000000003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1352.2666666666669</v>
          </cell>
          <cell r="BL16">
            <v>3618.12</v>
          </cell>
          <cell r="BM16">
            <v>3618.12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4.5</v>
          </cell>
          <cell r="BS16">
            <v>5</v>
          </cell>
          <cell r="BT16">
            <v>0</v>
          </cell>
          <cell r="BU16">
            <v>9.5</v>
          </cell>
          <cell r="BY16">
            <v>5112.8866666666672</v>
          </cell>
          <cell r="CP16" t="str">
            <v>1862/10</v>
          </cell>
          <cell r="CQ16">
            <v>40441</v>
          </cell>
          <cell r="CR16">
            <v>40620</v>
          </cell>
          <cell r="CS16" t="str">
            <v>2010-0.229.273-1</v>
          </cell>
          <cell r="CT16" t="str">
            <v>AILTON ANTONIO DO NASCIMENTO</v>
          </cell>
          <cell r="CU16">
            <v>10643300880</v>
          </cell>
          <cell r="CV16">
            <v>104817</v>
          </cell>
          <cell r="CW16">
            <v>6494.9066666666677</v>
          </cell>
          <cell r="CX16">
            <v>175.36248000000006</v>
          </cell>
          <cell r="CY16">
            <v>32.474533333333341</v>
          </cell>
          <cell r="CZ16">
            <v>3896.9440000000004</v>
          </cell>
          <cell r="DA16">
            <v>378.87960000000021</v>
          </cell>
          <cell r="DD16">
            <v>378.87960000000021</v>
          </cell>
          <cell r="DG16">
            <v>3743.18</v>
          </cell>
          <cell r="DH16">
            <v>0.22500000000000001</v>
          </cell>
          <cell r="DI16">
            <v>505.62</v>
          </cell>
        </row>
        <row r="17">
          <cell r="C17" t="str">
            <v>2460/10</v>
          </cell>
          <cell r="D17" t="str">
            <v>01/01 A 31/01/11</v>
          </cell>
          <cell r="E17" t="str">
            <v>ALBERTINO SOUZA OLIVEIRA FILHO</v>
          </cell>
          <cell r="F17" t="str">
            <v>EMEF</v>
          </cell>
          <cell r="G17">
            <v>16</v>
          </cell>
          <cell r="H17">
            <v>16</v>
          </cell>
          <cell r="I17">
            <v>16</v>
          </cell>
          <cell r="J17">
            <v>93297</v>
          </cell>
          <cell r="K17">
            <v>32</v>
          </cell>
          <cell r="L17">
            <v>23</v>
          </cell>
          <cell r="M17">
            <v>0</v>
          </cell>
          <cell r="N17">
            <v>93297</v>
          </cell>
          <cell r="O17">
            <v>41</v>
          </cell>
          <cell r="P17">
            <v>23</v>
          </cell>
          <cell r="Q17">
            <v>0</v>
          </cell>
          <cell r="R17">
            <v>93297</v>
          </cell>
          <cell r="S17">
            <v>51</v>
          </cell>
          <cell r="T17">
            <v>23</v>
          </cell>
          <cell r="U17">
            <v>0</v>
          </cell>
          <cell r="W17">
            <v>1</v>
          </cell>
          <cell r="Y17">
            <v>1</v>
          </cell>
          <cell r="AA17">
            <v>1</v>
          </cell>
          <cell r="AB17">
            <v>0</v>
          </cell>
          <cell r="AE17">
            <v>1</v>
          </cell>
          <cell r="AG17">
            <v>1</v>
          </cell>
          <cell r="AI17">
            <v>1</v>
          </cell>
          <cell r="AJ17">
            <v>0</v>
          </cell>
          <cell r="AL17">
            <v>16</v>
          </cell>
          <cell r="AM17">
            <v>30</v>
          </cell>
          <cell r="AN17">
            <v>22</v>
          </cell>
          <cell r="AO17">
            <v>124</v>
          </cell>
          <cell r="AP17">
            <v>69</v>
          </cell>
          <cell r="AS17">
            <v>2003</v>
          </cell>
          <cell r="AT17">
            <v>25</v>
          </cell>
          <cell r="AU17">
            <v>23</v>
          </cell>
          <cell r="AV17">
            <v>124</v>
          </cell>
          <cell r="AW17">
            <v>0.25</v>
          </cell>
          <cell r="AX17">
            <v>1984</v>
          </cell>
          <cell r="AY17">
            <v>496</v>
          </cell>
          <cell r="AZ17">
            <v>36.880000000000003</v>
          </cell>
          <cell r="BA17">
            <v>23</v>
          </cell>
          <cell r="BB17">
            <v>622.04266666666672</v>
          </cell>
          <cell r="BC17">
            <v>36.880000000000003</v>
          </cell>
          <cell r="BD17">
            <v>23</v>
          </cell>
          <cell r="BE17">
            <v>622.04266666666672</v>
          </cell>
          <cell r="BF17">
            <v>36.880000000000003</v>
          </cell>
          <cell r="BG17">
            <v>23</v>
          </cell>
          <cell r="BH17">
            <v>622.04266666666672</v>
          </cell>
          <cell r="BI17">
            <v>0</v>
          </cell>
          <cell r="BJ17">
            <v>0</v>
          </cell>
          <cell r="BK17">
            <v>1866.1280000000002</v>
          </cell>
          <cell r="BL17">
            <v>3182.21</v>
          </cell>
          <cell r="BM17">
            <v>3182.21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Y17">
            <v>5544.3379999999997</v>
          </cell>
          <cell r="CP17" t="str">
            <v>2539/10</v>
          </cell>
          <cell r="CQ17">
            <v>40455</v>
          </cell>
          <cell r="CR17">
            <v>40634</v>
          </cell>
          <cell r="CS17" t="str">
            <v>2010-0.268.625-0</v>
          </cell>
          <cell r="CT17" t="str">
            <v>AILTON RIBEIRO DE SOUZA</v>
          </cell>
          <cell r="CU17">
            <v>16416608804</v>
          </cell>
          <cell r="CV17">
            <v>111493</v>
          </cell>
          <cell r="CW17">
            <v>5933.202666666667</v>
          </cell>
          <cell r="CX17">
            <v>160.19647200000003</v>
          </cell>
          <cell r="CY17">
            <v>29.666013333333339</v>
          </cell>
          <cell r="CZ17">
            <v>3559.9216000000001</v>
          </cell>
          <cell r="DA17">
            <v>295.36236000000008</v>
          </cell>
          <cell r="DD17">
            <v>295.36236000000008</v>
          </cell>
        </row>
        <row r="18">
          <cell r="C18" t="str">
            <v>3116/10</v>
          </cell>
          <cell r="D18" t="str">
            <v>01/01 A 31/01/11</v>
          </cell>
          <cell r="E18" t="str">
            <v>ALEX LUCIO DE FIGUEIREDO</v>
          </cell>
          <cell r="F18" t="str">
            <v>EMEF</v>
          </cell>
          <cell r="G18">
            <v>16</v>
          </cell>
          <cell r="H18">
            <v>16</v>
          </cell>
          <cell r="I18">
            <v>16</v>
          </cell>
          <cell r="J18">
            <v>19436</v>
          </cell>
          <cell r="K18">
            <v>56</v>
          </cell>
          <cell r="L18">
            <v>19</v>
          </cell>
          <cell r="M18">
            <v>0</v>
          </cell>
          <cell r="N18">
            <v>19436</v>
          </cell>
          <cell r="O18">
            <v>63</v>
          </cell>
          <cell r="P18">
            <v>17</v>
          </cell>
          <cell r="Q18">
            <v>0</v>
          </cell>
          <cell r="R18">
            <v>16501</v>
          </cell>
          <cell r="S18">
            <v>55</v>
          </cell>
          <cell r="T18">
            <v>35</v>
          </cell>
          <cell r="U18">
            <v>0</v>
          </cell>
          <cell r="W18">
            <v>1</v>
          </cell>
          <cell r="Y18">
            <v>1</v>
          </cell>
          <cell r="AA18">
            <v>1</v>
          </cell>
          <cell r="AB18">
            <v>0</v>
          </cell>
          <cell r="AE18">
            <v>1</v>
          </cell>
          <cell r="AG18">
            <v>1</v>
          </cell>
          <cell r="AI18">
            <v>1</v>
          </cell>
          <cell r="AJ18">
            <v>0</v>
          </cell>
          <cell r="AL18">
            <v>16</v>
          </cell>
          <cell r="AM18">
            <v>30</v>
          </cell>
          <cell r="AN18">
            <v>22</v>
          </cell>
          <cell r="AO18">
            <v>174</v>
          </cell>
          <cell r="AP18">
            <v>71</v>
          </cell>
          <cell r="AS18">
            <v>2008</v>
          </cell>
          <cell r="AT18">
            <v>15</v>
          </cell>
          <cell r="AU18">
            <v>13</v>
          </cell>
          <cell r="AV18">
            <v>174</v>
          </cell>
          <cell r="AW18">
            <v>0.65</v>
          </cell>
          <cell r="AX18">
            <v>2784</v>
          </cell>
          <cell r="AY18">
            <v>1809.6000000000001</v>
          </cell>
          <cell r="AZ18">
            <v>48.26</v>
          </cell>
          <cell r="BA18">
            <v>19</v>
          </cell>
          <cell r="BB18">
            <v>672.4226666666666</v>
          </cell>
          <cell r="BC18">
            <v>48.26</v>
          </cell>
          <cell r="BD18">
            <v>17</v>
          </cell>
          <cell r="BE18">
            <v>601.64133333333325</v>
          </cell>
          <cell r="BF18">
            <v>48.26</v>
          </cell>
          <cell r="BG18">
            <v>35</v>
          </cell>
          <cell r="BH18">
            <v>1238.6733333333332</v>
          </cell>
          <cell r="BI18">
            <v>0</v>
          </cell>
          <cell r="BJ18">
            <v>0</v>
          </cell>
          <cell r="BK18">
            <v>2512.737333333333</v>
          </cell>
          <cell r="BL18">
            <v>2679</v>
          </cell>
          <cell r="BM18">
            <v>2679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Y18">
            <v>7001.3373333333329</v>
          </cell>
          <cell r="CP18" t="str">
            <v>1996/10</v>
          </cell>
          <cell r="CQ18">
            <v>40441</v>
          </cell>
          <cell r="CR18">
            <v>40620</v>
          </cell>
          <cell r="CS18" t="str">
            <v>2010-0.232.207-0</v>
          </cell>
          <cell r="CT18" t="str">
            <v>AIRTON MOLINA GARCIA</v>
          </cell>
          <cell r="CU18" t="str">
            <v>040.164.488-08</v>
          </cell>
          <cell r="CV18">
            <v>104829</v>
          </cell>
          <cell r="CW18">
            <v>5983.6559999999999</v>
          </cell>
          <cell r="CX18">
            <v>161.55871200000001</v>
          </cell>
          <cell r="CY18">
            <v>29.918279999999999</v>
          </cell>
          <cell r="CZ18">
            <v>3590.1936000000001</v>
          </cell>
          <cell r="DA18">
            <v>302.17356000000007</v>
          </cell>
          <cell r="DD18">
            <v>302.17356000000007</v>
          </cell>
          <cell r="DG18">
            <v>3743.19</v>
          </cell>
          <cell r="DH18">
            <v>0.27500000000000002</v>
          </cell>
          <cell r="DI18">
            <v>692.78</v>
          </cell>
        </row>
        <row r="19">
          <cell r="C19" t="str">
            <v>1777/10</v>
          </cell>
          <cell r="D19" t="str">
            <v>01/01 A 31/01/11</v>
          </cell>
          <cell r="E19" t="str">
            <v>ALEXANDRE HUGO DA SILVA</v>
          </cell>
          <cell r="F19" t="str">
            <v>EMEI</v>
          </cell>
          <cell r="G19">
            <v>16</v>
          </cell>
          <cell r="H19">
            <v>16</v>
          </cell>
          <cell r="I19">
            <v>16</v>
          </cell>
          <cell r="J19">
            <v>90590</v>
          </cell>
          <cell r="K19">
            <v>23</v>
          </cell>
          <cell r="L19">
            <v>23</v>
          </cell>
          <cell r="M19">
            <v>0</v>
          </cell>
          <cell r="N19">
            <v>90590</v>
          </cell>
          <cell r="O19">
            <v>23</v>
          </cell>
          <cell r="P19">
            <v>23</v>
          </cell>
          <cell r="Q19">
            <v>0</v>
          </cell>
          <cell r="R19">
            <v>90590</v>
          </cell>
          <cell r="S19">
            <v>19</v>
          </cell>
          <cell r="T19">
            <v>23</v>
          </cell>
          <cell r="U19">
            <v>0</v>
          </cell>
          <cell r="W19">
            <v>1</v>
          </cell>
          <cell r="Y19">
            <v>1</v>
          </cell>
          <cell r="AA19">
            <v>1</v>
          </cell>
          <cell r="AB19">
            <v>0</v>
          </cell>
          <cell r="AE19">
            <v>1</v>
          </cell>
          <cell r="AG19">
            <v>1</v>
          </cell>
          <cell r="AI19">
            <v>1</v>
          </cell>
          <cell r="AJ19">
            <v>0</v>
          </cell>
          <cell r="AL19">
            <v>16</v>
          </cell>
          <cell r="AM19">
            <v>30</v>
          </cell>
          <cell r="AN19">
            <v>22</v>
          </cell>
          <cell r="AO19">
            <v>65</v>
          </cell>
          <cell r="AP19">
            <v>69</v>
          </cell>
          <cell r="AS19">
            <v>2006</v>
          </cell>
          <cell r="AT19">
            <v>25</v>
          </cell>
          <cell r="AU19">
            <v>23</v>
          </cell>
          <cell r="AV19">
            <v>65</v>
          </cell>
          <cell r="AW19">
            <v>0.25</v>
          </cell>
          <cell r="AX19">
            <v>1040</v>
          </cell>
          <cell r="AY19">
            <v>260</v>
          </cell>
          <cell r="AZ19">
            <v>36.880000000000003</v>
          </cell>
          <cell r="BA19">
            <v>23</v>
          </cell>
          <cell r="BB19">
            <v>622.04266666666672</v>
          </cell>
          <cell r="BC19">
            <v>36.880000000000003</v>
          </cell>
          <cell r="BD19">
            <v>23</v>
          </cell>
          <cell r="BE19">
            <v>622.04266666666672</v>
          </cell>
          <cell r="BF19">
            <v>36.880000000000003</v>
          </cell>
          <cell r="BG19">
            <v>23</v>
          </cell>
          <cell r="BH19">
            <v>622.04266666666672</v>
          </cell>
          <cell r="BI19">
            <v>0</v>
          </cell>
          <cell r="BJ19">
            <v>0</v>
          </cell>
          <cell r="BK19">
            <v>1866.1280000000002</v>
          </cell>
          <cell r="BL19">
            <v>3509.14</v>
          </cell>
          <cell r="BM19">
            <v>3509.14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Y19">
            <v>5635.268</v>
          </cell>
          <cell r="CP19" t="str">
            <v>1997/10</v>
          </cell>
          <cell r="CQ19">
            <v>40441</v>
          </cell>
          <cell r="CR19">
            <v>40620</v>
          </cell>
          <cell r="CS19" t="str">
            <v>2010-0.232.210-0</v>
          </cell>
          <cell r="CT19" t="str">
            <v>ALAN KARDEC DAMASCENO DE OLIVEIRA</v>
          </cell>
          <cell r="CU19">
            <v>14733465840</v>
          </cell>
          <cell r="CV19">
            <v>104841</v>
          </cell>
          <cell r="CW19">
            <v>5112.8866666666672</v>
          </cell>
          <cell r="CX19">
            <v>138.04794000000004</v>
          </cell>
          <cell r="CY19">
            <v>25.564433333333341</v>
          </cell>
          <cell r="CZ19">
            <v>3067.7320000000004</v>
          </cell>
          <cell r="DA19">
            <v>184.61970000000008</v>
          </cell>
          <cell r="DD19">
            <v>184.61970000000008</v>
          </cell>
        </row>
        <row r="20">
          <cell r="C20" t="str">
            <v>2098/10</v>
          </cell>
          <cell r="D20" t="str">
            <v>01/01 A 31/01/11</v>
          </cell>
          <cell r="E20" t="str">
            <v>ALEXANDRE VASCONCELOS CUNHA</v>
          </cell>
          <cell r="F20" t="str">
            <v>EMEF</v>
          </cell>
          <cell r="G20">
            <v>15</v>
          </cell>
          <cell r="H20">
            <v>15</v>
          </cell>
          <cell r="I20">
            <v>15</v>
          </cell>
          <cell r="J20">
            <v>93378</v>
          </cell>
          <cell r="K20">
            <v>26</v>
          </cell>
          <cell r="L20">
            <v>27</v>
          </cell>
          <cell r="M20">
            <v>0</v>
          </cell>
          <cell r="N20">
            <v>93378</v>
          </cell>
          <cell r="O20">
            <v>16</v>
          </cell>
          <cell r="P20">
            <v>27</v>
          </cell>
          <cell r="Q20">
            <v>0</v>
          </cell>
          <cell r="R20">
            <v>93378</v>
          </cell>
          <cell r="S20">
            <v>18</v>
          </cell>
          <cell r="T20">
            <v>27</v>
          </cell>
          <cell r="U20">
            <v>0</v>
          </cell>
          <cell r="W20">
            <v>1</v>
          </cell>
          <cell r="Y20">
            <v>1</v>
          </cell>
          <cell r="AA20">
            <v>1</v>
          </cell>
          <cell r="AB20">
            <v>0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22</v>
          </cell>
          <cell r="AL20">
            <v>16</v>
          </cell>
          <cell r="AM20">
            <v>30</v>
          </cell>
          <cell r="AN20">
            <v>22</v>
          </cell>
          <cell r="AO20">
            <v>60</v>
          </cell>
          <cell r="AP20">
            <v>81</v>
          </cell>
          <cell r="AS20">
            <v>2007</v>
          </cell>
          <cell r="AT20">
            <v>29</v>
          </cell>
          <cell r="AU20">
            <v>27</v>
          </cell>
          <cell r="AV20">
            <v>60</v>
          </cell>
          <cell r="AW20">
            <v>0.25</v>
          </cell>
          <cell r="AX20">
            <v>960</v>
          </cell>
          <cell r="AY20">
            <v>240</v>
          </cell>
          <cell r="AZ20">
            <v>36.880000000000003</v>
          </cell>
          <cell r="BA20">
            <v>27</v>
          </cell>
          <cell r="BB20">
            <v>730.22400000000005</v>
          </cell>
          <cell r="BC20">
            <v>36.880000000000003</v>
          </cell>
          <cell r="BD20">
            <v>27</v>
          </cell>
          <cell r="BE20">
            <v>730.22400000000005</v>
          </cell>
          <cell r="BF20">
            <v>36.880000000000003</v>
          </cell>
          <cell r="BG20">
            <v>27</v>
          </cell>
          <cell r="BH20">
            <v>730.22400000000005</v>
          </cell>
          <cell r="BI20">
            <v>0</v>
          </cell>
          <cell r="BJ20">
            <v>0</v>
          </cell>
          <cell r="BK20">
            <v>2190.672</v>
          </cell>
          <cell r="BL20">
            <v>3618.12</v>
          </cell>
          <cell r="BM20">
            <v>3618.12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6.5</v>
          </cell>
          <cell r="BS20">
            <v>4</v>
          </cell>
          <cell r="BT20">
            <v>4.5</v>
          </cell>
          <cell r="BU20">
            <v>15</v>
          </cell>
          <cell r="BY20">
            <v>6033.7919999999995</v>
          </cell>
          <cell r="CP20" t="str">
            <v>2460/10</v>
          </cell>
          <cell r="CQ20">
            <v>40455</v>
          </cell>
          <cell r="CR20">
            <v>40634</v>
          </cell>
          <cell r="CS20" t="str">
            <v>2010-0.267.276-3</v>
          </cell>
          <cell r="CT20" t="str">
            <v>ALBERTINO SOUZA OLIVEIRA FILHO</v>
          </cell>
          <cell r="CU20" t="str">
            <v>094.210.048-41</v>
          </cell>
          <cell r="CV20">
            <v>111494</v>
          </cell>
          <cell r="CW20">
            <v>5544.3379999999997</v>
          </cell>
          <cell r="CX20">
            <v>149.69712600000003</v>
          </cell>
          <cell r="CY20">
            <v>27.721690000000002</v>
          </cell>
          <cell r="CZ20">
            <v>3326.6027999999997</v>
          </cell>
          <cell r="DA20">
            <v>242.8656299999999</v>
          </cell>
          <cell r="DD20">
            <v>242.8656299999999</v>
          </cell>
        </row>
        <row r="21">
          <cell r="C21" t="str">
            <v>1902/10</v>
          </cell>
          <cell r="D21" t="str">
            <v>01/01 A 31/01/11</v>
          </cell>
          <cell r="E21" t="str">
            <v>ALFREDO DOS SANTOS</v>
          </cell>
          <cell r="F21" t="str">
            <v>EMEI</v>
          </cell>
          <cell r="G21">
            <v>14</v>
          </cell>
          <cell r="H21">
            <v>14</v>
          </cell>
          <cell r="I21">
            <v>14</v>
          </cell>
          <cell r="J21">
            <v>19213</v>
          </cell>
          <cell r="K21">
            <v>35</v>
          </cell>
          <cell r="L21">
            <v>27</v>
          </cell>
          <cell r="M21">
            <v>0</v>
          </cell>
          <cell r="N21">
            <v>19213</v>
          </cell>
          <cell r="O21">
            <v>42</v>
          </cell>
          <cell r="P21">
            <v>26</v>
          </cell>
          <cell r="Q21">
            <v>0</v>
          </cell>
          <cell r="R21">
            <v>19213</v>
          </cell>
          <cell r="S21">
            <v>38</v>
          </cell>
          <cell r="T21">
            <v>27</v>
          </cell>
          <cell r="U21">
            <v>0</v>
          </cell>
          <cell r="W21">
            <v>1</v>
          </cell>
          <cell r="Y21">
            <v>1</v>
          </cell>
          <cell r="AA21">
            <v>1</v>
          </cell>
          <cell r="AB21">
            <v>0</v>
          </cell>
          <cell r="AD21">
            <v>2</v>
          </cell>
          <cell r="AE21">
            <v>1</v>
          </cell>
          <cell r="AF21">
            <v>2</v>
          </cell>
          <cell r="AG21">
            <v>1</v>
          </cell>
          <cell r="AH21">
            <v>2</v>
          </cell>
          <cell r="AI21">
            <v>1</v>
          </cell>
          <cell r="AJ21">
            <v>2</v>
          </cell>
          <cell r="AK21" t="str">
            <v>1, 9, 10 e 13</v>
          </cell>
          <cell r="AL21">
            <v>16</v>
          </cell>
          <cell r="AM21">
            <v>30</v>
          </cell>
          <cell r="AN21">
            <v>22</v>
          </cell>
          <cell r="AO21">
            <v>115</v>
          </cell>
          <cell r="AP21">
            <v>80</v>
          </cell>
          <cell r="AS21">
            <v>2007</v>
          </cell>
          <cell r="AT21">
            <v>29</v>
          </cell>
          <cell r="AU21">
            <v>27</v>
          </cell>
          <cell r="AV21">
            <v>115</v>
          </cell>
          <cell r="AW21">
            <v>0.25</v>
          </cell>
          <cell r="AX21">
            <v>1840</v>
          </cell>
          <cell r="AY21">
            <v>460</v>
          </cell>
          <cell r="AZ21">
            <v>36.880000000000003</v>
          </cell>
          <cell r="BA21">
            <v>27</v>
          </cell>
          <cell r="BB21">
            <v>730.22400000000005</v>
          </cell>
          <cell r="BC21">
            <v>36.880000000000003</v>
          </cell>
          <cell r="BD21">
            <v>26</v>
          </cell>
          <cell r="BE21">
            <v>703.1786666666668</v>
          </cell>
          <cell r="BF21">
            <v>36.880000000000003</v>
          </cell>
          <cell r="BG21">
            <v>27</v>
          </cell>
          <cell r="BH21">
            <v>730.22400000000005</v>
          </cell>
          <cell r="BI21">
            <v>0</v>
          </cell>
          <cell r="BJ21">
            <v>0</v>
          </cell>
          <cell r="BK21">
            <v>2163.626666666667</v>
          </cell>
          <cell r="BL21">
            <v>3618.12</v>
          </cell>
          <cell r="BM21">
            <v>3618.12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17.5</v>
          </cell>
          <cell r="BS21">
            <v>21</v>
          </cell>
          <cell r="BT21">
            <v>19</v>
          </cell>
          <cell r="BU21">
            <v>57.5</v>
          </cell>
          <cell r="BY21">
            <v>6184.2466666666669</v>
          </cell>
          <cell r="CP21" t="str">
            <v>3116/10</v>
          </cell>
          <cell r="CQ21">
            <v>40511</v>
          </cell>
          <cell r="CR21">
            <v>40690</v>
          </cell>
          <cell r="CS21" t="str">
            <v>2010-0.292.681-1</v>
          </cell>
          <cell r="CT21" t="str">
            <v>ALEX LUCIO DE FIGUEIREDO</v>
          </cell>
          <cell r="CU21">
            <v>27333263843</v>
          </cell>
          <cell r="CV21">
            <v>124642</v>
          </cell>
          <cell r="CW21">
            <v>7001.3373333333329</v>
          </cell>
          <cell r="CX21">
            <v>189.03610800000001</v>
          </cell>
          <cell r="CY21">
            <v>35.006686666666667</v>
          </cell>
          <cell r="CZ21">
            <v>4200.8023999999996</v>
          </cell>
          <cell r="DA21">
            <v>462.44065999999998</v>
          </cell>
          <cell r="DD21">
            <v>462.44065999999998</v>
          </cell>
        </row>
        <row r="22">
          <cell r="C22" t="str">
            <v>1635/10</v>
          </cell>
          <cell r="D22" t="str">
            <v>01/01 A 31/01/11</v>
          </cell>
          <cell r="E22" t="str">
            <v>ALVARO XAVIER DE SOUZA</v>
          </cell>
          <cell r="F22" t="str">
            <v>EMEI</v>
          </cell>
          <cell r="G22">
            <v>16</v>
          </cell>
          <cell r="H22">
            <v>16</v>
          </cell>
          <cell r="I22">
            <v>16</v>
          </cell>
          <cell r="J22">
            <v>90573</v>
          </cell>
          <cell r="K22">
            <v>34</v>
          </cell>
          <cell r="L22">
            <v>27</v>
          </cell>
          <cell r="M22">
            <v>0</v>
          </cell>
          <cell r="N22">
            <v>90573</v>
          </cell>
          <cell r="O22">
            <v>45</v>
          </cell>
          <cell r="P22">
            <v>27</v>
          </cell>
          <cell r="Q22">
            <v>0</v>
          </cell>
          <cell r="R22">
            <v>0</v>
          </cell>
          <cell r="U22">
            <v>0</v>
          </cell>
          <cell r="W22">
            <v>1</v>
          </cell>
          <cell r="Y22">
            <v>1</v>
          </cell>
          <cell r="AA22">
            <v>0</v>
          </cell>
          <cell r="AB22">
            <v>0</v>
          </cell>
          <cell r="AE22">
            <v>1</v>
          </cell>
          <cell r="AG22">
            <v>1</v>
          </cell>
          <cell r="AI22">
            <v>0</v>
          </cell>
          <cell r="AJ22">
            <v>0</v>
          </cell>
          <cell r="AL22">
            <v>16</v>
          </cell>
          <cell r="AM22">
            <v>30</v>
          </cell>
          <cell r="AN22">
            <v>22</v>
          </cell>
          <cell r="AO22">
            <v>79</v>
          </cell>
          <cell r="AP22">
            <v>54</v>
          </cell>
          <cell r="AS22">
            <v>2007</v>
          </cell>
          <cell r="AT22">
            <v>29</v>
          </cell>
          <cell r="AU22">
            <v>27</v>
          </cell>
          <cell r="AV22">
            <v>79</v>
          </cell>
          <cell r="AW22">
            <v>0.25</v>
          </cell>
          <cell r="AX22">
            <v>1264</v>
          </cell>
          <cell r="AY22">
            <v>316</v>
          </cell>
          <cell r="AZ22">
            <v>36.880000000000003</v>
          </cell>
          <cell r="BA22">
            <v>27</v>
          </cell>
          <cell r="BB22">
            <v>730.22400000000005</v>
          </cell>
          <cell r="BC22">
            <v>36.880000000000003</v>
          </cell>
          <cell r="BD22">
            <v>27</v>
          </cell>
          <cell r="BE22">
            <v>730.22400000000005</v>
          </cell>
          <cell r="BF22">
            <v>36.880000000000003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1460.4480000000001</v>
          </cell>
          <cell r="BL22">
            <v>3618.12</v>
          </cell>
          <cell r="BM22">
            <v>3618.12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Y22">
            <v>5394.5680000000002</v>
          </cell>
          <cell r="CP22" t="str">
            <v>1777/10</v>
          </cell>
          <cell r="CQ22">
            <v>40427</v>
          </cell>
          <cell r="CR22">
            <v>40606</v>
          </cell>
          <cell r="CS22" t="str">
            <v>2010-0.224.925-9</v>
          </cell>
          <cell r="CT22" t="str">
            <v>ALEXANDRE HUGO DA SILVA</v>
          </cell>
          <cell r="CU22">
            <v>25991300852</v>
          </cell>
          <cell r="CV22">
            <v>96873</v>
          </cell>
          <cell r="CW22">
            <v>5635.268</v>
          </cell>
          <cell r="CX22">
            <v>152.15223600000002</v>
          </cell>
          <cell r="CY22">
            <v>28.17634</v>
          </cell>
          <cell r="CZ22">
            <v>3381.1608000000001</v>
          </cell>
          <cell r="DA22">
            <v>255.14118000000008</v>
          </cell>
          <cell r="DD22">
            <v>255.14118000000008</v>
          </cell>
        </row>
        <row r="23">
          <cell r="C23" t="str">
            <v>2925/10</v>
          </cell>
          <cell r="D23" t="str">
            <v>01/01 A 31/01/11</v>
          </cell>
          <cell r="E23" t="str">
            <v>ALVIMAR BATISTA DE SOUSA</v>
          </cell>
          <cell r="F23" t="str">
            <v>EMEI</v>
          </cell>
          <cell r="G23">
            <v>16</v>
          </cell>
          <cell r="H23">
            <v>16</v>
          </cell>
          <cell r="I23">
            <v>16</v>
          </cell>
          <cell r="J23">
            <v>19210</v>
          </cell>
          <cell r="K23">
            <v>29</v>
          </cell>
          <cell r="L23">
            <v>26</v>
          </cell>
          <cell r="M23">
            <v>0</v>
          </cell>
          <cell r="N23">
            <v>19210</v>
          </cell>
          <cell r="O23">
            <v>21</v>
          </cell>
          <cell r="P23">
            <v>22</v>
          </cell>
          <cell r="Q23">
            <v>0</v>
          </cell>
          <cell r="R23">
            <v>19210</v>
          </cell>
          <cell r="S23">
            <v>27</v>
          </cell>
          <cell r="T23">
            <v>26</v>
          </cell>
          <cell r="U23">
            <v>0</v>
          </cell>
          <cell r="W23">
            <v>1</v>
          </cell>
          <cell r="Y23">
            <v>1</v>
          </cell>
          <cell r="AA23">
            <v>1</v>
          </cell>
          <cell r="AB23">
            <v>0</v>
          </cell>
          <cell r="AE23">
            <v>1</v>
          </cell>
          <cell r="AG23">
            <v>1</v>
          </cell>
          <cell r="AI23">
            <v>1</v>
          </cell>
          <cell r="AJ23">
            <v>0</v>
          </cell>
          <cell r="AL23">
            <v>16</v>
          </cell>
          <cell r="AM23">
            <v>30</v>
          </cell>
          <cell r="AN23">
            <v>22</v>
          </cell>
          <cell r="AO23">
            <v>77</v>
          </cell>
          <cell r="AP23">
            <v>74</v>
          </cell>
          <cell r="AS23">
            <v>2007</v>
          </cell>
          <cell r="AT23">
            <v>29</v>
          </cell>
          <cell r="AU23">
            <v>27</v>
          </cell>
          <cell r="AV23">
            <v>77</v>
          </cell>
          <cell r="AW23">
            <v>0.25</v>
          </cell>
          <cell r="AX23">
            <v>1232</v>
          </cell>
          <cell r="AY23">
            <v>308</v>
          </cell>
          <cell r="AZ23">
            <v>36.880000000000003</v>
          </cell>
          <cell r="BA23">
            <v>26</v>
          </cell>
          <cell r="BB23">
            <v>703.1786666666668</v>
          </cell>
          <cell r="BC23">
            <v>36.880000000000003</v>
          </cell>
          <cell r="BD23">
            <v>22</v>
          </cell>
          <cell r="BE23">
            <v>594.99733333333336</v>
          </cell>
          <cell r="BF23">
            <v>36.880000000000003</v>
          </cell>
          <cell r="BG23">
            <v>26</v>
          </cell>
          <cell r="BH23">
            <v>703.1786666666668</v>
          </cell>
          <cell r="BI23">
            <v>0</v>
          </cell>
          <cell r="BJ23">
            <v>0</v>
          </cell>
          <cell r="BK23">
            <v>2001.3546666666671</v>
          </cell>
          <cell r="BL23">
            <v>3618.12</v>
          </cell>
          <cell r="BM23">
            <v>3618.12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Y23">
            <v>5927.474666666667</v>
          </cell>
          <cell r="CP23" t="str">
            <v>2098/10</v>
          </cell>
          <cell r="CQ23">
            <v>40448</v>
          </cell>
          <cell r="CR23">
            <v>40627</v>
          </cell>
          <cell r="CS23" t="str">
            <v>2010-0.236.645-0</v>
          </cell>
          <cell r="CT23" t="str">
            <v>ALEXANDRE VASCONCELOS CUNHA</v>
          </cell>
          <cell r="CU23">
            <v>15312750875</v>
          </cell>
          <cell r="CV23">
            <v>105937</v>
          </cell>
          <cell r="CW23">
            <v>6033.7919999999995</v>
          </cell>
          <cell r="CX23">
            <v>162.912384</v>
          </cell>
          <cell r="CY23">
            <v>30.168959999999998</v>
          </cell>
          <cell r="CZ23">
            <v>3620.2751999999996</v>
          </cell>
          <cell r="DA23">
            <v>308.94191999999987</v>
          </cell>
          <cell r="DD23">
            <v>308.94191999999987</v>
          </cell>
        </row>
        <row r="24">
          <cell r="C24" t="str">
            <v>2573/10</v>
          </cell>
          <cell r="D24" t="str">
            <v>01/01 A 31/01/11</v>
          </cell>
          <cell r="E24" t="str">
            <v>AMILTON DONIZETI BATISTA</v>
          </cell>
          <cell r="F24" t="str">
            <v>EMEF</v>
          </cell>
          <cell r="G24">
            <v>13</v>
          </cell>
          <cell r="H24">
            <v>13</v>
          </cell>
          <cell r="I24">
            <v>16</v>
          </cell>
          <cell r="J24">
            <v>19243</v>
          </cell>
          <cell r="K24">
            <v>21</v>
          </cell>
          <cell r="L24">
            <v>17</v>
          </cell>
          <cell r="M24">
            <v>0</v>
          </cell>
          <cell r="N24">
            <v>19243</v>
          </cell>
          <cell r="O24">
            <v>19</v>
          </cell>
          <cell r="P24">
            <v>17</v>
          </cell>
          <cell r="Q24">
            <v>0</v>
          </cell>
          <cell r="R24">
            <v>0</v>
          </cell>
          <cell r="U24">
            <v>0</v>
          </cell>
          <cell r="W24">
            <v>1</v>
          </cell>
          <cell r="Y24">
            <v>1</v>
          </cell>
          <cell r="AA24">
            <v>0</v>
          </cell>
          <cell r="AB24">
            <v>0</v>
          </cell>
          <cell r="AD24">
            <v>3</v>
          </cell>
          <cell r="AE24">
            <v>1</v>
          </cell>
          <cell r="AF24">
            <v>3</v>
          </cell>
          <cell r="AG24">
            <v>1</v>
          </cell>
          <cell r="AI24">
            <v>0</v>
          </cell>
          <cell r="AJ24">
            <v>3</v>
          </cell>
          <cell r="AK24" t="str">
            <v>10, 15 e 16</v>
          </cell>
          <cell r="AL24">
            <v>16</v>
          </cell>
          <cell r="AM24">
            <v>30</v>
          </cell>
          <cell r="AN24">
            <v>22</v>
          </cell>
          <cell r="AO24">
            <v>40</v>
          </cell>
          <cell r="AP24">
            <v>34</v>
          </cell>
          <cell r="AS24">
            <v>2010</v>
          </cell>
          <cell r="AT24">
            <v>19</v>
          </cell>
          <cell r="AU24">
            <v>17</v>
          </cell>
          <cell r="AV24">
            <v>40</v>
          </cell>
          <cell r="AW24">
            <v>0.25</v>
          </cell>
          <cell r="AX24">
            <v>640</v>
          </cell>
          <cell r="AY24">
            <v>160</v>
          </cell>
          <cell r="AZ24">
            <v>36.880000000000003</v>
          </cell>
          <cell r="BA24">
            <v>17</v>
          </cell>
          <cell r="BB24">
            <v>459.77066666666667</v>
          </cell>
          <cell r="BC24">
            <v>36.880000000000003</v>
          </cell>
          <cell r="BD24">
            <v>17</v>
          </cell>
          <cell r="BE24">
            <v>459.77066666666667</v>
          </cell>
          <cell r="BF24">
            <v>36.880000000000003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919.54133333333334</v>
          </cell>
          <cell r="BL24">
            <v>2718.59</v>
          </cell>
          <cell r="BM24">
            <v>2718.59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15.75</v>
          </cell>
          <cell r="BS24">
            <v>14.25</v>
          </cell>
          <cell r="BT24">
            <v>0</v>
          </cell>
          <cell r="BU24">
            <v>30</v>
          </cell>
          <cell r="BY24">
            <v>3768.1313333333337</v>
          </cell>
          <cell r="CP24" t="str">
            <v>1902/10</v>
          </cell>
          <cell r="CQ24">
            <v>40441</v>
          </cell>
          <cell r="CR24">
            <v>40620</v>
          </cell>
          <cell r="CS24" t="str">
            <v>2010-0.230.642-2</v>
          </cell>
          <cell r="CT24" t="str">
            <v>ALFREDO DOS SANTOS</v>
          </cell>
          <cell r="CU24" t="str">
            <v>085.875.608-08</v>
          </cell>
          <cell r="CV24">
            <v>104848</v>
          </cell>
          <cell r="CW24">
            <v>6184.2466666666669</v>
          </cell>
          <cell r="CX24">
            <v>166.97466000000003</v>
          </cell>
          <cell r="CY24">
            <v>30.92123333333334</v>
          </cell>
          <cell r="CZ24">
            <v>3710.5479999999998</v>
          </cell>
          <cell r="DA24">
            <v>329.25329999999997</v>
          </cell>
          <cell r="DD24">
            <v>329.25329999999997</v>
          </cell>
        </row>
        <row r="25">
          <cell r="C25" t="str">
            <v>1999/10</v>
          </cell>
          <cell r="D25" t="str">
            <v>01/01 A 31/01/11</v>
          </cell>
          <cell r="E25" t="str">
            <v>ANIBAL PRADO SECANECHIA</v>
          </cell>
          <cell r="F25" t="str">
            <v>EMEF</v>
          </cell>
          <cell r="G25">
            <v>16</v>
          </cell>
          <cell r="H25">
            <v>16</v>
          </cell>
          <cell r="I25">
            <v>16</v>
          </cell>
          <cell r="J25">
            <v>93416</v>
          </cell>
          <cell r="K25">
            <v>17</v>
          </cell>
          <cell r="L25">
            <v>21</v>
          </cell>
          <cell r="M25">
            <v>0</v>
          </cell>
          <cell r="N25">
            <v>93416</v>
          </cell>
          <cell r="O25">
            <v>15</v>
          </cell>
          <cell r="P25">
            <v>26</v>
          </cell>
          <cell r="Q25">
            <v>0</v>
          </cell>
          <cell r="R25">
            <v>0</v>
          </cell>
          <cell r="U25">
            <v>0</v>
          </cell>
          <cell r="W25">
            <v>1</v>
          </cell>
          <cell r="Y25">
            <v>1</v>
          </cell>
          <cell r="AA25">
            <v>0</v>
          </cell>
          <cell r="AB25">
            <v>0</v>
          </cell>
          <cell r="AE25">
            <v>1</v>
          </cell>
          <cell r="AG25">
            <v>1</v>
          </cell>
          <cell r="AI25">
            <v>0</v>
          </cell>
          <cell r="AJ25">
            <v>0</v>
          </cell>
          <cell r="AL25">
            <v>16</v>
          </cell>
          <cell r="AM25">
            <v>30</v>
          </cell>
          <cell r="AN25">
            <v>22</v>
          </cell>
          <cell r="AO25">
            <v>32</v>
          </cell>
          <cell r="AP25">
            <v>47</v>
          </cell>
          <cell r="AS25">
            <v>2007</v>
          </cell>
          <cell r="AT25">
            <v>29</v>
          </cell>
          <cell r="AU25">
            <v>27</v>
          </cell>
          <cell r="AV25">
            <v>32</v>
          </cell>
          <cell r="AW25">
            <v>0.25</v>
          </cell>
          <cell r="AX25">
            <v>512</v>
          </cell>
          <cell r="AY25">
            <v>128</v>
          </cell>
          <cell r="AZ25">
            <v>36.880000000000003</v>
          </cell>
          <cell r="BA25">
            <v>21</v>
          </cell>
          <cell r="BB25">
            <v>567.952</v>
          </cell>
          <cell r="BC25">
            <v>36.880000000000003</v>
          </cell>
          <cell r="BD25">
            <v>26</v>
          </cell>
          <cell r="BE25">
            <v>703.1786666666668</v>
          </cell>
          <cell r="BF25">
            <v>36.880000000000003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1271.1306666666669</v>
          </cell>
          <cell r="BL25">
            <v>3618.12</v>
          </cell>
          <cell r="BM25">
            <v>3618.12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Y25">
            <v>5017.2506666666668</v>
          </cell>
          <cell r="CP25" t="str">
            <v>1635/10</v>
          </cell>
          <cell r="CQ25">
            <v>40420</v>
          </cell>
          <cell r="CR25">
            <v>40599</v>
          </cell>
          <cell r="CS25" t="str">
            <v>2010-0.189.219-0</v>
          </cell>
          <cell r="CT25" t="str">
            <v>ALVARO XAVIER DE SOUZA</v>
          </cell>
          <cell r="CU25" t="str">
            <v>947.086.658-49</v>
          </cell>
          <cell r="CV25">
            <v>91463</v>
          </cell>
          <cell r="CW25">
            <v>5394.5680000000002</v>
          </cell>
          <cell r="CX25">
            <v>145.65333600000002</v>
          </cell>
          <cell r="CY25">
            <v>26.972840000000005</v>
          </cell>
          <cell r="CZ25">
            <v>3236.7408</v>
          </cell>
          <cell r="DA25">
            <v>222.64668000000006</v>
          </cell>
          <cell r="DD25">
            <v>222.64668000000006</v>
          </cell>
        </row>
        <row r="26">
          <cell r="C26" t="str">
            <v>2047/10</v>
          </cell>
          <cell r="D26" t="str">
            <v>01/01 A 31/01/11</v>
          </cell>
          <cell r="E26" t="str">
            <v>ANISIO SILVA GOMES</v>
          </cell>
          <cell r="F26" t="str">
            <v>EMEI</v>
          </cell>
          <cell r="G26">
            <v>16</v>
          </cell>
          <cell r="H26">
            <v>16</v>
          </cell>
          <cell r="I26">
            <v>16</v>
          </cell>
          <cell r="J26">
            <v>90646</v>
          </cell>
          <cell r="K26">
            <v>104</v>
          </cell>
          <cell r="L26">
            <v>27</v>
          </cell>
          <cell r="M26">
            <v>0</v>
          </cell>
          <cell r="N26">
            <v>90646</v>
          </cell>
          <cell r="O26">
            <v>91</v>
          </cell>
          <cell r="P26">
            <v>27</v>
          </cell>
          <cell r="Q26">
            <v>0</v>
          </cell>
          <cell r="R26">
            <v>0</v>
          </cell>
          <cell r="U26">
            <v>0</v>
          </cell>
          <cell r="W26">
            <v>1</v>
          </cell>
          <cell r="Y26">
            <v>1</v>
          </cell>
          <cell r="AA26">
            <v>0</v>
          </cell>
          <cell r="AB26">
            <v>0</v>
          </cell>
          <cell r="AE26">
            <v>1</v>
          </cell>
          <cell r="AG26">
            <v>1</v>
          </cell>
          <cell r="AI26">
            <v>0</v>
          </cell>
          <cell r="AJ26">
            <v>0</v>
          </cell>
          <cell r="AL26">
            <v>16</v>
          </cell>
          <cell r="AM26">
            <v>30</v>
          </cell>
          <cell r="AN26">
            <v>22</v>
          </cell>
          <cell r="AO26">
            <v>195</v>
          </cell>
          <cell r="AP26">
            <v>54</v>
          </cell>
          <cell r="AS26">
            <v>2008</v>
          </cell>
          <cell r="AT26">
            <v>29</v>
          </cell>
          <cell r="AU26">
            <v>27</v>
          </cell>
          <cell r="AV26">
            <v>195</v>
          </cell>
          <cell r="AW26">
            <v>0.25</v>
          </cell>
          <cell r="AX26">
            <v>3120</v>
          </cell>
          <cell r="AY26">
            <v>780</v>
          </cell>
          <cell r="AZ26">
            <v>36.880000000000003</v>
          </cell>
          <cell r="BA26">
            <v>27</v>
          </cell>
          <cell r="BB26">
            <v>730.22400000000005</v>
          </cell>
          <cell r="BC26">
            <v>36.880000000000003</v>
          </cell>
          <cell r="BD26">
            <v>27</v>
          </cell>
          <cell r="BE26">
            <v>730.22400000000005</v>
          </cell>
          <cell r="BF26">
            <v>36.880000000000003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1460.4480000000001</v>
          </cell>
          <cell r="BL26">
            <v>3727.1</v>
          </cell>
          <cell r="BM26">
            <v>3727.1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Y26">
            <v>5967.5480000000007</v>
          </cell>
          <cell r="CP26" t="str">
            <v>2925/10</v>
          </cell>
          <cell r="CQ26">
            <v>40483</v>
          </cell>
          <cell r="CR26">
            <v>40662</v>
          </cell>
          <cell r="CS26" t="str">
            <v>2010-0.283.651-0</v>
          </cell>
          <cell r="CT26" t="str">
            <v>ALVIMAR BATISTA DE SOUSA</v>
          </cell>
          <cell r="CU26" t="str">
            <v>022.029.148-97</v>
          </cell>
          <cell r="CV26">
            <v>119886</v>
          </cell>
          <cell r="CW26">
            <v>5927.474666666667</v>
          </cell>
          <cell r="CX26">
            <v>160.04181600000001</v>
          </cell>
          <cell r="CY26">
            <v>29.637373333333336</v>
          </cell>
          <cell r="CZ26">
            <v>3556.4848000000002</v>
          </cell>
          <cell r="DA26">
            <v>294.58908000000008</v>
          </cell>
          <cell r="DD26">
            <v>294.58908000000008</v>
          </cell>
        </row>
        <row r="27">
          <cell r="C27" t="str">
            <v>1797/10</v>
          </cell>
          <cell r="D27" t="str">
            <v>01/01 A 31/01/11</v>
          </cell>
          <cell r="E27" t="str">
            <v>ANTONIO ALIXANDRE ALVES</v>
          </cell>
          <cell r="F27" t="str">
            <v>EMEF</v>
          </cell>
          <cell r="G27">
            <v>16</v>
          </cell>
          <cell r="H27">
            <v>16</v>
          </cell>
          <cell r="I27">
            <v>16</v>
          </cell>
          <cell r="J27">
            <v>93424</v>
          </cell>
          <cell r="K27">
            <v>24</v>
          </cell>
          <cell r="L27">
            <v>23</v>
          </cell>
          <cell r="M27">
            <v>0</v>
          </cell>
          <cell r="N27">
            <v>93424</v>
          </cell>
          <cell r="O27">
            <v>23</v>
          </cell>
          <cell r="P27">
            <v>22</v>
          </cell>
          <cell r="Q27">
            <v>0</v>
          </cell>
          <cell r="R27">
            <v>0</v>
          </cell>
          <cell r="U27">
            <v>0</v>
          </cell>
          <cell r="W27">
            <v>1</v>
          </cell>
          <cell r="Y27">
            <v>1</v>
          </cell>
          <cell r="AA27">
            <v>0</v>
          </cell>
          <cell r="AB27">
            <v>0</v>
          </cell>
          <cell r="AE27">
            <v>1</v>
          </cell>
          <cell r="AG27">
            <v>1</v>
          </cell>
          <cell r="AI27">
            <v>0</v>
          </cell>
          <cell r="AJ27">
            <v>0</v>
          </cell>
          <cell r="AL27">
            <v>16</v>
          </cell>
          <cell r="AM27">
            <v>30</v>
          </cell>
          <cell r="AN27">
            <v>22</v>
          </cell>
          <cell r="AO27">
            <v>47</v>
          </cell>
          <cell r="AP27">
            <v>45</v>
          </cell>
          <cell r="AS27">
            <v>2005</v>
          </cell>
          <cell r="AT27">
            <v>25</v>
          </cell>
          <cell r="AU27">
            <v>23</v>
          </cell>
          <cell r="AV27">
            <v>47</v>
          </cell>
          <cell r="AW27">
            <v>0.25</v>
          </cell>
          <cell r="AX27">
            <v>752</v>
          </cell>
          <cell r="AY27">
            <v>188</v>
          </cell>
          <cell r="AZ27">
            <v>36.880000000000003</v>
          </cell>
          <cell r="BA27">
            <v>23</v>
          </cell>
          <cell r="BB27">
            <v>622.04266666666672</v>
          </cell>
          <cell r="BC27">
            <v>36.880000000000003</v>
          </cell>
          <cell r="BD27">
            <v>22</v>
          </cell>
          <cell r="BE27">
            <v>594.99733333333336</v>
          </cell>
          <cell r="BF27">
            <v>36.880000000000003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1217.04</v>
          </cell>
          <cell r="BL27">
            <v>3400.17</v>
          </cell>
          <cell r="BM27">
            <v>3400.17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Y27">
            <v>4805.21</v>
          </cell>
          <cell r="CP27" t="str">
            <v>2573/10</v>
          </cell>
          <cell r="CQ27">
            <v>40462</v>
          </cell>
          <cell r="CR27">
            <v>40641</v>
          </cell>
          <cell r="CS27" t="str">
            <v>2010-0.268.745-0</v>
          </cell>
          <cell r="CT27" t="str">
            <v>AMILTON DONIZETI BATISTA</v>
          </cell>
          <cell r="CU27">
            <v>10480435847</v>
          </cell>
          <cell r="CV27">
            <v>114085</v>
          </cell>
          <cell r="CW27">
            <v>3768.1313333333337</v>
          </cell>
          <cell r="CX27">
            <v>101.73954600000002</v>
          </cell>
          <cell r="CY27">
            <v>18.840656666666671</v>
          </cell>
          <cell r="CZ27">
            <v>2260.8788</v>
          </cell>
          <cell r="DA27">
            <v>58.191820000000007</v>
          </cell>
          <cell r="DD27">
            <v>58.191820000000007</v>
          </cell>
        </row>
        <row r="28">
          <cell r="C28" t="str">
            <v>2000/10</v>
          </cell>
          <cell r="D28" t="str">
            <v>01/01 A 31/01/11</v>
          </cell>
          <cell r="E28" t="str">
            <v>ANTONIO BATISTA DE OLIVEIRA</v>
          </cell>
          <cell r="F28" t="str">
            <v>EMEF</v>
          </cell>
          <cell r="G28">
            <v>15</v>
          </cell>
          <cell r="H28">
            <v>15</v>
          </cell>
          <cell r="I28">
            <v>15</v>
          </cell>
          <cell r="J28">
            <v>93378</v>
          </cell>
          <cell r="K28">
            <v>28</v>
          </cell>
          <cell r="L28">
            <v>27</v>
          </cell>
          <cell r="M28">
            <v>0</v>
          </cell>
          <cell r="N28">
            <v>93378</v>
          </cell>
          <cell r="O28">
            <v>24</v>
          </cell>
          <cell r="P28">
            <v>27</v>
          </cell>
          <cell r="Q28">
            <v>0</v>
          </cell>
          <cell r="R28">
            <v>93378</v>
          </cell>
          <cell r="S28">
            <v>25</v>
          </cell>
          <cell r="T28">
            <v>27</v>
          </cell>
          <cell r="U28">
            <v>0</v>
          </cell>
          <cell r="W28">
            <v>1</v>
          </cell>
          <cell r="Y28">
            <v>1</v>
          </cell>
          <cell r="AA28">
            <v>1</v>
          </cell>
          <cell r="AB28">
            <v>0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22</v>
          </cell>
          <cell r="AL28">
            <v>16</v>
          </cell>
          <cell r="AM28">
            <v>30</v>
          </cell>
          <cell r="AN28">
            <v>22</v>
          </cell>
          <cell r="AO28">
            <v>77</v>
          </cell>
          <cell r="AP28">
            <v>81</v>
          </cell>
          <cell r="AS28">
            <v>2007</v>
          </cell>
          <cell r="AT28">
            <v>29</v>
          </cell>
          <cell r="AU28">
            <v>27</v>
          </cell>
          <cell r="AV28">
            <v>77</v>
          </cell>
          <cell r="AW28">
            <v>0.25</v>
          </cell>
          <cell r="AX28">
            <v>1232</v>
          </cell>
          <cell r="AY28">
            <v>308</v>
          </cell>
          <cell r="AZ28">
            <v>36.880000000000003</v>
          </cell>
          <cell r="BA28">
            <v>27</v>
          </cell>
          <cell r="BB28">
            <v>730.22400000000005</v>
          </cell>
          <cell r="BC28">
            <v>36.880000000000003</v>
          </cell>
          <cell r="BD28">
            <v>27</v>
          </cell>
          <cell r="BE28">
            <v>730.22400000000005</v>
          </cell>
          <cell r="BF28">
            <v>36.880000000000003</v>
          </cell>
          <cell r="BG28">
            <v>27</v>
          </cell>
          <cell r="BH28">
            <v>730.22400000000005</v>
          </cell>
          <cell r="BI28">
            <v>0</v>
          </cell>
          <cell r="BJ28">
            <v>0</v>
          </cell>
          <cell r="BK28">
            <v>2190.672</v>
          </cell>
          <cell r="BL28">
            <v>3618.12</v>
          </cell>
          <cell r="BM28">
            <v>3618.12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7</v>
          </cell>
          <cell r="BS28">
            <v>6</v>
          </cell>
          <cell r="BT28">
            <v>6.25</v>
          </cell>
          <cell r="BU28">
            <v>19.25</v>
          </cell>
          <cell r="BY28">
            <v>6097.5419999999995</v>
          </cell>
          <cell r="CP28" t="str">
            <v>1999/10</v>
          </cell>
          <cell r="CQ28">
            <v>40450</v>
          </cell>
          <cell r="CR28">
            <v>40629</v>
          </cell>
          <cell r="CS28" t="str">
            <v>2010-0.232.218-5</v>
          </cell>
          <cell r="CT28" t="str">
            <v>ANIBAL PRADO SECANECHIA</v>
          </cell>
          <cell r="CU28">
            <v>21754771858</v>
          </cell>
          <cell r="CV28">
            <v>105902</v>
          </cell>
          <cell r="CW28">
            <v>5017.2506666666668</v>
          </cell>
          <cell r="CX28">
            <v>135.46576800000003</v>
          </cell>
          <cell r="CY28">
            <v>25.086253333333335</v>
          </cell>
          <cell r="CZ28">
            <v>3010.3503999999998</v>
          </cell>
          <cell r="DA28">
            <v>171.70884000000001</v>
          </cell>
          <cell r="DD28">
            <v>171.70884000000001</v>
          </cell>
        </row>
        <row r="29">
          <cell r="C29" t="str">
            <v>3078/10</v>
          </cell>
          <cell r="D29" t="str">
            <v>01/01 A 31/01/11</v>
          </cell>
          <cell r="E29" t="str">
            <v>ANTONIO DUTRA FAGUNDES</v>
          </cell>
          <cell r="F29" t="str">
            <v>EMEI</v>
          </cell>
          <cell r="G29">
            <v>13</v>
          </cell>
          <cell r="H29">
            <v>14</v>
          </cell>
          <cell r="I29">
            <v>14</v>
          </cell>
          <cell r="J29">
            <v>19300</v>
          </cell>
          <cell r="K29">
            <v>73</v>
          </cell>
          <cell r="L29">
            <v>22</v>
          </cell>
          <cell r="M29">
            <v>0</v>
          </cell>
          <cell r="N29">
            <v>19300</v>
          </cell>
          <cell r="O29">
            <v>46</v>
          </cell>
          <cell r="P29">
            <v>23</v>
          </cell>
          <cell r="Q29">
            <v>0</v>
          </cell>
          <cell r="R29">
            <v>19300</v>
          </cell>
          <cell r="S29">
            <v>154</v>
          </cell>
          <cell r="T29">
            <v>23</v>
          </cell>
          <cell r="U29">
            <v>0</v>
          </cell>
          <cell r="V29">
            <v>2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1.3333333333333333</v>
          </cell>
          <cell r="AC29" t="str">
            <v>19 e 6/12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17</v>
          </cell>
          <cell r="AL29">
            <v>16</v>
          </cell>
          <cell r="AM29">
            <v>30</v>
          </cell>
          <cell r="AN29">
            <v>22</v>
          </cell>
          <cell r="AO29">
            <v>273</v>
          </cell>
          <cell r="AP29">
            <v>68</v>
          </cell>
          <cell r="AS29">
            <v>2000</v>
          </cell>
          <cell r="AT29">
            <v>25</v>
          </cell>
          <cell r="AU29">
            <v>23</v>
          </cell>
          <cell r="AV29">
            <v>273</v>
          </cell>
          <cell r="AW29">
            <v>0.65</v>
          </cell>
          <cell r="AX29">
            <v>4368</v>
          </cell>
          <cell r="AY29">
            <v>2839.2000000000003</v>
          </cell>
          <cell r="AZ29">
            <v>48.26</v>
          </cell>
          <cell r="BA29">
            <v>22</v>
          </cell>
          <cell r="BB29">
            <v>778.59466666666674</v>
          </cell>
          <cell r="BC29">
            <v>48.26</v>
          </cell>
          <cell r="BD29">
            <v>23</v>
          </cell>
          <cell r="BE29">
            <v>813.9853333333333</v>
          </cell>
          <cell r="BF29">
            <v>48.26</v>
          </cell>
          <cell r="BG29">
            <v>23</v>
          </cell>
          <cell r="BH29">
            <v>813.9853333333333</v>
          </cell>
          <cell r="BI29">
            <v>0</v>
          </cell>
          <cell r="BJ29">
            <v>0</v>
          </cell>
          <cell r="BK29">
            <v>2406.565333333333</v>
          </cell>
          <cell r="BL29">
            <v>1403</v>
          </cell>
          <cell r="BM29">
            <v>1403</v>
          </cell>
          <cell r="BN29">
            <v>196.54733333333334</v>
          </cell>
          <cell r="BO29">
            <v>82.332333333333338</v>
          </cell>
          <cell r="BP29">
            <v>152.53233333333333</v>
          </cell>
          <cell r="BQ29">
            <v>431.41200000000003</v>
          </cell>
          <cell r="BR29">
            <v>47.45</v>
          </cell>
          <cell r="BS29">
            <v>29.900000000000002</v>
          </cell>
          <cell r="BT29">
            <v>100.10000000000001</v>
          </cell>
          <cell r="BU29">
            <v>177.45000000000002</v>
          </cell>
          <cell r="BY29">
            <v>6039.9033333333336</v>
          </cell>
          <cell r="CP29" t="str">
            <v>2047/10</v>
          </cell>
          <cell r="CQ29">
            <v>40441</v>
          </cell>
          <cell r="CR29">
            <v>40620</v>
          </cell>
          <cell r="CS29" t="str">
            <v>2010-0.235.447-8</v>
          </cell>
          <cell r="CT29" t="str">
            <v>ANISIO SILVA GOMES</v>
          </cell>
          <cell r="CU29" t="str">
            <v>010.715.878-70</v>
          </cell>
          <cell r="CV29">
            <v>104853</v>
          </cell>
          <cell r="CW29">
            <v>5967.5480000000007</v>
          </cell>
          <cell r="CX29">
            <v>161.12379600000003</v>
          </cell>
          <cell r="CY29">
            <v>29.837740000000004</v>
          </cell>
          <cell r="CZ29">
            <v>3580.5288000000005</v>
          </cell>
          <cell r="DA29">
            <v>299.99898000000007</v>
          </cell>
          <cell r="DD29">
            <v>299.99898000000007</v>
          </cell>
        </row>
        <row r="30">
          <cell r="C30" t="str">
            <v>1977/10</v>
          </cell>
          <cell r="D30" t="str">
            <v>01/01 A 31/01/11</v>
          </cell>
          <cell r="E30" t="str">
            <v>ANTONIO FRANCISCO ARAUJO DE OLIVEIRA</v>
          </cell>
          <cell r="F30" t="str">
            <v>EMEI</v>
          </cell>
          <cell r="G30">
            <v>16</v>
          </cell>
          <cell r="H30">
            <v>16</v>
          </cell>
          <cell r="I30">
            <v>16</v>
          </cell>
          <cell r="J30">
            <v>493</v>
          </cell>
          <cell r="K30">
            <v>56</v>
          </cell>
          <cell r="L30">
            <v>25</v>
          </cell>
          <cell r="M30">
            <v>0</v>
          </cell>
          <cell r="N30">
            <v>493</v>
          </cell>
          <cell r="O30">
            <v>46</v>
          </cell>
          <cell r="P30">
            <v>27</v>
          </cell>
          <cell r="Q30">
            <v>0</v>
          </cell>
          <cell r="R30">
            <v>493</v>
          </cell>
          <cell r="S30">
            <v>53</v>
          </cell>
          <cell r="T30">
            <v>27</v>
          </cell>
          <cell r="U30">
            <v>0</v>
          </cell>
          <cell r="W30">
            <v>1</v>
          </cell>
          <cell r="Y30">
            <v>1</v>
          </cell>
          <cell r="AA30">
            <v>1</v>
          </cell>
          <cell r="AB30">
            <v>0</v>
          </cell>
          <cell r="AE30">
            <v>1</v>
          </cell>
          <cell r="AG30">
            <v>1</v>
          </cell>
          <cell r="AI30">
            <v>1</v>
          </cell>
          <cell r="AJ30">
            <v>0</v>
          </cell>
          <cell r="AL30">
            <v>16</v>
          </cell>
          <cell r="AM30">
            <v>30</v>
          </cell>
          <cell r="AN30">
            <v>22</v>
          </cell>
          <cell r="AO30">
            <v>155</v>
          </cell>
          <cell r="AP30">
            <v>79</v>
          </cell>
          <cell r="AS30">
            <v>2007</v>
          </cell>
          <cell r="AT30">
            <v>29</v>
          </cell>
          <cell r="AU30">
            <v>27</v>
          </cell>
          <cell r="AV30">
            <v>155</v>
          </cell>
          <cell r="AW30">
            <v>0.25</v>
          </cell>
          <cell r="AX30">
            <v>2480</v>
          </cell>
          <cell r="AY30">
            <v>620</v>
          </cell>
          <cell r="AZ30">
            <v>36.880000000000003</v>
          </cell>
          <cell r="BA30">
            <v>25</v>
          </cell>
          <cell r="BB30">
            <v>676.13333333333344</v>
          </cell>
          <cell r="BC30">
            <v>36.880000000000003</v>
          </cell>
          <cell r="BD30">
            <v>27</v>
          </cell>
          <cell r="BE30">
            <v>730.22400000000005</v>
          </cell>
          <cell r="BF30">
            <v>36.880000000000003</v>
          </cell>
          <cell r="BG30">
            <v>27</v>
          </cell>
          <cell r="BH30">
            <v>730.22400000000005</v>
          </cell>
          <cell r="BI30">
            <v>0</v>
          </cell>
          <cell r="BJ30">
            <v>0</v>
          </cell>
          <cell r="BK30">
            <v>2136.5813333333335</v>
          </cell>
          <cell r="BL30">
            <v>3618.12</v>
          </cell>
          <cell r="BM30">
            <v>3618.12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Y30">
            <v>6374.7013333333334</v>
          </cell>
          <cell r="CP30" t="str">
            <v>1797/10</v>
          </cell>
          <cell r="CQ30">
            <v>40434</v>
          </cell>
          <cell r="CR30">
            <v>40613</v>
          </cell>
          <cell r="CS30" t="str">
            <v>2010-0.225.064-8</v>
          </cell>
          <cell r="CT30" t="str">
            <v>ANTONIO ALIXANDRE ALVES</v>
          </cell>
          <cell r="CU30" t="str">
            <v>065.192.748-01</v>
          </cell>
          <cell r="CV30">
            <v>96881</v>
          </cell>
          <cell r="CW30">
            <v>4805.21</v>
          </cell>
          <cell r="CX30">
            <v>129.74067000000002</v>
          </cell>
          <cell r="CY30">
            <v>24.026050000000001</v>
          </cell>
          <cell r="CZ30">
            <v>2883.1259999999997</v>
          </cell>
          <cell r="DA30">
            <v>151.52889999999996</v>
          </cell>
          <cell r="DD30">
            <v>151.52889999999996</v>
          </cell>
        </row>
        <row r="31">
          <cell r="C31" t="str">
            <v>2679/10</v>
          </cell>
          <cell r="D31" t="str">
            <v>01/01 A 31/01/11</v>
          </cell>
          <cell r="E31" t="str">
            <v>ANTONIO JESUS DE OLIVEIRA</v>
          </cell>
          <cell r="F31" t="str">
            <v>EMEI</v>
          </cell>
          <cell r="G31">
            <v>15</v>
          </cell>
          <cell r="H31">
            <v>15</v>
          </cell>
          <cell r="I31">
            <v>14</v>
          </cell>
          <cell r="J31">
            <v>19300</v>
          </cell>
          <cell r="K31">
            <v>32</v>
          </cell>
          <cell r="L31">
            <v>23</v>
          </cell>
          <cell r="M31">
            <v>0</v>
          </cell>
          <cell r="N31">
            <v>19300</v>
          </cell>
          <cell r="O31">
            <v>32</v>
          </cell>
          <cell r="P31">
            <v>23</v>
          </cell>
          <cell r="Q31">
            <v>0</v>
          </cell>
          <cell r="R31">
            <v>19300</v>
          </cell>
          <cell r="S31">
            <v>45</v>
          </cell>
          <cell r="T31">
            <v>23</v>
          </cell>
          <cell r="U31">
            <v>0</v>
          </cell>
          <cell r="W31">
            <v>1</v>
          </cell>
          <cell r="Y31">
            <v>1</v>
          </cell>
          <cell r="Z31">
            <v>1</v>
          </cell>
          <cell r="AA31">
            <v>1</v>
          </cell>
          <cell r="AB31">
            <v>0.33333333333333331</v>
          </cell>
          <cell r="AC31">
            <v>29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17</v>
          </cell>
          <cell r="AL31">
            <v>16</v>
          </cell>
          <cell r="AM31">
            <v>30</v>
          </cell>
          <cell r="AN31">
            <v>22</v>
          </cell>
          <cell r="AO31">
            <v>109</v>
          </cell>
          <cell r="AP31">
            <v>69</v>
          </cell>
          <cell r="AS31">
            <v>2000</v>
          </cell>
          <cell r="AT31">
            <v>25</v>
          </cell>
          <cell r="AU31">
            <v>23</v>
          </cell>
          <cell r="AV31">
            <v>109</v>
          </cell>
          <cell r="AW31">
            <v>0.25</v>
          </cell>
          <cell r="AX31">
            <v>1744</v>
          </cell>
          <cell r="AY31">
            <v>436</v>
          </cell>
          <cell r="AZ31">
            <v>36.880000000000003</v>
          </cell>
          <cell r="BA31">
            <v>23</v>
          </cell>
          <cell r="BB31">
            <v>622.04266666666672</v>
          </cell>
          <cell r="BC31">
            <v>36.880000000000003</v>
          </cell>
          <cell r="BD31">
            <v>23</v>
          </cell>
          <cell r="BE31">
            <v>622.04266666666672</v>
          </cell>
          <cell r="BF31">
            <v>36.880000000000003</v>
          </cell>
          <cell r="BG31">
            <v>23</v>
          </cell>
          <cell r="BH31">
            <v>622.04266666666672</v>
          </cell>
          <cell r="BI31">
            <v>0</v>
          </cell>
          <cell r="BJ31">
            <v>0</v>
          </cell>
          <cell r="BK31">
            <v>1866.1280000000002</v>
          </cell>
          <cell r="BL31">
            <v>2855.3</v>
          </cell>
          <cell r="BM31">
            <v>2855.3</v>
          </cell>
          <cell r="BN31">
            <v>0</v>
          </cell>
          <cell r="BO31">
            <v>0</v>
          </cell>
          <cell r="BP31">
            <v>70.932966666666672</v>
          </cell>
          <cell r="BQ31">
            <v>70.932966666666672</v>
          </cell>
          <cell r="BR31">
            <v>8</v>
          </cell>
          <cell r="BS31">
            <v>8</v>
          </cell>
          <cell r="BT31">
            <v>11.25</v>
          </cell>
          <cell r="BU31">
            <v>27.25</v>
          </cell>
          <cell r="BY31">
            <v>5059.2450333333336</v>
          </cell>
          <cell r="CP31" t="str">
            <v>2000/10</v>
          </cell>
          <cell r="CQ31">
            <v>40441</v>
          </cell>
          <cell r="CR31">
            <v>40620</v>
          </cell>
          <cell r="CS31" t="str">
            <v>2010-0.232.250-9</v>
          </cell>
          <cell r="CT31" t="str">
            <v>ANTONIO BATISTA DE OLIVEIRA</v>
          </cell>
          <cell r="CU31" t="str">
            <v>016.101.338-46</v>
          </cell>
          <cell r="CV31">
            <v>104857</v>
          </cell>
          <cell r="CW31">
            <v>6097.5419999999995</v>
          </cell>
          <cell r="CX31">
            <v>164.633634</v>
          </cell>
          <cell r="CY31">
            <v>30.48771</v>
          </cell>
          <cell r="CZ31">
            <v>3658.5251999999996</v>
          </cell>
          <cell r="DA31">
            <v>317.54816999999991</v>
          </cell>
          <cell r="DD31">
            <v>317.54816999999991</v>
          </cell>
        </row>
        <row r="32">
          <cell r="C32" t="str">
            <v>2049/10</v>
          </cell>
          <cell r="D32" t="str">
            <v>01/01 A 31/01/11</v>
          </cell>
          <cell r="E32" t="str">
            <v>ANTONIO MARIA DE SOUZA</v>
          </cell>
          <cell r="F32" t="str">
            <v>EMEI</v>
          </cell>
          <cell r="G32">
            <v>14</v>
          </cell>
          <cell r="H32">
            <v>14</v>
          </cell>
          <cell r="I32">
            <v>14</v>
          </cell>
          <cell r="J32">
            <v>90620</v>
          </cell>
          <cell r="K32">
            <v>35</v>
          </cell>
          <cell r="L32">
            <v>27</v>
          </cell>
          <cell r="M32">
            <v>0</v>
          </cell>
          <cell r="N32">
            <v>90620</v>
          </cell>
          <cell r="O32">
            <v>50</v>
          </cell>
          <cell r="P32">
            <v>27</v>
          </cell>
          <cell r="Q32">
            <v>0</v>
          </cell>
          <cell r="R32">
            <v>90620</v>
          </cell>
          <cell r="S32">
            <v>35</v>
          </cell>
          <cell r="T32">
            <v>27</v>
          </cell>
          <cell r="U32">
            <v>0</v>
          </cell>
          <cell r="W32">
            <v>1</v>
          </cell>
          <cell r="Y32">
            <v>1</v>
          </cell>
          <cell r="AA32">
            <v>1</v>
          </cell>
          <cell r="AB32">
            <v>0</v>
          </cell>
          <cell r="AD32">
            <v>2</v>
          </cell>
          <cell r="AE32">
            <v>1</v>
          </cell>
          <cell r="AF32">
            <v>2</v>
          </cell>
          <cell r="AG32">
            <v>1</v>
          </cell>
          <cell r="AH32">
            <v>2</v>
          </cell>
          <cell r="AI32">
            <v>1</v>
          </cell>
          <cell r="AJ32">
            <v>2</v>
          </cell>
          <cell r="AK32" t="str">
            <v>3 e 22</v>
          </cell>
          <cell r="AL32">
            <v>16</v>
          </cell>
          <cell r="AM32">
            <v>30</v>
          </cell>
          <cell r="AN32">
            <v>22</v>
          </cell>
          <cell r="AO32">
            <v>120</v>
          </cell>
          <cell r="AP32">
            <v>81</v>
          </cell>
          <cell r="AS32">
            <v>2007</v>
          </cell>
          <cell r="AT32">
            <v>29</v>
          </cell>
          <cell r="AU32">
            <v>27</v>
          </cell>
          <cell r="AV32">
            <v>120</v>
          </cell>
          <cell r="AW32">
            <v>0.25</v>
          </cell>
          <cell r="AX32">
            <v>1920</v>
          </cell>
          <cell r="AY32">
            <v>480</v>
          </cell>
          <cell r="AZ32">
            <v>36.880000000000003</v>
          </cell>
          <cell r="BA32">
            <v>27</v>
          </cell>
          <cell r="BB32">
            <v>730.22400000000005</v>
          </cell>
          <cell r="BC32">
            <v>36.880000000000003</v>
          </cell>
          <cell r="BD32">
            <v>27</v>
          </cell>
          <cell r="BE32">
            <v>730.22400000000005</v>
          </cell>
          <cell r="BF32">
            <v>36.880000000000003</v>
          </cell>
          <cell r="BG32">
            <v>27</v>
          </cell>
          <cell r="BH32">
            <v>730.22400000000005</v>
          </cell>
          <cell r="BI32">
            <v>0</v>
          </cell>
          <cell r="BJ32">
            <v>0</v>
          </cell>
          <cell r="BK32">
            <v>2190.672</v>
          </cell>
          <cell r="BL32">
            <v>3618.12</v>
          </cell>
          <cell r="BM32">
            <v>3618.12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17.5</v>
          </cell>
          <cell r="BS32">
            <v>25</v>
          </cell>
          <cell r="BT32">
            <v>17.5</v>
          </cell>
          <cell r="BU32">
            <v>60</v>
          </cell>
          <cell r="BY32">
            <v>6228.7919999999995</v>
          </cell>
          <cell r="CP32" t="str">
            <v>3078/10</v>
          </cell>
          <cell r="CQ32">
            <v>40498</v>
          </cell>
          <cell r="CR32">
            <v>40677</v>
          </cell>
          <cell r="CS32" t="str">
            <v>2010-0.290.081-2</v>
          </cell>
          <cell r="CT32" t="str">
            <v>ANTONIO DUTRA FAGUNDES</v>
          </cell>
          <cell r="CU32">
            <v>56514565891</v>
          </cell>
          <cell r="CV32">
            <v>122545</v>
          </cell>
          <cell r="CW32">
            <v>6039.9033333333336</v>
          </cell>
          <cell r="CX32">
            <v>163.07739000000004</v>
          </cell>
          <cell r="CY32">
            <v>30.199516666666671</v>
          </cell>
          <cell r="CZ32">
            <v>3623.942</v>
          </cell>
          <cell r="DA32">
            <v>309.76695000000007</v>
          </cell>
          <cell r="DD32">
            <v>309.76695000000007</v>
          </cell>
        </row>
        <row r="33">
          <cell r="C33" t="str">
            <v>1905/10</v>
          </cell>
          <cell r="D33" t="str">
            <v>01/01 A 31/01/11</v>
          </cell>
          <cell r="E33" t="str">
            <v>ANTONIO RIBEIRO MONTEIRO</v>
          </cell>
          <cell r="F33" t="str">
            <v>EMEI</v>
          </cell>
          <cell r="G33">
            <v>15</v>
          </cell>
          <cell r="H33">
            <v>15</v>
          </cell>
          <cell r="I33">
            <v>15</v>
          </cell>
          <cell r="J33">
            <v>531</v>
          </cell>
          <cell r="K33">
            <v>34</v>
          </cell>
          <cell r="L33">
            <v>26</v>
          </cell>
          <cell r="M33">
            <v>0</v>
          </cell>
          <cell r="N33">
            <v>531</v>
          </cell>
          <cell r="O33">
            <v>36</v>
          </cell>
          <cell r="P33">
            <v>25</v>
          </cell>
          <cell r="Q33">
            <v>0</v>
          </cell>
          <cell r="R33">
            <v>531</v>
          </cell>
          <cell r="S33">
            <v>38</v>
          </cell>
          <cell r="T33">
            <v>25</v>
          </cell>
          <cell r="U33">
            <v>0</v>
          </cell>
          <cell r="W33">
            <v>1</v>
          </cell>
          <cell r="Y33">
            <v>1</v>
          </cell>
          <cell r="AA33">
            <v>1</v>
          </cell>
          <cell r="AB33">
            <v>0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13</v>
          </cell>
          <cell r="AL33">
            <v>16</v>
          </cell>
          <cell r="AM33">
            <v>30</v>
          </cell>
          <cell r="AN33">
            <v>22</v>
          </cell>
          <cell r="AO33">
            <v>108</v>
          </cell>
          <cell r="AP33">
            <v>76</v>
          </cell>
          <cell r="AS33">
            <v>2007</v>
          </cell>
          <cell r="AT33">
            <v>28</v>
          </cell>
          <cell r="AU33">
            <v>26</v>
          </cell>
          <cell r="AV33">
            <v>108</v>
          </cell>
          <cell r="AW33">
            <v>0.25</v>
          </cell>
          <cell r="AX33">
            <v>1728</v>
          </cell>
          <cell r="AY33">
            <v>432</v>
          </cell>
          <cell r="AZ33">
            <v>36.880000000000003</v>
          </cell>
          <cell r="BA33">
            <v>26</v>
          </cell>
          <cell r="BB33">
            <v>703.1786666666668</v>
          </cell>
          <cell r="BC33">
            <v>36.880000000000003</v>
          </cell>
          <cell r="BD33">
            <v>25</v>
          </cell>
          <cell r="BE33">
            <v>676.13333333333344</v>
          </cell>
          <cell r="BF33">
            <v>36.880000000000003</v>
          </cell>
          <cell r="BG33">
            <v>25</v>
          </cell>
          <cell r="BH33">
            <v>676.13333333333344</v>
          </cell>
          <cell r="BI33">
            <v>0</v>
          </cell>
          <cell r="BJ33">
            <v>0</v>
          </cell>
          <cell r="BK33">
            <v>2055.445333333334</v>
          </cell>
          <cell r="BL33">
            <v>3618.12</v>
          </cell>
          <cell r="BM33">
            <v>3618.12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8.5</v>
          </cell>
          <cell r="BS33">
            <v>9</v>
          </cell>
          <cell r="BT33">
            <v>9.5</v>
          </cell>
          <cell r="BU33">
            <v>27</v>
          </cell>
          <cell r="BY33">
            <v>6078.5653333333339</v>
          </cell>
          <cell r="CP33" t="str">
            <v>1977/10</v>
          </cell>
          <cell r="CQ33">
            <v>40441</v>
          </cell>
          <cell r="CR33">
            <v>40620</v>
          </cell>
          <cell r="CS33" t="str">
            <v>2010-0.230.863-8</v>
          </cell>
          <cell r="CT33" t="str">
            <v>ANTONIO FRANCISCO ARAUJO DE OLIVEIRA</v>
          </cell>
          <cell r="CU33">
            <v>28109743811</v>
          </cell>
          <cell r="CV33">
            <v>104864</v>
          </cell>
          <cell r="CW33">
            <v>6374.7013333333334</v>
          </cell>
          <cell r="CX33">
            <v>172.11693600000001</v>
          </cell>
          <cell r="CY33">
            <v>31.873506666666671</v>
          </cell>
          <cell r="CZ33">
            <v>3824.8208</v>
          </cell>
          <cell r="DA33">
            <v>359.04572000000007</v>
          </cell>
          <cell r="DD33">
            <v>359.04572000000007</v>
          </cell>
        </row>
        <row r="34">
          <cell r="C34" t="str">
            <v>2517/10</v>
          </cell>
          <cell r="D34" t="str">
            <v>01/01 A 31/01/11</v>
          </cell>
          <cell r="E34" t="str">
            <v>ANTONIO ZEFERINO NETO</v>
          </cell>
          <cell r="F34" t="str">
            <v>EMEF</v>
          </cell>
          <cell r="G34">
            <v>13</v>
          </cell>
          <cell r="H34">
            <v>13</v>
          </cell>
          <cell r="I34">
            <v>16</v>
          </cell>
          <cell r="J34">
            <v>19243</v>
          </cell>
          <cell r="K34">
            <v>47</v>
          </cell>
          <cell r="L34">
            <v>27</v>
          </cell>
          <cell r="M34">
            <v>0</v>
          </cell>
          <cell r="N34">
            <v>19243</v>
          </cell>
          <cell r="O34">
            <v>49</v>
          </cell>
          <cell r="P34">
            <v>27</v>
          </cell>
          <cell r="Q34">
            <v>0</v>
          </cell>
          <cell r="R34">
            <v>0</v>
          </cell>
          <cell r="U34">
            <v>0</v>
          </cell>
          <cell r="W34">
            <v>1</v>
          </cell>
          <cell r="Y34">
            <v>1</v>
          </cell>
          <cell r="AA34">
            <v>0</v>
          </cell>
          <cell r="AB34">
            <v>0</v>
          </cell>
          <cell r="AD34">
            <v>3</v>
          </cell>
          <cell r="AE34">
            <v>1</v>
          </cell>
          <cell r="AF34">
            <v>3</v>
          </cell>
          <cell r="AG34">
            <v>1</v>
          </cell>
          <cell r="AI34">
            <v>0</v>
          </cell>
          <cell r="AJ34">
            <v>3</v>
          </cell>
          <cell r="AK34" t="str">
            <v>10, 15 e 16</v>
          </cell>
          <cell r="AL34">
            <v>16</v>
          </cell>
          <cell r="AM34">
            <v>30</v>
          </cell>
          <cell r="AN34">
            <v>22</v>
          </cell>
          <cell r="AO34">
            <v>96</v>
          </cell>
          <cell r="AP34">
            <v>54</v>
          </cell>
          <cell r="AS34">
            <v>2007</v>
          </cell>
          <cell r="AT34">
            <v>29</v>
          </cell>
          <cell r="AU34">
            <v>27</v>
          </cell>
          <cell r="AV34">
            <v>96</v>
          </cell>
          <cell r="AW34">
            <v>0.25</v>
          </cell>
          <cell r="AX34">
            <v>1536</v>
          </cell>
          <cell r="AY34">
            <v>384</v>
          </cell>
          <cell r="AZ34">
            <v>36.880000000000003</v>
          </cell>
          <cell r="BA34">
            <v>27</v>
          </cell>
          <cell r="BB34">
            <v>730.22400000000005</v>
          </cell>
          <cell r="BC34">
            <v>36.880000000000003</v>
          </cell>
          <cell r="BD34">
            <v>27</v>
          </cell>
          <cell r="BE34">
            <v>730.22400000000005</v>
          </cell>
          <cell r="BF34">
            <v>36.880000000000003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1460.4480000000001</v>
          </cell>
          <cell r="BL34">
            <v>3618.12</v>
          </cell>
          <cell r="BM34">
            <v>3618.12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35.25</v>
          </cell>
          <cell r="BS34">
            <v>36.75</v>
          </cell>
          <cell r="BT34">
            <v>0</v>
          </cell>
          <cell r="BU34">
            <v>72</v>
          </cell>
          <cell r="BY34">
            <v>5390.5680000000002</v>
          </cell>
          <cell r="CP34" t="str">
            <v>2679/10</v>
          </cell>
          <cell r="CQ34">
            <v>40462</v>
          </cell>
          <cell r="CR34">
            <v>40641</v>
          </cell>
          <cell r="CS34" t="str">
            <v>2010-0.274.661-9</v>
          </cell>
          <cell r="CT34" t="str">
            <v>ANTONIO JESUS DE OLIVEIRA</v>
          </cell>
          <cell r="CU34">
            <v>25000980875</v>
          </cell>
          <cell r="CV34">
            <v>114087</v>
          </cell>
          <cell r="CW34">
            <v>5059.2450333333336</v>
          </cell>
          <cell r="CX34">
            <v>136.59961590000003</v>
          </cell>
          <cell r="CY34">
            <v>25.296225166666673</v>
          </cell>
          <cell r="CZ34">
            <v>3035.54702</v>
          </cell>
          <cell r="DA34">
            <v>177.37807950000001</v>
          </cell>
          <cell r="DD34">
            <v>177.37807950000001</v>
          </cell>
        </row>
        <row r="35">
          <cell r="C35" t="str">
            <v>2499/10</v>
          </cell>
          <cell r="D35" t="str">
            <v>01/01 A 31/01/11</v>
          </cell>
          <cell r="E35" t="str">
            <v>APARECIDA DE LOURDES DOS SANTOS</v>
          </cell>
          <cell r="F35" t="str">
            <v>EMEI</v>
          </cell>
          <cell r="G35">
            <v>14</v>
          </cell>
          <cell r="H35">
            <v>14</v>
          </cell>
          <cell r="I35">
            <v>14</v>
          </cell>
          <cell r="J35">
            <v>19451</v>
          </cell>
          <cell r="K35">
            <v>49</v>
          </cell>
          <cell r="L35">
            <v>17</v>
          </cell>
          <cell r="M35">
            <v>0</v>
          </cell>
          <cell r="N35">
            <v>19451</v>
          </cell>
          <cell r="O35">
            <v>16</v>
          </cell>
          <cell r="P35">
            <v>11</v>
          </cell>
          <cell r="Q35">
            <v>0</v>
          </cell>
          <cell r="R35">
            <v>19451</v>
          </cell>
          <cell r="S35">
            <v>44</v>
          </cell>
          <cell r="T35">
            <v>17</v>
          </cell>
          <cell r="U35">
            <v>0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29</v>
          </cell>
          <cell r="AD35">
            <v>1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6</v>
          </cell>
          <cell r="AL35">
            <v>16</v>
          </cell>
          <cell r="AM35">
            <v>30</v>
          </cell>
          <cell r="AN35">
            <v>22</v>
          </cell>
          <cell r="AO35">
            <v>109</v>
          </cell>
          <cell r="AP35">
            <v>45</v>
          </cell>
          <cell r="AS35">
            <v>2009</v>
          </cell>
          <cell r="AT35">
            <v>19</v>
          </cell>
          <cell r="AU35">
            <v>17</v>
          </cell>
          <cell r="AV35">
            <v>109</v>
          </cell>
          <cell r="AW35">
            <v>0.25</v>
          </cell>
          <cell r="AX35">
            <v>1744</v>
          </cell>
          <cell r="AY35">
            <v>436</v>
          </cell>
          <cell r="AZ35">
            <v>36.880000000000003</v>
          </cell>
          <cell r="BA35">
            <v>17</v>
          </cell>
          <cell r="BB35">
            <v>459.77066666666667</v>
          </cell>
          <cell r="BC35">
            <v>36.880000000000003</v>
          </cell>
          <cell r="BD35">
            <v>11</v>
          </cell>
          <cell r="BE35">
            <v>297.49866666666668</v>
          </cell>
          <cell r="BF35">
            <v>36.880000000000003</v>
          </cell>
          <cell r="BG35">
            <v>17</v>
          </cell>
          <cell r="BH35">
            <v>459.77066666666667</v>
          </cell>
          <cell r="BI35">
            <v>0</v>
          </cell>
          <cell r="BJ35">
            <v>0</v>
          </cell>
          <cell r="BK35">
            <v>1217.04</v>
          </cell>
          <cell r="BL35">
            <v>2650.9</v>
          </cell>
          <cell r="BM35">
            <v>2650.9</v>
          </cell>
          <cell r="BN35">
            <v>62.308566666666664</v>
          </cell>
          <cell r="BO35">
            <v>46.682566666666666</v>
          </cell>
          <cell r="BP35">
            <v>61.058566666666664</v>
          </cell>
          <cell r="BQ35">
            <v>170.04969999999997</v>
          </cell>
          <cell r="BR35">
            <v>12.25</v>
          </cell>
          <cell r="BS35">
            <v>4</v>
          </cell>
          <cell r="BT35">
            <v>11</v>
          </cell>
          <cell r="BU35">
            <v>27.25</v>
          </cell>
          <cell r="BY35">
            <v>4106.6403000000009</v>
          </cell>
          <cell r="CP35" t="str">
            <v>2049/10</v>
          </cell>
          <cell r="CQ35">
            <v>40441</v>
          </cell>
          <cell r="CR35">
            <v>40620</v>
          </cell>
          <cell r="CS35" t="str">
            <v>2010-0.235.454-0</v>
          </cell>
          <cell r="CT35" t="str">
            <v>ANTONIO MARIA DE SOUZA</v>
          </cell>
          <cell r="CU35">
            <v>13775472304</v>
          </cell>
          <cell r="CV35">
            <v>104868</v>
          </cell>
          <cell r="CW35">
            <v>6228.7919999999995</v>
          </cell>
          <cell r="CX35">
            <v>168.17738399999999</v>
          </cell>
          <cell r="CY35">
            <v>31.14396</v>
          </cell>
          <cell r="CZ35">
            <v>3737.2751999999996</v>
          </cell>
          <cell r="DA35">
            <v>335.26691999999991</v>
          </cell>
          <cell r="DD35">
            <v>335.26691999999991</v>
          </cell>
        </row>
        <row r="36">
          <cell r="C36" t="str">
            <v>2430/10</v>
          </cell>
          <cell r="D36" t="str">
            <v>01/01 A 31/01/11</v>
          </cell>
          <cell r="E36" t="str">
            <v>APARECIDO EUGENIO DA SILVA</v>
          </cell>
          <cell r="F36" t="str">
            <v>EMEF</v>
          </cell>
          <cell r="G36">
            <v>16</v>
          </cell>
          <cell r="H36">
            <v>16</v>
          </cell>
          <cell r="I36">
            <v>16</v>
          </cell>
          <cell r="J36">
            <v>93424</v>
          </cell>
          <cell r="K36">
            <v>54</v>
          </cell>
          <cell r="L36">
            <v>23</v>
          </cell>
          <cell r="M36">
            <v>0</v>
          </cell>
          <cell r="N36">
            <v>93424</v>
          </cell>
          <cell r="O36">
            <v>44</v>
          </cell>
          <cell r="P36">
            <v>23</v>
          </cell>
          <cell r="Q36">
            <v>0</v>
          </cell>
          <cell r="R36">
            <v>0</v>
          </cell>
          <cell r="U36">
            <v>0</v>
          </cell>
          <cell r="W36">
            <v>1</v>
          </cell>
          <cell r="Y36">
            <v>1</v>
          </cell>
          <cell r="AA36">
            <v>0</v>
          </cell>
          <cell r="AB36">
            <v>0</v>
          </cell>
          <cell r="AE36">
            <v>1</v>
          </cell>
          <cell r="AG36">
            <v>1</v>
          </cell>
          <cell r="AI36">
            <v>0</v>
          </cell>
          <cell r="AJ36">
            <v>0</v>
          </cell>
          <cell r="AL36">
            <v>16</v>
          </cell>
          <cell r="AM36">
            <v>30</v>
          </cell>
          <cell r="AN36">
            <v>22</v>
          </cell>
          <cell r="AO36">
            <v>98</v>
          </cell>
          <cell r="AP36">
            <v>46</v>
          </cell>
          <cell r="AS36">
            <v>2003</v>
          </cell>
          <cell r="AT36">
            <v>25</v>
          </cell>
          <cell r="AU36">
            <v>23</v>
          </cell>
          <cell r="AV36">
            <v>98</v>
          </cell>
          <cell r="AW36">
            <v>0.25</v>
          </cell>
          <cell r="AX36">
            <v>1568</v>
          </cell>
          <cell r="AY36">
            <v>392</v>
          </cell>
          <cell r="AZ36">
            <v>36.880000000000003</v>
          </cell>
          <cell r="BA36">
            <v>23</v>
          </cell>
          <cell r="BB36">
            <v>622.04266666666672</v>
          </cell>
          <cell r="BC36">
            <v>36.880000000000003</v>
          </cell>
          <cell r="BD36">
            <v>23</v>
          </cell>
          <cell r="BE36">
            <v>622.04266666666672</v>
          </cell>
          <cell r="BF36">
            <v>36.880000000000003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1244.0853333333334</v>
          </cell>
          <cell r="BL36">
            <v>3182.21</v>
          </cell>
          <cell r="BM36">
            <v>3182.21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Y36">
            <v>4818.2953333333335</v>
          </cell>
          <cell r="CP36" t="str">
            <v>1905/10</v>
          </cell>
          <cell r="CQ36">
            <v>40441</v>
          </cell>
          <cell r="CR36">
            <v>40620</v>
          </cell>
          <cell r="CS36" t="str">
            <v>2010-0.230.648-1</v>
          </cell>
          <cell r="CT36" t="str">
            <v>ANTONIO RIBEIRO MONTEIRO</v>
          </cell>
          <cell r="CU36">
            <v>91572959800</v>
          </cell>
          <cell r="CV36">
            <v>104875</v>
          </cell>
          <cell r="CW36">
            <v>6078.5653333333339</v>
          </cell>
          <cell r="CX36">
            <v>164.12126400000005</v>
          </cell>
          <cell r="CY36">
            <v>30.392826666666675</v>
          </cell>
          <cell r="CZ36">
            <v>3647.1392000000001</v>
          </cell>
          <cell r="DA36">
            <v>314.98631999999998</v>
          </cell>
          <cell r="DD36">
            <v>314.98631999999998</v>
          </cell>
        </row>
        <row r="37">
          <cell r="C37" t="str">
            <v>2307/10</v>
          </cell>
          <cell r="D37" t="str">
            <v>01/01 A 31/01/11</v>
          </cell>
          <cell r="E37" t="str">
            <v>AVERI NERI TOLENTINO</v>
          </cell>
          <cell r="F37" t="str">
            <v>EMEF</v>
          </cell>
          <cell r="G37">
            <v>14</v>
          </cell>
          <cell r="H37">
            <v>14</v>
          </cell>
          <cell r="I37">
            <v>14</v>
          </cell>
          <cell r="J37">
            <v>93394</v>
          </cell>
          <cell r="K37">
            <v>30</v>
          </cell>
          <cell r="L37">
            <v>23</v>
          </cell>
          <cell r="M37">
            <v>0</v>
          </cell>
          <cell r="N37">
            <v>93394</v>
          </cell>
          <cell r="O37">
            <v>35</v>
          </cell>
          <cell r="P37">
            <v>23</v>
          </cell>
          <cell r="Q37">
            <v>0</v>
          </cell>
          <cell r="R37">
            <v>93394</v>
          </cell>
          <cell r="S37">
            <v>33</v>
          </cell>
          <cell r="T37">
            <v>23</v>
          </cell>
          <cell r="U37">
            <v>0</v>
          </cell>
          <cell r="W37">
            <v>1</v>
          </cell>
          <cell r="Y37">
            <v>1</v>
          </cell>
          <cell r="AA37">
            <v>1</v>
          </cell>
          <cell r="AB37">
            <v>0</v>
          </cell>
          <cell r="AD37">
            <v>2</v>
          </cell>
          <cell r="AE37">
            <v>1</v>
          </cell>
          <cell r="AF37">
            <v>2</v>
          </cell>
          <cell r="AG37">
            <v>1</v>
          </cell>
          <cell r="AH37">
            <v>2</v>
          </cell>
          <cell r="AI37">
            <v>1</v>
          </cell>
          <cell r="AJ37">
            <v>2</v>
          </cell>
          <cell r="AK37" t="str">
            <v>21 e 22</v>
          </cell>
          <cell r="AL37">
            <v>16</v>
          </cell>
          <cell r="AM37">
            <v>30</v>
          </cell>
          <cell r="AN37">
            <v>22</v>
          </cell>
          <cell r="AO37">
            <v>98</v>
          </cell>
          <cell r="AP37">
            <v>69</v>
          </cell>
          <cell r="AS37">
            <v>2006</v>
          </cell>
          <cell r="AT37">
            <v>25</v>
          </cell>
          <cell r="AU37">
            <v>23</v>
          </cell>
          <cell r="AV37">
            <v>98</v>
          </cell>
          <cell r="AW37">
            <v>0.25</v>
          </cell>
          <cell r="AX37">
            <v>1568</v>
          </cell>
          <cell r="AY37">
            <v>392</v>
          </cell>
          <cell r="AZ37">
            <v>36.880000000000003</v>
          </cell>
          <cell r="BA37">
            <v>23</v>
          </cell>
          <cell r="BB37">
            <v>622.04266666666672</v>
          </cell>
          <cell r="BC37">
            <v>36.880000000000003</v>
          </cell>
          <cell r="BD37">
            <v>23</v>
          </cell>
          <cell r="BE37">
            <v>622.04266666666672</v>
          </cell>
          <cell r="BF37">
            <v>36.880000000000003</v>
          </cell>
          <cell r="BG37">
            <v>23</v>
          </cell>
          <cell r="BH37">
            <v>622.04266666666672</v>
          </cell>
          <cell r="BI37">
            <v>0</v>
          </cell>
          <cell r="BJ37">
            <v>0</v>
          </cell>
          <cell r="BK37">
            <v>1866.1280000000002</v>
          </cell>
          <cell r="BL37">
            <v>3509.14</v>
          </cell>
          <cell r="BM37">
            <v>3509.14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15</v>
          </cell>
          <cell r="BS37">
            <v>17.5</v>
          </cell>
          <cell r="BT37">
            <v>16.5</v>
          </cell>
          <cell r="BU37">
            <v>49</v>
          </cell>
          <cell r="BY37">
            <v>5718.268</v>
          </cell>
          <cell r="CP37" t="str">
            <v>2517/10</v>
          </cell>
          <cell r="CQ37">
            <v>40455</v>
          </cell>
          <cell r="CR37">
            <v>40634</v>
          </cell>
          <cell r="CS37" t="str">
            <v>2010-0.268.552-0</v>
          </cell>
          <cell r="CT37" t="str">
            <v>ANTONIO ZEFERINO NETO</v>
          </cell>
          <cell r="CU37">
            <v>23740159553</v>
          </cell>
          <cell r="CV37">
            <v>111510</v>
          </cell>
          <cell r="CW37">
            <v>5390.5680000000002</v>
          </cell>
          <cell r="CX37">
            <v>145.54533600000002</v>
          </cell>
          <cell r="CY37">
            <v>26.952840000000005</v>
          </cell>
          <cell r="CZ37">
            <v>3234.3407999999999</v>
          </cell>
          <cell r="DA37">
            <v>222.10667999999998</v>
          </cell>
          <cell r="DD37">
            <v>222.10667999999998</v>
          </cell>
        </row>
        <row r="38">
          <cell r="C38" t="str">
            <v>2654/10</v>
          </cell>
          <cell r="D38" t="str">
            <v>01/01 A 31/01/11</v>
          </cell>
          <cell r="E38" t="str">
            <v>AYRTON APARECIDO LUZ RODRIGUES</v>
          </cell>
          <cell r="F38" t="str">
            <v>EMEF</v>
          </cell>
          <cell r="G38">
            <v>16</v>
          </cell>
          <cell r="H38">
            <v>16</v>
          </cell>
          <cell r="I38">
            <v>16</v>
          </cell>
          <cell r="J38">
            <v>12688</v>
          </cell>
          <cell r="K38">
            <v>34</v>
          </cell>
          <cell r="L38">
            <v>27</v>
          </cell>
          <cell r="M38">
            <v>0</v>
          </cell>
          <cell r="N38">
            <v>12688</v>
          </cell>
          <cell r="O38">
            <v>30</v>
          </cell>
          <cell r="P38">
            <v>27</v>
          </cell>
          <cell r="Q38">
            <v>0</v>
          </cell>
          <cell r="R38">
            <v>12688</v>
          </cell>
          <cell r="S38">
            <v>32</v>
          </cell>
          <cell r="T38">
            <v>27</v>
          </cell>
          <cell r="U38">
            <v>0</v>
          </cell>
          <cell r="W38">
            <v>1</v>
          </cell>
          <cell r="Y38">
            <v>1</v>
          </cell>
          <cell r="AA38">
            <v>1</v>
          </cell>
          <cell r="AB38">
            <v>0</v>
          </cell>
          <cell r="AE38">
            <v>1</v>
          </cell>
          <cell r="AG38">
            <v>1</v>
          </cell>
          <cell r="AI38">
            <v>1</v>
          </cell>
          <cell r="AJ38">
            <v>0</v>
          </cell>
          <cell r="AL38">
            <v>16</v>
          </cell>
          <cell r="AM38">
            <v>30</v>
          </cell>
          <cell r="AN38">
            <v>22</v>
          </cell>
          <cell r="AO38">
            <v>96</v>
          </cell>
          <cell r="AP38">
            <v>81</v>
          </cell>
          <cell r="AS38">
            <v>2007</v>
          </cell>
          <cell r="AT38">
            <v>29</v>
          </cell>
          <cell r="AU38">
            <v>27</v>
          </cell>
          <cell r="AV38">
            <v>96</v>
          </cell>
          <cell r="AW38">
            <v>0.25</v>
          </cell>
          <cell r="AX38">
            <v>1536</v>
          </cell>
          <cell r="AY38">
            <v>384</v>
          </cell>
          <cell r="AZ38">
            <v>36.880000000000003</v>
          </cell>
          <cell r="BA38">
            <v>27</v>
          </cell>
          <cell r="BB38">
            <v>730.22400000000005</v>
          </cell>
          <cell r="BC38">
            <v>36.880000000000003</v>
          </cell>
          <cell r="BD38">
            <v>27</v>
          </cell>
          <cell r="BE38">
            <v>730.22400000000005</v>
          </cell>
          <cell r="BF38">
            <v>36.880000000000003</v>
          </cell>
          <cell r="BG38">
            <v>27</v>
          </cell>
          <cell r="BH38">
            <v>730.22400000000005</v>
          </cell>
          <cell r="BI38">
            <v>0</v>
          </cell>
          <cell r="BJ38">
            <v>0</v>
          </cell>
          <cell r="BK38">
            <v>2190.672</v>
          </cell>
          <cell r="BL38">
            <v>3618.12</v>
          </cell>
          <cell r="BM38">
            <v>3618.12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Y38">
            <v>6192.7919999999995</v>
          </cell>
          <cell r="CP38" t="str">
            <v>2499/10</v>
          </cell>
          <cell r="CQ38">
            <v>40455</v>
          </cell>
          <cell r="CR38">
            <v>40634</v>
          </cell>
          <cell r="CS38" t="str">
            <v>2010-0.267.410-3</v>
          </cell>
          <cell r="CT38" t="str">
            <v>APARECIDA DE LOURDES DOS SANTOS</v>
          </cell>
          <cell r="CU38">
            <v>67635245872</v>
          </cell>
          <cell r="CV38">
            <v>111511</v>
          </cell>
          <cell r="CW38">
            <v>4106.6403000000009</v>
          </cell>
          <cell r="CX38">
            <v>110.87928810000004</v>
          </cell>
          <cell r="CY38">
            <v>20.533201500000008</v>
          </cell>
          <cell r="CZ38">
            <v>2463.9841800000004</v>
          </cell>
          <cell r="DA38">
            <v>88.657627000000048</v>
          </cell>
          <cell r="DD38">
            <v>88.657627000000048</v>
          </cell>
        </row>
        <row r="39">
          <cell r="C39" t="str">
            <v>2304/10</v>
          </cell>
          <cell r="D39" t="str">
            <v>01/01 A 31/01/11</v>
          </cell>
          <cell r="E39" t="str">
            <v xml:space="preserve">BENEDITO CALDAS DOS SANTOS </v>
          </cell>
          <cell r="F39" t="str">
            <v>EMEF</v>
          </cell>
          <cell r="G39">
            <v>15</v>
          </cell>
          <cell r="H39">
            <v>15</v>
          </cell>
          <cell r="I39">
            <v>16</v>
          </cell>
          <cell r="J39">
            <v>93360</v>
          </cell>
          <cell r="K39">
            <v>20</v>
          </cell>
          <cell r="L39">
            <v>24</v>
          </cell>
          <cell r="M39">
            <v>0</v>
          </cell>
          <cell r="N39">
            <v>93360</v>
          </cell>
          <cell r="O39">
            <v>12</v>
          </cell>
          <cell r="P39">
            <v>19</v>
          </cell>
          <cell r="Q39">
            <v>0</v>
          </cell>
          <cell r="R39">
            <v>0</v>
          </cell>
          <cell r="U39">
            <v>0</v>
          </cell>
          <cell r="W39">
            <v>1</v>
          </cell>
          <cell r="Y39">
            <v>1</v>
          </cell>
          <cell r="AA39">
            <v>0</v>
          </cell>
          <cell r="AB39">
            <v>0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I39">
            <v>0</v>
          </cell>
          <cell r="AJ39">
            <v>1</v>
          </cell>
          <cell r="AK39">
            <v>6</v>
          </cell>
          <cell r="AL39">
            <v>16</v>
          </cell>
          <cell r="AM39">
            <v>30</v>
          </cell>
          <cell r="AN39">
            <v>22</v>
          </cell>
          <cell r="AO39">
            <v>32</v>
          </cell>
          <cell r="AP39">
            <v>43</v>
          </cell>
          <cell r="AS39">
            <v>2008</v>
          </cell>
          <cell r="AT39">
            <v>28</v>
          </cell>
          <cell r="AU39">
            <v>26</v>
          </cell>
          <cell r="AV39">
            <v>32</v>
          </cell>
          <cell r="AW39">
            <v>0.25</v>
          </cell>
          <cell r="AX39">
            <v>512</v>
          </cell>
          <cell r="AY39">
            <v>128</v>
          </cell>
          <cell r="AZ39">
            <v>36.880000000000003</v>
          </cell>
          <cell r="BA39">
            <v>24</v>
          </cell>
          <cell r="BB39">
            <v>649.08800000000008</v>
          </cell>
          <cell r="BC39">
            <v>36.880000000000003</v>
          </cell>
          <cell r="BD39">
            <v>19</v>
          </cell>
          <cell r="BE39">
            <v>513.86133333333328</v>
          </cell>
          <cell r="BF39">
            <v>36.880000000000003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1162.9493333333335</v>
          </cell>
          <cell r="BL39">
            <v>3727.1</v>
          </cell>
          <cell r="BM39">
            <v>3727.1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5</v>
          </cell>
          <cell r="BS39">
            <v>3</v>
          </cell>
          <cell r="BT39">
            <v>0</v>
          </cell>
          <cell r="BU39">
            <v>8</v>
          </cell>
          <cell r="BY39">
            <v>5010.0493333333334</v>
          </cell>
          <cell r="CP39" t="str">
            <v>2430/10</v>
          </cell>
          <cell r="CQ39">
            <v>40455</v>
          </cell>
          <cell r="CR39">
            <v>40634</v>
          </cell>
          <cell r="CS39" t="str">
            <v>2010-0.267.132-5</v>
          </cell>
          <cell r="CT39" t="str">
            <v>APARECIDO EUGENIO DA SILVA</v>
          </cell>
          <cell r="CU39" t="str">
            <v>035.131.938-74</v>
          </cell>
          <cell r="CV39">
            <v>111512</v>
          </cell>
          <cell r="CW39">
            <v>4818.2953333333335</v>
          </cell>
          <cell r="CX39">
            <v>130.093974</v>
          </cell>
          <cell r="CY39">
            <v>24.091476666666669</v>
          </cell>
          <cell r="CZ39">
            <v>2890.9771999999998</v>
          </cell>
          <cell r="DA39">
            <v>152.70657999999997</v>
          </cell>
          <cell r="DD39">
            <v>152.70657999999997</v>
          </cell>
        </row>
        <row r="40">
          <cell r="C40" t="str">
            <v>3000/10</v>
          </cell>
          <cell r="D40" t="str">
            <v>01/01 A 31/01/11</v>
          </cell>
          <cell r="E40" t="str">
            <v>BENEDITO ROMÃO PARIS FILHO</v>
          </cell>
          <cell r="F40" t="str">
            <v>EMEI</v>
          </cell>
          <cell r="G40">
            <v>16</v>
          </cell>
          <cell r="H40">
            <v>16</v>
          </cell>
          <cell r="I40">
            <v>16</v>
          </cell>
          <cell r="J40">
            <v>19448</v>
          </cell>
          <cell r="K40">
            <v>60</v>
          </cell>
          <cell r="L40">
            <v>25</v>
          </cell>
          <cell r="M40">
            <v>0</v>
          </cell>
          <cell r="N40">
            <v>19448</v>
          </cell>
          <cell r="O40">
            <v>69</v>
          </cell>
          <cell r="P40">
            <v>30</v>
          </cell>
          <cell r="Q40">
            <v>0</v>
          </cell>
          <cell r="R40">
            <v>19448</v>
          </cell>
          <cell r="S40">
            <v>39</v>
          </cell>
          <cell r="T40">
            <v>31</v>
          </cell>
          <cell r="U40">
            <v>0</v>
          </cell>
          <cell r="W40">
            <v>1</v>
          </cell>
          <cell r="Y40">
            <v>1</v>
          </cell>
          <cell r="AA40">
            <v>1</v>
          </cell>
          <cell r="AB40">
            <v>0</v>
          </cell>
          <cell r="AE40">
            <v>1</v>
          </cell>
          <cell r="AG40">
            <v>1</v>
          </cell>
          <cell r="AI40">
            <v>1</v>
          </cell>
          <cell r="AJ40">
            <v>0</v>
          </cell>
          <cell r="AL40">
            <v>16</v>
          </cell>
          <cell r="AM40">
            <v>30</v>
          </cell>
          <cell r="AN40">
            <v>22</v>
          </cell>
          <cell r="AO40">
            <v>168</v>
          </cell>
          <cell r="AP40">
            <v>86</v>
          </cell>
          <cell r="AS40">
            <v>2008</v>
          </cell>
          <cell r="AT40">
            <v>28</v>
          </cell>
          <cell r="AU40">
            <v>26</v>
          </cell>
          <cell r="AV40">
            <v>168</v>
          </cell>
          <cell r="AW40">
            <v>0.65</v>
          </cell>
          <cell r="AX40">
            <v>2688</v>
          </cell>
          <cell r="AY40">
            <v>1747.2</v>
          </cell>
          <cell r="AZ40">
            <v>48.26</v>
          </cell>
          <cell r="BA40">
            <v>25</v>
          </cell>
          <cell r="BB40">
            <v>884.76666666666665</v>
          </cell>
          <cell r="BC40">
            <v>48.26</v>
          </cell>
          <cell r="BD40">
            <v>30</v>
          </cell>
          <cell r="BE40">
            <v>1061.72</v>
          </cell>
          <cell r="BF40">
            <v>48.26</v>
          </cell>
          <cell r="BG40">
            <v>31</v>
          </cell>
          <cell r="BH40">
            <v>1097.1106666666665</v>
          </cell>
          <cell r="BI40">
            <v>0</v>
          </cell>
          <cell r="BJ40">
            <v>0</v>
          </cell>
          <cell r="BK40">
            <v>3043.5973333333332</v>
          </cell>
          <cell r="BL40">
            <v>2679</v>
          </cell>
          <cell r="BM40">
            <v>2679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Y40">
            <v>7469.797333333333</v>
          </cell>
          <cell r="CP40" t="str">
            <v>2307/10</v>
          </cell>
          <cell r="CQ40">
            <v>40448</v>
          </cell>
          <cell r="CR40">
            <v>40627</v>
          </cell>
          <cell r="CS40" t="str">
            <v>2010-0.245.438-3</v>
          </cell>
          <cell r="CT40" t="str">
            <v>AVERI NERI TOLENTINO</v>
          </cell>
          <cell r="CU40">
            <v>87629887868</v>
          </cell>
          <cell r="CV40">
            <v>106363</v>
          </cell>
          <cell r="CW40">
            <v>5718.268</v>
          </cell>
          <cell r="CX40">
            <v>154.39323600000003</v>
          </cell>
          <cell r="CY40">
            <v>28.591340000000002</v>
          </cell>
          <cell r="CZ40">
            <v>3430.9607999999998</v>
          </cell>
          <cell r="DA40">
            <v>266.34618</v>
          </cell>
          <cell r="DD40">
            <v>266.34618</v>
          </cell>
        </row>
        <row r="41">
          <cell r="C41" t="str">
            <v>3103/10</v>
          </cell>
          <cell r="D41" t="str">
            <v>01/01 A 31/01/11</v>
          </cell>
          <cell r="E41" t="str">
            <v>CARLOS ALBERTO DE SOUZA</v>
          </cell>
          <cell r="F41" t="str">
            <v>EMEF</v>
          </cell>
          <cell r="G41">
            <v>15</v>
          </cell>
          <cell r="H41">
            <v>16</v>
          </cell>
          <cell r="I41">
            <v>16</v>
          </cell>
          <cell r="J41">
            <v>18546</v>
          </cell>
          <cell r="K41">
            <v>50</v>
          </cell>
          <cell r="L41">
            <v>27</v>
          </cell>
          <cell r="M41">
            <v>0</v>
          </cell>
          <cell r="N41">
            <v>18546</v>
          </cell>
          <cell r="O41">
            <v>44</v>
          </cell>
          <cell r="P41">
            <v>28</v>
          </cell>
          <cell r="Q41">
            <v>0</v>
          </cell>
          <cell r="R41">
            <v>18546</v>
          </cell>
          <cell r="S41">
            <v>17</v>
          </cell>
          <cell r="T41">
            <v>13</v>
          </cell>
          <cell r="U41">
            <v>0</v>
          </cell>
          <cell r="W41">
            <v>1</v>
          </cell>
          <cell r="Y41">
            <v>1</v>
          </cell>
          <cell r="AA41">
            <v>1</v>
          </cell>
          <cell r="AB41">
            <v>0</v>
          </cell>
          <cell r="AD41">
            <v>1</v>
          </cell>
          <cell r="AE41">
            <v>1</v>
          </cell>
          <cell r="AG41">
            <v>1</v>
          </cell>
          <cell r="AI41">
            <v>1</v>
          </cell>
          <cell r="AJ41">
            <v>0.33333333333333331</v>
          </cell>
          <cell r="AK41">
            <v>6</v>
          </cell>
          <cell r="AL41">
            <v>16</v>
          </cell>
          <cell r="AM41">
            <v>30</v>
          </cell>
          <cell r="AN41">
            <v>22</v>
          </cell>
          <cell r="AO41">
            <v>111</v>
          </cell>
          <cell r="AP41">
            <v>68</v>
          </cell>
          <cell r="AS41">
            <v>2008</v>
          </cell>
          <cell r="AT41">
            <v>15</v>
          </cell>
          <cell r="AU41">
            <v>13</v>
          </cell>
          <cell r="AV41">
            <v>111</v>
          </cell>
          <cell r="AW41">
            <v>0.65</v>
          </cell>
          <cell r="AX41">
            <v>1776</v>
          </cell>
          <cell r="AY41">
            <v>1154.4000000000001</v>
          </cell>
          <cell r="AZ41">
            <v>48.26</v>
          </cell>
          <cell r="BA41">
            <v>27</v>
          </cell>
          <cell r="BB41">
            <v>955.548</v>
          </cell>
          <cell r="BC41">
            <v>48.26</v>
          </cell>
          <cell r="BD41">
            <v>28</v>
          </cell>
          <cell r="BE41">
            <v>990.93866666666668</v>
          </cell>
          <cell r="BF41">
            <v>48.26</v>
          </cell>
          <cell r="BG41">
            <v>13</v>
          </cell>
          <cell r="BH41">
            <v>460.07866666666666</v>
          </cell>
          <cell r="BI41">
            <v>0</v>
          </cell>
          <cell r="BJ41">
            <v>0</v>
          </cell>
          <cell r="BK41">
            <v>2406.5653333333335</v>
          </cell>
          <cell r="BL41">
            <v>2679</v>
          </cell>
          <cell r="BM41">
            <v>2679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32.5</v>
          </cell>
          <cell r="BS41">
            <v>0</v>
          </cell>
          <cell r="BT41">
            <v>0</v>
          </cell>
          <cell r="BU41">
            <v>32.5</v>
          </cell>
          <cell r="BV41">
            <v>270.83999999999997</v>
          </cell>
          <cell r="BY41">
            <v>6478.3053333333337</v>
          </cell>
          <cell r="BZ41" t="str">
            <v>OBS: AJUSTE POSITIVO REF. À 30/11/2010 (INÍCIO DO CONTRATO).</v>
          </cell>
          <cell r="CP41" t="str">
            <v>2654/10</v>
          </cell>
          <cell r="CQ41">
            <v>40462</v>
          </cell>
          <cell r="CR41">
            <v>40641</v>
          </cell>
          <cell r="CS41" t="str">
            <v>2010-0.270.642-0</v>
          </cell>
          <cell r="CT41" t="str">
            <v>AYRTON APARECIDO LUZ RODRIGUES</v>
          </cell>
          <cell r="CU41">
            <v>11599862824</v>
          </cell>
          <cell r="CV41">
            <v>114089</v>
          </cell>
          <cell r="CW41">
            <v>6192.7919999999995</v>
          </cell>
          <cell r="CX41">
            <v>167.20538400000001</v>
          </cell>
          <cell r="CY41">
            <v>30.96396</v>
          </cell>
          <cell r="CZ41">
            <v>3715.6751999999997</v>
          </cell>
          <cell r="DA41">
            <v>330.4069199999999</v>
          </cell>
          <cell r="DD41">
            <v>330.4069199999999</v>
          </cell>
        </row>
        <row r="42">
          <cell r="C42" t="str">
            <v>1870/10</v>
          </cell>
          <cell r="D42" t="str">
            <v>01/01 A 31/01/11</v>
          </cell>
          <cell r="E42" t="str">
            <v>CARLOS ALBERTO GOMES</v>
          </cell>
          <cell r="F42" t="str">
            <v>EMEF</v>
          </cell>
          <cell r="G42">
            <v>16</v>
          </cell>
          <cell r="H42">
            <v>16</v>
          </cell>
          <cell r="I42">
            <v>16</v>
          </cell>
          <cell r="J42">
            <v>93416</v>
          </cell>
          <cell r="K42">
            <v>43</v>
          </cell>
          <cell r="L42">
            <v>17</v>
          </cell>
          <cell r="M42">
            <v>0</v>
          </cell>
          <cell r="N42">
            <v>93416</v>
          </cell>
          <cell r="O42">
            <v>27</v>
          </cell>
          <cell r="P42">
            <v>17</v>
          </cell>
          <cell r="Q42">
            <v>0</v>
          </cell>
          <cell r="R42">
            <v>0</v>
          </cell>
          <cell r="U42">
            <v>0</v>
          </cell>
          <cell r="W42">
            <v>1</v>
          </cell>
          <cell r="Y42">
            <v>1</v>
          </cell>
          <cell r="AA42">
            <v>0</v>
          </cell>
          <cell r="AB42">
            <v>0</v>
          </cell>
          <cell r="AE42">
            <v>1</v>
          </cell>
          <cell r="AG42">
            <v>1</v>
          </cell>
          <cell r="AI42">
            <v>0</v>
          </cell>
          <cell r="AJ42">
            <v>0</v>
          </cell>
          <cell r="AL42">
            <v>16</v>
          </cell>
          <cell r="AM42">
            <v>30</v>
          </cell>
          <cell r="AN42">
            <v>22</v>
          </cell>
          <cell r="AO42">
            <v>70</v>
          </cell>
          <cell r="AP42">
            <v>34</v>
          </cell>
          <cell r="AS42">
            <v>2010</v>
          </cell>
          <cell r="AT42">
            <v>19</v>
          </cell>
          <cell r="AU42">
            <v>17</v>
          </cell>
          <cell r="AV42">
            <v>70</v>
          </cell>
          <cell r="AW42">
            <v>0.25</v>
          </cell>
          <cell r="AX42">
            <v>1120</v>
          </cell>
          <cell r="AY42">
            <v>280</v>
          </cell>
          <cell r="AZ42">
            <v>36.880000000000003</v>
          </cell>
          <cell r="BA42">
            <v>17</v>
          </cell>
          <cell r="BB42">
            <v>459.77066666666667</v>
          </cell>
          <cell r="BC42">
            <v>36.880000000000003</v>
          </cell>
          <cell r="BD42">
            <v>17</v>
          </cell>
          <cell r="BE42">
            <v>459.77066666666667</v>
          </cell>
          <cell r="BF42">
            <v>36.880000000000003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919.54133333333334</v>
          </cell>
          <cell r="BL42">
            <v>2718.59</v>
          </cell>
          <cell r="BM42">
            <v>2718.59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Y42">
            <v>3918.1313333333337</v>
          </cell>
          <cell r="CP42" t="str">
            <v>2304/10</v>
          </cell>
          <cell r="CQ42">
            <v>40448</v>
          </cell>
          <cell r="CR42">
            <v>40627</v>
          </cell>
          <cell r="CS42" t="str">
            <v>2010-0.245.433-2</v>
          </cell>
          <cell r="CT42" t="str">
            <v xml:space="preserve">BENEDITO CALDAS DOS SANTOS </v>
          </cell>
          <cell r="CU42" t="str">
            <v>092.226.988-27</v>
          </cell>
          <cell r="CV42">
            <v>106352</v>
          </cell>
          <cell r="CW42">
            <v>5010.0493333333334</v>
          </cell>
          <cell r="CX42">
            <v>135.27133200000003</v>
          </cell>
          <cell r="CY42">
            <v>25.05024666666667</v>
          </cell>
          <cell r="CZ42">
            <v>3006.0295999999998</v>
          </cell>
          <cell r="DA42">
            <v>170.73666000000003</v>
          </cell>
          <cell r="DD42">
            <v>170.73666000000003</v>
          </cell>
        </row>
        <row r="43">
          <cell r="C43" t="str">
            <v>1787/10</v>
          </cell>
          <cell r="D43" t="str">
            <v>01/01 A 31/01/11</v>
          </cell>
          <cell r="E43" t="str">
            <v>CARLOS BEZERRA DA SILVA</v>
          </cell>
          <cell r="F43" t="str">
            <v>EMEI</v>
          </cell>
          <cell r="G43">
            <v>15</v>
          </cell>
          <cell r="H43">
            <v>15</v>
          </cell>
          <cell r="I43">
            <v>15</v>
          </cell>
          <cell r="J43">
            <v>19323</v>
          </cell>
          <cell r="K43">
            <v>44</v>
          </cell>
          <cell r="L43">
            <v>27</v>
          </cell>
          <cell r="M43">
            <v>0</v>
          </cell>
          <cell r="N43">
            <v>19323</v>
          </cell>
          <cell r="O43">
            <v>34</v>
          </cell>
          <cell r="P43">
            <v>27</v>
          </cell>
          <cell r="Q43">
            <v>0</v>
          </cell>
          <cell r="R43">
            <v>19323</v>
          </cell>
          <cell r="S43">
            <v>39</v>
          </cell>
          <cell r="T43">
            <v>26</v>
          </cell>
          <cell r="U43">
            <v>0</v>
          </cell>
          <cell r="W43">
            <v>1</v>
          </cell>
          <cell r="Y43">
            <v>1</v>
          </cell>
          <cell r="AA43">
            <v>1</v>
          </cell>
          <cell r="AB43">
            <v>0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17</v>
          </cell>
          <cell r="AL43">
            <v>16</v>
          </cell>
          <cell r="AM43">
            <v>30</v>
          </cell>
          <cell r="AN43">
            <v>22</v>
          </cell>
          <cell r="AO43">
            <v>117</v>
          </cell>
          <cell r="AP43">
            <v>80</v>
          </cell>
          <cell r="AS43">
            <v>2007</v>
          </cell>
          <cell r="AT43">
            <v>29</v>
          </cell>
          <cell r="AU43">
            <v>27</v>
          </cell>
          <cell r="AV43">
            <v>117</v>
          </cell>
          <cell r="AW43">
            <v>0.25</v>
          </cell>
          <cell r="AX43">
            <v>1872</v>
          </cell>
          <cell r="AY43">
            <v>468</v>
          </cell>
          <cell r="AZ43">
            <v>36.880000000000003</v>
          </cell>
          <cell r="BA43">
            <v>27</v>
          </cell>
          <cell r="BB43">
            <v>730.22400000000005</v>
          </cell>
          <cell r="BC43">
            <v>36.880000000000003</v>
          </cell>
          <cell r="BD43">
            <v>27</v>
          </cell>
          <cell r="BE43">
            <v>730.22400000000005</v>
          </cell>
          <cell r="BF43">
            <v>36.880000000000003</v>
          </cell>
          <cell r="BG43">
            <v>26</v>
          </cell>
          <cell r="BH43">
            <v>703.1786666666668</v>
          </cell>
          <cell r="BI43">
            <v>0</v>
          </cell>
          <cell r="BJ43">
            <v>0</v>
          </cell>
          <cell r="BK43">
            <v>2163.626666666667</v>
          </cell>
          <cell r="BL43">
            <v>3618.12</v>
          </cell>
          <cell r="BM43">
            <v>3618.12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11</v>
          </cell>
          <cell r="BS43">
            <v>8.5</v>
          </cell>
          <cell r="BT43">
            <v>9.75</v>
          </cell>
          <cell r="BU43">
            <v>29.25</v>
          </cell>
          <cell r="BY43">
            <v>6220.4966666666669</v>
          </cell>
          <cell r="CP43" t="str">
            <v>3000/10</v>
          </cell>
          <cell r="CQ43">
            <v>40490</v>
          </cell>
          <cell r="CR43">
            <v>40669</v>
          </cell>
          <cell r="CS43" t="str">
            <v>2010-0.288.551-1</v>
          </cell>
          <cell r="CT43" t="str">
            <v>BENEDITO ROMÃO PARIS FILHO</v>
          </cell>
          <cell r="CU43" t="str">
            <v>069.282.158-95</v>
          </cell>
          <cell r="CV43">
            <v>122564</v>
          </cell>
          <cell r="CW43">
            <v>7469.797333333333</v>
          </cell>
          <cell r="CX43">
            <v>201.68452800000003</v>
          </cell>
          <cell r="CY43">
            <v>37.348986666666669</v>
          </cell>
          <cell r="CZ43">
            <v>4481.8783999999996</v>
          </cell>
          <cell r="DA43">
            <v>539.73656000000005</v>
          </cell>
          <cell r="DD43">
            <v>539.73656000000005</v>
          </cell>
        </row>
        <row r="44">
          <cell r="C44" t="str">
            <v>2320/10</v>
          </cell>
          <cell r="D44" t="str">
            <v>01/01 A 31/01/11</v>
          </cell>
          <cell r="E44" t="str">
            <v>CARLOS ROBERTO PIERRE</v>
          </cell>
          <cell r="F44" t="str">
            <v>EMEF</v>
          </cell>
          <cell r="G44">
            <v>16</v>
          </cell>
          <cell r="H44">
            <v>16</v>
          </cell>
          <cell r="I44">
            <v>16</v>
          </cell>
          <cell r="J44">
            <v>19313</v>
          </cell>
          <cell r="K44">
            <v>50</v>
          </cell>
          <cell r="L44">
            <v>18</v>
          </cell>
          <cell r="M44">
            <v>0</v>
          </cell>
          <cell r="N44">
            <v>19313</v>
          </cell>
          <cell r="O44">
            <v>49</v>
          </cell>
          <cell r="P44">
            <v>18</v>
          </cell>
          <cell r="Q44">
            <v>0</v>
          </cell>
          <cell r="R44">
            <v>19313</v>
          </cell>
          <cell r="S44">
            <v>52</v>
          </cell>
          <cell r="T44">
            <v>18</v>
          </cell>
          <cell r="U44">
            <v>0</v>
          </cell>
          <cell r="W44">
            <v>1</v>
          </cell>
          <cell r="Y44">
            <v>1</v>
          </cell>
          <cell r="AA44">
            <v>1</v>
          </cell>
          <cell r="AB44">
            <v>0</v>
          </cell>
          <cell r="AE44">
            <v>1</v>
          </cell>
          <cell r="AG44">
            <v>1</v>
          </cell>
          <cell r="AI44">
            <v>1</v>
          </cell>
          <cell r="AJ44">
            <v>0</v>
          </cell>
          <cell r="AL44">
            <v>16</v>
          </cell>
          <cell r="AM44">
            <v>30</v>
          </cell>
          <cell r="AN44">
            <v>22</v>
          </cell>
          <cell r="AO44">
            <v>151</v>
          </cell>
          <cell r="AP44">
            <v>54</v>
          </cell>
          <cell r="AS44">
            <v>2000</v>
          </cell>
          <cell r="AT44">
            <v>20</v>
          </cell>
          <cell r="AU44">
            <v>18</v>
          </cell>
          <cell r="AV44">
            <v>151</v>
          </cell>
          <cell r="AW44">
            <v>0.25</v>
          </cell>
          <cell r="AX44">
            <v>2416</v>
          </cell>
          <cell r="AY44">
            <v>604</v>
          </cell>
          <cell r="AZ44">
            <v>36.880000000000003</v>
          </cell>
          <cell r="BA44">
            <v>18</v>
          </cell>
          <cell r="BB44">
            <v>486.81600000000003</v>
          </cell>
          <cell r="BC44">
            <v>36.880000000000003</v>
          </cell>
          <cell r="BD44">
            <v>18</v>
          </cell>
          <cell r="BE44">
            <v>486.81600000000003</v>
          </cell>
          <cell r="BF44">
            <v>36.880000000000003</v>
          </cell>
          <cell r="BG44">
            <v>18</v>
          </cell>
          <cell r="BH44">
            <v>486.81600000000003</v>
          </cell>
          <cell r="BI44">
            <v>0</v>
          </cell>
          <cell r="BJ44">
            <v>0</v>
          </cell>
          <cell r="BK44">
            <v>1460.4480000000001</v>
          </cell>
          <cell r="BL44">
            <v>2041.67</v>
          </cell>
          <cell r="BM44">
            <v>2041.67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Y44">
            <v>4106.1180000000004</v>
          </cell>
          <cell r="CP44" t="str">
            <v>3103/10</v>
          </cell>
          <cell r="CQ44">
            <v>40512</v>
          </cell>
          <cell r="CR44">
            <v>40691</v>
          </cell>
          <cell r="CS44" t="str">
            <v>2010-0.292.654-4</v>
          </cell>
          <cell r="CT44" t="str">
            <v>CARLOS ALBERTO DE SOUZA</v>
          </cell>
          <cell r="CU44">
            <v>64897770530</v>
          </cell>
          <cell r="CV44">
            <v>126136</v>
          </cell>
          <cell r="CW44">
            <v>6478.3053333333337</v>
          </cell>
          <cell r="CX44">
            <v>174.91424400000002</v>
          </cell>
          <cell r="CY44">
            <v>32.391526666666671</v>
          </cell>
          <cell r="CZ44">
            <v>3886.9832000000001</v>
          </cell>
          <cell r="DA44">
            <v>376.14038000000005</v>
          </cell>
          <cell r="DD44">
            <v>376.14038000000005</v>
          </cell>
        </row>
        <row r="45">
          <cell r="C45" t="str">
            <v>2159/10</v>
          </cell>
          <cell r="D45" t="str">
            <v>01/01 A 31/01/11</v>
          </cell>
          <cell r="E45" t="str">
            <v>CARLOS ROBERTO RODRIGUES</v>
          </cell>
          <cell r="F45" t="str">
            <v>EMEI</v>
          </cell>
          <cell r="G45">
            <v>15</v>
          </cell>
          <cell r="H45">
            <v>15</v>
          </cell>
          <cell r="I45">
            <v>15</v>
          </cell>
          <cell r="J45">
            <v>90565</v>
          </cell>
          <cell r="K45">
            <v>36</v>
          </cell>
          <cell r="L45">
            <v>27</v>
          </cell>
          <cell r="M45">
            <v>0</v>
          </cell>
          <cell r="N45">
            <v>90565</v>
          </cell>
          <cell r="O45">
            <v>37</v>
          </cell>
          <cell r="P45">
            <v>27</v>
          </cell>
          <cell r="Q45">
            <v>0</v>
          </cell>
          <cell r="R45">
            <v>90565</v>
          </cell>
          <cell r="S45">
            <v>44</v>
          </cell>
          <cell r="T45">
            <v>24</v>
          </cell>
          <cell r="U45">
            <v>0</v>
          </cell>
          <cell r="W45">
            <v>1</v>
          </cell>
          <cell r="Y45">
            <v>1</v>
          </cell>
          <cell r="AA45">
            <v>1</v>
          </cell>
          <cell r="AB45">
            <v>0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9</v>
          </cell>
          <cell r="AL45">
            <v>16</v>
          </cell>
          <cell r="AM45">
            <v>30</v>
          </cell>
          <cell r="AN45">
            <v>22</v>
          </cell>
          <cell r="AO45">
            <v>117</v>
          </cell>
          <cell r="AP45">
            <v>78</v>
          </cell>
          <cell r="AS45">
            <v>2007</v>
          </cell>
          <cell r="AT45">
            <v>29</v>
          </cell>
          <cell r="AU45">
            <v>27</v>
          </cell>
          <cell r="AV45">
            <v>117</v>
          </cell>
          <cell r="AW45">
            <v>0.25</v>
          </cell>
          <cell r="AX45">
            <v>1872</v>
          </cell>
          <cell r="AY45">
            <v>468</v>
          </cell>
          <cell r="AZ45">
            <v>36.880000000000003</v>
          </cell>
          <cell r="BA45">
            <v>27</v>
          </cell>
          <cell r="BB45">
            <v>730.22400000000005</v>
          </cell>
          <cell r="BC45">
            <v>36.880000000000003</v>
          </cell>
          <cell r="BD45">
            <v>27</v>
          </cell>
          <cell r="BE45">
            <v>730.22400000000005</v>
          </cell>
          <cell r="BF45">
            <v>36.880000000000003</v>
          </cell>
          <cell r="BG45">
            <v>24</v>
          </cell>
          <cell r="BH45">
            <v>649.08800000000008</v>
          </cell>
          <cell r="BI45">
            <v>0</v>
          </cell>
          <cell r="BJ45">
            <v>0</v>
          </cell>
          <cell r="BK45">
            <v>2109.5360000000001</v>
          </cell>
          <cell r="BL45">
            <v>3618.12</v>
          </cell>
          <cell r="BM45">
            <v>3618.12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9</v>
          </cell>
          <cell r="BS45">
            <v>9.25</v>
          </cell>
          <cell r="BT45">
            <v>11</v>
          </cell>
          <cell r="BU45">
            <v>29.25</v>
          </cell>
          <cell r="BY45">
            <v>6166.4059999999999</v>
          </cell>
          <cell r="CP45" t="str">
            <v>1870/10</v>
          </cell>
          <cell r="CQ45">
            <v>40441</v>
          </cell>
          <cell r="CR45">
            <v>40620</v>
          </cell>
          <cell r="CS45" t="str">
            <v>2010-0.229.288-0</v>
          </cell>
          <cell r="CT45" t="str">
            <v>CARLOS ALBERTO GOMES</v>
          </cell>
          <cell r="CU45">
            <v>22352546834</v>
          </cell>
          <cell r="CV45">
            <v>104881</v>
          </cell>
          <cell r="CW45">
            <v>3918.1313333333337</v>
          </cell>
          <cell r="CX45">
            <v>105.78954600000002</v>
          </cell>
          <cell r="CY45">
            <v>19.590656666666671</v>
          </cell>
          <cell r="CZ45">
            <v>2350.8788</v>
          </cell>
          <cell r="DA45">
            <v>71.691820000000007</v>
          </cell>
          <cell r="DD45">
            <v>71.691820000000007</v>
          </cell>
        </row>
        <row r="46">
          <cell r="C46" t="str">
            <v>1800/10</v>
          </cell>
          <cell r="D46" t="str">
            <v>01/01 A 31/01/11</v>
          </cell>
          <cell r="E46" t="str">
            <v>CARLOS SHIROMA</v>
          </cell>
          <cell r="F46" t="str">
            <v>EMEF</v>
          </cell>
          <cell r="G46">
            <v>14</v>
          </cell>
          <cell r="H46">
            <v>14</v>
          </cell>
          <cell r="I46">
            <v>14</v>
          </cell>
          <cell r="J46">
            <v>93394</v>
          </cell>
          <cell r="K46">
            <v>36</v>
          </cell>
          <cell r="L46">
            <v>27</v>
          </cell>
          <cell r="M46">
            <v>0</v>
          </cell>
          <cell r="N46">
            <v>93394</v>
          </cell>
          <cell r="O46">
            <v>35</v>
          </cell>
          <cell r="P46">
            <v>27</v>
          </cell>
          <cell r="Q46">
            <v>0</v>
          </cell>
          <cell r="R46">
            <v>93394</v>
          </cell>
          <cell r="S46">
            <v>28</v>
          </cell>
          <cell r="T46">
            <v>27</v>
          </cell>
          <cell r="U46">
            <v>0</v>
          </cell>
          <cell r="W46">
            <v>1</v>
          </cell>
          <cell r="Y46">
            <v>1</v>
          </cell>
          <cell r="AA46">
            <v>1</v>
          </cell>
          <cell r="AB46">
            <v>0</v>
          </cell>
          <cell r="AD46">
            <v>2</v>
          </cell>
          <cell r="AE46">
            <v>1</v>
          </cell>
          <cell r="AF46">
            <v>2</v>
          </cell>
          <cell r="AG46">
            <v>1</v>
          </cell>
          <cell r="AH46">
            <v>2</v>
          </cell>
          <cell r="AI46">
            <v>1</v>
          </cell>
          <cell r="AJ46">
            <v>2</v>
          </cell>
          <cell r="AK46" t="str">
            <v>21 e 22</v>
          </cell>
          <cell r="AL46">
            <v>16</v>
          </cell>
          <cell r="AM46">
            <v>30</v>
          </cell>
          <cell r="AN46">
            <v>22</v>
          </cell>
          <cell r="AO46">
            <v>99</v>
          </cell>
          <cell r="AP46">
            <v>81</v>
          </cell>
          <cell r="AS46">
            <v>2007</v>
          </cell>
          <cell r="AT46">
            <v>29</v>
          </cell>
          <cell r="AU46">
            <v>27</v>
          </cell>
          <cell r="AV46">
            <v>99</v>
          </cell>
          <cell r="AW46">
            <v>0.25</v>
          </cell>
          <cell r="AX46">
            <v>1584</v>
          </cell>
          <cell r="AY46">
            <v>396</v>
          </cell>
          <cell r="AZ46">
            <v>36.880000000000003</v>
          </cell>
          <cell r="BA46">
            <v>27</v>
          </cell>
          <cell r="BB46">
            <v>730.22400000000005</v>
          </cell>
          <cell r="BC46">
            <v>36.880000000000003</v>
          </cell>
          <cell r="BD46">
            <v>27</v>
          </cell>
          <cell r="BE46">
            <v>730.22400000000005</v>
          </cell>
          <cell r="BF46">
            <v>36.880000000000003</v>
          </cell>
          <cell r="BG46">
            <v>27</v>
          </cell>
          <cell r="BH46">
            <v>730.22400000000005</v>
          </cell>
          <cell r="BI46">
            <v>0</v>
          </cell>
          <cell r="BJ46">
            <v>0</v>
          </cell>
          <cell r="BK46">
            <v>2190.672</v>
          </cell>
          <cell r="BL46">
            <v>3618.12</v>
          </cell>
          <cell r="BM46">
            <v>3618.12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18</v>
          </cell>
          <cell r="BS46">
            <v>17.5</v>
          </cell>
          <cell r="BT46">
            <v>14</v>
          </cell>
          <cell r="BU46">
            <v>49.5</v>
          </cell>
          <cell r="BY46">
            <v>6155.2919999999995</v>
          </cell>
          <cell r="CP46" t="str">
            <v>1787/10</v>
          </cell>
          <cell r="CQ46">
            <v>40434</v>
          </cell>
          <cell r="CR46">
            <v>40613</v>
          </cell>
          <cell r="CS46" t="str">
            <v>2010-0.225.045-1</v>
          </cell>
          <cell r="CT46" t="str">
            <v>CARLOS BEZERRA DA SILVA</v>
          </cell>
          <cell r="CU46" t="str">
            <v>157.991.918-97</v>
          </cell>
          <cell r="CV46">
            <v>96893</v>
          </cell>
          <cell r="CW46">
            <v>6220.4966666666669</v>
          </cell>
          <cell r="CX46">
            <v>167.95341000000005</v>
          </cell>
          <cell r="CY46">
            <v>31.102483333333339</v>
          </cell>
          <cell r="CZ46">
            <v>3732.2979999999998</v>
          </cell>
          <cell r="DA46">
            <v>334.14704999999992</v>
          </cell>
          <cell r="DD46">
            <v>334.14704999999992</v>
          </cell>
        </row>
        <row r="47">
          <cell r="C47" t="str">
            <v>2160/10</v>
          </cell>
          <cell r="D47" t="str">
            <v>01/01 A 31/01/11</v>
          </cell>
          <cell r="E47" t="str">
            <v>CEZAR ANTONIO DA SILVA</v>
          </cell>
          <cell r="F47" t="str">
            <v>EMEF</v>
          </cell>
          <cell r="G47">
            <v>15</v>
          </cell>
          <cell r="H47">
            <v>15</v>
          </cell>
          <cell r="I47">
            <v>15</v>
          </cell>
          <cell r="J47">
            <v>19496</v>
          </cell>
          <cell r="K47">
            <v>43</v>
          </cell>
          <cell r="L47">
            <v>23</v>
          </cell>
          <cell r="M47">
            <v>0</v>
          </cell>
          <cell r="N47">
            <v>19496</v>
          </cell>
          <cell r="O47">
            <v>32</v>
          </cell>
          <cell r="P47">
            <v>23</v>
          </cell>
          <cell r="Q47">
            <v>0</v>
          </cell>
          <cell r="R47">
            <v>19496</v>
          </cell>
          <cell r="S47">
            <v>25</v>
          </cell>
          <cell r="T47">
            <v>23</v>
          </cell>
          <cell r="U47">
            <v>0</v>
          </cell>
          <cell r="W47">
            <v>1</v>
          </cell>
          <cell r="Y47">
            <v>1</v>
          </cell>
          <cell r="AA47">
            <v>1</v>
          </cell>
          <cell r="AB47">
            <v>0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10</v>
          </cell>
          <cell r="AL47">
            <v>16</v>
          </cell>
          <cell r="AM47">
            <v>30</v>
          </cell>
          <cell r="AN47">
            <v>22</v>
          </cell>
          <cell r="AO47">
            <v>100</v>
          </cell>
          <cell r="AP47">
            <v>69</v>
          </cell>
          <cell r="AS47">
            <v>2003</v>
          </cell>
          <cell r="AT47">
            <v>25</v>
          </cell>
          <cell r="AU47">
            <v>23</v>
          </cell>
          <cell r="AV47">
            <v>100</v>
          </cell>
          <cell r="AW47">
            <v>0.25</v>
          </cell>
          <cell r="AX47">
            <v>1600</v>
          </cell>
          <cell r="AY47">
            <v>400</v>
          </cell>
          <cell r="AZ47">
            <v>36.880000000000003</v>
          </cell>
          <cell r="BA47">
            <v>23</v>
          </cell>
          <cell r="BB47">
            <v>622.04266666666672</v>
          </cell>
          <cell r="BC47">
            <v>36.880000000000003</v>
          </cell>
          <cell r="BD47">
            <v>23</v>
          </cell>
          <cell r="BE47">
            <v>622.04266666666672</v>
          </cell>
          <cell r="BF47">
            <v>36.880000000000003</v>
          </cell>
          <cell r="BG47">
            <v>23</v>
          </cell>
          <cell r="BH47">
            <v>622.04266666666672</v>
          </cell>
          <cell r="BI47">
            <v>0</v>
          </cell>
          <cell r="BJ47">
            <v>0</v>
          </cell>
          <cell r="BK47">
            <v>1866.1280000000002</v>
          </cell>
          <cell r="BL47">
            <v>3182.21</v>
          </cell>
          <cell r="BM47">
            <v>3182.21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10.75</v>
          </cell>
          <cell r="BS47">
            <v>8</v>
          </cell>
          <cell r="BT47">
            <v>6.25</v>
          </cell>
          <cell r="BU47">
            <v>25</v>
          </cell>
          <cell r="BY47">
            <v>5423.3379999999997</v>
          </cell>
          <cell r="CP47" t="str">
            <v>2320/10</v>
          </cell>
          <cell r="CQ47">
            <v>40448</v>
          </cell>
          <cell r="CR47">
            <v>40627</v>
          </cell>
          <cell r="CS47" t="str">
            <v>2010-0.245.464-2</v>
          </cell>
          <cell r="CT47" t="str">
            <v>CARLOS ROBERTO PIERRE</v>
          </cell>
          <cell r="CU47" t="str">
            <v>048.695.478-13</v>
          </cell>
          <cell r="CV47">
            <v>106436</v>
          </cell>
          <cell r="CW47">
            <v>4106.1180000000004</v>
          </cell>
          <cell r="CX47">
            <v>110.86518600000002</v>
          </cell>
          <cell r="CY47">
            <v>20.530590000000004</v>
          </cell>
          <cell r="CZ47">
            <v>2463.6708000000003</v>
          </cell>
          <cell r="DA47">
            <v>88.61062000000004</v>
          </cell>
          <cell r="DD47">
            <v>88.61062000000004</v>
          </cell>
        </row>
        <row r="48">
          <cell r="C48" t="str">
            <v>2784/10</v>
          </cell>
          <cell r="D48" t="str">
            <v>01/01 A 31/01/11</v>
          </cell>
          <cell r="E48" t="str">
            <v>CHARLES MINUTENTAG</v>
          </cell>
          <cell r="F48" t="str">
            <v>EMEI</v>
          </cell>
          <cell r="G48">
            <v>16</v>
          </cell>
          <cell r="H48">
            <v>16</v>
          </cell>
          <cell r="I48">
            <v>16</v>
          </cell>
          <cell r="J48">
            <v>90557</v>
          </cell>
          <cell r="K48">
            <v>62</v>
          </cell>
          <cell r="L48">
            <v>20</v>
          </cell>
          <cell r="M48">
            <v>0</v>
          </cell>
          <cell r="N48">
            <v>90557</v>
          </cell>
          <cell r="O48">
            <v>75</v>
          </cell>
          <cell r="P48">
            <v>27</v>
          </cell>
          <cell r="Q48">
            <v>0</v>
          </cell>
          <cell r="R48">
            <v>0</v>
          </cell>
          <cell r="U48">
            <v>0</v>
          </cell>
          <cell r="W48">
            <v>1</v>
          </cell>
          <cell r="Y48">
            <v>1</v>
          </cell>
          <cell r="AA48">
            <v>0</v>
          </cell>
          <cell r="AB48">
            <v>0</v>
          </cell>
          <cell r="AE48">
            <v>1</v>
          </cell>
          <cell r="AG48">
            <v>1</v>
          </cell>
          <cell r="AI48">
            <v>0</v>
          </cell>
          <cell r="AJ48">
            <v>0</v>
          </cell>
          <cell r="AL48">
            <v>16</v>
          </cell>
          <cell r="AM48">
            <v>30</v>
          </cell>
          <cell r="AN48">
            <v>22</v>
          </cell>
          <cell r="AO48">
            <v>137</v>
          </cell>
          <cell r="AP48">
            <v>47</v>
          </cell>
          <cell r="AS48">
            <v>2008</v>
          </cell>
          <cell r="AT48">
            <v>29</v>
          </cell>
          <cell r="AU48">
            <v>27</v>
          </cell>
          <cell r="AV48">
            <v>137</v>
          </cell>
          <cell r="AW48">
            <v>0.25</v>
          </cell>
          <cell r="AX48">
            <v>2192</v>
          </cell>
          <cell r="AY48">
            <v>548</v>
          </cell>
          <cell r="AZ48">
            <v>36.880000000000003</v>
          </cell>
          <cell r="BA48">
            <v>20</v>
          </cell>
          <cell r="BB48">
            <v>540.90666666666664</v>
          </cell>
          <cell r="BC48">
            <v>36.880000000000003</v>
          </cell>
          <cell r="BD48">
            <v>27</v>
          </cell>
          <cell r="BE48">
            <v>730.22400000000005</v>
          </cell>
          <cell r="BF48">
            <v>36.880000000000003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1271.1306666666667</v>
          </cell>
          <cell r="BL48">
            <v>3727.1</v>
          </cell>
          <cell r="BM48">
            <v>3727.1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Y48">
            <v>5546.2306666666673</v>
          </cell>
          <cell r="CP48" t="str">
            <v>2159/10</v>
          </cell>
          <cell r="CQ48">
            <v>40448</v>
          </cell>
          <cell r="CR48">
            <v>40627</v>
          </cell>
          <cell r="CS48" t="str">
            <v>2010-0.239.430-5</v>
          </cell>
          <cell r="CT48" t="str">
            <v>CARLOS ROBERTO RODRIGUES</v>
          </cell>
          <cell r="CU48" t="str">
            <v>084.646.588-42</v>
          </cell>
          <cell r="CV48">
            <v>106127</v>
          </cell>
          <cell r="CW48">
            <v>6166.4059999999999</v>
          </cell>
          <cell r="CX48">
            <v>166.49296200000003</v>
          </cell>
          <cell r="CY48">
            <v>30.832030000000003</v>
          </cell>
          <cell r="CZ48">
            <v>3699.8435999999997</v>
          </cell>
          <cell r="DA48">
            <v>326.84480999999994</v>
          </cell>
          <cell r="DD48">
            <v>326.84480999999994</v>
          </cell>
        </row>
        <row r="49">
          <cell r="C49" t="str">
            <v>1907/10</v>
          </cell>
          <cell r="D49" t="str">
            <v>01/01 A 31/01/11</v>
          </cell>
          <cell r="E49" t="str">
            <v>CLARINDO DE JESUS SANTOS</v>
          </cell>
          <cell r="F49" t="str">
            <v>EMEF / SAAI</v>
          </cell>
          <cell r="G49">
            <v>15</v>
          </cell>
          <cell r="H49">
            <v>15</v>
          </cell>
          <cell r="I49">
            <v>15</v>
          </cell>
          <cell r="J49">
            <v>99791</v>
          </cell>
          <cell r="K49">
            <v>10</v>
          </cell>
          <cell r="L49">
            <v>13</v>
          </cell>
          <cell r="M49">
            <v>0</v>
          </cell>
          <cell r="N49">
            <v>99791</v>
          </cell>
          <cell r="O49">
            <v>30</v>
          </cell>
          <cell r="P49">
            <v>10</v>
          </cell>
          <cell r="Q49">
            <v>0</v>
          </cell>
          <cell r="R49">
            <v>99791</v>
          </cell>
          <cell r="S49">
            <v>34</v>
          </cell>
          <cell r="T49">
            <v>12</v>
          </cell>
          <cell r="U49">
            <v>0</v>
          </cell>
          <cell r="W49">
            <v>1</v>
          </cell>
          <cell r="Y49">
            <v>1</v>
          </cell>
          <cell r="AA49">
            <v>1</v>
          </cell>
          <cell r="AB49">
            <v>0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8</v>
          </cell>
          <cell r="AL49">
            <v>16</v>
          </cell>
          <cell r="AM49">
            <v>30</v>
          </cell>
          <cell r="AN49">
            <v>22</v>
          </cell>
          <cell r="AO49">
            <v>74</v>
          </cell>
          <cell r="AP49">
            <v>35</v>
          </cell>
          <cell r="AS49">
            <v>2007</v>
          </cell>
          <cell r="AT49">
            <v>15</v>
          </cell>
          <cell r="AU49">
            <v>13</v>
          </cell>
          <cell r="AV49">
            <v>74</v>
          </cell>
          <cell r="AW49">
            <v>0.25</v>
          </cell>
          <cell r="AX49">
            <v>1184</v>
          </cell>
          <cell r="AY49">
            <v>296</v>
          </cell>
          <cell r="AZ49">
            <v>1770.24</v>
          </cell>
          <cell r="BA49">
            <v>13</v>
          </cell>
          <cell r="BB49">
            <v>1298.1760000000002</v>
          </cell>
          <cell r="BC49">
            <v>0</v>
          </cell>
          <cell r="BD49">
            <v>10</v>
          </cell>
          <cell r="BE49">
            <v>0</v>
          </cell>
          <cell r="BF49">
            <v>0</v>
          </cell>
          <cell r="BG49">
            <v>12</v>
          </cell>
          <cell r="BH49">
            <v>0</v>
          </cell>
          <cell r="BI49">
            <v>0</v>
          </cell>
          <cell r="BJ49">
            <v>0</v>
          </cell>
          <cell r="BK49">
            <v>1298.1760000000002</v>
          </cell>
          <cell r="BL49">
            <v>2515.52</v>
          </cell>
          <cell r="BM49">
            <v>2515.52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2.5</v>
          </cell>
          <cell r="BS49">
            <v>7.5</v>
          </cell>
          <cell r="BT49">
            <v>8.5</v>
          </cell>
          <cell r="BU49">
            <v>18.5</v>
          </cell>
          <cell r="BY49">
            <v>4091.1959999999999</v>
          </cell>
          <cell r="CP49" t="str">
            <v>1800/10</v>
          </cell>
          <cell r="CQ49">
            <v>40434</v>
          </cell>
          <cell r="CR49">
            <v>40613</v>
          </cell>
          <cell r="CS49" t="str">
            <v>2010-0.225.068-0</v>
          </cell>
          <cell r="CT49" t="str">
            <v>CARLOS SHIROMA</v>
          </cell>
          <cell r="CU49" t="str">
            <v>670.627.508-59</v>
          </cell>
          <cell r="CV49">
            <v>96895</v>
          </cell>
          <cell r="CW49">
            <v>6155.2919999999995</v>
          </cell>
          <cell r="CX49">
            <v>166.19288399999999</v>
          </cell>
          <cell r="CY49">
            <v>30.77646</v>
          </cell>
          <cell r="CZ49">
            <v>3693.1751999999997</v>
          </cell>
          <cell r="DA49">
            <v>325.3444199999999</v>
          </cell>
          <cell r="DD49">
            <v>325.3444199999999</v>
          </cell>
        </row>
        <row r="50">
          <cell r="C50" t="str">
            <v>2247/10</v>
          </cell>
          <cell r="D50" t="str">
            <v>01/01 A 31/01/11</v>
          </cell>
          <cell r="E50" t="str">
            <v>CLAUDEVAN FERREIRA SILVA</v>
          </cell>
          <cell r="F50" t="str">
            <v>EMEF</v>
          </cell>
          <cell r="G50">
            <v>16</v>
          </cell>
          <cell r="H50">
            <v>16</v>
          </cell>
          <cell r="I50">
            <v>16</v>
          </cell>
          <cell r="J50">
            <v>99791</v>
          </cell>
          <cell r="K50">
            <v>13</v>
          </cell>
          <cell r="L50">
            <v>17</v>
          </cell>
          <cell r="M50">
            <v>0</v>
          </cell>
          <cell r="N50">
            <v>99791</v>
          </cell>
          <cell r="O50">
            <v>15</v>
          </cell>
          <cell r="P50">
            <v>17</v>
          </cell>
          <cell r="Q50">
            <v>0</v>
          </cell>
          <cell r="R50">
            <v>99791</v>
          </cell>
          <cell r="S50">
            <v>16</v>
          </cell>
          <cell r="T50">
            <v>17</v>
          </cell>
          <cell r="U50">
            <v>0</v>
          </cell>
          <cell r="W50">
            <v>1</v>
          </cell>
          <cell r="Y50">
            <v>1</v>
          </cell>
          <cell r="AA50">
            <v>1</v>
          </cell>
          <cell r="AB50">
            <v>0</v>
          </cell>
          <cell r="AE50">
            <v>1</v>
          </cell>
          <cell r="AG50">
            <v>1</v>
          </cell>
          <cell r="AI50">
            <v>1</v>
          </cell>
          <cell r="AJ50">
            <v>0</v>
          </cell>
          <cell r="AL50">
            <v>16</v>
          </cell>
          <cell r="AM50">
            <v>30</v>
          </cell>
          <cell r="AN50">
            <v>22</v>
          </cell>
          <cell r="AO50">
            <v>44</v>
          </cell>
          <cell r="AP50">
            <v>51</v>
          </cell>
          <cell r="AS50">
            <v>2004</v>
          </cell>
          <cell r="AT50">
            <v>19</v>
          </cell>
          <cell r="AU50">
            <v>17</v>
          </cell>
          <cell r="AV50">
            <v>44</v>
          </cell>
          <cell r="AW50">
            <v>0.25</v>
          </cell>
          <cell r="AX50">
            <v>704</v>
          </cell>
          <cell r="AY50">
            <v>176</v>
          </cell>
          <cell r="AZ50">
            <v>36.880000000000003</v>
          </cell>
          <cell r="BA50">
            <v>17</v>
          </cell>
          <cell r="BB50">
            <v>459.77066666666667</v>
          </cell>
          <cell r="BC50">
            <v>36.880000000000003</v>
          </cell>
          <cell r="BD50">
            <v>17</v>
          </cell>
          <cell r="BE50">
            <v>459.77066666666667</v>
          </cell>
          <cell r="BF50">
            <v>36.880000000000003</v>
          </cell>
          <cell r="BG50">
            <v>17</v>
          </cell>
          <cell r="BH50">
            <v>459.77066666666667</v>
          </cell>
          <cell r="BI50">
            <v>0</v>
          </cell>
          <cell r="BJ50">
            <v>0</v>
          </cell>
          <cell r="BK50">
            <v>1379.3119999999999</v>
          </cell>
          <cell r="BL50">
            <v>2312.44</v>
          </cell>
          <cell r="BM50">
            <v>2312.44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Y50">
            <v>3867.752</v>
          </cell>
          <cell r="CP50" t="str">
            <v>2160/10</v>
          </cell>
          <cell r="CQ50">
            <v>40448</v>
          </cell>
          <cell r="CR50">
            <v>40627</v>
          </cell>
          <cell r="CS50" t="str">
            <v>2010-0.239.432-1</v>
          </cell>
          <cell r="CT50" t="str">
            <v>CEZAR ANTONIO DA SILVA</v>
          </cell>
          <cell r="CU50">
            <v>16621225865</v>
          </cell>
          <cell r="CV50">
            <v>106137</v>
          </cell>
          <cell r="CW50">
            <v>5423.3379999999997</v>
          </cell>
          <cell r="CX50">
            <v>146.430126</v>
          </cell>
          <cell r="CY50">
            <v>27.116690000000002</v>
          </cell>
          <cell r="CZ50">
            <v>3254.0027999999998</v>
          </cell>
          <cell r="DA50">
            <v>226.53062999999997</v>
          </cell>
          <cell r="DD50">
            <v>226.53062999999997</v>
          </cell>
        </row>
        <row r="51">
          <cell r="C51" t="str">
            <v>2101/10</v>
          </cell>
          <cell r="D51" t="str">
            <v>01/01 A 31/01/11</v>
          </cell>
          <cell r="E51" t="str">
            <v>CLAUDIA ARAUJO DE ALMEIDA</v>
          </cell>
          <cell r="F51" t="str">
            <v>EMEF</v>
          </cell>
          <cell r="G51">
            <v>15</v>
          </cell>
          <cell r="H51">
            <v>15</v>
          </cell>
          <cell r="I51">
            <v>16</v>
          </cell>
          <cell r="J51">
            <v>19406</v>
          </cell>
          <cell r="K51">
            <v>25</v>
          </cell>
          <cell r="L51">
            <v>15</v>
          </cell>
          <cell r="M51">
            <v>0</v>
          </cell>
          <cell r="N51">
            <v>19406</v>
          </cell>
          <cell r="O51">
            <v>24</v>
          </cell>
          <cell r="P51">
            <v>18</v>
          </cell>
          <cell r="Q51">
            <v>0</v>
          </cell>
          <cell r="R51">
            <v>0</v>
          </cell>
          <cell r="U51">
            <v>0</v>
          </cell>
          <cell r="W51">
            <v>1</v>
          </cell>
          <cell r="Y51">
            <v>1</v>
          </cell>
          <cell r="AA51">
            <v>0</v>
          </cell>
          <cell r="AB51">
            <v>0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I51">
            <v>0</v>
          </cell>
          <cell r="AJ51">
            <v>1</v>
          </cell>
          <cell r="AK51">
            <v>6</v>
          </cell>
          <cell r="AL51">
            <v>16</v>
          </cell>
          <cell r="AM51">
            <v>30</v>
          </cell>
          <cell r="AN51">
            <v>22</v>
          </cell>
          <cell r="AO51">
            <v>49</v>
          </cell>
          <cell r="AP51">
            <v>33</v>
          </cell>
          <cell r="AS51">
            <v>1999</v>
          </cell>
          <cell r="AT51">
            <v>20</v>
          </cell>
          <cell r="AU51">
            <v>18</v>
          </cell>
          <cell r="AV51">
            <v>49</v>
          </cell>
          <cell r="AW51">
            <v>0.25</v>
          </cell>
          <cell r="AX51">
            <v>784</v>
          </cell>
          <cell r="AY51">
            <v>196</v>
          </cell>
          <cell r="AZ51">
            <v>36.880000000000003</v>
          </cell>
          <cell r="BA51">
            <v>15</v>
          </cell>
          <cell r="BB51">
            <v>405.68</v>
          </cell>
          <cell r="BC51">
            <v>36.880000000000003</v>
          </cell>
          <cell r="BD51">
            <v>18</v>
          </cell>
          <cell r="BE51">
            <v>486.81600000000003</v>
          </cell>
          <cell r="BF51">
            <v>36.880000000000003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892.49600000000009</v>
          </cell>
          <cell r="BL51">
            <v>1973.97</v>
          </cell>
          <cell r="BM51">
            <v>1973.9700000000003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6.25</v>
          </cell>
          <cell r="BS51">
            <v>6</v>
          </cell>
          <cell r="BT51">
            <v>0</v>
          </cell>
          <cell r="BU51">
            <v>12.25</v>
          </cell>
          <cell r="BY51">
            <v>3050.2160000000003</v>
          </cell>
          <cell r="CP51" t="str">
            <v>2784/10</v>
          </cell>
          <cell r="CQ51">
            <v>40469</v>
          </cell>
          <cell r="CR51">
            <v>40648</v>
          </cell>
          <cell r="CS51" t="str">
            <v>2010-0.277.881-2</v>
          </cell>
          <cell r="CT51" t="str">
            <v>CHARLES MINUTENTAG</v>
          </cell>
          <cell r="CU51">
            <v>25647242804</v>
          </cell>
          <cell r="CV51">
            <v>115281</v>
          </cell>
          <cell r="CW51">
            <v>5546.2306666666673</v>
          </cell>
          <cell r="CX51">
            <v>149.74822800000004</v>
          </cell>
          <cell r="CY51">
            <v>27.731153333333339</v>
          </cell>
          <cell r="CZ51">
            <v>3327.7384000000002</v>
          </cell>
          <cell r="DA51">
            <v>243.12114000000008</v>
          </cell>
          <cell r="DD51">
            <v>243.12114000000008</v>
          </cell>
        </row>
        <row r="52">
          <cell r="C52" t="str">
            <v>2603/10</v>
          </cell>
          <cell r="D52" t="str">
            <v>01/01 A 31/01/11</v>
          </cell>
          <cell r="E52" t="str">
            <v>CLAUDINEI APARECIDO DOS REIS</v>
          </cell>
          <cell r="F52" t="str">
            <v>EMEI</v>
          </cell>
          <cell r="G52">
            <v>16</v>
          </cell>
          <cell r="H52">
            <v>16</v>
          </cell>
          <cell r="I52">
            <v>16</v>
          </cell>
          <cell r="J52">
            <v>493</v>
          </cell>
          <cell r="K52">
            <v>32</v>
          </cell>
          <cell r="L52">
            <v>27</v>
          </cell>
          <cell r="M52">
            <v>0</v>
          </cell>
          <cell r="N52">
            <v>493</v>
          </cell>
          <cell r="O52">
            <v>28</v>
          </cell>
          <cell r="P52">
            <v>27</v>
          </cell>
          <cell r="Q52">
            <v>0</v>
          </cell>
          <cell r="R52">
            <v>493</v>
          </cell>
          <cell r="S52">
            <v>26</v>
          </cell>
          <cell r="T52">
            <v>27</v>
          </cell>
          <cell r="U52">
            <v>0</v>
          </cell>
          <cell r="W52">
            <v>1</v>
          </cell>
          <cell r="Y52">
            <v>1</v>
          </cell>
          <cell r="AA52">
            <v>1</v>
          </cell>
          <cell r="AB52">
            <v>0</v>
          </cell>
          <cell r="AE52">
            <v>1</v>
          </cell>
          <cell r="AG52">
            <v>1</v>
          </cell>
          <cell r="AI52">
            <v>1</v>
          </cell>
          <cell r="AJ52">
            <v>0</v>
          </cell>
          <cell r="AL52">
            <v>16</v>
          </cell>
          <cell r="AM52">
            <v>30</v>
          </cell>
          <cell r="AN52">
            <v>22</v>
          </cell>
          <cell r="AO52">
            <v>86</v>
          </cell>
          <cell r="AP52">
            <v>81</v>
          </cell>
          <cell r="AS52">
            <v>2007</v>
          </cell>
          <cell r="AT52">
            <v>29</v>
          </cell>
          <cell r="AU52">
            <v>27</v>
          </cell>
          <cell r="AV52">
            <v>86</v>
          </cell>
          <cell r="AW52">
            <v>0.25</v>
          </cell>
          <cell r="AX52">
            <v>1376</v>
          </cell>
          <cell r="AY52">
            <v>344</v>
          </cell>
          <cell r="AZ52">
            <v>36.880000000000003</v>
          </cell>
          <cell r="BA52">
            <v>27</v>
          </cell>
          <cell r="BB52">
            <v>730.22400000000005</v>
          </cell>
          <cell r="BC52">
            <v>36.880000000000003</v>
          </cell>
          <cell r="BD52">
            <v>27</v>
          </cell>
          <cell r="BE52">
            <v>730.22400000000005</v>
          </cell>
          <cell r="BF52">
            <v>36.880000000000003</v>
          </cell>
          <cell r="BG52">
            <v>27</v>
          </cell>
          <cell r="BH52">
            <v>730.22400000000005</v>
          </cell>
          <cell r="BI52">
            <v>0</v>
          </cell>
          <cell r="BJ52">
            <v>0</v>
          </cell>
          <cell r="BK52">
            <v>2190.672</v>
          </cell>
          <cell r="BL52">
            <v>3618.12</v>
          </cell>
          <cell r="BM52">
            <v>3618.12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Y52">
            <v>6152.7919999999995</v>
          </cell>
          <cell r="CP52" t="str">
            <v>1907/10</v>
          </cell>
          <cell r="CQ52">
            <v>40441</v>
          </cell>
          <cell r="CR52">
            <v>40620</v>
          </cell>
          <cell r="CS52" t="str">
            <v>2010-0.230.651-1</v>
          </cell>
          <cell r="CT52" t="str">
            <v>CLARINDO DE JESUS SANTOS</v>
          </cell>
          <cell r="CU52" t="str">
            <v>011.125.048-00</v>
          </cell>
          <cell r="CV52">
            <v>104886</v>
          </cell>
          <cell r="CW52">
            <v>4091.1959999999999</v>
          </cell>
          <cell r="CX52">
            <v>110.46229200000001</v>
          </cell>
          <cell r="CY52">
            <v>20.45598</v>
          </cell>
          <cell r="CZ52">
            <v>2454.7175999999999</v>
          </cell>
          <cell r="DA52">
            <v>87.267639999999972</v>
          </cell>
          <cell r="DD52">
            <v>87.267639999999972</v>
          </cell>
        </row>
        <row r="53">
          <cell r="C53" t="str">
            <v>2604/10</v>
          </cell>
          <cell r="D53" t="str">
            <v>01/01 A 31/01/11</v>
          </cell>
          <cell r="E53" t="str">
            <v>CLAUDIO ALEXANDRE SILVA</v>
          </cell>
          <cell r="F53" t="str">
            <v>EMEF</v>
          </cell>
          <cell r="G53">
            <v>15</v>
          </cell>
          <cell r="H53">
            <v>15</v>
          </cell>
          <cell r="I53">
            <v>15</v>
          </cell>
          <cell r="J53">
            <v>19496</v>
          </cell>
          <cell r="K53">
            <v>21</v>
          </cell>
          <cell r="L53">
            <v>12</v>
          </cell>
          <cell r="M53">
            <v>0</v>
          </cell>
          <cell r="N53">
            <v>19496</v>
          </cell>
          <cell r="O53">
            <v>21</v>
          </cell>
          <cell r="P53">
            <v>11</v>
          </cell>
          <cell r="Q53">
            <v>0</v>
          </cell>
          <cell r="R53">
            <v>19496</v>
          </cell>
          <cell r="S53">
            <v>21</v>
          </cell>
          <cell r="T53">
            <v>17</v>
          </cell>
          <cell r="U53">
            <v>0</v>
          </cell>
          <cell r="W53">
            <v>1</v>
          </cell>
          <cell r="Y53">
            <v>1</v>
          </cell>
          <cell r="AA53">
            <v>1</v>
          </cell>
          <cell r="AB53">
            <v>0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10</v>
          </cell>
          <cell r="AL53">
            <v>16</v>
          </cell>
          <cell r="AM53">
            <v>30</v>
          </cell>
          <cell r="AN53">
            <v>22</v>
          </cell>
          <cell r="AO53">
            <v>63</v>
          </cell>
          <cell r="AP53">
            <v>40</v>
          </cell>
          <cell r="AS53">
            <v>2010</v>
          </cell>
          <cell r="AT53">
            <v>19</v>
          </cell>
          <cell r="AU53">
            <v>17</v>
          </cell>
          <cell r="AV53">
            <v>63</v>
          </cell>
          <cell r="AW53">
            <v>0.25</v>
          </cell>
          <cell r="AX53">
            <v>1008</v>
          </cell>
          <cell r="AY53">
            <v>252</v>
          </cell>
          <cell r="AZ53">
            <v>36.880000000000003</v>
          </cell>
          <cell r="BA53">
            <v>12</v>
          </cell>
          <cell r="BB53">
            <v>324.54400000000004</v>
          </cell>
          <cell r="BC53">
            <v>36.880000000000003</v>
          </cell>
          <cell r="BD53">
            <v>11</v>
          </cell>
          <cell r="BE53">
            <v>297.49866666666668</v>
          </cell>
          <cell r="BF53">
            <v>36.880000000000003</v>
          </cell>
          <cell r="BG53">
            <v>17</v>
          </cell>
          <cell r="BH53">
            <v>459.77066666666667</v>
          </cell>
          <cell r="BI53">
            <v>0</v>
          </cell>
          <cell r="BJ53">
            <v>0</v>
          </cell>
          <cell r="BK53">
            <v>1081.8133333333335</v>
          </cell>
          <cell r="BL53">
            <v>2718.59</v>
          </cell>
          <cell r="BM53">
            <v>2718.59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5.25</v>
          </cell>
          <cell r="BS53">
            <v>5.25</v>
          </cell>
          <cell r="BT53">
            <v>5.25</v>
          </cell>
          <cell r="BU53">
            <v>15.75</v>
          </cell>
          <cell r="BY53">
            <v>4036.6533333333336</v>
          </cell>
          <cell r="CP53" t="str">
            <v>2247/10</v>
          </cell>
          <cell r="CQ53">
            <v>40448</v>
          </cell>
          <cell r="CR53">
            <v>40627</v>
          </cell>
          <cell r="CS53" t="str">
            <v>2010-0.243.841-8</v>
          </cell>
          <cell r="CT53" t="str">
            <v>CLAUDEVAN FERREIRA SILVA</v>
          </cell>
          <cell r="CU53">
            <v>21989904823</v>
          </cell>
          <cell r="CV53">
            <v>106254</v>
          </cell>
          <cell r="CW53">
            <v>3867.752</v>
          </cell>
          <cell r="CX53">
            <v>104.42930400000002</v>
          </cell>
          <cell r="CY53">
            <v>19.338760000000004</v>
          </cell>
          <cell r="CZ53">
            <v>2320.6511999999998</v>
          </cell>
          <cell r="DA53">
            <v>67.157679999999971</v>
          </cell>
          <cell r="DD53">
            <v>67.157679999999971</v>
          </cell>
        </row>
        <row r="54">
          <cell r="C54" t="str">
            <v>1780/10</v>
          </cell>
          <cell r="D54" t="str">
            <v>01/01 A 31/01/11</v>
          </cell>
          <cell r="E54" t="str">
            <v>CLEUSA APARECIDA JORDAN</v>
          </cell>
          <cell r="F54" t="str">
            <v>CONVENIADA</v>
          </cell>
          <cell r="G54">
            <v>16</v>
          </cell>
          <cell r="H54">
            <v>16</v>
          </cell>
          <cell r="I54">
            <v>16</v>
          </cell>
          <cell r="J54">
            <v>0</v>
          </cell>
          <cell r="K54">
            <v>56</v>
          </cell>
          <cell r="L54">
            <v>7</v>
          </cell>
          <cell r="M54">
            <v>0</v>
          </cell>
          <cell r="N54">
            <v>0</v>
          </cell>
          <cell r="O54">
            <v>63</v>
          </cell>
          <cell r="P54">
            <v>5</v>
          </cell>
          <cell r="Q54">
            <v>0</v>
          </cell>
          <cell r="R54">
            <v>0</v>
          </cell>
          <cell r="U54">
            <v>0</v>
          </cell>
          <cell r="W54">
            <v>1</v>
          </cell>
          <cell r="Y54">
            <v>1</v>
          </cell>
          <cell r="AA54">
            <v>0</v>
          </cell>
          <cell r="AB54">
            <v>0</v>
          </cell>
          <cell r="AE54">
            <v>1</v>
          </cell>
          <cell r="AG54">
            <v>1</v>
          </cell>
          <cell r="AI54">
            <v>0</v>
          </cell>
          <cell r="AJ54">
            <v>0</v>
          </cell>
          <cell r="AL54">
            <v>16</v>
          </cell>
          <cell r="AM54">
            <v>30</v>
          </cell>
          <cell r="AN54">
            <v>22</v>
          </cell>
          <cell r="AO54">
            <v>119</v>
          </cell>
          <cell r="AP54">
            <v>12</v>
          </cell>
          <cell r="AS54">
            <v>2007</v>
          </cell>
          <cell r="AT54">
            <v>29</v>
          </cell>
          <cell r="AU54">
            <v>27</v>
          </cell>
          <cell r="AV54">
            <v>119</v>
          </cell>
          <cell r="AW54">
            <v>0.25</v>
          </cell>
          <cell r="AX54">
            <v>1904</v>
          </cell>
          <cell r="AY54">
            <v>476</v>
          </cell>
          <cell r="AZ54">
            <v>2544.7199999999998</v>
          </cell>
          <cell r="BA54">
            <v>7</v>
          </cell>
          <cell r="BB54">
            <v>1866.1279999999999</v>
          </cell>
          <cell r="BC54">
            <v>0</v>
          </cell>
          <cell r="BD54">
            <v>5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1866.1279999999999</v>
          </cell>
          <cell r="BL54">
            <v>3618.12</v>
          </cell>
          <cell r="BM54">
            <v>3618.12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Y54">
            <v>5960.2479999999996</v>
          </cell>
          <cell r="CP54" t="str">
            <v>2101/10</v>
          </cell>
          <cell r="CQ54">
            <v>40448</v>
          </cell>
          <cell r="CR54">
            <v>40627</v>
          </cell>
          <cell r="CS54" t="str">
            <v>2010-0.236.651-4</v>
          </cell>
          <cell r="CT54" t="str">
            <v>CLAUDIA ARAUJO DE ALMEIDA</v>
          </cell>
          <cell r="CU54">
            <v>22067982800</v>
          </cell>
          <cell r="CV54">
            <v>105946</v>
          </cell>
          <cell r="CW54">
            <v>3050.2160000000003</v>
          </cell>
          <cell r="CX54">
            <v>82.355832000000021</v>
          </cell>
          <cell r="CY54">
            <v>15.251080000000002</v>
          </cell>
          <cell r="CZ54">
            <v>1830.1296000000002</v>
          </cell>
          <cell r="DA54">
            <v>24.829720000000009</v>
          </cell>
          <cell r="DD54">
            <v>-6.4205599999999663</v>
          </cell>
        </row>
        <row r="55">
          <cell r="C55" t="str">
            <v>2103/10</v>
          </cell>
          <cell r="D55" t="str">
            <v>01/01 A 31/01/11</v>
          </cell>
          <cell r="E55" t="str">
            <v>CLICIA DA SILVA WEGE</v>
          </cell>
          <cell r="F55" t="str">
            <v>EMEF</v>
          </cell>
          <cell r="G55">
            <v>14</v>
          </cell>
          <cell r="H55">
            <v>14</v>
          </cell>
          <cell r="I55">
            <v>15</v>
          </cell>
          <cell r="J55">
            <v>19228</v>
          </cell>
          <cell r="K55">
            <v>17</v>
          </cell>
          <cell r="L55">
            <v>17</v>
          </cell>
          <cell r="M55">
            <v>0</v>
          </cell>
          <cell r="N55">
            <v>19228</v>
          </cell>
          <cell r="O55">
            <v>17</v>
          </cell>
          <cell r="P55">
            <v>17</v>
          </cell>
          <cell r="Q55">
            <v>0</v>
          </cell>
          <cell r="R55">
            <v>93378</v>
          </cell>
          <cell r="S55">
            <v>28</v>
          </cell>
          <cell r="T55">
            <v>16</v>
          </cell>
          <cell r="U55">
            <v>0</v>
          </cell>
          <cell r="W55">
            <v>1</v>
          </cell>
          <cell r="Y55">
            <v>1</v>
          </cell>
          <cell r="AA55">
            <v>1</v>
          </cell>
          <cell r="AB55">
            <v>0</v>
          </cell>
          <cell r="AD55">
            <v>2</v>
          </cell>
          <cell r="AE55">
            <v>1</v>
          </cell>
          <cell r="AF55">
            <v>2</v>
          </cell>
          <cell r="AG55">
            <v>1</v>
          </cell>
          <cell r="AH55">
            <v>1</v>
          </cell>
          <cell r="AI55">
            <v>1</v>
          </cell>
          <cell r="AJ55">
            <v>1.6666666666666667</v>
          </cell>
          <cell r="AK55" t="str">
            <v>3, 8 e 22</v>
          </cell>
          <cell r="AL55">
            <v>16</v>
          </cell>
          <cell r="AM55">
            <v>30</v>
          </cell>
          <cell r="AN55">
            <v>22</v>
          </cell>
          <cell r="AO55">
            <v>62</v>
          </cell>
          <cell r="AP55">
            <v>50</v>
          </cell>
          <cell r="AS55">
            <v>1998</v>
          </cell>
          <cell r="AT55">
            <v>19</v>
          </cell>
          <cell r="AU55">
            <v>17</v>
          </cell>
          <cell r="AV55">
            <v>62</v>
          </cell>
          <cell r="AW55">
            <v>0.25</v>
          </cell>
          <cell r="AX55">
            <v>992</v>
          </cell>
          <cell r="AY55">
            <v>248</v>
          </cell>
          <cell r="AZ55">
            <v>36.880000000000003</v>
          </cell>
          <cell r="BA55">
            <v>17</v>
          </cell>
          <cell r="BB55">
            <v>459.77066666666667</v>
          </cell>
          <cell r="BC55">
            <v>36.880000000000003</v>
          </cell>
          <cell r="BD55">
            <v>17</v>
          </cell>
          <cell r="BE55">
            <v>459.77066666666667</v>
          </cell>
          <cell r="BF55">
            <v>36.880000000000003</v>
          </cell>
          <cell r="BG55">
            <v>16</v>
          </cell>
          <cell r="BH55">
            <v>432.72533333333337</v>
          </cell>
          <cell r="BI55">
            <v>0</v>
          </cell>
          <cell r="BJ55">
            <v>0</v>
          </cell>
          <cell r="BK55">
            <v>1352.2666666666667</v>
          </cell>
          <cell r="BL55">
            <v>1906.28</v>
          </cell>
          <cell r="BM55">
            <v>1906.28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8.5</v>
          </cell>
          <cell r="BS55">
            <v>8.5</v>
          </cell>
          <cell r="BT55">
            <v>7</v>
          </cell>
          <cell r="BU55">
            <v>24</v>
          </cell>
          <cell r="BY55">
            <v>3482.5466666666662</v>
          </cell>
          <cell r="CP55" t="str">
            <v>2603/10</v>
          </cell>
          <cell r="CQ55">
            <v>40462</v>
          </cell>
          <cell r="CR55">
            <v>40641</v>
          </cell>
          <cell r="CS55" t="str">
            <v>2010-0.270.453-3</v>
          </cell>
          <cell r="CT55" t="str">
            <v>CLAUDINEI APARECIDO DOS REIS</v>
          </cell>
          <cell r="CU55">
            <v>14774617873</v>
          </cell>
          <cell r="CV55">
            <v>114090</v>
          </cell>
          <cell r="CW55">
            <v>6152.7919999999995</v>
          </cell>
          <cell r="CX55">
            <v>166.125384</v>
          </cell>
          <cell r="CY55">
            <v>30.763959999999997</v>
          </cell>
          <cell r="CZ55">
            <v>3691.6751999999997</v>
          </cell>
          <cell r="DA55">
            <v>325.00691999999992</v>
          </cell>
          <cell r="DD55">
            <v>325.00691999999992</v>
          </cell>
        </row>
        <row r="56">
          <cell r="C56" t="str">
            <v>2308/10</v>
          </cell>
          <cell r="D56" t="str">
            <v>01/01 A 31/01/11</v>
          </cell>
          <cell r="E56" t="str">
            <v>CLOVES JOSE DE ALMEIDA</v>
          </cell>
          <cell r="F56" t="str">
            <v>EMEF</v>
          </cell>
          <cell r="G56">
            <v>16</v>
          </cell>
          <cell r="H56">
            <v>16</v>
          </cell>
          <cell r="I56">
            <v>15</v>
          </cell>
          <cell r="J56">
            <v>93386</v>
          </cell>
          <cell r="K56">
            <v>25</v>
          </cell>
          <cell r="L56">
            <v>27</v>
          </cell>
          <cell r="M56">
            <v>0</v>
          </cell>
          <cell r="N56">
            <v>93386</v>
          </cell>
          <cell r="O56">
            <v>27</v>
          </cell>
          <cell r="P56">
            <v>27</v>
          </cell>
          <cell r="Q56">
            <v>0</v>
          </cell>
          <cell r="R56">
            <v>18546</v>
          </cell>
          <cell r="S56">
            <v>40</v>
          </cell>
          <cell r="T56">
            <v>42</v>
          </cell>
          <cell r="U56">
            <v>0</v>
          </cell>
          <cell r="W56">
            <v>1</v>
          </cell>
          <cell r="Y56">
            <v>1</v>
          </cell>
          <cell r="AA56">
            <v>1</v>
          </cell>
          <cell r="AB56">
            <v>0</v>
          </cell>
          <cell r="AE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0.33333333333333331</v>
          </cell>
          <cell r="AK56">
            <v>6</v>
          </cell>
          <cell r="AL56">
            <v>16</v>
          </cell>
          <cell r="AM56">
            <v>30</v>
          </cell>
          <cell r="AN56">
            <v>22</v>
          </cell>
          <cell r="AO56">
            <v>92</v>
          </cell>
          <cell r="AP56">
            <v>96</v>
          </cell>
          <cell r="AS56">
            <v>2007</v>
          </cell>
          <cell r="AT56">
            <v>29</v>
          </cell>
          <cell r="AU56">
            <v>27</v>
          </cell>
          <cell r="AV56">
            <v>92</v>
          </cell>
          <cell r="AW56">
            <v>0.25</v>
          </cell>
          <cell r="AX56">
            <v>1472</v>
          </cell>
          <cell r="AY56">
            <v>368</v>
          </cell>
          <cell r="AZ56">
            <v>36.880000000000003</v>
          </cell>
          <cell r="BA56">
            <v>27</v>
          </cell>
          <cell r="BB56">
            <v>730.22400000000005</v>
          </cell>
          <cell r="BC56">
            <v>36.880000000000003</v>
          </cell>
          <cell r="BD56">
            <v>27</v>
          </cell>
          <cell r="BE56">
            <v>730.22400000000005</v>
          </cell>
          <cell r="BF56">
            <v>36.880000000000003</v>
          </cell>
          <cell r="BG56">
            <v>42</v>
          </cell>
          <cell r="BH56">
            <v>1135.904</v>
          </cell>
          <cell r="BI56">
            <v>0</v>
          </cell>
          <cell r="BJ56">
            <v>0</v>
          </cell>
          <cell r="BK56">
            <v>2596.3519999999999</v>
          </cell>
          <cell r="BL56">
            <v>3618.12</v>
          </cell>
          <cell r="BM56">
            <v>3618.12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10</v>
          </cell>
          <cell r="BU56">
            <v>10</v>
          </cell>
          <cell r="BY56">
            <v>6572.4719999999998</v>
          </cell>
          <cell r="CP56" t="str">
            <v>2604/10</v>
          </cell>
          <cell r="CQ56">
            <v>40462</v>
          </cell>
          <cell r="CR56">
            <v>40641</v>
          </cell>
          <cell r="CS56" t="str">
            <v>2010-0.270.455-0</v>
          </cell>
          <cell r="CT56" t="str">
            <v>CLAUDIO ALEXANDRE SILVA</v>
          </cell>
          <cell r="CU56">
            <v>18860195845</v>
          </cell>
          <cell r="CV56">
            <v>114092</v>
          </cell>
          <cell r="CW56">
            <v>4036.6533333333336</v>
          </cell>
          <cell r="CX56">
            <v>108.98964000000002</v>
          </cell>
          <cell r="CY56">
            <v>20.183266666666668</v>
          </cell>
          <cell r="CZ56">
            <v>2421.9920000000002</v>
          </cell>
          <cell r="DA56">
            <v>82.358800000000031</v>
          </cell>
          <cell r="DD56">
            <v>82.358800000000031</v>
          </cell>
        </row>
        <row r="57">
          <cell r="C57" t="str">
            <v>1978/10</v>
          </cell>
          <cell r="D57" t="str">
            <v>01/01 A 31/01/11</v>
          </cell>
          <cell r="E57" t="str">
            <v>DALMO PEDRO DE CARVALHO</v>
          </cell>
          <cell r="F57" t="str">
            <v>EMEF</v>
          </cell>
          <cell r="G57">
            <v>15</v>
          </cell>
          <cell r="H57">
            <v>15</v>
          </cell>
          <cell r="I57">
            <v>15</v>
          </cell>
          <cell r="J57">
            <v>99791</v>
          </cell>
          <cell r="K57">
            <v>49</v>
          </cell>
          <cell r="L57">
            <v>26</v>
          </cell>
          <cell r="M57">
            <v>0</v>
          </cell>
          <cell r="N57">
            <v>99791</v>
          </cell>
          <cell r="O57">
            <v>41</v>
          </cell>
          <cell r="P57">
            <v>27</v>
          </cell>
          <cell r="Q57">
            <v>0</v>
          </cell>
          <cell r="R57">
            <v>99791</v>
          </cell>
          <cell r="S57">
            <v>14</v>
          </cell>
          <cell r="T57">
            <v>8</v>
          </cell>
          <cell r="U57">
            <v>0</v>
          </cell>
          <cell r="W57">
            <v>1</v>
          </cell>
          <cell r="Y57">
            <v>1</v>
          </cell>
          <cell r="AA57">
            <v>1</v>
          </cell>
          <cell r="AB57">
            <v>0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8</v>
          </cell>
          <cell r="AL57">
            <v>16</v>
          </cell>
          <cell r="AM57">
            <v>30</v>
          </cell>
          <cell r="AN57">
            <v>22</v>
          </cell>
          <cell r="AO57">
            <v>104</v>
          </cell>
          <cell r="AP57">
            <v>61</v>
          </cell>
          <cell r="AS57">
            <v>2007</v>
          </cell>
          <cell r="AT57">
            <v>29</v>
          </cell>
          <cell r="AU57">
            <v>27</v>
          </cell>
          <cell r="AV57">
            <v>104</v>
          </cell>
          <cell r="AW57">
            <v>0.25</v>
          </cell>
          <cell r="AX57">
            <v>1664</v>
          </cell>
          <cell r="AY57">
            <v>416</v>
          </cell>
          <cell r="AZ57">
            <v>36.880000000000003</v>
          </cell>
          <cell r="BA57">
            <v>26</v>
          </cell>
          <cell r="BB57">
            <v>703.1786666666668</v>
          </cell>
          <cell r="BC57">
            <v>36.880000000000003</v>
          </cell>
          <cell r="BD57">
            <v>27</v>
          </cell>
          <cell r="BE57">
            <v>730.22400000000005</v>
          </cell>
          <cell r="BF57">
            <v>36.880000000000003</v>
          </cell>
          <cell r="BG57">
            <v>8</v>
          </cell>
          <cell r="BH57">
            <v>216.36266666666668</v>
          </cell>
          <cell r="BI57">
            <v>0</v>
          </cell>
          <cell r="BJ57">
            <v>0</v>
          </cell>
          <cell r="BK57">
            <v>1649.7653333333335</v>
          </cell>
          <cell r="BL57">
            <v>3618.12</v>
          </cell>
          <cell r="BM57">
            <v>3618.12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12.25</v>
          </cell>
          <cell r="BS57">
            <v>10.25</v>
          </cell>
          <cell r="BT57">
            <v>3.5</v>
          </cell>
          <cell r="BU57">
            <v>26</v>
          </cell>
          <cell r="BY57">
            <v>5657.8853333333336</v>
          </cell>
          <cell r="CP57" t="str">
            <v>1780/10</v>
          </cell>
          <cell r="CQ57">
            <v>40427</v>
          </cell>
          <cell r="CR57">
            <v>40606</v>
          </cell>
          <cell r="CS57" t="str">
            <v>2010-0.224.928-3</v>
          </cell>
          <cell r="CT57" t="str">
            <v>CLEUSA APARECIDA JORDAN</v>
          </cell>
          <cell r="CU57" t="str">
            <v>049.154.408-18</v>
          </cell>
          <cell r="CV57">
            <v>96911</v>
          </cell>
          <cell r="CW57">
            <v>5960.2479999999996</v>
          </cell>
          <cell r="CX57">
            <v>160.92669600000002</v>
          </cell>
          <cell r="CY57">
            <v>29.801240000000004</v>
          </cell>
          <cell r="CZ57">
            <v>3576.1487999999995</v>
          </cell>
          <cell r="DA57">
            <v>299.01347999999984</v>
          </cell>
          <cell r="DD57">
            <v>299.01347999999984</v>
          </cell>
        </row>
        <row r="58">
          <cell r="C58" t="str">
            <v>2431/10</v>
          </cell>
          <cell r="D58" t="str">
            <v>01/01 A 31/01/11</v>
          </cell>
          <cell r="E58" t="str">
            <v>DALVA ISILDA UDINAL DOS SANTOS</v>
          </cell>
          <cell r="F58" t="str">
            <v>EMEI</v>
          </cell>
          <cell r="G58">
            <v>15</v>
          </cell>
          <cell r="H58">
            <v>15</v>
          </cell>
          <cell r="I58">
            <v>15</v>
          </cell>
          <cell r="J58">
            <v>19323</v>
          </cell>
          <cell r="K58">
            <v>23</v>
          </cell>
          <cell r="L58">
            <v>23</v>
          </cell>
          <cell r="M58">
            <v>0</v>
          </cell>
          <cell r="N58">
            <v>19323</v>
          </cell>
          <cell r="O58">
            <v>25</v>
          </cell>
          <cell r="P58">
            <v>23</v>
          </cell>
          <cell r="Q58">
            <v>0</v>
          </cell>
          <cell r="R58">
            <v>19323</v>
          </cell>
          <cell r="S58">
            <v>23</v>
          </cell>
          <cell r="T58">
            <v>23</v>
          </cell>
          <cell r="U58">
            <v>0</v>
          </cell>
          <cell r="W58">
            <v>1</v>
          </cell>
          <cell r="Y58">
            <v>1</v>
          </cell>
          <cell r="AA58">
            <v>1</v>
          </cell>
          <cell r="AB58">
            <v>0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17</v>
          </cell>
          <cell r="AL58">
            <v>16</v>
          </cell>
          <cell r="AM58">
            <v>30</v>
          </cell>
          <cell r="AN58">
            <v>22</v>
          </cell>
          <cell r="AO58">
            <v>71</v>
          </cell>
          <cell r="AP58">
            <v>69</v>
          </cell>
          <cell r="AS58">
            <v>2002</v>
          </cell>
          <cell r="AT58">
            <v>25</v>
          </cell>
          <cell r="AU58">
            <v>23</v>
          </cell>
          <cell r="AV58">
            <v>71</v>
          </cell>
          <cell r="AW58">
            <v>0.25</v>
          </cell>
          <cell r="AX58">
            <v>1136</v>
          </cell>
          <cell r="AY58">
            <v>284</v>
          </cell>
          <cell r="AZ58">
            <v>36.880000000000003</v>
          </cell>
          <cell r="BA58">
            <v>23</v>
          </cell>
          <cell r="BB58">
            <v>622.04266666666672</v>
          </cell>
          <cell r="BC58">
            <v>36.880000000000003</v>
          </cell>
          <cell r="BD58">
            <v>23</v>
          </cell>
          <cell r="BE58">
            <v>622.04266666666672</v>
          </cell>
          <cell r="BF58">
            <v>36.880000000000003</v>
          </cell>
          <cell r="BG58">
            <v>23</v>
          </cell>
          <cell r="BH58">
            <v>622.04266666666672</v>
          </cell>
          <cell r="BI58">
            <v>0</v>
          </cell>
          <cell r="BJ58">
            <v>0</v>
          </cell>
          <cell r="BK58">
            <v>1866.1280000000002</v>
          </cell>
          <cell r="BL58">
            <v>3073.24</v>
          </cell>
          <cell r="BM58">
            <v>3073.24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5.75</v>
          </cell>
          <cell r="BS58">
            <v>6.25</v>
          </cell>
          <cell r="BT58">
            <v>5.75</v>
          </cell>
          <cell r="BU58">
            <v>17.75</v>
          </cell>
          <cell r="BY58">
            <v>5205.6180000000004</v>
          </cell>
          <cell r="CP58" t="str">
            <v>2103/10</v>
          </cell>
          <cell r="CQ58">
            <v>40448</v>
          </cell>
          <cell r="CR58">
            <v>40627</v>
          </cell>
          <cell r="CS58" t="str">
            <v>2010-0.236.657-3</v>
          </cell>
          <cell r="CT58" t="str">
            <v>CLICIA DA SILVA WEGE</v>
          </cell>
          <cell r="CU58" t="str">
            <v>086.125.618-25</v>
          </cell>
          <cell r="CV58">
            <v>105952</v>
          </cell>
          <cell r="CW58">
            <v>3482.5466666666662</v>
          </cell>
          <cell r="CX58">
            <v>94.028760000000005</v>
          </cell>
          <cell r="CY58">
            <v>17.412733333333332</v>
          </cell>
          <cell r="CZ58">
            <v>2089.5279999999998</v>
          </cell>
          <cell r="DA58">
            <v>44.284599999999983</v>
          </cell>
          <cell r="DD58">
            <v>32.489199999999983</v>
          </cell>
        </row>
        <row r="59">
          <cell r="C59" t="str">
            <v>2461/10</v>
          </cell>
          <cell r="D59" t="str">
            <v>01/01 A 31/01/11</v>
          </cell>
          <cell r="E59" t="str">
            <v>DANIEL DE SOUSA RODRIGUES</v>
          </cell>
          <cell r="F59" t="str">
            <v>EMEF</v>
          </cell>
          <cell r="G59">
            <v>16</v>
          </cell>
          <cell r="H59">
            <v>16</v>
          </cell>
          <cell r="I59">
            <v>16</v>
          </cell>
          <cell r="J59">
            <v>12688</v>
          </cell>
          <cell r="K59">
            <v>42</v>
          </cell>
          <cell r="L59">
            <v>27</v>
          </cell>
          <cell r="M59">
            <v>0</v>
          </cell>
          <cell r="N59">
            <v>12688</v>
          </cell>
          <cell r="O59">
            <v>45</v>
          </cell>
          <cell r="P59">
            <v>27</v>
          </cell>
          <cell r="Q59">
            <v>0</v>
          </cell>
          <cell r="R59">
            <v>12688</v>
          </cell>
          <cell r="S59">
            <v>28</v>
          </cell>
          <cell r="T59">
            <v>27</v>
          </cell>
          <cell r="U59">
            <v>0</v>
          </cell>
          <cell r="W59">
            <v>1</v>
          </cell>
          <cell r="Y59">
            <v>1</v>
          </cell>
          <cell r="AA59">
            <v>1</v>
          </cell>
          <cell r="AB59">
            <v>0</v>
          </cell>
          <cell r="AE59">
            <v>1</v>
          </cell>
          <cell r="AG59">
            <v>1</v>
          </cell>
          <cell r="AI59">
            <v>1</v>
          </cell>
          <cell r="AJ59">
            <v>0</v>
          </cell>
          <cell r="AL59">
            <v>16</v>
          </cell>
          <cell r="AM59">
            <v>30</v>
          </cell>
          <cell r="AN59">
            <v>22</v>
          </cell>
          <cell r="AO59">
            <v>115</v>
          </cell>
          <cell r="AP59">
            <v>81</v>
          </cell>
          <cell r="AS59">
            <v>2007</v>
          </cell>
          <cell r="AT59">
            <v>29</v>
          </cell>
          <cell r="AU59">
            <v>27</v>
          </cell>
          <cell r="AV59">
            <v>115</v>
          </cell>
          <cell r="AW59">
            <v>0.25</v>
          </cell>
          <cell r="AX59">
            <v>1840</v>
          </cell>
          <cell r="AY59">
            <v>460</v>
          </cell>
          <cell r="AZ59">
            <v>36.880000000000003</v>
          </cell>
          <cell r="BA59">
            <v>27</v>
          </cell>
          <cell r="BB59">
            <v>730.22400000000005</v>
          </cell>
          <cell r="BC59">
            <v>36.880000000000003</v>
          </cell>
          <cell r="BD59">
            <v>27</v>
          </cell>
          <cell r="BE59">
            <v>730.22400000000005</v>
          </cell>
          <cell r="BF59">
            <v>36.880000000000003</v>
          </cell>
          <cell r="BG59">
            <v>27</v>
          </cell>
          <cell r="BH59">
            <v>730.22400000000005</v>
          </cell>
          <cell r="BI59">
            <v>0</v>
          </cell>
          <cell r="BJ59">
            <v>0</v>
          </cell>
          <cell r="BK59">
            <v>2190.672</v>
          </cell>
          <cell r="BL59">
            <v>3618.12</v>
          </cell>
          <cell r="BM59">
            <v>3618.12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Y59">
            <v>6268.7919999999995</v>
          </cell>
          <cell r="CP59" t="str">
            <v>2308/10</v>
          </cell>
          <cell r="CQ59">
            <v>40448</v>
          </cell>
          <cell r="CR59">
            <v>40627</v>
          </cell>
          <cell r="CS59" t="str">
            <v>2010-0.245.439-1</v>
          </cell>
          <cell r="CT59" t="str">
            <v>CLOVES JOSE DE ALMEIDA</v>
          </cell>
          <cell r="CU59">
            <v>16624489880</v>
          </cell>
          <cell r="CV59">
            <v>106371</v>
          </cell>
          <cell r="CW59">
            <v>6572.4719999999998</v>
          </cell>
          <cell r="CX59">
            <v>177.45674400000001</v>
          </cell>
          <cell r="CY59">
            <v>32.862360000000002</v>
          </cell>
          <cell r="CZ59">
            <v>3943.4831999999997</v>
          </cell>
          <cell r="DA59">
            <v>391.67787999999996</v>
          </cell>
          <cell r="DD59">
            <v>391.67787999999996</v>
          </cell>
        </row>
        <row r="60">
          <cell r="C60" t="str">
            <v>1705/10</v>
          </cell>
          <cell r="D60" t="str">
            <v>01/01 A 31/01/11</v>
          </cell>
          <cell r="E60" t="str">
            <v>DANIEL RODRIGUES KRAUZE</v>
          </cell>
          <cell r="F60" t="str">
            <v>EMEF / EMEI</v>
          </cell>
          <cell r="G60">
            <v>16</v>
          </cell>
          <cell r="H60">
            <v>16</v>
          </cell>
          <cell r="I60">
            <v>16</v>
          </cell>
          <cell r="J60">
            <v>19263</v>
          </cell>
          <cell r="K60">
            <v>77</v>
          </cell>
          <cell r="L60">
            <v>7</v>
          </cell>
          <cell r="M60">
            <v>1</v>
          </cell>
          <cell r="N60">
            <v>19198</v>
          </cell>
          <cell r="O60">
            <v>87</v>
          </cell>
          <cell r="P60">
            <v>4</v>
          </cell>
          <cell r="Q60">
            <v>1</v>
          </cell>
          <cell r="R60">
            <v>19198</v>
          </cell>
          <cell r="S60">
            <v>67</v>
          </cell>
          <cell r="T60">
            <v>2</v>
          </cell>
          <cell r="U60">
            <v>2</v>
          </cell>
          <cell r="W60">
            <v>1</v>
          </cell>
          <cell r="Y60">
            <v>1</v>
          </cell>
          <cell r="AA60">
            <v>1</v>
          </cell>
          <cell r="AB60">
            <v>0</v>
          </cell>
          <cell r="AE60">
            <v>1</v>
          </cell>
          <cell r="AG60">
            <v>1</v>
          </cell>
          <cell r="AI60">
            <v>1</v>
          </cell>
          <cell r="AJ60">
            <v>0</v>
          </cell>
          <cell r="AL60">
            <v>16</v>
          </cell>
          <cell r="AM60">
            <v>30</v>
          </cell>
          <cell r="AN60">
            <v>22</v>
          </cell>
          <cell r="AO60">
            <v>231</v>
          </cell>
          <cell r="AP60">
            <v>17</v>
          </cell>
          <cell r="AS60">
            <v>2010</v>
          </cell>
          <cell r="AT60">
            <v>10</v>
          </cell>
          <cell r="AU60">
            <v>9</v>
          </cell>
          <cell r="AV60">
            <v>231</v>
          </cell>
          <cell r="AW60">
            <v>0.25</v>
          </cell>
          <cell r="AX60">
            <v>3696</v>
          </cell>
          <cell r="AY60">
            <v>924</v>
          </cell>
          <cell r="AZ60">
            <v>36.880000000000003</v>
          </cell>
          <cell r="BA60">
            <v>13</v>
          </cell>
          <cell r="BB60">
            <v>351.5893333333334</v>
          </cell>
          <cell r="BC60">
            <v>2290.25</v>
          </cell>
          <cell r="BD60">
            <v>4</v>
          </cell>
          <cell r="BE60">
            <v>1679.5166666666667</v>
          </cell>
          <cell r="BF60">
            <v>0</v>
          </cell>
          <cell r="BG60">
            <v>2</v>
          </cell>
          <cell r="BH60">
            <v>0</v>
          </cell>
          <cell r="BI60">
            <v>4</v>
          </cell>
          <cell r="BJ60">
            <v>0</v>
          </cell>
          <cell r="BK60">
            <v>2031.106</v>
          </cell>
          <cell r="BL60">
            <v>3945.03</v>
          </cell>
          <cell r="BM60">
            <v>3945.03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Y60">
            <v>6900.1360000000004</v>
          </cell>
          <cell r="CP60" t="str">
            <v>1978/10</v>
          </cell>
          <cell r="CQ60">
            <v>40441</v>
          </cell>
          <cell r="CR60">
            <v>40620</v>
          </cell>
          <cell r="CS60" t="str">
            <v>2010-0.230.865-4</v>
          </cell>
          <cell r="CT60" t="str">
            <v>DALMO PEDRO DE CARVALHO</v>
          </cell>
          <cell r="CU60">
            <v>34609784653</v>
          </cell>
          <cell r="CV60">
            <v>104894</v>
          </cell>
          <cell r="CW60">
            <v>5657.8853333333336</v>
          </cell>
          <cell r="CX60">
            <v>152.76290400000002</v>
          </cell>
          <cell r="CY60">
            <v>28.289426666666671</v>
          </cell>
          <cell r="CZ60">
            <v>3394.7312000000002</v>
          </cell>
          <cell r="DA60">
            <v>258.19452000000001</v>
          </cell>
          <cell r="DD60">
            <v>258.19452000000001</v>
          </cell>
        </row>
        <row r="61">
          <cell r="C61" t="str">
            <v>2809/10</v>
          </cell>
          <cell r="D61" t="str">
            <v>01/01 A 31/01/11</v>
          </cell>
          <cell r="E61" t="str">
            <v>DARIO ALVES DOS SANTOS FILHO</v>
          </cell>
          <cell r="F61" t="str">
            <v>EMEI</v>
          </cell>
          <cell r="G61">
            <v>16</v>
          </cell>
          <cell r="H61">
            <v>16</v>
          </cell>
          <cell r="I61">
            <v>16</v>
          </cell>
          <cell r="J61">
            <v>493</v>
          </cell>
          <cell r="K61">
            <v>34</v>
          </cell>
          <cell r="L61">
            <v>23</v>
          </cell>
          <cell r="M61">
            <v>0</v>
          </cell>
          <cell r="N61">
            <v>493</v>
          </cell>
          <cell r="O61">
            <v>31</v>
          </cell>
          <cell r="P61">
            <v>22</v>
          </cell>
          <cell r="Q61">
            <v>0</v>
          </cell>
          <cell r="R61">
            <v>493</v>
          </cell>
          <cell r="S61">
            <v>36</v>
          </cell>
          <cell r="T61">
            <v>23</v>
          </cell>
          <cell r="U61">
            <v>0</v>
          </cell>
          <cell r="W61">
            <v>1</v>
          </cell>
          <cell r="Y61">
            <v>1</v>
          </cell>
          <cell r="AA61">
            <v>1</v>
          </cell>
          <cell r="AB61">
            <v>0</v>
          </cell>
          <cell r="AE61">
            <v>1</v>
          </cell>
          <cell r="AG61">
            <v>1</v>
          </cell>
          <cell r="AI61">
            <v>1</v>
          </cell>
          <cell r="AJ61">
            <v>0</v>
          </cell>
          <cell r="AL61">
            <v>16</v>
          </cell>
          <cell r="AM61">
            <v>30</v>
          </cell>
          <cell r="AN61">
            <v>22</v>
          </cell>
          <cell r="AO61">
            <v>101</v>
          </cell>
          <cell r="AP61">
            <v>68</v>
          </cell>
          <cell r="AS61">
            <v>2006</v>
          </cell>
          <cell r="AT61">
            <v>25</v>
          </cell>
          <cell r="AU61">
            <v>23</v>
          </cell>
          <cell r="AV61">
            <v>101</v>
          </cell>
          <cell r="AW61">
            <v>0.25</v>
          </cell>
          <cell r="AX61">
            <v>1616</v>
          </cell>
          <cell r="AY61">
            <v>404</v>
          </cell>
          <cell r="AZ61">
            <v>36.880000000000003</v>
          </cell>
          <cell r="BA61">
            <v>23</v>
          </cell>
          <cell r="BB61">
            <v>622.04266666666672</v>
          </cell>
          <cell r="BC61">
            <v>36.880000000000003</v>
          </cell>
          <cell r="BD61">
            <v>22</v>
          </cell>
          <cell r="BE61">
            <v>594.99733333333336</v>
          </cell>
          <cell r="BF61">
            <v>36.880000000000003</v>
          </cell>
          <cell r="BG61">
            <v>23</v>
          </cell>
          <cell r="BH61">
            <v>622.04266666666672</v>
          </cell>
          <cell r="BI61">
            <v>0</v>
          </cell>
          <cell r="BJ61">
            <v>0</v>
          </cell>
          <cell r="BK61">
            <v>1839.0826666666667</v>
          </cell>
          <cell r="BL61">
            <v>3509.14</v>
          </cell>
          <cell r="BM61">
            <v>3509.14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Y61">
            <v>5752.2226666666666</v>
          </cell>
          <cell r="CP61" t="str">
            <v>2431/10</v>
          </cell>
          <cell r="CQ61">
            <v>40455</v>
          </cell>
          <cell r="CR61">
            <v>40634</v>
          </cell>
          <cell r="CS61" t="str">
            <v>2010-0.267.134-1</v>
          </cell>
          <cell r="CT61" t="str">
            <v>DALVA ISILDA UDINAL DOS SANTOS</v>
          </cell>
          <cell r="CU61">
            <v>17484550876</v>
          </cell>
          <cell r="CV61">
            <v>111869</v>
          </cell>
          <cell r="CW61">
            <v>5205.6180000000004</v>
          </cell>
          <cell r="CX61">
            <v>140.55168600000002</v>
          </cell>
          <cell r="CY61">
            <v>26.028090000000006</v>
          </cell>
          <cell r="CZ61">
            <v>3123.3708000000001</v>
          </cell>
          <cell r="DA61">
            <v>197.13843000000008</v>
          </cell>
          <cell r="DD61">
            <v>197.13843000000008</v>
          </cell>
        </row>
        <row r="62">
          <cell r="C62" t="str">
            <v>2104/10</v>
          </cell>
          <cell r="D62" t="str">
            <v>01/01 A 31/01/11</v>
          </cell>
          <cell r="E62" t="str">
            <v>DAVID HESSEL PONTES</v>
          </cell>
          <cell r="F62" t="str">
            <v>EMEF</v>
          </cell>
          <cell r="G62">
            <v>16</v>
          </cell>
          <cell r="H62">
            <v>16</v>
          </cell>
          <cell r="I62">
            <v>16</v>
          </cell>
          <cell r="J62">
            <v>19305</v>
          </cell>
          <cell r="K62">
            <v>39</v>
          </cell>
          <cell r="L62">
            <v>27</v>
          </cell>
          <cell r="M62">
            <v>0</v>
          </cell>
          <cell r="N62">
            <v>19305</v>
          </cell>
          <cell r="O62">
            <v>35</v>
          </cell>
          <cell r="P62">
            <v>27</v>
          </cell>
          <cell r="Q62">
            <v>0</v>
          </cell>
          <cell r="R62">
            <v>18546</v>
          </cell>
          <cell r="S62">
            <v>23</v>
          </cell>
          <cell r="T62">
            <v>27</v>
          </cell>
          <cell r="U62">
            <v>0</v>
          </cell>
          <cell r="W62">
            <v>1</v>
          </cell>
          <cell r="Y62">
            <v>1</v>
          </cell>
          <cell r="AA62">
            <v>1</v>
          </cell>
          <cell r="AB62">
            <v>0</v>
          </cell>
          <cell r="AE62">
            <v>1</v>
          </cell>
          <cell r="AG62">
            <v>1</v>
          </cell>
          <cell r="AI62">
            <v>1</v>
          </cell>
          <cell r="AJ62">
            <v>0</v>
          </cell>
          <cell r="AL62">
            <v>16</v>
          </cell>
          <cell r="AM62">
            <v>30</v>
          </cell>
          <cell r="AN62">
            <v>22</v>
          </cell>
          <cell r="AO62">
            <v>97</v>
          </cell>
          <cell r="AP62">
            <v>81</v>
          </cell>
          <cell r="AS62">
            <v>2008</v>
          </cell>
          <cell r="AT62">
            <v>29</v>
          </cell>
          <cell r="AU62">
            <v>27</v>
          </cell>
          <cell r="AV62">
            <v>97</v>
          </cell>
          <cell r="AW62">
            <v>0.25</v>
          </cell>
          <cell r="AX62">
            <v>1552</v>
          </cell>
          <cell r="AY62">
            <v>388</v>
          </cell>
          <cell r="AZ62">
            <v>36.880000000000003</v>
          </cell>
          <cell r="BA62">
            <v>27</v>
          </cell>
          <cell r="BB62">
            <v>730.22400000000005</v>
          </cell>
          <cell r="BC62">
            <v>36.880000000000003</v>
          </cell>
          <cell r="BD62">
            <v>27</v>
          </cell>
          <cell r="BE62">
            <v>730.22400000000005</v>
          </cell>
          <cell r="BF62">
            <v>36.880000000000003</v>
          </cell>
          <cell r="BG62">
            <v>27</v>
          </cell>
          <cell r="BH62">
            <v>730.22400000000005</v>
          </cell>
          <cell r="BI62">
            <v>0</v>
          </cell>
          <cell r="BJ62">
            <v>0</v>
          </cell>
          <cell r="BK62">
            <v>2190.672</v>
          </cell>
          <cell r="BL62">
            <v>3727.1</v>
          </cell>
          <cell r="BM62">
            <v>3727.1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Y62">
            <v>6305.7720000000008</v>
          </cell>
          <cell r="CP62" t="str">
            <v>2461/10</v>
          </cell>
          <cell r="CQ62">
            <v>40455</v>
          </cell>
          <cell r="CR62">
            <v>40634</v>
          </cell>
          <cell r="CS62" t="str">
            <v>2010-0.267.278-0</v>
          </cell>
          <cell r="CT62" t="str">
            <v>DANIEL DE SOUSA RODRIGUES</v>
          </cell>
          <cell r="CU62">
            <v>50605720304</v>
          </cell>
          <cell r="CV62">
            <v>111870</v>
          </cell>
          <cell r="CW62">
            <v>6268.7919999999995</v>
          </cell>
          <cell r="CX62">
            <v>169.257384</v>
          </cell>
          <cell r="CY62">
            <v>31.343959999999999</v>
          </cell>
          <cell r="CZ62">
            <v>3761.2751999999996</v>
          </cell>
          <cell r="DA62">
            <v>341.57068000000004</v>
          </cell>
          <cell r="DD62">
            <v>341.57068000000004</v>
          </cell>
        </row>
        <row r="63">
          <cell r="C63" t="str">
            <v>2785/10</v>
          </cell>
          <cell r="D63" t="str">
            <v>01/01 A 31/01/11</v>
          </cell>
          <cell r="E63" t="str">
            <v>DELVAI CANGUSSU DA SILVA</v>
          </cell>
          <cell r="F63" t="str">
            <v>EMEF</v>
          </cell>
          <cell r="G63">
            <v>16</v>
          </cell>
          <cell r="H63">
            <v>16</v>
          </cell>
          <cell r="I63">
            <v>16</v>
          </cell>
          <cell r="J63">
            <v>19436</v>
          </cell>
          <cell r="K63">
            <v>31</v>
          </cell>
          <cell r="L63">
            <v>26</v>
          </cell>
          <cell r="M63">
            <v>0</v>
          </cell>
          <cell r="N63">
            <v>19436</v>
          </cell>
          <cell r="O63">
            <v>37</v>
          </cell>
          <cell r="P63">
            <v>27</v>
          </cell>
          <cell r="Q63">
            <v>0</v>
          </cell>
          <cell r="R63">
            <v>19436</v>
          </cell>
          <cell r="S63">
            <v>27</v>
          </cell>
          <cell r="T63">
            <v>27</v>
          </cell>
          <cell r="U63">
            <v>0</v>
          </cell>
          <cell r="W63">
            <v>1</v>
          </cell>
          <cell r="Y63">
            <v>1</v>
          </cell>
          <cell r="AA63">
            <v>1</v>
          </cell>
          <cell r="AB63">
            <v>0</v>
          </cell>
          <cell r="AE63">
            <v>1</v>
          </cell>
          <cell r="AG63">
            <v>1</v>
          </cell>
          <cell r="AI63">
            <v>1</v>
          </cell>
          <cell r="AJ63">
            <v>0</v>
          </cell>
          <cell r="AL63">
            <v>16</v>
          </cell>
          <cell r="AM63">
            <v>30</v>
          </cell>
          <cell r="AN63">
            <v>22</v>
          </cell>
          <cell r="AO63">
            <v>95</v>
          </cell>
          <cell r="AP63">
            <v>80</v>
          </cell>
          <cell r="AS63">
            <v>2007</v>
          </cell>
          <cell r="AT63">
            <v>29</v>
          </cell>
          <cell r="AU63">
            <v>27</v>
          </cell>
          <cell r="AV63">
            <v>95</v>
          </cell>
          <cell r="AW63">
            <v>0.25</v>
          </cell>
          <cell r="AX63">
            <v>1520</v>
          </cell>
          <cell r="AY63">
            <v>380</v>
          </cell>
          <cell r="AZ63">
            <v>36.880000000000003</v>
          </cell>
          <cell r="BA63">
            <v>26</v>
          </cell>
          <cell r="BB63">
            <v>703.1786666666668</v>
          </cell>
          <cell r="BC63">
            <v>36.880000000000003</v>
          </cell>
          <cell r="BD63">
            <v>27</v>
          </cell>
          <cell r="BE63">
            <v>730.22400000000005</v>
          </cell>
          <cell r="BF63">
            <v>36.880000000000003</v>
          </cell>
          <cell r="BG63">
            <v>27</v>
          </cell>
          <cell r="BH63">
            <v>730.22400000000005</v>
          </cell>
          <cell r="BI63">
            <v>0</v>
          </cell>
          <cell r="BJ63">
            <v>0</v>
          </cell>
          <cell r="BK63">
            <v>2163.626666666667</v>
          </cell>
          <cell r="BL63">
            <v>3618.12</v>
          </cell>
          <cell r="BM63">
            <v>3618.12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Y63">
            <v>6161.7466666666669</v>
          </cell>
          <cell r="CP63" t="str">
            <v>1705/10</v>
          </cell>
          <cell r="CQ63">
            <v>40387</v>
          </cell>
          <cell r="CR63">
            <v>40566</v>
          </cell>
          <cell r="CS63" t="str">
            <v>2010-0.205.394-0</v>
          </cell>
          <cell r="CT63" t="str">
            <v>DANIEL RODRIGUES KRAUZE</v>
          </cell>
          <cell r="CU63" t="str">
            <v>282.625.678-54</v>
          </cell>
          <cell r="CV63">
            <v>89561</v>
          </cell>
          <cell r="CW63">
            <v>6900.1360000000004</v>
          </cell>
          <cell r="CX63">
            <v>186.30367200000003</v>
          </cell>
          <cell r="CY63">
            <v>34.50068000000001</v>
          </cell>
          <cell r="CZ63">
            <v>4140.0816000000004</v>
          </cell>
          <cell r="DA63">
            <v>445.74244000000022</v>
          </cell>
          <cell r="DD63">
            <v>445.74244000000022</v>
          </cell>
        </row>
        <row r="64">
          <cell r="C64" t="str">
            <v>1599/10</v>
          </cell>
          <cell r="D64" t="str">
            <v>01/01 A 31/01/11</v>
          </cell>
          <cell r="E64" t="str">
            <v>DEOCLIDES RODRIGUES DE MOURA</v>
          </cell>
          <cell r="F64" t="str">
            <v>ADAPTADO</v>
          </cell>
          <cell r="G64">
            <v>16</v>
          </cell>
          <cell r="H64">
            <v>16</v>
          </cell>
          <cell r="I64">
            <v>16</v>
          </cell>
          <cell r="J64">
            <v>19313</v>
          </cell>
          <cell r="K64">
            <v>37</v>
          </cell>
          <cell r="L64">
            <v>8</v>
          </cell>
          <cell r="M64">
            <v>2</v>
          </cell>
          <cell r="N64">
            <v>19313</v>
          </cell>
          <cell r="O64">
            <v>29</v>
          </cell>
          <cell r="P64">
            <v>7</v>
          </cell>
          <cell r="Q64">
            <v>0</v>
          </cell>
          <cell r="R64">
            <v>19313</v>
          </cell>
          <cell r="S64">
            <v>29</v>
          </cell>
          <cell r="T64">
            <v>3</v>
          </cell>
          <cell r="U64">
            <v>5</v>
          </cell>
          <cell r="W64">
            <v>1</v>
          </cell>
          <cell r="Y64">
            <v>1</v>
          </cell>
          <cell r="AA64">
            <v>1</v>
          </cell>
          <cell r="AB64">
            <v>0</v>
          </cell>
          <cell r="AE64">
            <v>1</v>
          </cell>
          <cell r="AG64">
            <v>1</v>
          </cell>
          <cell r="AI64">
            <v>1</v>
          </cell>
          <cell r="AJ64">
            <v>0</v>
          </cell>
          <cell r="AL64">
            <v>16</v>
          </cell>
          <cell r="AM64">
            <v>30</v>
          </cell>
          <cell r="AN64">
            <v>22</v>
          </cell>
          <cell r="AO64">
            <v>95</v>
          </cell>
          <cell r="AP64">
            <v>25</v>
          </cell>
          <cell r="AS64">
            <v>2009</v>
          </cell>
          <cell r="AT64">
            <v>11</v>
          </cell>
          <cell r="AU64">
            <v>10</v>
          </cell>
          <cell r="AV64">
            <v>95</v>
          </cell>
          <cell r="AW64">
            <v>0.25</v>
          </cell>
          <cell r="AX64">
            <v>1520</v>
          </cell>
          <cell r="AY64">
            <v>380</v>
          </cell>
          <cell r="AZ64">
            <v>36.880000000000003</v>
          </cell>
          <cell r="BA64">
            <v>20</v>
          </cell>
          <cell r="BB64">
            <v>540.90666666666664</v>
          </cell>
          <cell r="BC64">
            <v>2290.25</v>
          </cell>
          <cell r="BD64">
            <v>5</v>
          </cell>
          <cell r="BE64">
            <v>1679.5166666666667</v>
          </cell>
          <cell r="BF64">
            <v>0</v>
          </cell>
          <cell r="BG64">
            <v>0</v>
          </cell>
          <cell r="BH64">
            <v>0</v>
          </cell>
          <cell r="BI64">
            <v>7</v>
          </cell>
          <cell r="BJ64">
            <v>0</v>
          </cell>
          <cell r="BK64">
            <v>2220.4233333333332</v>
          </cell>
          <cell r="BL64">
            <v>3945.03</v>
          </cell>
          <cell r="BM64">
            <v>3945.03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Y64">
            <v>6545.4533333333338</v>
          </cell>
          <cell r="CP64" t="str">
            <v>2809/10</v>
          </cell>
          <cell r="CQ64">
            <v>40476</v>
          </cell>
          <cell r="CR64">
            <v>40655</v>
          </cell>
          <cell r="CS64" t="str">
            <v>2010-0.278.002-7</v>
          </cell>
          <cell r="CT64" t="str">
            <v>DARIO ALVES DOS SANTOS FILHO</v>
          </cell>
          <cell r="CU64" t="str">
            <v>099.421.028-09</v>
          </cell>
          <cell r="CV64">
            <v>116229</v>
          </cell>
          <cell r="CW64">
            <v>5752.2226666666666</v>
          </cell>
          <cell r="CX64">
            <v>155.310012</v>
          </cell>
          <cell r="CY64">
            <v>28.761113333333334</v>
          </cell>
          <cell r="CZ64">
            <v>3451.3335999999999</v>
          </cell>
          <cell r="DA64">
            <v>270.93006000000003</v>
          </cell>
          <cell r="DD64">
            <v>270.93006000000003</v>
          </cell>
        </row>
        <row r="65">
          <cell r="C65" t="str">
            <v>2896/10</v>
          </cell>
          <cell r="D65" t="str">
            <v>01/01 A 31/01/11</v>
          </cell>
          <cell r="E65" t="str">
            <v>DOMINGOS PAULO BISPO</v>
          </cell>
          <cell r="F65" t="str">
            <v>EMEF</v>
          </cell>
          <cell r="G65">
            <v>16</v>
          </cell>
          <cell r="H65">
            <v>16</v>
          </cell>
          <cell r="I65">
            <v>16</v>
          </cell>
          <cell r="J65">
            <v>19313</v>
          </cell>
          <cell r="K65">
            <v>42</v>
          </cell>
          <cell r="L65">
            <v>27</v>
          </cell>
          <cell r="M65">
            <v>0</v>
          </cell>
          <cell r="N65">
            <v>19313</v>
          </cell>
          <cell r="O65">
            <v>31</v>
          </cell>
          <cell r="P65">
            <v>27</v>
          </cell>
          <cell r="Q65">
            <v>0</v>
          </cell>
          <cell r="R65">
            <v>19313</v>
          </cell>
          <cell r="S65">
            <v>32</v>
          </cell>
          <cell r="T65">
            <v>20</v>
          </cell>
          <cell r="U65">
            <v>0</v>
          </cell>
          <cell r="W65">
            <v>1</v>
          </cell>
          <cell r="Y65">
            <v>1</v>
          </cell>
          <cell r="AA65">
            <v>1</v>
          </cell>
          <cell r="AB65">
            <v>0</v>
          </cell>
          <cell r="AE65">
            <v>1</v>
          </cell>
          <cell r="AG65">
            <v>1</v>
          </cell>
          <cell r="AI65">
            <v>1</v>
          </cell>
          <cell r="AJ65">
            <v>0</v>
          </cell>
          <cell r="AL65">
            <v>16</v>
          </cell>
          <cell r="AM65">
            <v>30</v>
          </cell>
          <cell r="AN65">
            <v>22</v>
          </cell>
          <cell r="AO65">
            <v>105</v>
          </cell>
          <cell r="AP65">
            <v>74</v>
          </cell>
          <cell r="AS65">
            <v>2007</v>
          </cell>
          <cell r="AT65">
            <v>29</v>
          </cell>
          <cell r="AU65">
            <v>27</v>
          </cell>
          <cell r="AV65">
            <v>105</v>
          </cell>
          <cell r="AW65">
            <v>0.65</v>
          </cell>
          <cell r="AX65">
            <v>1680</v>
          </cell>
          <cell r="AY65">
            <v>1092</v>
          </cell>
          <cell r="AZ65">
            <v>48.26</v>
          </cell>
          <cell r="BA65">
            <v>27</v>
          </cell>
          <cell r="BB65">
            <v>955.548</v>
          </cell>
          <cell r="BC65">
            <v>48.26</v>
          </cell>
          <cell r="BD65">
            <v>27</v>
          </cell>
          <cell r="BE65">
            <v>955.548</v>
          </cell>
          <cell r="BF65">
            <v>48.26</v>
          </cell>
          <cell r="BG65">
            <v>20</v>
          </cell>
          <cell r="BH65">
            <v>707.81333333333328</v>
          </cell>
          <cell r="BI65">
            <v>0</v>
          </cell>
          <cell r="BJ65">
            <v>0</v>
          </cell>
          <cell r="BK65">
            <v>2618.9093333333331</v>
          </cell>
          <cell r="BL65">
            <v>2483</v>
          </cell>
          <cell r="BM65">
            <v>2483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Y65">
            <v>6193.9093333333331</v>
          </cell>
          <cell r="CP65" t="str">
            <v>2104/10</v>
          </cell>
          <cell r="CQ65">
            <v>40448</v>
          </cell>
          <cell r="CR65">
            <v>40627</v>
          </cell>
          <cell r="CS65" t="str">
            <v>2010-0.236.660-3</v>
          </cell>
          <cell r="CT65" t="str">
            <v>DAVID HESSEL PONTES</v>
          </cell>
          <cell r="CU65">
            <v>27281117825</v>
          </cell>
          <cell r="CV65">
            <v>105960</v>
          </cell>
          <cell r="CW65">
            <v>6305.7720000000008</v>
          </cell>
          <cell r="CX65">
            <v>170.25584400000005</v>
          </cell>
          <cell r="CY65">
            <v>31.528860000000009</v>
          </cell>
          <cell r="CZ65">
            <v>3783.4632000000001</v>
          </cell>
          <cell r="DA65">
            <v>347.6723800000002</v>
          </cell>
          <cell r="DD65">
            <v>347.6723800000002</v>
          </cell>
        </row>
        <row r="66">
          <cell r="C66" t="str">
            <v>2810/10</v>
          </cell>
          <cell r="D66" t="str">
            <v>01/01 A 31/01/11</v>
          </cell>
          <cell r="E66" t="str">
            <v>EDICARLOS ALVES DOS SANTOS</v>
          </cell>
          <cell r="F66" t="str">
            <v>EMEI</v>
          </cell>
          <cell r="G66">
            <v>15</v>
          </cell>
          <cell r="H66">
            <v>15</v>
          </cell>
          <cell r="I66">
            <v>15</v>
          </cell>
          <cell r="J66">
            <v>531</v>
          </cell>
          <cell r="K66">
            <v>50</v>
          </cell>
          <cell r="L66">
            <v>27</v>
          </cell>
          <cell r="M66">
            <v>0</v>
          </cell>
          <cell r="N66">
            <v>531</v>
          </cell>
          <cell r="O66">
            <v>46</v>
          </cell>
          <cell r="P66">
            <v>27</v>
          </cell>
          <cell r="Q66">
            <v>0</v>
          </cell>
          <cell r="R66">
            <v>531</v>
          </cell>
          <cell r="S66">
            <v>46</v>
          </cell>
          <cell r="T66">
            <v>27</v>
          </cell>
          <cell r="U66">
            <v>0</v>
          </cell>
          <cell r="W66">
            <v>1</v>
          </cell>
          <cell r="Y66">
            <v>1</v>
          </cell>
          <cell r="AA66">
            <v>1</v>
          </cell>
          <cell r="AB66">
            <v>0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13</v>
          </cell>
          <cell r="AL66">
            <v>16</v>
          </cell>
          <cell r="AM66">
            <v>30</v>
          </cell>
          <cell r="AN66">
            <v>22</v>
          </cell>
          <cell r="AO66">
            <v>142</v>
          </cell>
          <cell r="AP66">
            <v>81</v>
          </cell>
          <cell r="AS66">
            <v>2007</v>
          </cell>
          <cell r="AT66">
            <v>29</v>
          </cell>
          <cell r="AU66">
            <v>27</v>
          </cell>
          <cell r="AV66">
            <v>142</v>
          </cell>
          <cell r="AW66">
            <v>0.25</v>
          </cell>
          <cell r="AX66">
            <v>2272</v>
          </cell>
          <cell r="AY66">
            <v>568</v>
          </cell>
          <cell r="AZ66">
            <v>36.880000000000003</v>
          </cell>
          <cell r="BA66">
            <v>27</v>
          </cell>
          <cell r="BB66">
            <v>730.22400000000005</v>
          </cell>
          <cell r="BC66">
            <v>36.880000000000003</v>
          </cell>
          <cell r="BD66">
            <v>27</v>
          </cell>
          <cell r="BE66">
            <v>730.22400000000005</v>
          </cell>
          <cell r="BF66">
            <v>36.880000000000003</v>
          </cell>
          <cell r="BG66">
            <v>27</v>
          </cell>
          <cell r="BH66">
            <v>730.22400000000005</v>
          </cell>
          <cell r="BI66">
            <v>0</v>
          </cell>
          <cell r="BJ66">
            <v>0</v>
          </cell>
          <cell r="BK66">
            <v>2190.672</v>
          </cell>
          <cell r="BL66">
            <v>3618.12</v>
          </cell>
          <cell r="BM66">
            <v>3618.12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12.5</v>
          </cell>
          <cell r="BS66">
            <v>11.5</v>
          </cell>
          <cell r="BT66">
            <v>11.5</v>
          </cell>
          <cell r="BU66">
            <v>35.5</v>
          </cell>
          <cell r="BY66">
            <v>6341.2919999999995</v>
          </cell>
          <cell r="CP66" t="str">
            <v>2785/10</v>
          </cell>
          <cell r="CQ66">
            <v>40469</v>
          </cell>
          <cell r="CR66">
            <v>40648</v>
          </cell>
          <cell r="CS66" t="str">
            <v>2010-0.277.884-7</v>
          </cell>
          <cell r="CT66" t="str">
            <v>DELVAI CANGUSSU DA SILVA</v>
          </cell>
          <cell r="CU66">
            <v>19682494869</v>
          </cell>
          <cell r="CV66">
            <v>115286</v>
          </cell>
          <cell r="CW66">
            <v>6161.7466666666669</v>
          </cell>
          <cell r="CX66">
            <v>166.36716000000004</v>
          </cell>
          <cell r="CY66">
            <v>30.80873333333334</v>
          </cell>
          <cell r="CZ66">
            <v>3697.0479999999998</v>
          </cell>
          <cell r="DA66">
            <v>326.21579999999994</v>
          </cell>
          <cell r="DD66">
            <v>326.21579999999994</v>
          </cell>
        </row>
        <row r="67">
          <cell r="C67" t="str">
            <v>1802/10</v>
          </cell>
          <cell r="D67" t="str">
            <v>01/01 A 31/01/11</v>
          </cell>
          <cell r="E67" t="str">
            <v>EDIGAR BENEVIDES DA COSTA</v>
          </cell>
          <cell r="F67" t="str">
            <v>EMEF</v>
          </cell>
          <cell r="G67">
            <v>16</v>
          </cell>
          <cell r="H67">
            <v>16</v>
          </cell>
          <cell r="I67">
            <v>14</v>
          </cell>
          <cell r="J67">
            <v>93343</v>
          </cell>
          <cell r="K67">
            <v>37</v>
          </cell>
          <cell r="L67">
            <v>27</v>
          </cell>
          <cell r="M67">
            <v>0</v>
          </cell>
          <cell r="N67">
            <v>93343</v>
          </cell>
          <cell r="O67">
            <v>36</v>
          </cell>
          <cell r="P67">
            <v>27</v>
          </cell>
          <cell r="Q67">
            <v>0</v>
          </cell>
          <cell r="R67">
            <v>93394</v>
          </cell>
          <cell r="S67">
            <v>40</v>
          </cell>
          <cell r="T67">
            <v>27</v>
          </cell>
          <cell r="U67">
            <v>0</v>
          </cell>
          <cell r="W67">
            <v>1</v>
          </cell>
          <cell r="Y67">
            <v>1</v>
          </cell>
          <cell r="AA67">
            <v>1</v>
          </cell>
          <cell r="AB67">
            <v>0</v>
          </cell>
          <cell r="AE67">
            <v>1</v>
          </cell>
          <cell r="AG67">
            <v>1</v>
          </cell>
          <cell r="AH67">
            <v>2</v>
          </cell>
          <cell r="AI67">
            <v>1</v>
          </cell>
          <cell r="AJ67">
            <v>0.66666666666666663</v>
          </cell>
          <cell r="AK67" t="str">
            <v>21 e 22</v>
          </cell>
          <cell r="AL67">
            <v>16</v>
          </cell>
          <cell r="AM67">
            <v>30</v>
          </cell>
          <cell r="AN67">
            <v>22</v>
          </cell>
          <cell r="AO67">
            <v>113</v>
          </cell>
          <cell r="AP67">
            <v>81</v>
          </cell>
          <cell r="AS67">
            <v>2007</v>
          </cell>
          <cell r="AT67">
            <v>29</v>
          </cell>
          <cell r="AU67">
            <v>27</v>
          </cell>
          <cell r="AV67">
            <v>113</v>
          </cell>
          <cell r="AW67">
            <v>0.25</v>
          </cell>
          <cell r="AX67">
            <v>1808</v>
          </cell>
          <cell r="AY67">
            <v>452</v>
          </cell>
          <cell r="AZ67">
            <v>36.880000000000003</v>
          </cell>
          <cell r="BA67">
            <v>27</v>
          </cell>
          <cell r="BB67">
            <v>730.22400000000005</v>
          </cell>
          <cell r="BC67">
            <v>36.880000000000003</v>
          </cell>
          <cell r="BD67">
            <v>27</v>
          </cell>
          <cell r="BE67">
            <v>730.22400000000005</v>
          </cell>
          <cell r="BF67">
            <v>36.880000000000003</v>
          </cell>
          <cell r="BG67">
            <v>27</v>
          </cell>
          <cell r="BH67">
            <v>730.22400000000005</v>
          </cell>
          <cell r="BI67">
            <v>0</v>
          </cell>
          <cell r="BJ67">
            <v>0</v>
          </cell>
          <cell r="BK67">
            <v>2190.672</v>
          </cell>
          <cell r="BL67">
            <v>3618.12</v>
          </cell>
          <cell r="BM67">
            <v>3618.12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20</v>
          </cell>
          <cell r="BU67">
            <v>20</v>
          </cell>
          <cell r="BY67">
            <v>6240.7919999999995</v>
          </cell>
          <cell r="CP67" t="str">
            <v>1599/10</v>
          </cell>
          <cell r="CQ67">
            <v>40392</v>
          </cell>
          <cell r="CR67">
            <v>40571</v>
          </cell>
          <cell r="CS67" t="str">
            <v>2010-0.184.187-1</v>
          </cell>
          <cell r="CT67" t="str">
            <v>DEOCLIDES RODRIGUES DE MOURA</v>
          </cell>
          <cell r="CU67" t="str">
            <v>943.172.248-87</v>
          </cell>
          <cell r="CV67">
            <v>86002</v>
          </cell>
          <cell r="CW67">
            <v>6545.4533333333338</v>
          </cell>
          <cell r="CX67">
            <v>176.72724000000005</v>
          </cell>
          <cell r="CY67">
            <v>32.727266666666672</v>
          </cell>
          <cell r="CZ67">
            <v>3927.2719999999999</v>
          </cell>
          <cell r="DA67">
            <v>387.21980000000008</v>
          </cell>
          <cell r="DD67">
            <v>387.21980000000008</v>
          </cell>
        </row>
        <row r="68">
          <cell r="C68" t="str">
            <v>2222/10</v>
          </cell>
          <cell r="D68" t="str">
            <v>01/01 A 31/01/11</v>
          </cell>
          <cell r="E68" t="str">
            <v xml:space="preserve">EDILEUZA SOUZA DA PAZ </v>
          </cell>
          <cell r="F68" t="str">
            <v>EMEF</v>
          </cell>
          <cell r="G68">
            <v>16</v>
          </cell>
          <cell r="H68">
            <v>16</v>
          </cell>
          <cell r="I68">
            <v>16</v>
          </cell>
          <cell r="J68">
            <v>93408</v>
          </cell>
          <cell r="K68">
            <v>30</v>
          </cell>
          <cell r="L68">
            <v>17</v>
          </cell>
          <cell r="M68">
            <v>0</v>
          </cell>
          <cell r="N68">
            <v>93408</v>
          </cell>
          <cell r="O68">
            <v>33</v>
          </cell>
          <cell r="P68">
            <v>17</v>
          </cell>
          <cell r="Q68">
            <v>0</v>
          </cell>
          <cell r="R68">
            <v>93408</v>
          </cell>
          <cell r="S68">
            <v>19</v>
          </cell>
          <cell r="T68">
            <v>12</v>
          </cell>
          <cell r="U68">
            <v>0</v>
          </cell>
          <cell r="W68">
            <v>1</v>
          </cell>
          <cell r="Y68">
            <v>1</v>
          </cell>
          <cell r="AA68">
            <v>1</v>
          </cell>
          <cell r="AB68">
            <v>0</v>
          </cell>
          <cell r="AE68">
            <v>1</v>
          </cell>
          <cell r="AG68">
            <v>1</v>
          </cell>
          <cell r="AI68">
            <v>1</v>
          </cell>
          <cell r="AJ68">
            <v>0</v>
          </cell>
          <cell r="AL68">
            <v>16</v>
          </cell>
          <cell r="AM68">
            <v>30</v>
          </cell>
          <cell r="AN68">
            <v>22</v>
          </cell>
          <cell r="AO68">
            <v>82</v>
          </cell>
          <cell r="AP68">
            <v>46</v>
          </cell>
          <cell r="AS68">
            <v>2009</v>
          </cell>
          <cell r="AT68">
            <v>19</v>
          </cell>
          <cell r="AU68">
            <v>17</v>
          </cell>
          <cell r="AV68">
            <v>82</v>
          </cell>
          <cell r="AW68">
            <v>0.25</v>
          </cell>
          <cell r="AX68">
            <v>1312</v>
          </cell>
          <cell r="AY68">
            <v>328</v>
          </cell>
          <cell r="AZ68">
            <v>36.880000000000003</v>
          </cell>
          <cell r="BA68">
            <v>17</v>
          </cell>
          <cell r="BB68">
            <v>459.77066666666667</v>
          </cell>
          <cell r="BC68">
            <v>36.880000000000003</v>
          </cell>
          <cell r="BD68">
            <v>17</v>
          </cell>
          <cell r="BE68">
            <v>459.77066666666667</v>
          </cell>
          <cell r="BF68">
            <v>36.880000000000003</v>
          </cell>
          <cell r="BG68">
            <v>12</v>
          </cell>
          <cell r="BH68">
            <v>324.54400000000004</v>
          </cell>
          <cell r="BI68">
            <v>0</v>
          </cell>
          <cell r="BJ68">
            <v>0</v>
          </cell>
          <cell r="BK68">
            <v>1244.0853333333334</v>
          </cell>
          <cell r="BL68">
            <v>2650.9</v>
          </cell>
          <cell r="BM68">
            <v>2650.9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Y68">
            <v>4222.985333333334</v>
          </cell>
          <cell r="CP68" t="str">
            <v>2896/10</v>
          </cell>
          <cell r="CQ68">
            <v>40483</v>
          </cell>
          <cell r="CR68">
            <v>40662</v>
          </cell>
          <cell r="CS68" t="str">
            <v>2010-0.282.230-7</v>
          </cell>
          <cell r="CT68" t="str">
            <v>DOMINGOS PAULO BISPO</v>
          </cell>
          <cell r="CU68">
            <v>15799989848</v>
          </cell>
          <cell r="CV68">
            <v>119861</v>
          </cell>
          <cell r="CW68">
            <v>6193.9093333333331</v>
          </cell>
          <cell r="CX68">
            <v>167.23555200000001</v>
          </cell>
          <cell r="CY68">
            <v>30.96954666666667</v>
          </cell>
          <cell r="CZ68">
            <v>3716.3455999999996</v>
          </cell>
          <cell r="DA68">
            <v>330.55775999999992</v>
          </cell>
          <cell r="DD68">
            <v>330.55775999999992</v>
          </cell>
        </row>
        <row r="69">
          <cell r="C69" t="str">
            <v>2935/10</v>
          </cell>
          <cell r="D69" t="str">
            <v>01/01 A 31/01/11</v>
          </cell>
          <cell r="E69" t="str">
            <v>EDILSON RODRIGUES DA SILVA</v>
          </cell>
          <cell r="F69" t="str">
            <v>EMEF/EMEI</v>
          </cell>
          <cell r="G69">
            <v>16</v>
          </cell>
          <cell r="H69">
            <v>16</v>
          </cell>
          <cell r="I69">
            <v>13</v>
          </cell>
          <cell r="J69">
            <v>19305</v>
          </cell>
          <cell r="K69">
            <v>30</v>
          </cell>
          <cell r="L69">
            <v>17</v>
          </cell>
          <cell r="M69">
            <v>0</v>
          </cell>
          <cell r="N69">
            <v>19305</v>
          </cell>
          <cell r="O69">
            <v>30</v>
          </cell>
          <cell r="P69">
            <v>17</v>
          </cell>
          <cell r="Q69">
            <v>0</v>
          </cell>
          <cell r="R69">
            <v>19258</v>
          </cell>
          <cell r="S69">
            <v>41</v>
          </cell>
          <cell r="T69">
            <v>14</v>
          </cell>
          <cell r="U69">
            <v>0</v>
          </cell>
          <cell r="W69">
            <v>1</v>
          </cell>
          <cell r="Y69">
            <v>1</v>
          </cell>
          <cell r="AA69">
            <v>1</v>
          </cell>
          <cell r="AB69">
            <v>0</v>
          </cell>
          <cell r="AE69">
            <v>1</v>
          </cell>
          <cell r="AG69">
            <v>1</v>
          </cell>
          <cell r="AH69">
            <v>3</v>
          </cell>
          <cell r="AI69">
            <v>1</v>
          </cell>
          <cell r="AJ69">
            <v>1</v>
          </cell>
          <cell r="AK69" t="str">
            <v>15, 16 e 17</v>
          </cell>
          <cell r="AL69">
            <v>16</v>
          </cell>
          <cell r="AM69">
            <v>30</v>
          </cell>
          <cell r="AN69">
            <v>22</v>
          </cell>
          <cell r="AO69">
            <v>101</v>
          </cell>
          <cell r="AP69">
            <v>48</v>
          </cell>
          <cell r="AS69">
            <v>2009</v>
          </cell>
          <cell r="AT69">
            <v>19</v>
          </cell>
          <cell r="AU69">
            <v>17</v>
          </cell>
          <cell r="AV69">
            <v>101</v>
          </cell>
          <cell r="AW69">
            <v>0.65</v>
          </cell>
          <cell r="AX69">
            <v>1616</v>
          </cell>
          <cell r="AY69">
            <v>1050.4000000000001</v>
          </cell>
          <cell r="AZ69">
            <v>48.26</v>
          </cell>
          <cell r="BA69">
            <v>17</v>
          </cell>
          <cell r="BB69">
            <v>601.64133333333325</v>
          </cell>
          <cell r="BC69">
            <v>48.26</v>
          </cell>
          <cell r="BD69">
            <v>17</v>
          </cell>
          <cell r="BE69">
            <v>601.64133333333325</v>
          </cell>
          <cell r="BF69">
            <v>48.26</v>
          </cell>
          <cell r="BG69">
            <v>14</v>
          </cell>
          <cell r="BH69">
            <v>495.46933333333334</v>
          </cell>
          <cell r="BI69">
            <v>0</v>
          </cell>
          <cell r="BJ69">
            <v>0</v>
          </cell>
          <cell r="BK69">
            <v>1698.752</v>
          </cell>
          <cell r="BL69">
            <v>2886</v>
          </cell>
          <cell r="BM69">
            <v>2886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79.95</v>
          </cell>
          <cell r="BU69">
            <v>79.95</v>
          </cell>
          <cell r="BY69">
            <v>5555.2020000000002</v>
          </cell>
          <cell r="CP69" t="str">
            <v>2810/10</v>
          </cell>
          <cell r="CQ69">
            <v>40476</v>
          </cell>
          <cell r="CR69">
            <v>40655</v>
          </cell>
          <cell r="CS69" t="str">
            <v>2010-0.278.004-3</v>
          </cell>
          <cell r="CT69" t="str">
            <v>EDICARLOS ALVES DOS SANTOS</v>
          </cell>
          <cell r="CU69">
            <v>15362658883</v>
          </cell>
          <cell r="CV69">
            <v>116231</v>
          </cell>
          <cell r="CW69">
            <v>6341.2919999999995</v>
          </cell>
          <cell r="CX69">
            <v>171.21488400000001</v>
          </cell>
          <cell r="CY69">
            <v>31.70646</v>
          </cell>
          <cell r="CZ69">
            <v>3804.7751999999996</v>
          </cell>
          <cell r="DA69">
            <v>353.5331799999999</v>
          </cell>
          <cell r="DD69">
            <v>353.5331799999999</v>
          </cell>
        </row>
        <row r="70">
          <cell r="C70" t="str">
            <v>2772/10</v>
          </cell>
          <cell r="D70" t="str">
            <v>01/01 A 31/01/11</v>
          </cell>
          <cell r="E70" t="str">
            <v>EDIVALDO FIGUEIREDO</v>
          </cell>
          <cell r="F70" t="str">
            <v>EMEI</v>
          </cell>
          <cell r="G70">
            <v>16</v>
          </cell>
          <cell r="H70">
            <v>16</v>
          </cell>
          <cell r="I70">
            <v>16</v>
          </cell>
          <cell r="J70">
            <v>19448</v>
          </cell>
          <cell r="K70">
            <v>38</v>
          </cell>
          <cell r="L70">
            <v>16</v>
          </cell>
          <cell r="M70">
            <v>0</v>
          </cell>
          <cell r="N70">
            <v>19448</v>
          </cell>
          <cell r="O70">
            <v>31</v>
          </cell>
          <cell r="P70">
            <v>16</v>
          </cell>
          <cell r="Q70">
            <v>0</v>
          </cell>
          <cell r="R70">
            <v>19448</v>
          </cell>
          <cell r="S70">
            <v>39</v>
          </cell>
          <cell r="T70">
            <v>16</v>
          </cell>
          <cell r="U70">
            <v>0</v>
          </cell>
          <cell r="W70">
            <v>1</v>
          </cell>
          <cell r="Y70">
            <v>1</v>
          </cell>
          <cell r="AA70">
            <v>1</v>
          </cell>
          <cell r="AB70">
            <v>0</v>
          </cell>
          <cell r="AE70">
            <v>1</v>
          </cell>
          <cell r="AG70">
            <v>1</v>
          </cell>
          <cell r="AI70">
            <v>1</v>
          </cell>
          <cell r="AJ70">
            <v>0</v>
          </cell>
          <cell r="AL70">
            <v>16</v>
          </cell>
          <cell r="AM70">
            <v>30</v>
          </cell>
          <cell r="AN70">
            <v>22</v>
          </cell>
          <cell r="AO70">
            <v>108</v>
          </cell>
          <cell r="AP70">
            <v>48</v>
          </cell>
          <cell r="AS70">
            <v>2010</v>
          </cell>
          <cell r="AT70">
            <v>19</v>
          </cell>
          <cell r="AU70">
            <v>17</v>
          </cell>
          <cell r="AV70">
            <v>108</v>
          </cell>
          <cell r="AW70">
            <v>0.25</v>
          </cell>
          <cell r="AX70">
            <v>1728</v>
          </cell>
          <cell r="AY70">
            <v>432</v>
          </cell>
          <cell r="AZ70">
            <v>36.880000000000003</v>
          </cell>
          <cell r="BA70">
            <v>16</v>
          </cell>
          <cell r="BB70">
            <v>432.72533333333337</v>
          </cell>
          <cell r="BC70">
            <v>36.880000000000003</v>
          </cell>
          <cell r="BD70">
            <v>16</v>
          </cell>
          <cell r="BE70">
            <v>432.72533333333337</v>
          </cell>
          <cell r="BF70">
            <v>36.880000000000003</v>
          </cell>
          <cell r="BG70">
            <v>16</v>
          </cell>
          <cell r="BH70">
            <v>432.72533333333337</v>
          </cell>
          <cell r="BI70">
            <v>0</v>
          </cell>
          <cell r="BJ70">
            <v>0</v>
          </cell>
          <cell r="BK70">
            <v>1298.1760000000002</v>
          </cell>
          <cell r="BL70">
            <v>2718.59</v>
          </cell>
          <cell r="BM70">
            <v>2718.59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Y70">
            <v>4448.7660000000005</v>
          </cell>
          <cell r="CP70" t="str">
            <v>1802/10</v>
          </cell>
          <cell r="CQ70">
            <v>40434</v>
          </cell>
          <cell r="CR70">
            <v>40613</v>
          </cell>
          <cell r="CS70" t="str">
            <v>2010-0.225.074-5</v>
          </cell>
          <cell r="CT70" t="str">
            <v>EDIGAR BENEVIDES DA COSTA</v>
          </cell>
          <cell r="CU70" t="str">
            <v>029.869.388-76</v>
          </cell>
          <cell r="CV70">
            <v>96941</v>
          </cell>
          <cell r="CW70">
            <v>6240.7919999999995</v>
          </cell>
          <cell r="CX70">
            <v>168.501384</v>
          </cell>
          <cell r="CY70">
            <v>31.203960000000002</v>
          </cell>
          <cell r="CZ70">
            <v>3744.4751999999994</v>
          </cell>
          <cell r="DA70">
            <v>336.95067999999992</v>
          </cell>
          <cell r="DD70">
            <v>336.95067999999992</v>
          </cell>
        </row>
        <row r="71">
          <cell r="C71" t="str">
            <v>2129/10</v>
          </cell>
          <cell r="D71" t="str">
            <v>01/01 A 31/01/11</v>
          </cell>
          <cell r="E71" t="str">
            <v>EDMILSON DOS SANTOS GOIS</v>
          </cell>
          <cell r="F71" t="str">
            <v>EMEI / EMEF</v>
          </cell>
          <cell r="G71">
            <v>15</v>
          </cell>
          <cell r="H71">
            <v>15</v>
          </cell>
          <cell r="I71">
            <v>16</v>
          </cell>
          <cell r="J71">
            <v>531</v>
          </cell>
          <cell r="K71">
            <v>50</v>
          </cell>
          <cell r="L71">
            <v>11</v>
          </cell>
          <cell r="M71">
            <v>0</v>
          </cell>
          <cell r="N71">
            <v>531</v>
          </cell>
          <cell r="O71">
            <v>42</v>
          </cell>
          <cell r="P71">
            <v>11</v>
          </cell>
          <cell r="Q71">
            <v>0</v>
          </cell>
          <cell r="R71">
            <v>16501</v>
          </cell>
          <cell r="S71">
            <v>36</v>
          </cell>
          <cell r="T71">
            <v>19</v>
          </cell>
          <cell r="U71">
            <v>0</v>
          </cell>
          <cell r="W71">
            <v>1</v>
          </cell>
          <cell r="Y71">
            <v>1</v>
          </cell>
          <cell r="AA71">
            <v>1</v>
          </cell>
          <cell r="AB71">
            <v>0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I71">
            <v>1</v>
          </cell>
          <cell r="AJ71">
            <v>0.66666666666666663</v>
          </cell>
          <cell r="AK71">
            <v>13</v>
          </cell>
          <cell r="AL71">
            <v>16</v>
          </cell>
          <cell r="AM71">
            <v>30</v>
          </cell>
          <cell r="AN71">
            <v>22</v>
          </cell>
          <cell r="AO71">
            <v>128</v>
          </cell>
          <cell r="AP71">
            <v>41</v>
          </cell>
          <cell r="AS71">
            <v>1997</v>
          </cell>
          <cell r="AT71">
            <v>13</v>
          </cell>
          <cell r="AU71">
            <v>11</v>
          </cell>
          <cell r="AV71">
            <v>128</v>
          </cell>
          <cell r="AW71">
            <v>0.25</v>
          </cell>
          <cell r="AX71">
            <v>2048</v>
          </cell>
          <cell r="AY71">
            <v>512</v>
          </cell>
          <cell r="AZ71">
            <v>36.880000000000003</v>
          </cell>
          <cell r="BA71">
            <v>11</v>
          </cell>
          <cell r="BB71">
            <v>297.49866666666668</v>
          </cell>
          <cell r="BC71">
            <v>36.880000000000003</v>
          </cell>
          <cell r="BD71">
            <v>11</v>
          </cell>
          <cell r="BE71">
            <v>297.49866666666668</v>
          </cell>
          <cell r="BF71">
            <v>36.880000000000003</v>
          </cell>
          <cell r="BG71">
            <v>19</v>
          </cell>
          <cell r="BH71">
            <v>513.86133333333328</v>
          </cell>
          <cell r="BI71">
            <v>0</v>
          </cell>
          <cell r="BJ71">
            <v>0</v>
          </cell>
          <cell r="BK71">
            <v>1108.8586666666665</v>
          </cell>
          <cell r="BL71">
            <v>1838.58</v>
          </cell>
          <cell r="BM71">
            <v>1838.58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12.5</v>
          </cell>
          <cell r="BS71">
            <v>10.5</v>
          </cell>
          <cell r="BT71">
            <v>0</v>
          </cell>
          <cell r="BU71">
            <v>23</v>
          </cell>
          <cell r="BY71">
            <v>3436.4386666666664</v>
          </cell>
          <cell r="CP71" t="str">
            <v>2222/10</v>
          </cell>
          <cell r="CQ71">
            <v>40448</v>
          </cell>
          <cell r="CR71">
            <v>40627</v>
          </cell>
          <cell r="CS71" t="str">
            <v>2010-0.243.694-6</v>
          </cell>
          <cell r="CT71" t="str">
            <v xml:space="preserve">EDILEUZA SOUZA DA PAZ </v>
          </cell>
          <cell r="CU71">
            <v>12875113844</v>
          </cell>
          <cell r="CV71">
            <v>106235</v>
          </cell>
          <cell r="CW71">
            <v>4222.985333333334</v>
          </cell>
          <cell r="CX71">
            <v>114.02060400000003</v>
          </cell>
          <cell r="CY71">
            <v>21.114926666666673</v>
          </cell>
          <cell r="CZ71">
            <v>2533.7912000000001</v>
          </cell>
          <cell r="DA71">
            <v>99.128680000000031</v>
          </cell>
          <cell r="DD71">
            <v>99.128680000000031</v>
          </cell>
        </row>
        <row r="72">
          <cell r="C72" t="str">
            <v>2130/10</v>
          </cell>
          <cell r="D72" t="str">
            <v>01/01 A 31/01/11</v>
          </cell>
          <cell r="E72" t="str">
            <v>EDNALDO SOUZA SANTOS</v>
          </cell>
          <cell r="F72" t="str">
            <v>EMEF</v>
          </cell>
          <cell r="G72">
            <v>16</v>
          </cell>
          <cell r="H72">
            <v>16</v>
          </cell>
          <cell r="I72">
            <v>16</v>
          </cell>
          <cell r="J72">
            <v>12688</v>
          </cell>
          <cell r="K72">
            <v>41</v>
          </cell>
          <cell r="L72">
            <v>27</v>
          </cell>
          <cell r="M72">
            <v>0</v>
          </cell>
          <cell r="N72">
            <v>12688</v>
          </cell>
          <cell r="O72">
            <v>32</v>
          </cell>
          <cell r="P72">
            <v>27</v>
          </cell>
          <cell r="Q72">
            <v>0</v>
          </cell>
          <cell r="R72">
            <v>12688</v>
          </cell>
          <cell r="S72">
            <v>38</v>
          </cell>
          <cell r="T72">
            <v>27</v>
          </cell>
          <cell r="U72">
            <v>0</v>
          </cell>
          <cell r="W72">
            <v>1</v>
          </cell>
          <cell r="Y72">
            <v>1</v>
          </cell>
          <cell r="AA72">
            <v>1</v>
          </cell>
          <cell r="AB72">
            <v>0</v>
          </cell>
          <cell r="AE72">
            <v>1</v>
          </cell>
          <cell r="AG72">
            <v>1</v>
          </cell>
          <cell r="AI72">
            <v>1</v>
          </cell>
          <cell r="AJ72">
            <v>0</v>
          </cell>
          <cell r="AL72">
            <v>16</v>
          </cell>
          <cell r="AM72">
            <v>30</v>
          </cell>
          <cell r="AN72">
            <v>22</v>
          </cell>
          <cell r="AO72">
            <v>111</v>
          </cell>
          <cell r="AP72">
            <v>81</v>
          </cell>
          <cell r="AS72">
            <v>2007</v>
          </cell>
          <cell r="AT72">
            <v>29</v>
          </cell>
          <cell r="AU72">
            <v>27</v>
          </cell>
          <cell r="AV72">
            <v>111</v>
          </cell>
          <cell r="AW72">
            <v>0.25</v>
          </cell>
          <cell r="AX72">
            <v>1776</v>
          </cell>
          <cell r="AY72">
            <v>444</v>
          </cell>
          <cell r="AZ72">
            <v>36.880000000000003</v>
          </cell>
          <cell r="BA72">
            <v>27</v>
          </cell>
          <cell r="BB72">
            <v>730.22400000000005</v>
          </cell>
          <cell r="BC72">
            <v>36.880000000000003</v>
          </cell>
          <cell r="BD72">
            <v>27</v>
          </cell>
          <cell r="BE72">
            <v>730.22400000000005</v>
          </cell>
          <cell r="BF72">
            <v>36.880000000000003</v>
          </cell>
          <cell r="BG72">
            <v>27</v>
          </cell>
          <cell r="BH72">
            <v>730.22400000000005</v>
          </cell>
          <cell r="BI72">
            <v>0</v>
          </cell>
          <cell r="BJ72">
            <v>0</v>
          </cell>
          <cell r="BK72">
            <v>2190.672</v>
          </cell>
          <cell r="BL72">
            <v>3618.12</v>
          </cell>
          <cell r="BM72">
            <v>3618.12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Y72">
            <v>6252.7919999999995</v>
          </cell>
          <cell r="CP72" t="str">
            <v>2935/10</v>
          </cell>
          <cell r="CQ72">
            <v>40483</v>
          </cell>
          <cell r="CR72">
            <v>40662</v>
          </cell>
          <cell r="CS72" t="str">
            <v>2010-0.283.694-4</v>
          </cell>
          <cell r="CT72" t="str">
            <v>EDILSON RODRIGUES DA SILVA</v>
          </cell>
          <cell r="CU72">
            <v>10677375883</v>
          </cell>
          <cell r="CV72">
            <v>119893</v>
          </cell>
          <cell r="CW72">
            <v>5555.2020000000002</v>
          </cell>
          <cell r="CX72">
            <v>149.99045400000003</v>
          </cell>
          <cell r="CY72">
            <v>27.776010000000003</v>
          </cell>
          <cell r="CZ72">
            <v>3333.1212</v>
          </cell>
          <cell r="DA72">
            <v>244.33226999999999</v>
          </cell>
          <cell r="DD72">
            <v>244.33226999999999</v>
          </cell>
        </row>
        <row r="73">
          <cell r="C73" t="str">
            <v>2309/10</v>
          </cell>
          <cell r="D73" t="str">
            <v>01/01 A 31/01/11</v>
          </cell>
          <cell r="E73" t="str">
            <v>EDSON BATISTA DE LIMA</v>
          </cell>
          <cell r="F73" t="str">
            <v>EMEI</v>
          </cell>
          <cell r="G73">
            <v>16</v>
          </cell>
          <cell r="H73">
            <v>16</v>
          </cell>
          <cell r="I73">
            <v>16</v>
          </cell>
          <cell r="J73">
            <v>19210</v>
          </cell>
          <cell r="K73">
            <v>23</v>
          </cell>
          <cell r="L73">
            <v>24</v>
          </cell>
          <cell r="M73">
            <v>0</v>
          </cell>
          <cell r="N73">
            <v>19210</v>
          </cell>
          <cell r="O73">
            <v>23</v>
          </cell>
          <cell r="P73">
            <v>22</v>
          </cell>
          <cell r="Q73">
            <v>0</v>
          </cell>
          <cell r="R73">
            <v>19210</v>
          </cell>
          <cell r="S73">
            <v>36</v>
          </cell>
          <cell r="T73">
            <v>27</v>
          </cell>
          <cell r="U73">
            <v>0</v>
          </cell>
          <cell r="W73">
            <v>1</v>
          </cell>
          <cell r="Y73">
            <v>1</v>
          </cell>
          <cell r="AA73">
            <v>1</v>
          </cell>
          <cell r="AB73">
            <v>0</v>
          </cell>
          <cell r="AE73">
            <v>1</v>
          </cell>
          <cell r="AG73">
            <v>1</v>
          </cell>
          <cell r="AI73">
            <v>1</v>
          </cell>
          <cell r="AJ73">
            <v>0</v>
          </cell>
          <cell r="AL73">
            <v>16</v>
          </cell>
          <cell r="AM73">
            <v>30</v>
          </cell>
          <cell r="AN73">
            <v>22</v>
          </cell>
          <cell r="AO73">
            <v>82</v>
          </cell>
          <cell r="AP73">
            <v>73</v>
          </cell>
          <cell r="AS73">
            <v>2007</v>
          </cell>
          <cell r="AT73">
            <v>29</v>
          </cell>
          <cell r="AU73">
            <v>27</v>
          </cell>
          <cell r="AV73">
            <v>82</v>
          </cell>
          <cell r="AW73">
            <v>0.25</v>
          </cell>
          <cell r="AX73">
            <v>1312</v>
          </cell>
          <cell r="AY73">
            <v>328</v>
          </cell>
          <cell r="AZ73">
            <v>36.880000000000003</v>
          </cell>
          <cell r="BA73">
            <v>24</v>
          </cell>
          <cell r="BB73">
            <v>649.08800000000008</v>
          </cell>
          <cell r="BC73">
            <v>36.880000000000003</v>
          </cell>
          <cell r="BD73">
            <v>22</v>
          </cell>
          <cell r="BE73">
            <v>594.99733333333336</v>
          </cell>
          <cell r="BF73">
            <v>36.880000000000003</v>
          </cell>
          <cell r="BG73">
            <v>27</v>
          </cell>
          <cell r="BH73">
            <v>730.22400000000005</v>
          </cell>
          <cell r="BI73">
            <v>0</v>
          </cell>
          <cell r="BJ73">
            <v>0</v>
          </cell>
          <cell r="BK73">
            <v>1974.3093333333336</v>
          </cell>
          <cell r="BL73">
            <v>3618.12</v>
          </cell>
          <cell r="BM73">
            <v>3618.12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Y73">
            <v>5920.4293333333335</v>
          </cell>
          <cell r="CP73" t="str">
            <v>2772/10</v>
          </cell>
          <cell r="CQ73">
            <v>40469</v>
          </cell>
          <cell r="CR73">
            <v>40648</v>
          </cell>
          <cell r="CS73" t="str">
            <v>2010-0.277.844-8</v>
          </cell>
          <cell r="CT73" t="str">
            <v>EDIVALDO FIGUEIREDO</v>
          </cell>
          <cell r="CU73">
            <v>53472578815</v>
          </cell>
          <cell r="CV73">
            <v>115291</v>
          </cell>
          <cell r="CW73">
            <v>4448.7660000000005</v>
          </cell>
          <cell r="CX73">
            <v>120.11668200000003</v>
          </cell>
          <cell r="CY73">
            <v>22.243830000000003</v>
          </cell>
          <cell r="CZ73">
            <v>2669.2596000000003</v>
          </cell>
          <cell r="DA73">
            <v>119.44894000000005</v>
          </cell>
          <cell r="DD73">
            <v>119.44894000000005</v>
          </cell>
        </row>
        <row r="74">
          <cell r="C74" t="str">
            <v>1781/10</v>
          </cell>
          <cell r="D74" t="str">
            <v>01/01 A 31/01/11</v>
          </cell>
          <cell r="E74" t="str">
            <v>EDSON DO NASCIMENTO RAMOS</v>
          </cell>
          <cell r="F74" t="str">
            <v>EMEI</v>
          </cell>
          <cell r="G74">
            <v>16</v>
          </cell>
          <cell r="H74">
            <v>16</v>
          </cell>
          <cell r="I74">
            <v>15</v>
          </cell>
          <cell r="J74">
            <v>19210</v>
          </cell>
          <cell r="K74">
            <v>28</v>
          </cell>
          <cell r="L74">
            <v>24</v>
          </cell>
          <cell r="M74">
            <v>0</v>
          </cell>
          <cell r="N74">
            <v>19210</v>
          </cell>
          <cell r="O74">
            <v>30</v>
          </cell>
          <cell r="P74">
            <v>27</v>
          </cell>
          <cell r="Q74">
            <v>0</v>
          </cell>
          <cell r="R74">
            <v>19210</v>
          </cell>
          <cell r="S74">
            <v>28</v>
          </cell>
          <cell r="T74">
            <v>27</v>
          </cell>
          <cell r="U74">
            <v>0</v>
          </cell>
          <cell r="W74">
            <v>1</v>
          </cell>
          <cell r="Y74">
            <v>1</v>
          </cell>
          <cell r="Z74">
            <v>1</v>
          </cell>
          <cell r="AA74">
            <v>1</v>
          </cell>
          <cell r="AB74">
            <v>0.33333333333333331</v>
          </cell>
          <cell r="AC74">
            <v>14</v>
          </cell>
          <cell r="AE74">
            <v>1</v>
          </cell>
          <cell r="AG74">
            <v>1</v>
          </cell>
          <cell r="AI74">
            <v>1</v>
          </cell>
          <cell r="AJ74">
            <v>0</v>
          </cell>
          <cell r="AL74">
            <v>16</v>
          </cell>
          <cell r="AM74">
            <v>30</v>
          </cell>
          <cell r="AN74">
            <v>22</v>
          </cell>
          <cell r="AO74">
            <v>86</v>
          </cell>
          <cell r="AP74">
            <v>78</v>
          </cell>
          <cell r="AS74">
            <v>2007</v>
          </cell>
          <cell r="AT74">
            <v>29</v>
          </cell>
          <cell r="AU74">
            <v>27</v>
          </cell>
          <cell r="AV74">
            <v>86</v>
          </cell>
          <cell r="AW74">
            <v>0.25</v>
          </cell>
          <cell r="AX74">
            <v>1376</v>
          </cell>
          <cell r="AY74">
            <v>344</v>
          </cell>
          <cell r="AZ74">
            <v>36.880000000000003</v>
          </cell>
          <cell r="BA74">
            <v>24</v>
          </cell>
          <cell r="BB74">
            <v>649.08800000000008</v>
          </cell>
          <cell r="BC74">
            <v>36.880000000000003</v>
          </cell>
          <cell r="BD74">
            <v>27</v>
          </cell>
          <cell r="BE74">
            <v>730.22400000000005</v>
          </cell>
          <cell r="BF74">
            <v>36.880000000000003</v>
          </cell>
          <cell r="BG74">
            <v>27</v>
          </cell>
          <cell r="BH74">
            <v>730.22400000000005</v>
          </cell>
          <cell r="BI74">
            <v>0</v>
          </cell>
          <cell r="BJ74">
            <v>0</v>
          </cell>
          <cell r="BK74">
            <v>2109.5360000000001</v>
          </cell>
          <cell r="BL74">
            <v>3618.12</v>
          </cell>
          <cell r="BM74">
            <v>3618.12</v>
          </cell>
          <cell r="BN74">
            <v>0</v>
          </cell>
          <cell r="BO74">
            <v>0</v>
          </cell>
          <cell r="BP74">
            <v>79.991320000000002</v>
          </cell>
          <cell r="BQ74">
            <v>79.991320000000002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Y74">
            <v>5991.6646799999999</v>
          </cell>
          <cell r="CP74" t="str">
            <v>2129/10</v>
          </cell>
          <cell r="CQ74">
            <v>40448</v>
          </cell>
          <cell r="CR74">
            <v>40627</v>
          </cell>
          <cell r="CS74" t="str">
            <v>2010-0.238.924-7</v>
          </cell>
          <cell r="CT74" t="str">
            <v>EDMILSON DOS SANTOS GOIS</v>
          </cell>
          <cell r="CU74">
            <v>28111528817</v>
          </cell>
          <cell r="CV74">
            <v>105982</v>
          </cell>
          <cell r="CW74">
            <v>3436.4386666666664</v>
          </cell>
          <cell r="CX74">
            <v>92.783844000000002</v>
          </cell>
          <cell r="CY74">
            <v>17.182193333333334</v>
          </cell>
          <cell r="CZ74">
            <v>2061.8631999999998</v>
          </cell>
          <cell r="DA74">
            <v>42.209739999999982</v>
          </cell>
          <cell r="DD74">
            <v>28.33947999999998</v>
          </cell>
        </row>
        <row r="75">
          <cell r="C75" t="str">
            <v>2131/10</v>
          </cell>
          <cell r="D75" t="str">
            <v>01/01 A 31/01/11</v>
          </cell>
          <cell r="E75" t="str">
            <v>EDSON DOS SANTOS GOIS</v>
          </cell>
          <cell r="F75" t="str">
            <v>EMEI</v>
          </cell>
          <cell r="G75">
            <v>16</v>
          </cell>
          <cell r="H75">
            <v>16</v>
          </cell>
          <cell r="I75">
            <v>16</v>
          </cell>
          <cell r="J75">
            <v>493</v>
          </cell>
          <cell r="K75">
            <v>29</v>
          </cell>
          <cell r="L75">
            <v>27</v>
          </cell>
          <cell r="M75">
            <v>0</v>
          </cell>
          <cell r="N75">
            <v>493</v>
          </cell>
          <cell r="O75">
            <v>25</v>
          </cell>
          <cell r="P75">
            <v>27</v>
          </cell>
          <cell r="Q75">
            <v>0</v>
          </cell>
          <cell r="R75">
            <v>493</v>
          </cell>
          <cell r="S75">
            <v>40</v>
          </cell>
          <cell r="T75">
            <v>26</v>
          </cell>
          <cell r="U75">
            <v>0</v>
          </cell>
          <cell r="W75">
            <v>1</v>
          </cell>
          <cell r="Y75">
            <v>1</v>
          </cell>
          <cell r="AA75">
            <v>1</v>
          </cell>
          <cell r="AB75">
            <v>0</v>
          </cell>
          <cell r="AE75">
            <v>1</v>
          </cell>
          <cell r="AG75">
            <v>1</v>
          </cell>
          <cell r="AI75">
            <v>1</v>
          </cell>
          <cell r="AJ75">
            <v>0</v>
          </cell>
          <cell r="AL75">
            <v>16</v>
          </cell>
          <cell r="AM75">
            <v>30</v>
          </cell>
          <cell r="AN75">
            <v>22</v>
          </cell>
          <cell r="AO75">
            <v>94</v>
          </cell>
          <cell r="AP75">
            <v>80</v>
          </cell>
          <cell r="AS75">
            <v>2007</v>
          </cell>
          <cell r="AT75">
            <v>29</v>
          </cell>
          <cell r="AU75">
            <v>27</v>
          </cell>
          <cell r="AV75">
            <v>94</v>
          </cell>
          <cell r="AW75">
            <v>0.25</v>
          </cell>
          <cell r="AX75">
            <v>1504</v>
          </cell>
          <cell r="AY75">
            <v>376</v>
          </cell>
          <cell r="AZ75">
            <v>36.880000000000003</v>
          </cell>
          <cell r="BA75">
            <v>27</v>
          </cell>
          <cell r="BB75">
            <v>730.22400000000005</v>
          </cell>
          <cell r="BC75">
            <v>36.880000000000003</v>
          </cell>
          <cell r="BD75">
            <v>27</v>
          </cell>
          <cell r="BE75">
            <v>730.22400000000005</v>
          </cell>
          <cell r="BF75">
            <v>36.880000000000003</v>
          </cell>
          <cell r="BG75">
            <v>26</v>
          </cell>
          <cell r="BH75">
            <v>703.1786666666668</v>
          </cell>
          <cell r="BI75">
            <v>0</v>
          </cell>
          <cell r="BJ75">
            <v>0</v>
          </cell>
          <cell r="BK75">
            <v>2163.626666666667</v>
          </cell>
          <cell r="BL75">
            <v>3618.12</v>
          </cell>
          <cell r="BM75">
            <v>3618.12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Y75">
            <v>6157.7466666666669</v>
          </cell>
          <cell r="CP75" t="str">
            <v>2130/10</v>
          </cell>
          <cell r="CQ75">
            <v>40448</v>
          </cell>
          <cell r="CR75">
            <v>40627</v>
          </cell>
          <cell r="CS75" t="str">
            <v>2010-0.238.929-8</v>
          </cell>
          <cell r="CT75" t="str">
            <v>EDNALDO SOUZA SANTOS</v>
          </cell>
          <cell r="CU75">
            <v>13515615881</v>
          </cell>
          <cell r="CV75">
            <v>105992</v>
          </cell>
          <cell r="CW75">
            <v>6252.7919999999995</v>
          </cell>
          <cell r="CX75">
            <v>168.82538399999999</v>
          </cell>
          <cell r="CY75">
            <v>31.263959999999997</v>
          </cell>
          <cell r="CZ75">
            <v>3751.6751999999997</v>
          </cell>
          <cell r="DA75">
            <v>338.93067999999994</v>
          </cell>
          <cell r="DD75">
            <v>338.93067999999994</v>
          </cell>
        </row>
        <row r="76">
          <cell r="C76" t="str">
            <v>3097/10</v>
          </cell>
          <cell r="D76" t="str">
            <v>01/01 A 31/01/11</v>
          </cell>
          <cell r="E76" t="str">
            <v>EDSON MOREIRA DE CASTRO</v>
          </cell>
          <cell r="F76" t="str">
            <v>ADAPTADO</v>
          </cell>
          <cell r="G76">
            <v>14</v>
          </cell>
          <cell r="H76">
            <v>16</v>
          </cell>
          <cell r="I76">
            <v>16</v>
          </cell>
          <cell r="J76">
            <v>93394</v>
          </cell>
          <cell r="K76">
            <v>7</v>
          </cell>
          <cell r="L76">
            <v>0</v>
          </cell>
          <cell r="M76">
            <v>2</v>
          </cell>
          <cell r="N76">
            <v>19321</v>
          </cell>
          <cell r="O76">
            <v>12</v>
          </cell>
          <cell r="P76">
            <v>0</v>
          </cell>
          <cell r="Q76">
            <v>6</v>
          </cell>
          <cell r="R76">
            <v>90603</v>
          </cell>
          <cell r="S76">
            <v>60</v>
          </cell>
          <cell r="T76">
            <v>7</v>
          </cell>
          <cell r="U76">
            <v>4</v>
          </cell>
          <cell r="W76">
            <v>1</v>
          </cell>
          <cell r="Y76">
            <v>1</v>
          </cell>
          <cell r="AA76">
            <v>1</v>
          </cell>
          <cell r="AB76">
            <v>0</v>
          </cell>
          <cell r="AD76">
            <v>2</v>
          </cell>
          <cell r="AE76">
            <v>1</v>
          </cell>
          <cell r="AG76">
            <v>1</v>
          </cell>
          <cell r="AI76">
            <v>1</v>
          </cell>
          <cell r="AJ76">
            <v>0.66666666666666663</v>
          </cell>
          <cell r="AK76" t="str">
            <v>21 e 22</v>
          </cell>
          <cell r="AL76">
            <v>16</v>
          </cell>
          <cell r="AM76">
            <v>30</v>
          </cell>
          <cell r="AN76">
            <v>22</v>
          </cell>
          <cell r="AO76">
            <v>79</v>
          </cell>
          <cell r="AP76">
            <v>19</v>
          </cell>
          <cell r="AS76">
            <v>2008</v>
          </cell>
          <cell r="AT76">
            <v>11</v>
          </cell>
          <cell r="AU76">
            <v>10</v>
          </cell>
          <cell r="AV76">
            <v>79</v>
          </cell>
          <cell r="AW76">
            <v>0.25</v>
          </cell>
          <cell r="AX76">
            <v>1264</v>
          </cell>
          <cell r="AY76">
            <v>316</v>
          </cell>
          <cell r="AZ76">
            <v>36.880000000000003</v>
          </cell>
          <cell r="BA76">
            <v>14</v>
          </cell>
          <cell r="BB76">
            <v>378.6346666666667</v>
          </cell>
          <cell r="BC76">
            <v>2290.25</v>
          </cell>
          <cell r="BD76">
            <v>5</v>
          </cell>
          <cell r="BE76">
            <v>1679.5166666666667</v>
          </cell>
          <cell r="BF76">
            <v>0</v>
          </cell>
          <cell r="BG76">
            <v>0</v>
          </cell>
          <cell r="BH76">
            <v>0</v>
          </cell>
          <cell r="BI76">
            <v>12</v>
          </cell>
          <cell r="BJ76">
            <v>0</v>
          </cell>
          <cell r="BK76">
            <v>2058.1513333333332</v>
          </cell>
          <cell r="BL76">
            <v>3727.1</v>
          </cell>
          <cell r="BM76">
            <v>3727.1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3.5</v>
          </cell>
          <cell r="BS76">
            <v>0</v>
          </cell>
          <cell r="BT76">
            <v>0</v>
          </cell>
          <cell r="BU76">
            <v>3.5</v>
          </cell>
          <cell r="BY76">
            <v>6097.7513333333336</v>
          </cell>
          <cell r="CP76" t="str">
            <v>2309/10</v>
          </cell>
          <cell r="CQ76">
            <v>40448</v>
          </cell>
          <cell r="CR76">
            <v>40627</v>
          </cell>
          <cell r="CS76" t="str">
            <v>2010-0.245.441-3</v>
          </cell>
          <cell r="CT76" t="str">
            <v>EDSON BATISTA DE LIMA</v>
          </cell>
          <cell r="CU76">
            <v>25763194837</v>
          </cell>
          <cell r="CV76">
            <v>106377</v>
          </cell>
          <cell r="CW76">
            <v>5920.4293333333335</v>
          </cell>
          <cell r="CX76">
            <v>159.85159200000004</v>
          </cell>
          <cell r="CY76">
            <v>29.60214666666667</v>
          </cell>
          <cell r="CZ76">
            <v>3552.2575999999999</v>
          </cell>
          <cell r="DA76">
            <v>293.63796000000002</v>
          </cell>
          <cell r="DD76">
            <v>293.63796000000002</v>
          </cell>
        </row>
        <row r="77">
          <cell r="C77" t="str">
            <v>2432/10</v>
          </cell>
          <cell r="D77" t="str">
            <v>01/01 A 31/01/11</v>
          </cell>
          <cell r="E77" t="str">
            <v>EDUARDO BASTOS CERQUEIRA</v>
          </cell>
          <cell r="F77" t="str">
            <v>EMEF</v>
          </cell>
          <cell r="G77">
            <v>16</v>
          </cell>
          <cell r="H77">
            <v>16</v>
          </cell>
          <cell r="I77">
            <v>16</v>
          </cell>
          <cell r="J77">
            <v>12688</v>
          </cell>
          <cell r="K77">
            <v>29</v>
          </cell>
          <cell r="L77">
            <v>27</v>
          </cell>
          <cell r="M77">
            <v>0</v>
          </cell>
          <cell r="N77">
            <v>12688</v>
          </cell>
          <cell r="O77">
            <v>40</v>
          </cell>
          <cell r="P77">
            <v>27</v>
          </cell>
          <cell r="Q77">
            <v>0</v>
          </cell>
          <cell r="R77">
            <v>12688</v>
          </cell>
          <cell r="S77">
            <v>38</v>
          </cell>
          <cell r="T77">
            <v>27</v>
          </cell>
          <cell r="U77">
            <v>0</v>
          </cell>
          <cell r="W77">
            <v>1</v>
          </cell>
          <cell r="Y77">
            <v>1</v>
          </cell>
          <cell r="AA77">
            <v>1</v>
          </cell>
          <cell r="AB77">
            <v>0</v>
          </cell>
          <cell r="AE77">
            <v>1</v>
          </cell>
          <cell r="AG77">
            <v>1</v>
          </cell>
          <cell r="AI77">
            <v>1</v>
          </cell>
          <cell r="AJ77">
            <v>0</v>
          </cell>
          <cell r="AL77">
            <v>16</v>
          </cell>
          <cell r="AM77">
            <v>30</v>
          </cell>
          <cell r="AN77">
            <v>22</v>
          </cell>
          <cell r="AO77">
            <v>107</v>
          </cell>
          <cell r="AP77">
            <v>81</v>
          </cell>
          <cell r="AS77">
            <v>2007</v>
          </cell>
          <cell r="AT77">
            <v>29</v>
          </cell>
          <cell r="AU77">
            <v>27</v>
          </cell>
          <cell r="AV77">
            <v>107</v>
          </cell>
          <cell r="AW77">
            <v>0.25</v>
          </cell>
          <cell r="AX77">
            <v>1712</v>
          </cell>
          <cell r="AY77">
            <v>428</v>
          </cell>
          <cell r="AZ77">
            <v>36.880000000000003</v>
          </cell>
          <cell r="BA77">
            <v>27</v>
          </cell>
          <cell r="BB77">
            <v>730.22400000000005</v>
          </cell>
          <cell r="BC77">
            <v>36.880000000000003</v>
          </cell>
          <cell r="BD77">
            <v>27</v>
          </cell>
          <cell r="BE77">
            <v>730.22400000000005</v>
          </cell>
          <cell r="BF77">
            <v>36.880000000000003</v>
          </cell>
          <cell r="BG77">
            <v>27</v>
          </cell>
          <cell r="BH77">
            <v>730.22400000000005</v>
          </cell>
          <cell r="BI77">
            <v>0</v>
          </cell>
          <cell r="BJ77">
            <v>0</v>
          </cell>
          <cell r="BK77">
            <v>2190.672</v>
          </cell>
          <cell r="BL77">
            <v>3618.12</v>
          </cell>
          <cell r="BM77">
            <v>3618.12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Y77">
            <v>6236.7919999999995</v>
          </cell>
          <cell r="CP77" t="str">
            <v>1781/10</v>
          </cell>
          <cell r="CQ77">
            <v>40427</v>
          </cell>
          <cell r="CR77">
            <v>40606</v>
          </cell>
          <cell r="CS77" t="str">
            <v>2010-0.225.029-0</v>
          </cell>
          <cell r="CT77" t="str">
            <v>EDSON DO NASCIMENTO RAMOS</v>
          </cell>
          <cell r="CU77" t="str">
            <v>082.448.098-84</v>
          </cell>
          <cell r="CV77">
            <v>96944</v>
          </cell>
          <cell r="CW77">
            <v>5991.6646799999999</v>
          </cell>
          <cell r="CX77">
            <v>161.77494636</v>
          </cell>
          <cell r="CY77">
            <v>29.958323400000001</v>
          </cell>
          <cell r="CZ77">
            <v>3594.9988079999998</v>
          </cell>
          <cell r="DA77">
            <v>303.25473179999994</v>
          </cell>
          <cell r="DD77">
            <v>303.25473179999994</v>
          </cell>
        </row>
        <row r="78">
          <cell r="C78" t="str">
            <v>2926/10</v>
          </cell>
          <cell r="D78" t="str">
            <v>01/01 A 31/01/11</v>
          </cell>
          <cell r="E78" t="str">
            <v>EDUARDO JOSE DE LIRA</v>
          </cell>
          <cell r="F78" t="str">
            <v>EMEI</v>
          </cell>
          <cell r="G78">
            <v>14</v>
          </cell>
          <cell r="H78">
            <v>14</v>
          </cell>
          <cell r="I78">
            <v>14</v>
          </cell>
          <cell r="J78">
            <v>90620</v>
          </cell>
          <cell r="K78">
            <v>32</v>
          </cell>
          <cell r="L78">
            <v>27</v>
          </cell>
          <cell r="M78">
            <v>0</v>
          </cell>
          <cell r="N78">
            <v>90620</v>
          </cell>
          <cell r="O78">
            <v>35</v>
          </cell>
          <cell r="P78">
            <v>27</v>
          </cell>
          <cell r="Q78">
            <v>0</v>
          </cell>
          <cell r="R78">
            <v>90620</v>
          </cell>
          <cell r="S78">
            <v>33</v>
          </cell>
          <cell r="T78">
            <v>27</v>
          </cell>
          <cell r="U78">
            <v>0</v>
          </cell>
          <cell r="W78">
            <v>1</v>
          </cell>
          <cell r="Y78">
            <v>1</v>
          </cell>
          <cell r="AA78">
            <v>1</v>
          </cell>
          <cell r="AB78">
            <v>0</v>
          </cell>
          <cell r="AD78">
            <v>2</v>
          </cell>
          <cell r="AE78">
            <v>1</v>
          </cell>
          <cell r="AF78">
            <v>2</v>
          </cell>
          <cell r="AG78">
            <v>1</v>
          </cell>
          <cell r="AH78">
            <v>2</v>
          </cell>
          <cell r="AI78">
            <v>1</v>
          </cell>
          <cell r="AJ78">
            <v>2</v>
          </cell>
          <cell r="AK78" t="str">
            <v>3 e 22</v>
          </cell>
          <cell r="AL78">
            <v>16</v>
          </cell>
          <cell r="AM78">
            <v>30</v>
          </cell>
          <cell r="AN78">
            <v>22</v>
          </cell>
          <cell r="AO78">
            <v>100</v>
          </cell>
          <cell r="AP78">
            <v>81</v>
          </cell>
          <cell r="AS78">
            <v>2007</v>
          </cell>
          <cell r="AT78">
            <v>29</v>
          </cell>
          <cell r="AU78">
            <v>27</v>
          </cell>
          <cell r="AV78">
            <v>100</v>
          </cell>
          <cell r="AW78">
            <v>0.65</v>
          </cell>
          <cell r="AX78">
            <v>1600</v>
          </cell>
          <cell r="AY78">
            <v>1040</v>
          </cell>
          <cell r="AZ78">
            <v>48.26</v>
          </cell>
          <cell r="BA78">
            <v>27</v>
          </cell>
          <cell r="BB78">
            <v>955.548</v>
          </cell>
          <cell r="BC78">
            <v>48.26</v>
          </cell>
          <cell r="BD78">
            <v>27</v>
          </cell>
          <cell r="BE78">
            <v>955.548</v>
          </cell>
          <cell r="BF78">
            <v>48.26</v>
          </cell>
          <cell r="BG78">
            <v>27</v>
          </cell>
          <cell r="BH78">
            <v>955.548</v>
          </cell>
          <cell r="BI78">
            <v>0</v>
          </cell>
          <cell r="BJ78">
            <v>0</v>
          </cell>
          <cell r="BK78">
            <v>2866.6440000000002</v>
          </cell>
          <cell r="BL78">
            <v>2483</v>
          </cell>
          <cell r="BM78">
            <v>2483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41.6</v>
          </cell>
          <cell r="BS78">
            <v>45.5</v>
          </cell>
          <cell r="BT78">
            <v>42.9</v>
          </cell>
          <cell r="BU78">
            <v>130</v>
          </cell>
          <cell r="BY78">
            <v>6259.6440000000002</v>
          </cell>
          <cell r="CP78" t="str">
            <v>2131/10</v>
          </cell>
          <cell r="CQ78">
            <v>40448</v>
          </cell>
          <cell r="CR78">
            <v>40627</v>
          </cell>
          <cell r="CS78" t="str">
            <v>2010-0.238.367-2</v>
          </cell>
          <cell r="CT78" t="str">
            <v>EDSON DOS SANTOS GOIS</v>
          </cell>
          <cell r="CU78">
            <v>26005135821</v>
          </cell>
          <cell r="CV78">
            <v>106003</v>
          </cell>
          <cell r="CW78">
            <v>6157.7466666666669</v>
          </cell>
          <cell r="CX78">
            <v>166.25916000000001</v>
          </cell>
          <cell r="CY78">
            <v>30.788733333333337</v>
          </cell>
          <cell r="CZ78">
            <v>3694.6480000000001</v>
          </cell>
          <cell r="DA78">
            <v>325.67580000000009</v>
          </cell>
          <cell r="DD78">
            <v>325.67580000000009</v>
          </cell>
        </row>
        <row r="79">
          <cell r="C79" t="str">
            <v>2132/10</v>
          </cell>
          <cell r="D79" t="str">
            <v>01/01 A 31/01/11</v>
          </cell>
          <cell r="E79" t="str">
            <v>ELIANE IRACEMA ANDRADE</v>
          </cell>
          <cell r="F79" t="str">
            <v>EMEI</v>
          </cell>
          <cell r="G79">
            <v>15</v>
          </cell>
          <cell r="H79">
            <v>15</v>
          </cell>
          <cell r="I79">
            <v>16</v>
          </cell>
          <cell r="J79">
            <v>19682</v>
          </cell>
          <cell r="K79">
            <v>48</v>
          </cell>
          <cell r="L79">
            <v>26</v>
          </cell>
          <cell r="M79">
            <v>0</v>
          </cell>
          <cell r="N79">
            <v>19682</v>
          </cell>
          <cell r="O79">
            <v>62</v>
          </cell>
          <cell r="P79">
            <v>27</v>
          </cell>
          <cell r="Q79">
            <v>0</v>
          </cell>
          <cell r="R79">
            <v>0</v>
          </cell>
          <cell r="U79">
            <v>0</v>
          </cell>
          <cell r="W79">
            <v>1</v>
          </cell>
          <cell r="Y79">
            <v>1</v>
          </cell>
          <cell r="AA79">
            <v>0</v>
          </cell>
          <cell r="AB79">
            <v>0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I79">
            <v>0</v>
          </cell>
          <cell r="AJ79">
            <v>1</v>
          </cell>
          <cell r="AK79">
            <v>17</v>
          </cell>
          <cell r="AL79">
            <v>16</v>
          </cell>
          <cell r="AM79">
            <v>30</v>
          </cell>
          <cell r="AN79">
            <v>22</v>
          </cell>
          <cell r="AO79">
            <v>110</v>
          </cell>
          <cell r="AP79">
            <v>53</v>
          </cell>
          <cell r="AS79">
            <v>2007</v>
          </cell>
          <cell r="AT79">
            <v>29</v>
          </cell>
          <cell r="AU79">
            <v>27</v>
          </cell>
          <cell r="AV79">
            <v>110</v>
          </cell>
          <cell r="AW79">
            <v>0.25</v>
          </cell>
          <cell r="AX79">
            <v>1760</v>
          </cell>
          <cell r="AY79">
            <v>440</v>
          </cell>
          <cell r="AZ79">
            <v>36.880000000000003</v>
          </cell>
          <cell r="BA79">
            <v>26</v>
          </cell>
          <cell r="BB79">
            <v>703.1786666666668</v>
          </cell>
          <cell r="BC79">
            <v>36.880000000000003</v>
          </cell>
          <cell r="BD79">
            <v>27</v>
          </cell>
          <cell r="BE79">
            <v>730.22400000000005</v>
          </cell>
          <cell r="BF79">
            <v>36.880000000000003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1433.4026666666668</v>
          </cell>
          <cell r="BL79">
            <v>3618.12</v>
          </cell>
          <cell r="BM79">
            <v>3618.12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12</v>
          </cell>
          <cell r="BS79">
            <v>15.5</v>
          </cell>
          <cell r="BT79">
            <v>0</v>
          </cell>
          <cell r="BU79">
            <v>27.5</v>
          </cell>
          <cell r="BY79">
            <v>5464.0226666666667</v>
          </cell>
          <cell r="CP79" t="str">
            <v>3097/10</v>
          </cell>
          <cell r="CQ79">
            <v>40504</v>
          </cell>
          <cell r="CR79">
            <v>40683</v>
          </cell>
          <cell r="CS79" t="str">
            <v>2010-0.292.622-6</v>
          </cell>
          <cell r="CT79" t="str">
            <v>EDSON MOREIRA DE CASTRO</v>
          </cell>
          <cell r="CU79" t="str">
            <v>088.096.758-78</v>
          </cell>
          <cell r="CV79">
            <v>124644</v>
          </cell>
          <cell r="CW79">
            <v>6097.7513333333336</v>
          </cell>
          <cell r="CX79">
            <v>164.63928600000003</v>
          </cell>
          <cell r="CY79">
            <v>30.488756666666674</v>
          </cell>
          <cell r="CZ79">
            <v>3658.6507999999999</v>
          </cell>
          <cell r="DA79">
            <v>317.57642999999996</v>
          </cell>
          <cell r="DD79">
            <v>317.57642999999996</v>
          </cell>
        </row>
        <row r="80">
          <cell r="C80" t="str">
            <v>3018/10</v>
          </cell>
          <cell r="D80" t="str">
            <v>01/01 A 31/01/11</v>
          </cell>
          <cell r="E80" t="str">
            <v>ELIAS BISPO DA SILVA NETO</v>
          </cell>
          <cell r="F80" t="str">
            <v>EMEI</v>
          </cell>
          <cell r="G80">
            <v>16</v>
          </cell>
          <cell r="H80">
            <v>16</v>
          </cell>
          <cell r="I80">
            <v>16</v>
          </cell>
          <cell r="J80">
            <v>98931</v>
          </cell>
          <cell r="K80">
            <v>42</v>
          </cell>
          <cell r="L80">
            <v>20</v>
          </cell>
          <cell r="M80">
            <v>0</v>
          </cell>
          <cell r="N80">
            <v>98931</v>
          </cell>
          <cell r="O80">
            <v>39</v>
          </cell>
          <cell r="P80">
            <v>23</v>
          </cell>
          <cell r="Q80">
            <v>0</v>
          </cell>
          <cell r="R80">
            <v>98931</v>
          </cell>
          <cell r="S80">
            <v>38</v>
          </cell>
          <cell r="T80">
            <v>20</v>
          </cell>
          <cell r="U80">
            <v>0</v>
          </cell>
          <cell r="W80">
            <v>1</v>
          </cell>
          <cell r="Y80">
            <v>1</v>
          </cell>
          <cell r="AA80">
            <v>1</v>
          </cell>
          <cell r="AB80">
            <v>0</v>
          </cell>
          <cell r="AE80">
            <v>1</v>
          </cell>
          <cell r="AG80">
            <v>1</v>
          </cell>
          <cell r="AI80">
            <v>1</v>
          </cell>
          <cell r="AJ80">
            <v>0</v>
          </cell>
          <cell r="AL80">
            <v>16</v>
          </cell>
          <cell r="AM80">
            <v>30</v>
          </cell>
          <cell r="AN80">
            <v>22</v>
          </cell>
          <cell r="AO80">
            <v>119</v>
          </cell>
          <cell r="AP80">
            <v>63</v>
          </cell>
          <cell r="AS80">
            <v>2001</v>
          </cell>
          <cell r="AT80">
            <v>25</v>
          </cell>
          <cell r="AU80">
            <v>23</v>
          </cell>
          <cell r="AV80">
            <v>119</v>
          </cell>
          <cell r="AW80">
            <v>0.65</v>
          </cell>
          <cell r="AX80">
            <v>1904</v>
          </cell>
          <cell r="AY80">
            <v>1237.6000000000001</v>
          </cell>
          <cell r="AZ80">
            <v>48.26</v>
          </cell>
          <cell r="BA80">
            <v>20</v>
          </cell>
          <cell r="BB80">
            <v>707.81333333333328</v>
          </cell>
          <cell r="BC80">
            <v>48.26</v>
          </cell>
          <cell r="BD80">
            <v>23</v>
          </cell>
          <cell r="BE80">
            <v>813.9853333333333</v>
          </cell>
          <cell r="BF80">
            <v>48.26</v>
          </cell>
          <cell r="BG80">
            <v>20</v>
          </cell>
          <cell r="BH80">
            <v>707.81333333333328</v>
          </cell>
          <cell r="BI80">
            <v>0</v>
          </cell>
          <cell r="BJ80">
            <v>0</v>
          </cell>
          <cell r="BK80">
            <v>2229.6120000000001</v>
          </cell>
          <cell r="BL80">
            <v>1526</v>
          </cell>
          <cell r="BM80">
            <v>1526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Y80">
            <v>4993.2120000000004</v>
          </cell>
          <cell r="CP80" t="str">
            <v>2432/10</v>
          </cell>
          <cell r="CQ80">
            <v>40455</v>
          </cell>
          <cell r="CR80">
            <v>40634</v>
          </cell>
          <cell r="CS80" t="str">
            <v>2010-0.267.142-2</v>
          </cell>
          <cell r="CT80" t="str">
            <v>EDUARDO BASTOS CERQUEIRA</v>
          </cell>
          <cell r="CU80">
            <v>62794361520</v>
          </cell>
          <cell r="CV80">
            <v>111876</v>
          </cell>
          <cell r="CW80">
            <v>6236.7919999999995</v>
          </cell>
          <cell r="CX80">
            <v>168.39338400000003</v>
          </cell>
          <cell r="CY80">
            <v>31.183960000000003</v>
          </cell>
          <cell r="CZ80">
            <v>3742.0751999999993</v>
          </cell>
          <cell r="DA80">
            <v>336.34691999999984</v>
          </cell>
          <cell r="DD80">
            <v>336.34691999999984</v>
          </cell>
        </row>
        <row r="81">
          <cell r="C81" t="str">
            <v>2167/10</v>
          </cell>
          <cell r="D81" t="str">
            <v>01/01 A 31/01/11</v>
          </cell>
          <cell r="E81" t="str">
            <v>ELISANGELA PAULA COSTA ZILLIG BARBOSA</v>
          </cell>
          <cell r="F81" t="str">
            <v>SAAI</v>
          </cell>
          <cell r="G81">
            <v>16</v>
          </cell>
          <cell r="H81">
            <v>16</v>
          </cell>
          <cell r="I81">
            <v>16</v>
          </cell>
          <cell r="J81">
            <v>18546</v>
          </cell>
          <cell r="K81">
            <v>7</v>
          </cell>
          <cell r="L81">
            <v>7</v>
          </cell>
          <cell r="M81">
            <v>0</v>
          </cell>
          <cell r="N81">
            <v>18546</v>
          </cell>
          <cell r="O81">
            <v>10</v>
          </cell>
          <cell r="P81">
            <v>6</v>
          </cell>
          <cell r="Q81">
            <v>0</v>
          </cell>
          <cell r="R81">
            <v>18546</v>
          </cell>
          <cell r="S81">
            <v>8</v>
          </cell>
          <cell r="T81">
            <v>7</v>
          </cell>
          <cell r="U81">
            <v>0</v>
          </cell>
          <cell r="W81">
            <v>1</v>
          </cell>
          <cell r="Y81">
            <v>1</v>
          </cell>
          <cell r="AA81">
            <v>1</v>
          </cell>
          <cell r="AB81">
            <v>0</v>
          </cell>
          <cell r="AE81">
            <v>1</v>
          </cell>
          <cell r="AG81">
            <v>1</v>
          </cell>
          <cell r="AI81">
            <v>1</v>
          </cell>
          <cell r="AJ81">
            <v>0</v>
          </cell>
          <cell r="AL81">
            <v>16</v>
          </cell>
          <cell r="AM81">
            <v>30</v>
          </cell>
          <cell r="AN81">
            <v>22</v>
          </cell>
          <cell r="AO81">
            <v>25</v>
          </cell>
          <cell r="AP81">
            <v>20</v>
          </cell>
          <cell r="AS81">
            <v>2007</v>
          </cell>
          <cell r="AT81">
            <v>29</v>
          </cell>
          <cell r="AU81">
            <v>27</v>
          </cell>
          <cell r="AV81">
            <v>25</v>
          </cell>
          <cell r="AW81">
            <v>0.25</v>
          </cell>
          <cell r="AX81">
            <v>400</v>
          </cell>
          <cell r="AY81">
            <v>100</v>
          </cell>
          <cell r="AZ81">
            <v>2544.7199999999998</v>
          </cell>
          <cell r="BA81">
            <v>7</v>
          </cell>
          <cell r="BB81">
            <v>1866.1279999999999</v>
          </cell>
          <cell r="BC81">
            <v>0</v>
          </cell>
          <cell r="BD81">
            <v>6</v>
          </cell>
          <cell r="BE81">
            <v>0</v>
          </cell>
          <cell r="BF81">
            <v>0</v>
          </cell>
          <cell r="BG81">
            <v>7</v>
          </cell>
          <cell r="BH81">
            <v>0</v>
          </cell>
          <cell r="BI81">
            <v>0</v>
          </cell>
          <cell r="BJ81">
            <v>0</v>
          </cell>
          <cell r="BK81">
            <v>1866.1279999999999</v>
          </cell>
          <cell r="BL81">
            <v>3618.12</v>
          </cell>
          <cell r="BM81">
            <v>3618.12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Y81">
            <v>5584.2479999999996</v>
          </cell>
          <cell r="CP81" t="str">
            <v>2926/10</v>
          </cell>
          <cell r="CQ81">
            <v>40483</v>
          </cell>
          <cell r="CR81">
            <v>40662</v>
          </cell>
          <cell r="CS81" t="str">
            <v>2010-0.283.655-3</v>
          </cell>
          <cell r="CT81" t="str">
            <v>EDUARDO JOSE DE LIRA</v>
          </cell>
          <cell r="CU81">
            <v>18968439800</v>
          </cell>
          <cell r="CV81">
            <v>119890</v>
          </cell>
          <cell r="CW81">
            <v>6259.6440000000002</v>
          </cell>
          <cell r="CX81">
            <v>169.01038800000003</v>
          </cell>
          <cell r="CY81">
            <v>31.298220000000004</v>
          </cell>
          <cell r="CZ81">
            <v>3755.7864</v>
          </cell>
          <cell r="DA81">
            <v>340.06126000000017</v>
          </cell>
          <cell r="DD81">
            <v>340.06126000000017</v>
          </cell>
        </row>
        <row r="82">
          <cell r="C82" t="str">
            <v>2133/10</v>
          </cell>
          <cell r="D82" t="str">
            <v>01/01 A 31/01/11</v>
          </cell>
          <cell r="E82" t="str">
            <v>ELIZEU PEREIRA FRANCO</v>
          </cell>
          <cell r="F82" t="str">
            <v>EMEF</v>
          </cell>
          <cell r="G82">
            <v>15</v>
          </cell>
          <cell r="H82">
            <v>15</v>
          </cell>
          <cell r="I82">
            <v>15</v>
          </cell>
          <cell r="J82">
            <v>93378</v>
          </cell>
          <cell r="K82">
            <v>16</v>
          </cell>
          <cell r="L82">
            <v>27</v>
          </cell>
          <cell r="M82">
            <v>0</v>
          </cell>
          <cell r="N82">
            <v>93378</v>
          </cell>
          <cell r="O82">
            <v>16</v>
          </cell>
          <cell r="P82">
            <v>27</v>
          </cell>
          <cell r="Q82">
            <v>0</v>
          </cell>
          <cell r="R82">
            <v>93378</v>
          </cell>
          <cell r="S82">
            <v>18</v>
          </cell>
          <cell r="T82">
            <v>27</v>
          </cell>
          <cell r="U82">
            <v>0</v>
          </cell>
          <cell r="W82">
            <v>1</v>
          </cell>
          <cell r="Y82">
            <v>1</v>
          </cell>
          <cell r="AA82">
            <v>1</v>
          </cell>
          <cell r="AB82">
            <v>0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22</v>
          </cell>
          <cell r="AL82">
            <v>16</v>
          </cell>
          <cell r="AM82">
            <v>30</v>
          </cell>
          <cell r="AN82">
            <v>22</v>
          </cell>
          <cell r="AO82">
            <v>50</v>
          </cell>
          <cell r="AP82">
            <v>81</v>
          </cell>
          <cell r="AS82">
            <v>2007</v>
          </cell>
          <cell r="AT82">
            <v>29</v>
          </cell>
          <cell r="AU82">
            <v>27</v>
          </cell>
          <cell r="AV82">
            <v>50</v>
          </cell>
          <cell r="AW82">
            <v>0.25</v>
          </cell>
          <cell r="AX82">
            <v>800</v>
          </cell>
          <cell r="AY82">
            <v>200</v>
          </cell>
          <cell r="AZ82">
            <v>36.880000000000003</v>
          </cell>
          <cell r="BA82">
            <v>27</v>
          </cell>
          <cell r="BB82">
            <v>730.22400000000005</v>
          </cell>
          <cell r="BC82">
            <v>36.880000000000003</v>
          </cell>
          <cell r="BD82">
            <v>27</v>
          </cell>
          <cell r="BE82">
            <v>730.22400000000005</v>
          </cell>
          <cell r="BF82">
            <v>36.880000000000003</v>
          </cell>
          <cell r="BG82">
            <v>27</v>
          </cell>
          <cell r="BH82">
            <v>730.22400000000005</v>
          </cell>
          <cell r="BI82">
            <v>0</v>
          </cell>
          <cell r="BJ82">
            <v>0</v>
          </cell>
          <cell r="BK82">
            <v>2190.672</v>
          </cell>
          <cell r="BL82">
            <v>3618.12</v>
          </cell>
          <cell r="BM82">
            <v>3618.12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4</v>
          </cell>
          <cell r="BS82">
            <v>4</v>
          </cell>
          <cell r="BT82">
            <v>4.5</v>
          </cell>
          <cell r="BU82">
            <v>12.5</v>
          </cell>
          <cell r="BY82">
            <v>5996.2919999999995</v>
          </cell>
          <cell r="CP82" t="str">
            <v>2132/10</v>
          </cell>
          <cell r="CQ82">
            <v>40448</v>
          </cell>
          <cell r="CR82">
            <v>40627</v>
          </cell>
          <cell r="CS82" t="str">
            <v>2010-0.238.368-0</v>
          </cell>
          <cell r="CT82" t="str">
            <v>ELIANE IRACEMA ANDRADE</v>
          </cell>
          <cell r="CU82">
            <v>13237671851</v>
          </cell>
          <cell r="CV82">
            <v>106037</v>
          </cell>
          <cell r="CW82">
            <v>5464.0226666666667</v>
          </cell>
          <cell r="CX82">
            <v>147.52861200000004</v>
          </cell>
          <cell r="CY82">
            <v>27.320113333333339</v>
          </cell>
          <cell r="CZ82">
            <v>3278.4135999999999</v>
          </cell>
          <cell r="DA82">
            <v>232.02305999999999</v>
          </cell>
          <cell r="DD82">
            <v>232.02305999999999</v>
          </cell>
        </row>
        <row r="83">
          <cell r="C83" t="str">
            <v>2910/10</v>
          </cell>
          <cell r="D83" t="str">
            <v>01/01 A 31/01/11</v>
          </cell>
          <cell r="E83" t="str">
            <v>EVANDRO GOMES SOARES</v>
          </cell>
          <cell r="F83" t="str">
            <v>EMEF</v>
          </cell>
          <cell r="G83">
            <v>16</v>
          </cell>
          <cell r="H83">
            <v>16</v>
          </cell>
          <cell r="I83">
            <v>16</v>
          </cell>
          <cell r="J83">
            <v>93335</v>
          </cell>
          <cell r="K83">
            <v>40</v>
          </cell>
          <cell r="L83">
            <v>23</v>
          </cell>
          <cell r="M83">
            <v>0</v>
          </cell>
          <cell r="N83">
            <v>93335</v>
          </cell>
          <cell r="O83">
            <v>35</v>
          </cell>
          <cell r="P83">
            <v>23</v>
          </cell>
          <cell r="Q83">
            <v>0</v>
          </cell>
          <cell r="R83">
            <v>0</v>
          </cell>
          <cell r="U83">
            <v>0</v>
          </cell>
          <cell r="W83">
            <v>1</v>
          </cell>
          <cell r="Y83">
            <v>1</v>
          </cell>
          <cell r="AA83">
            <v>0</v>
          </cell>
          <cell r="AB83">
            <v>0</v>
          </cell>
          <cell r="AE83">
            <v>1</v>
          </cell>
          <cell r="AG83">
            <v>1</v>
          </cell>
          <cell r="AI83">
            <v>0</v>
          </cell>
          <cell r="AJ83">
            <v>0</v>
          </cell>
          <cell r="AL83">
            <v>16</v>
          </cell>
          <cell r="AM83">
            <v>30</v>
          </cell>
          <cell r="AN83">
            <v>22</v>
          </cell>
          <cell r="AO83">
            <v>75</v>
          </cell>
          <cell r="AP83">
            <v>46</v>
          </cell>
          <cell r="AS83">
            <v>2003</v>
          </cell>
          <cell r="AT83">
            <v>25</v>
          </cell>
          <cell r="AU83">
            <v>23</v>
          </cell>
          <cell r="AV83">
            <v>75</v>
          </cell>
          <cell r="AW83">
            <v>0.65</v>
          </cell>
          <cell r="AX83">
            <v>1200</v>
          </cell>
          <cell r="AY83">
            <v>780</v>
          </cell>
          <cell r="AZ83">
            <v>48.26</v>
          </cell>
          <cell r="BA83">
            <v>23</v>
          </cell>
          <cell r="BB83">
            <v>813.9853333333333</v>
          </cell>
          <cell r="BC83">
            <v>48.26</v>
          </cell>
          <cell r="BD83">
            <v>23</v>
          </cell>
          <cell r="BE83">
            <v>813.9853333333333</v>
          </cell>
          <cell r="BF83">
            <v>48.26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1627.9706666666666</v>
          </cell>
          <cell r="BL83">
            <v>1803</v>
          </cell>
          <cell r="BM83">
            <v>1803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Y83">
            <v>4210.9706666666661</v>
          </cell>
          <cell r="CP83" t="str">
            <v>3018/10</v>
          </cell>
          <cell r="CQ83">
            <v>40490</v>
          </cell>
          <cell r="CR83">
            <v>40669</v>
          </cell>
          <cell r="CS83" t="str">
            <v>2010-0.288.625-9</v>
          </cell>
          <cell r="CT83" t="str">
            <v>ELIAS BISPO DA SILVA NETO</v>
          </cell>
          <cell r="CU83">
            <v>25519286809</v>
          </cell>
          <cell r="CV83">
            <v>122620</v>
          </cell>
          <cell r="CW83">
            <v>4993.2120000000004</v>
          </cell>
          <cell r="CX83">
            <v>134.81672400000002</v>
          </cell>
          <cell r="CY83">
            <v>24.966060000000006</v>
          </cell>
          <cell r="CZ83">
            <v>2995.9272000000001</v>
          </cell>
          <cell r="DA83">
            <v>168.46361999999999</v>
          </cell>
          <cell r="DD83">
            <v>168.46361999999999</v>
          </cell>
        </row>
        <row r="84">
          <cell r="C84" t="str">
            <v>2990/10</v>
          </cell>
          <cell r="D84" t="str">
            <v>01/01 A 31/01/11</v>
          </cell>
          <cell r="E84" t="str">
            <v>FABIANO ALVES DOS SANTOS</v>
          </cell>
          <cell r="F84" t="str">
            <v>EMEI</v>
          </cell>
          <cell r="G84">
            <v>14</v>
          </cell>
          <cell r="H84">
            <v>14</v>
          </cell>
          <cell r="I84">
            <v>14</v>
          </cell>
          <cell r="J84">
            <v>90620</v>
          </cell>
          <cell r="K84">
            <v>34</v>
          </cell>
          <cell r="L84">
            <v>23</v>
          </cell>
          <cell r="M84">
            <v>0</v>
          </cell>
          <cell r="N84">
            <v>90620</v>
          </cell>
          <cell r="O84">
            <v>34</v>
          </cell>
          <cell r="P84">
            <v>23</v>
          </cell>
          <cell r="Q84">
            <v>0</v>
          </cell>
          <cell r="R84">
            <v>90620</v>
          </cell>
          <cell r="S84">
            <v>32</v>
          </cell>
          <cell r="T84">
            <v>23</v>
          </cell>
          <cell r="U84">
            <v>0</v>
          </cell>
          <cell r="W84">
            <v>1</v>
          </cell>
          <cell r="Y84">
            <v>1</v>
          </cell>
          <cell r="AA84">
            <v>1</v>
          </cell>
          <cell r="AB84">
            <v>0</v>
          </cell>
          <cell r="AD84">
            <v>2</v>
          </cell>
          <cell r="AE84">
            <v>1</v>
          </cell>
          <cell r="AF84">
            <v>2</v>
          </cell>
          <cell r="AG84">
            <v>1</v>
          </cell>
          <cell r="AH84">
            <v>2</v>
          </cell>
          <cell r="AI84">
            <v>1</v>
          </cell>
          <cell r="AJ84">
            <v>2</v>
          </cell>
          <cell r="AK84" t="str">
            <v>3 e 22</v>
          </cell>
          <cell r="AL84">
            <v>16</v>
          </cell>
          <cell r="AM84">
            <v>30</v>
          </cell>
          <cell r="AN84">
            <v>22</v>
          </cell>
          <cell r="AO84">
            <v>100</v>
          </cell>
          <cell r="AP84">
            <v>69</v>
          </cell>
          <cell r="AS84">
            <v>1999</v>
          </cell>
          <cell r="AT84">
            <v>25</v>
          </cell>
          <cell r="AU84">
            <v>23</v>
          </cell>
          <cell r="AV84">
            <v>100</v>
          </cell>
          <cell r="AW84">
            <v>0.65</v>
          </cell>
          <cell r="AX84">
            <v>1600</v>
          </cell>
          <cell r="AY84">
            <v>1040</v>
          </cell>
          <cell r="AZ84">
            <v>48.26</v>
          </cell>
          <cell r="BA84">
            <v>23</v>
          </cell>
          <cell r="BB84">
            <v>813.9853333333333</v>
          </cell>
          <cell r="BC84">
            <v>48.26</v>
          </cell>
          <cell r="BD84">
            <v>23</v>
          </cell>
          <cell r="BE84">
            <v>813.9853333333333</v>
          </cell>
          <cell r="BF84">
            <v>48.26</v>
          </cell>
          <cell r="BG84">
            <v>23</v>
          </cell>
          <cell r="BH84">
            <v>813.9853333333333</v>
          </cell>
          <cell r="BI84">
            <v>0</v>
          </cell>
          <cell r="BJ84">
            <v>0</v>
          </cell>
          <cell r="BK84">
            <v>2441.9560000000001</v>
          </cell>
          <cell r="BL84">
            <v>1291</v>
          </cell>
          <cell r="BM84">
            <v>1291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44.2</v>
          </cell>
          <cell r="BS84">
            <v>44.2</v>
          </cell>
          <cell r="BT84">
            <v>41.6</v>
          </cell>
          <cell r="BU84">
            <v>130</v>
          </cell>
          <cell r="BY84">
            <v>4642.9560000000001</v>
          </cell>
          <cell r="CP84" t="str">
            <v>2167/10</v>
          </cell>
          <cell r="CQ84">
            <v>40448</v>
          </cell>
          <cell r="CR84">
            <v>40627</v>
          </cell>
          <cell r="CS84" t="str">
            <v>2010-0.239.444-5</v>
          </cell>
          <cell r="CT84" t="str">
            <v>ELISANGELA PAULA COSTA ZILLIG BARBOSA</v>
          </cell>
          <cell r="CU84">
            <v>26865944895</v>
          </cell>
          <cell r="CV84">
            <v>106143</v>
          </cell>
          <cell r="CW84">
            <v>5584.2479999999996</v>
          </cell>
          <cell r="CX84">
            <v>150.77469600000001</v>
          </cell>
          <cell r="CY84">
            <v>27.921240000000001</v>
          </cell>
          <cell r="CZ84">
            <v>3350.5487999999996</v>
          </cell>
          <cell r="DA84">
            <v>248.25347999999997</v>
          </cell>
          <cell r="DD84">
            <v>248.25347999999997</v>
          </cell>
        </row>
        <row r="85">
          <cell r="C85" t="str">
            <v>3108/10</v>
          </cell>
          <cell r="D85" t="str">
            <v>01/01 A 31/01/11</v>
          </cell>
          <cell r="E85" t="str">
            <v>FABIO ONGARO</v>
          </cell>
          <cell r="F85" t="str">
            <v>EMEI</v>
          </cell>
          <cell r="G85">
            <v>13</v>
          </cell>
          <cell r="H85">
            <v>13</v>
          </cell>
          <cell r="I85">
            <v>13</v>
          </cell>
          <cell r="J85">
            <v>19213</v>
          </cell>
          <cell r="K85">
            <v>47</v>
          </cell>
          <cell r="L85">
            <v>17</v>
          </cell>
          <cell r="M85">
            <v>0</v>
          </cell>
          <cell r="N85">
            <v>19213</v>
          </cell>
          <cell r="O85">
            <v>51</v>
          </cell>
          <cell r="P85">
            <v>14</v>
          </cell>
          <cell r="Q85">
            <v>0</v>
          </cell>
          <cell r="R85">
            <v>19213</v>
          </cell>
          <cell r="S85">
            <v>44</v>
          </cell>
          <cell r="T85">
            <v>14</v>
          </cell>
          <cell r="U85">
            <v>0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22</v>
          </cell>
          <cell r="AD85">
            <v>2</v>
          </cell>
          <cell r="AE85">
            <v>1</v>
          </cell>
          <cell r="AF85">
            <v>2</v>
          </cell>
          <cell r="AG85">
            <v>1</v>
          </cell>
          <cell r="AH85">
            <v>2</v>
          </cell>
          <cell r="AI85">
            <v>1</v>
          </cell>
          <cell r="AJ85">
            <v>2</v>
          </cell>
          <cell r="AK85" t="str">
            <v>1, 9, 10 e 13</v>
          </cell>
          <cell r="AL85">
            <v>16</v>
          </cell>
          <cell r="AM85">
            <v>30</v>
          </cell>
          <cell r="AN85">
            <v>22</v>
          </cell>
          <cell r="AO85">
            <v>142</v>
          </cell>
          <cell r="AP85">
            <v>45</v>
          </cell>
          <cell r="AS85">
            <v>2009</v>
          </cell>
          <cell r="AT85">
            <v>19</v>
          </cell>
          <cell r="AU85">
            <v>17</v>
          </cell>
          <cell r="AV85">
            <v>142</v>
          </cell>
          <cell r="AW85">
            <v>0.25</v>
          </cell>
          <cell r="AX85">
            <v>2272</v>
          </cell>
          <cell r="AY85">
            <v>568</v>
          </cell>
          <cell r="AZ85">
            <v>36.880000000000003</v>
          </cell>
          <cell r="BA85">
            <v>17</v>
          </cell>
          <cell r="BB85">
            <v>459.77066666666667</v>
          </cell>
          <cell r="BC85">
            <v>36.880000000000003</v>
          </cell>
          <cell r="BD85">
            <v>14</v>
          </cell>
          <cell r="BE85">
            <v>378.6346666666667</v>
          </cell>
          <cell r="BF85">
            <v>36.880000000000003</v>
          </cell>
          <cell r="BG85">
            <v>14</v>
          </cell>
          <cell r="BH85">
            <v>378.6346666666667</v>
          </cell>
          <cell r="BI85">
            <v>0</v>
          </cell>
          <cell r="BJ85">
            <v>0</v>
          </cell>
          <cell r="BK85">
            <v>1217.04</v>
          </cell>
          <cell r="BL85">
            <v>2650.9</v>
          </cell>
          <cell r="BM85">
            <v>2650.9</v>
          </cell>
          <cell r="BN85">
            <v>61.808566666666664</v>
          </cell>
          <cell r="BO85">
            <v>59.120566666666669</v>
          </cell>
          <cell r="BP85">
            <v>57.370566666666669</v>
          </cell>
          <cell r="BQ85">
            <v>178.2997</v>
          </cell>
          <cell r="BR85">
            <v>23.5</v>
          </cell>
          <cell r="BS85">
            <v>25.5</v>
          </cell>
          <cell r="BT85">
            <v>22</v>
          </cell>
          <cell r="BU85">
            <v>71</v>
          </cell>
          <cell r="BY85">
            <v>4186.6403000000009</v>
          </cell>
          <cell r="CP85" t="str">
            <v>2133/10</v>
          </cell>
          <cell r="CQ85">
            <v>40448</v>
          </cell>
          <cell r="CR85">
            <v>40627</v>
          </cell>
          <cell r="CS85" t="str">
            <v>2010-0.239.372-4</v>
          </cell>
          <cell r="CT85" t="str">
            <v>ELIZEU PEREIRA FRANCO</v>
          </cell>
          <cell r="CU85" t="str">
            <v>099.425.698-12</v>
          </cell>
          <cell r="CV85">
            <v>106060</v>
          </cell>
          <cell r="CW85">
            <v>5996.2919999999995</v>
          </cell>
          <cell r="CX85">
            <v>161.89988400000001</v>
          </cell>
          <cell r="CY85">
            <v>29.981459999999998</v>
          </cell>
          <cell r="CZ85">
            <v>3597.7751999999996</v>
          </cell>
          <cell r="DA85">
            <v>303.87941999999987</v>
          </cell>
          <cell r="DD85">
            <v>303.87941999999987</v>
          </cell>
        </row>
        <row r="86">
          <cell r="C86" t="str">
            <v>2605/10</v>
          </cell>
          <cell r="D86" t="str">
            <v>01/01 A 31/01/11</v>
          </cell>
          <cell r="E86" t="str">
            <v>FABIO PEROZI</v>
          </cell>
          <cell r="F86" t="str">
            <v>EMEI</v>
          </cell>
          <cell r="G86">
            <v>16</v>
          </cell>
          <cell r="H86">
            <v>16</v>
          </cell>
          <cell r="I86">
            <v>16</v>
          </cell>
          <cell r="J86">
            <v>19151</v>
          </cell>
          <cell r="K86">
            <v>22</v>
          </cell>
          <cell r="L86">
            <v>27</v>
          </cell>
          <cell r="M86">
            <v>0</v>
          </cell>
          <cell r="N86">
            <v>19151</v>
          </cell>
          <cell r="O86">
            <v>25</v>
          </cell>
          <cell r="P86">
            <v>27</v>
          </cell>
          <cell r="Q86">
            <v>0</v>
          </cell>
          <cell r="R86">
            <v>19151</v>
          </cell>
          <cell r="S86">
            <v>24</v>
          </cell>
          <cell r="T86">
            <v>27</v>
          </cell>
          <cell r="U86">
            <v>0</v>
          </cell>
          <cell r="W86">
            <v>1</v>
          </cell>
          <cell r="Y86">
            <v>1</v>
          </cell>
          <cell r="AA86">
            <v>1</v>
          </cell>
          <cell r="AB86">
            <v>0</v>
          </cell>
          <cell r="AE86">
            <v>1</v>
          </cell>
          <cell r="AG86">
            <v>1</v>
          </cell>
          <cell r="AI86">
            <v>1</v>
          </cell>
          <cell r="AJ86">
            <v>0</v>
          </cell>
          <cell r="AL86">
            <v>16</v>
          </cell>
          <cell r="AM86">
            <v>30</v>
          </cell>
          <cell r="AN86">
            <v>22</v>
          </cell>
          <cell r="AO86">
            <v>71</v>
          </cell>
          <cell r="AP86">
            <v>81</v>
          </cell>
          <cell r="AS86">
            <v>2006</v>
          </cell>
          <cell r="AT86">
            <v>29</v>
          </cell>
          <cell r="AU86">
            <v>27</v>
          </cell>
          <cell r="AV86">
            <v>71</v>
          </cell>
          <cell r="AW86">
            <v>0.25</v>
          </cell>
          <cell r="AX86">
            <v>1136</v>
          </cell>
          <cell r="AY86">
            <v>284</v>
          </cell>
          <cell r="AZ86">
            <v>36.880000000000003</v>
          </cell>
          <cell r="BA86">
            <v>27</v>
          </cell>
          <cell r="BB86">
            <v>730.22400000000005</v>
          </cell>
          <cell r="BC86">
            <v>36.880000000000003</v>
          </cell>
          <cell r="BD86">
            <v>27</v>
          </cell>
          <cell r="BE86">
            <v>730.22400000000005</v>
          </cell>
          <cell r="BF86">
            <v>36.880000000000003</v>
          </cell>
          <cell r="BG86">
            <v>27</v>
          </cell>
          <cell r="BH86">
            <v>730.22400000000005</v>
          </cell>
          <cell r="BI86">
            <v>0</v>
          </cell>
          <cell r="BJ86">
            <v>0</v>
          </cell>
          <cell r="BK86">
            <v>2190.672</v>
          </cell>
          <cell r="BL86">
            <v>3509.14</v>
          </cell>
          <cell r="BM86">
            <v>3509.14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Y86">
            <v>5983.8119999999999</v>
          </cell>
          <cell r="CP86" t="str">
            <v>2910/10</v>
          </cell>
          <cell r="CQ86">
            <v>40483</v>
          </cell>
          <cell r="CR86">
            <v>40662</v>
          </cell>
          <cell r="CS86" t="str">
            <v>2010-0.283.578-6</v>
          </cell>
          <cell r="CT86" t="str">
            <v>EVANDRO GOMES SOARES</v>
          </cell>
          <cell r="CU86">
            <v>25171719802</v>
          </cell>
          <cell r="CV86">
            <v>119873</v>
          </cell>
          <cell r="CW86">
            <v>4210.9706666666661</v>
          </cell>
          <cell r="CX86">
            <v>113.696208</v>
          </cell>
          <cell r="CY86">
            <v>21.054853333333334</v>
          </cell>
          <cell r="CZ86">
            <v>2526.5823999999998</v>
          </cell>
          <cell r="DA86">
            <v>98.047359999999969</v>
          </cell>
          <cell r="DD86">
            <v>98.047359999999969</v>
          </cell>
        </row>
        <row r="87">
          <cell r="C87" t="str">
            <v>2459/10</v>
          </cell>
          <cell r="D87" t="str">
            <v>01/01 A 31/01/11</v>
          </cell>
          <cell r="E87" t="str">
            <v>FABIO ROBERTO DA ROCHA</v>
          </cell>
          <cell r="F87" t="str">
            <v>EMEI</v>
          </cell>
          <cell r="G87">
            <v>16</v>
          </cell>
          <cell r="H87">
            <v>16</v>
          </cell>
          <cell r="I87">
            <v>16</v>
          </cell>
          <cell r="J87">
            <v>90638</v>
          </cell>
          <cell r="K87">
            <v>22</v>
          </cell>
          <cell r="L87">
            <v>14</v>
          </cell>
          <cell r="M87">
            <v>0</v>
          </cell>
          <cell r="N87">
            <v>90638</v>
          </cell>
          <cell r="O87">
            <v>33</v>
          </cell>
          <cell r="P87">
            <v>20</v>
          </cell>
          <cell r="Q87">
            <v>0</v>
          </cell>
          <cell r="R87">
            <v>90638</v>
          </cell>
          <cell r="S87">
            <v>30</v>
          </cell>
          <cell r="T87">
            <v>17</v>
          </cell>
          <cell r="U87">
            <v>0</v>
          </cell>
          <cell r="W87">
            <v>1</v>
          </cell>
          <cell r="Y87">
            <v>1</v>
          </cell>
          <cell r="AA87">
            <v>1</v>
          </cell>
          <cell r="AB87">
            <v>0</v>
          </cell>
          <cell r="AE87">
            <v>1</v>
          </cell>
          <cell r="AG87">
            <v>1</v>
          </cell>
          <cell r="AI87">
            <v>1</v>
          </cell>
          <cell r="AJ87">
            <v>0</v>
          </cell>
          <cell r="AL87">
            <v>16</v>
          </cell>
          <cell r="AM87">
            <v>30</v>
          </cell>
          <cell r="AN87">
            <v>22</v>
          </cell>
          <cell r="AO87">
            <v>85</v>
          </cell>
          <cell r="AP87">
            <v>51</v>
          </cell>
          <cell r="AS87">
            <v>2003</v>
          </cell>
          <cell r="AT87">
            <v>25</v>
          </cell>
          <cell r="AU87">
            <v>23</v>
          </cell>
          <cell r="AV87">
            <v>85</v>
          </cell>
          <cell r="AW87">
            <v>0.25</v>
          </cell>
          <cell r="AX87">
            <v>1360</v>
          </cell>
          <cell r="AY87">
            <v>340</v>
          </cell>
          <cell r="AZ87">
            <v>36.880000000000003</v>
          </cell>
          <cell r="BA87">
            <v>14</v>
          </cell>
          <cell r="BB87">
            <v>378.6346666666667</v>
          </cell>
          <cell r="BC87">
            <v>36.880000000000003</v>
          </cell>
          <cell r="BD87">
            <v>20</v>
          </cell>
          <cell r="BE87">
            <v>540.90666666666664</v>
          </cell>
          <cell r="BF87">
            <v>36.880000000000003</v>
          </cell>
          <cell r="BG87">
            <v>17</v>
          </cell>
          <cell r="BH87">
            <v>459.77066666666667</v>
          </cell>
          <cell r="BI87">
            <v>0</v>
          </cell>
          <cell r="BJ87">
            <v>0</v>
          </cell>
          <cell r="BK87">
            <v>1379.3119999999999</v>
          </cell>
          <cell r="BL87">
            <v>3182.21</v>
          </cell>
          <cell r="BM87">
            <v>3182.21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Y87">
            <v>4901.5219999999999</v>
          </cell>
          <cell r="CP87" t="str">
            <v>2990/10</v>
          </cell>
          <cell r="CQ87">
            <v>40490</v>
          </cell>
          <cell r="CR87">
            <v>40669</v>
          </cell>
          <cell r="CS87" t="str">
            <v>2010-0.288.507-4</v>
          </cell>
          <cell r="CT87" t="str">
            <v>FABIANO ALVES DOS SANTOS</v>
          </cell>
          <cell r="CU87">
            <v>27080302803</v>
          </cell>
          <cell r="CV87">
            <v>122627</v>
          </cell>
          <cell r="CW87">
            <v>4642.9560000000001</v>
          </cell>
          <cell r="CX87">
            <v>125.35981200000002</v>
          </cell>
          <cell r="CY87">
            <v>23.214780000000005</v>
          </cell>
          <cell r="CZ87">
            <v>2785.7736</v>
          </cell>
          <cell r="DA87">
            <v>136.92604</v>
          </cell>
          <cell r="DD87">
            <v>136.92604</v>
          </cell>
        </row>
        <row r="88">
          <cell r="C88" t="str">
            <v>3019/10</v>
          </cell>
          <cell r="D88" t="str">
            <v>01/01 A 31/01/11</v>
          </cell>
          <cell r="E88" t="str">
            <v>FERNANDO ULISSES CAVALIERI GONZALES</v>
          </cell>
          <cell r="F88" t="str">
            <v>EMEI</v>
          </cell>
          <cell r="G88">
            <v>16</v>
          </cell>
          <cell r="H88">
            <v>16</v>
          </cell>
          <cell r="I88">
            <v>16</v>
          </cell>
          <cell r="J88">
            <v>90603</v>
          </cell>
          <cell r="K88">
            <v>31</v>
          </cell>
          <cell r="L88">
            <v>27</v>
          </cell>
          <cell r="M88">
            <v>0</v>
          </cell>
          <cell r="N88">
            <v>90603</v>
          </cell>
          <cell r="O88">
            <v>27</v>
          </cell>
          <cell r="P88">
            <v>27</v>
          </cell>
          <cell r="Q88">
            <v>0</v>
          </cell>
          <cell r="R88">
            <v>90603</v>
          </cell>
          <cell r="S88">
            <v>32</v>
          </cell>
          <cell r="T88">
            <v>27</v>
          </cell>
          <cell r="U88">
            <v>0</v>
          </cell>
          <cell r="W88">
            <v>1</v>
          </cell>
          <cell r="Y88">
            <v>1</v>
          </cell>
          <cell r="AA88">
            <v>1</v>
          </cell>
          <cell r="AB88">
            <v>0</v>
          </cell>
          <cell r="AE88">
            <v>1</v>
          </cell>
          <cell r="AG88">
            <v>1</v>
          </cell>
          <cell r="AI88">
            <v>1</v>
          </cell>
          <cell r="AJ88">
            <v>0</v>
          </cell>
          <cell r="AL88">
            <v>16</v>
          </cell>
          <cell r="AM88">
            <v>30</v>
          </cell>
          <cell r="AN88">
            <v>22</v>
          </cell>
          <cell r="AO88">
            <v>90</v>
          </cell>
          <cell r="AP88">
            <v>81</v>
          </cell>
          <cell r="AS88">
            <v>2007</v>
          </cell>
          <cell r="AT88">
            <v>29</v>
          </cell>
          <cell r="AU88">
            <v>27</v>
          </cell>
          <cell r="AV88">
            <v>90</v>
          </cell>
          <cell r="AW88">
            <v>0.65</v>
          </cell>
          <cell r="AX88">
            <v>1440</v>
          </cell>
          <cell r="AY88">
            <v>936</v>
          </cell>
          <cell r="AZ88">
            <v>48.26</v>
          </cell>
          <cell r="BA88">
            <v>27</v>
          </cell>
          <cell r="BB88">
            <v>955.548</v>
          </cell>
          <cell r="BC88">
            <v>48.26</v>
          </cell>
          <cell r="BD88">
            <v>27</v>
          </cell>
          <cell r="BE88">
            <v>955.548</v>
          </cell>
          <cell r="BF88">
            <v>48.26</v>
          </cell>
          <cell r="BG88">
            <v>27</v>
          </cell>
          <cell r="BH88">
            <v>955.548</v>
          </cell>
          <cell r="BI88">
            <v>0</v>
          </cell>
          <cell r="BJ88">
            <v>0</v>
          </cell>
          <cell r="BK88">
            <v>2866.6440000000002</v>
          </cell>
          <cell r="BL88">
            <v>2483</v>
          </cell>
          <cell r="BM88">
            <v>2483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Y88">
            <v>6285.6440000000002</v>
          </cell>
          <cell r="CP88" t="str">
            <v>3108/10</v>
          </cell>
          <cell r="CQ88">
            <v>40506</v>
          </cell>
          <cell r="CR88">
            <v>40685</v>
          </cell>
          <cell r="CS88" t="str">
            <v>2010-0.292.665-0</v>
          </cell>
          <cell r="CT88" t="str">
            <v>FABIO ONGARO</v>
          </cell>
          <cell r="CU88" t="str">
            <v>319.647.798-39</v>
          </cell>
          <cell r="CV88">
            <v>124646</v>
          </cell>
          <cell r="CW88">
            <v>4186.6403000000009</v>
          </cell>
          <cell r="CX88">
            <v>113.03928810000005</v>
          </cell>
          <cell r="CY88">
            <v>20.93320150000001</v>
          </cell>
          <cell r="CZ88">
            <v>2511.9841800000004</v>
          </cell>
          <cell r="DA88">
            <v>95.857627000000036</v>
          </cell>
          <cell r="DD88">
            <v>95.857627000000036</v>
          </cell>
        </row>
        <row r="89">
          <cell r="C89" t="str">
            <v>2248/10</v>
          </cell>
          <cell r="D89" t="str">
            <v>01/01 A 31/01/11</v>
          </cell>
          <cell r="E89" t="str">
            <v>FRANCIMAR LEANDRO</v>
          </cell>
          <cell r="F89" t="str">
            <v>EMEF</v>
          </cell>
          <cell r="G89">
            <v>15</v>
          </cell>
          <cell r="H89">
            <v>15</v>
          </cell>
          <cell r="I89">
            <v>15</v>
          </cell>
          <cell r="J89">
            <v>93378</v>
          </cell>
          <cell r="K89">
            <v>38</v>
          </cell>
          <cell r="L89">
            <v>17</v>
          </cell>
          <cell r="M89">
            <v>0</v>
          </cell>
          <cell r="N89">
            <v>93378</v>
          </cell>
          <cell r="O89">
            <v>21</v>
          </cell>
          <cell r="P89">
            <v>17</v>
          </cell>
          <cell r="Q89">
            <v>0</v>
          </cell>
          <cell r="R89">
            <v>93378</v>
          </cell>
          <cell r="S89">
            <v>27</v>
          </cell>
          <cell r="T89">
            <v>17</v>
          </cell>
          <cell r="U89">
            <v>0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29</v>
          </cell>
          <cell r="AE89">
            <v>1</v>
          </cell>
          <cell r="AG89">
            <v>1</v>
          </cell>
          <cell r="AI89">
            <v>1</v>
          </cell>
          <cell r="AJ89">
            <v>0</v>
          </cell>
          <cell r="AL89">
            <v>16</v>
          </cell>
          <cell r="AM89">
            <v>30</v>
          </cell>
          <cell r="AN89">
            <v>22</v>
          </cell>
          <cell r="AO89">
            <v>86</v>
          </cell>
          <cell r="AP89">
            <v>51</v>
          </cell>
          <cell r="AS89">
            <v>2008</v>
          </cell>
          <cell r="AT89">
            <v>19</v>
          </cell>
          <cell r="AU89">
            <v>17</v>
          </cell>
          <cell r="AV89">
            <v>86</v>
          </cell>
          <cell r="AW89">
            <v>0.25</v>
          </cell>
          <cell r="AX89">
            <v>1376</v>
          </cell>
          <cell r="AY89">
            <v>344</v>
          </cell>
          <cell r="AZ89">
            <v>36.880000000000003</v>
          </cell>
          <cell r="BA89">
            <v>17</v>
          </cell>
          <cell r="BB89">
            <v>459.77066666666667</v>
          </cell>
          <cell r="BC89">
            <v>36.880000000000003</v>
          </cell>
          <cell r="BD89">
            <v>17</v>
          </cell>
          <cell r="BE89">
            <v>459.77066666666667</v>
          </cell>
          <cell r="BF89">
            <v>36.880000000000003</v>
          </cell>
          <cell r="BG89">
            <v>17</v>
          </cell>
          <cell r="BH89">
            <v>459.77066666666667</v>
          </cell>
          <cell r="BI89">
            <v>0</v>
          </cell>
          <cell r="BJ89">
            <v>0</v>
          </cell>
          <cell r="BK89">
            <v>1379.3119999999999</v>
          </cell>
          <cell r="BL89">
            <v>2583.21</v>
          </cell>
          <cell r="BM89">
            <v>2583.21</v>
          </cell>
          <cell r="BN89">
            <v>58.813976666666669</v>
          </cell>
          <cell r="BO89">
            <v>54.563976666666669</v>
          </cell>
          <cell r="BP89">
            <v>56.063976666666669</v>
          </cell>
          <cell r="BQ89">
            <v>169.44193000000001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Y89">
            <v>4137.08007</v>
          </cell>
          <cell r="CP89" t="str">
            <v>2605/10</v>
          </cell>
          <cell r="CQ89">
            <v>40462</v>
          </cell>
          <cell r="CR89">
            <v>40641</v>
          </cell>
          <cell r="CS89" t="str">
            <v>2010-0.270.456-8</v>
          </cell>
          <cell r="CT89" t="str">
            <v>FABIO PEROZI</v>
          </cell>
          <cell r="CU89" t="str">
            <v>046.386.058-69</v>
          </cell>
          <cell r="CV89">
            <v>114093</v>
          </cell>
          <cell r="CW89">
            <v>5983.8119999999999</v>
          </cell>
          <cell r="CX89">
            <v>161.56292400000001</v>
          </cell>
          <cell r="CY89">
            <v>29.919060000000002</v>
          </cell>
          <cell r="CZ89">
            <v>3590.2871999999998</v>
          </cell>
          <cell r="DA89">
            <v>302.19461999999999</v>
          </cell>
          <cell r="DD89">
            <v>302.19461999999999</v>
          </cell>
        </row>
        <row r="90">
          <cell r="C90" t="str">
            <v>2134/10</v>
          </cell>
          <cell r="D90" t="str">
            <v>01/01 A 31/01/11</v>
          </cell>
          <cell r="E90" t="str">
            <v>FRANCISCO LEDILSON DA SILVA MAIA</v>
          </cell>
          <cell r="F90" t="str">
            <v>EMEF</v>
          </cell>
          <cell r="G90">
            <v>16</v>
          </cell>
          <cell r="H90">
            <v>16</v>
          </cell>
          <cell r="I90">
            <v>16</v>
          </cell>
          <cell r="J90">
            <v>93297</v>
          </cell>
          <cell r="K90">
            <v>27</v>
          </cell>
          <cell r="L90">
            <v>23</v>
          </cell>
          <cell r="M90">
            <v>0</v>
          </cell>
          <cell r="N90">
            <v>93297</v>
          </cell>
          <cell r="O90">
            <v>32</v>
          </cell>
          <cell r="P90">
            <v>23</v>
          </cell>
          <cell r="Q90">
            <v>0</v>
          </cell>
          <cell r="R90">
            <v>93297</v>
          </cell>
          <cell r="S90">
            <v>66</v>
          </cell>
          <cell r="T90">
            <v>23</v>
          </cell>
          <cell r="U90">
            <v>0</v>
          </cell>
          <cell r="W90">
            <v>1</v>
          </cell>
          <cell r="Y90">
            <v>1</v>
          </cell>
          <cell r="AA90">
            <v>1</v>
          </cell>
          <cell r="AB90">
            <v>0</v>
          </cell>
          <cell r="AE90">
            <v>1</v>
          </cell>
          <cell r="AG90">
            <v>1</v>
          </cell>
          <cell r="AI90">
            <v>1</v>
          </cell>
          <cell r="AJ90">
            <v>0</v>
          </cell>
          <cell r="AL90">
            <v>16</v>
          </cell>
          <cell r="AM90">
            <v>30</v>
          </cell>
          <cell r="AN90">
            <v>22</v>
          </cell>
          <cell r="AO90">
            <v>125</v>
          </cell>
          <cell r="AP90">
            <v>69</v>
          </cell>
          <cell r="AS90">
            <v>2002</v>
          </cell>
          <cell r="AT90">
            <v>25</v>
          </cell>
          <cell r="AU90">
            <v>23</v>
          </cell>
          <cell r="AV90">
            <v>125</v>
          </cell>
          <cell r="AW90">
            <v>0.25</v>
          </cell>
          <cell r="AX90">
            <v>2000</v>
          </cell>
          <cell r="AY90">
            <v>500</v>
          </cell>
          <cell r="AZ90">
            <v>36.880000000000003</v>
          </cell>
          <cell r="BA90">
            <v>23</v>
          </cell>
          <cell r="BB90">
            <v>622.04266666666672</v>
          </cell>
          <cell r="BC90">
            <v>36.880000000000003</v>
          </cell>
          <cell r="BD90">
            <v>23</v>
          </cell>
          <cell r="BE90">
            <v>622.04266666666672</v>
          </cell>
          <cell r="BF90">
            <v>36.880000000000003</v>
          </cell>
          <cell r="BG90">
            <v>23</v>
          </cell>
          <cell r="BH90">
            <v>622.04266666666672</v>
          </cell>
          <cell r="BI90">
            <v>0</v>
          </cell>
          <cell r="BJ90">
            <v>0</v>
          </cell>
          <cell r="BK90">
            <v>1866.1280000000002</v>
          </cell>
          <cell r="BL90">
            <v>3073.24</v>
          </cell>
          <cell r="BM90">
            <v>3073.24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Y90">
            <v>5439.3680000000004</v>
          </cell>
          <cell r="CP90" t="str">
            <v>2459/10</v>
          </cell>
          <cell r="CQ90">
            <v>40455</v>
          </cell>
          <cell r="CR90">
            <v>40634</v>
          </cell>
          <cell r="CS90" t="str">
            <v>2010-0.267.274-7</v>
          </cell>
          <cell r="CT90" t="str">
            <v>FABIO ROBERTO DA ROCHA</v>
          </cell>
          <cell r="CU90">
            <v>18475030807</v>
          </cell>
          <cell r="CV90">
            <v>111879</v>
          </cell>
          <cell r="CW90">
            <v>4901.5219999999999</v>
          </cell>
          <cell r="CX90">
            <v>132.341094</v>
          </cell>
          <cell r="CY90">
            <v>24.50761</v>
          </cell>
          <cell r="CZ90">
            <v>2940.9132</v>
          </cell>
          <cell r="DA90">
            <v>160.19698</v>
          </cell>
          <cell r="DD90">
            <v>160.19698</v>
          </cell>
        </row>
        <row r="91">
          <cell r="C91" t="str">
            <v>1911/10</v>
          </cell>
          <cell r="D91" t="str">
            <v>01/01 A 31/01/11</v>
          </cell>
          <cell r="E91" t="str">
            <v>GEDEON BERNARDINO DE SENA</v>
          </cell>
          <cell r="F91" t="str">
            <v>EMEF</v>
          </cell>
          <cell r="G91">
            <v>15</v>
          </cell>
          <cell r="H91">
            <v>15</v>
          </cell>
          <cell r="I91">
            <v>16</v>
          </cell>
          <cell r="J91">
            <v>19228</v>
          </cell>
          <cell r="K91">
            <v>12</v>
          </cell>
          <cell r="L91">
            <v>27</v>
          </cell>
          <cell r="M91">
            <v>0</v>
          </cell>
          <cell r="N91">
            <v>19228</v>
          </cell>
          <cell r="O91">
            <v>16</v>
          </cell>
          <cell r="P91">
            <v>27</v>
          </cell>
          <cell r="Q91">
            <v>0</v>
          </cell>
          <cell r="R91">
            <v>18546</v>
          </cell>
          <cell r="S91">
            <v>29</v>
          </cell>
          <cell r="T91">
            <v>27</v>
          </cell>
          <cell r="U91">
            <v>0</v>
          </cell>
          <cell r="W91">
            <v>1</v>
          </cell>
          <cell r="Y91">
            <v>1</v>
          </cell>
          <cell r="AA91">
            <v>1</v>
          </cell>
          <cell r="AB91">
            <v>0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I91">
            <v>1</v>
          </cell>
          <cell r="AJ91">
            <v>0.66666666666666663</v>
          </cell>
          <cell r="AK91">
            <v>3</v>
          </cell>
          <cell r="AL91">
            <v>16</v>
          </cell>
          <cell r="AM91">
            <v>30</v>
          </cell>
          <cell r="AN91">
            <v>22</v>
          </cell>
          <cell r="AO91">
            <v>57</v>
          </cell>
          <cell r="AP91">
            <v>81</v>
          </cell>
          <cell r="AS91">
            <v>2007</v>
          </cell>
          <cell r="AT91">
            <v>29</v>
          </cell>
          <cell r="AU91">
            <v>27</v>
          </cell>
          <cell r="AV91">
            <v>57</v>
          </cell>
          <cell r="AW91">
            <v>0.25</v>
          </cell>
          <cell r="AX91">
            <v>912</v>
          </cell>
          <cell r="AY91">
            <v>228</v>
          </cell>
          <cell r="AZ91">
            <v>36.880000000000003</v>
          </cell>
          <cell r="BA91">
            <v>27</v>
          </cell>
          <cell r="BB91">
            <v>730.22400000000005</v>
          </cell>
          <cell r="BC91">
            <v>36.880000000000003</v>
          </cell>
          <cell r="BD91">
            <v>27</v>
          </cell>
          <cell r="BE91">
            <v>730.22400000000005</v>
          </cell>
          <cell r="BF91">
            <v>36.880000000000003</v>
          </cell>
          <cell r="BG91">
            <v>27</v>
          </cell>
          <cell r="BH91">
            <v>730.22400000000005</v>
          </cell>
          <cell r="BI91">
            <v>0</v>
          </cell>
          <cell r="BJ91">
            <v>0</v>
          </cell>
          <cell r="BK91">
            <v>2190.672</v>
          </cell>
          <cell r="BL91">
            <v>3618.12</v>
          </cell>
          <cell r="BM91">
            <v>3618.12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3</v>
          </cell>
          <cell r="BS91">
            <v>4</v>
          </cell>
          <cell r="BT91">
            <v>0</v>
          </cell>
          <cell r="BU91">
            <v>7</v>
          </cell>
          <cell r="BY91">
            <v>6029.7919999999995</v>
          </cell>
          <cell r="CP91" t="str">
            <v>3019/10</v>
          </cell>
          <cell r="CQ91">
            <v>40490</v>
          </cell>
          <cell r="CR91">
            <v>40669</v>
          </cell>
          <cell r="CS91" t="str">
            <v>2010-0.288.627-5</v>
          </cell>
          <cell r="CT91" t="str">
            <v>FERNANDO ULISSES CAVALIERI GONZALES</v>
          </cell>
          <cell r="CU91">
            <v>21279577843</v>
          </cell>
          <cell r="CV91">
            <v>122632</v>
          </cell>
          <cell r="CW91">
            <v>6285.6440000000002</v>
          </cell>
          <cell r="CX91">
            <v>169.71238800000003</v>
          </cell>
          <cell r="CY91">
            <v>31.428220000000007</v>
          </cell>
          <cell r="CZ91">
            <v>3771.3863999999999</v>
          </cell>
          <cell r="DA91">
            <v>344.35126000000014</v>
          </cell>
          <cell r="DD91">
            <v>344.35126000000014</v>
          </cell>
        </row>
        <row r="92">
          <cell r="C92" t="str">
            <v>2110/10</v>
          </cell>
          <cell r="D92" t="str">
            <v>01/01 A 31/01/11</v>
          </cell>
          <cell r="E92" t="str">
            <v>GILBERTO JOSE GOMES</v>
          </cell>
          <cell r="F92" t="str">
            <v>EMEF</v>
          </cell>
          <cell r="G92">
            <v>16</v>
          </cell>
          <cell r="H92">
            <v>16</v>
          </cell>
          <cell r="I92">
            <v>16</v>
          </cell>
          <cell r="J92">
            <v>93416</v>
          </cell>
          <cell r="K92">
            <v>22</v>
          </cell>
          <cell r="L92">
            <v>17</v>
          </cell>
          <cell r="M92">
            <v>0</v>
          </cell>
          <cell r="N92">
            <v>93416</v>
          </cell>
          <cell r="O92">
            <v>22</v>
          </cell>
          <cell r="P92">
            <v>17</v>
          </cell>
          <cell r="Q92">
            <v>0</v>
          </cell>
          <cell r="R92">
            <v>93416</v>
          </cell>
          <cell r="S92">
            <v>9</v>
          </cell>
          <cell r="T92">
            <v>17</v>
          </cell>
          <cell r="U92">
            <v>0</v>
          </cell>
          <cell r="W92">
            <v>1</v>
          </cell>
          <cell r="Y92">
            <v>1</v>
          </cell>
          <cell r="AA92">
            <v>1</v>
          </cell>
          <cell r="AB92">
            <v>0</v>
          </cell>
          <cell r="AE92">
            <v>1</v>
          </cell>
          <cell r="AG92">
            <v>1</v>
          </cell>
          <cell r="AI92">
            <v>1</v>
          </cell>
          <cell r="AJ92">
            <v>0</v>
          </cell>
          <cell r="AL92">
            <v>16</v>
          </cell>
          <cell r="AM92">
            <v>30</v>
          </cell>
          <cell r="AN92">
            <v>22</v>
          </cell>
          <cell r="AO92">
            <v>53</v>
          </cell>
          <cell r="AP92">
            <v>51</v>
          </cell>
          <cell r="AS92">
            <v>2010</v>
          </cell>
          <cell r="AT92">
            <v>19</v>
          </cell>
          <cell r="AU92">
            <v>17</v>
          </cell>
          <cell r="AV92">
            <v>53</v>
          </cell>
          <cell r="AW92">
            <v>0.25</v>
          </cell>
          <cell r="AX92">
            <v>848</v>
          </cell>
          <cell r="AY92">
            <v>212</v>
          </cell>
          <cell r="AZ92">
            <v>36.880000000000003</v>
          </cell>
          <cell r="BA92">
            <v>17</v>
          </cell>
          <cell r="BB92">
            <v>459.77066666666667</v>
          </cell>
          <cell r="BC92">
            <v>36.880000000000003</v>
          </cell>
          <cell r="BD92">
            <v>17</v>
          </cell>
          <cell r="BE92">
            <v>459.77066666666667</v>
          </cell>
          <cell r="BF92">
            <v>36.880000000000003</v>
          </cell>
          <cell r="BG92">
            <v>17</v>
          </cell>
          <cell r="BH92">
            <v>459.77066666666667</v>
          </cell>
          <cell r="BI92">
            <v>0</v>
          </cell>
          <cell r="BJ92">
            <v>0</v>
          </cell>
          <cell r="BK92">
            <v>1379.3119999999999</v>
          </cell>
          <cell r="BL92">
            <v>2718.59</v>
          </cell>
          <cell r="BM92">
            <v>2718.59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Y92">
            <v>4309.902</v>
          </cell>
          <cell r="CP92" t="str">
            <v>2248/10</v>
          </cell>
          <cell r="CQ92">
            <v>40448</v>
          </cell>
          <cell r="CR92">
            <v>40627</v>
          </cell>
          <cell r="CS92" t="str">
            <v>2010-0.243.842-6</v>
          </cell>
          <cell r="CT92" t="str">
            <v>FRANCIMAR LEANDRO</v>
          </cell>
          <cell r="CU92" t="str">
            <v>011.168.208-89</v>
          </cell>
          <cell r="CV92">
            <v>106258</v>
          </cell>
          <cell r="CW92">
            <v>4137.08007</v>
          </cell>
          <cell r="CX92">
            <v>111.70116189000001</v>
          </cell>
          <cell r="CY92">
            <v>20.685400350000002</v>
          </cell>
          <cell r="CZ92">
            <v>2482.2480419999997</v>
          </cell>
          <cell r="DA92">
            <v>91.397206299999937</v>
          </cell>
          <cell r="DD92">
            <v>91.397206299999937</v>
          </cell>
        </row>
        <row r="93">
          <cell r="C93" t="str">
            <v>1805/10</v>
          </cell>
          <cell r="D93" t="str">
            <v>01/01 A 31/01/11</v>
          </cell>
          <cell r="E93" t="str">
            <v>GILMAR GRANDINI</v>
          </cell>
          <cell r="F93" t="str">
            <v>EMEF</v>
          </cell>
          <cell r="G93">
            <v>13</v>
          </cell>
          <cell r="H93">
            <v>13</v>
          </cell>
          <cell r="I93">
            <v>16</v>
          </cell>
          <cell r="J93">
            <v>19243</v>
          </cell>
          <cell r="K93">
            <v>29</v>
          </cell>
          <cell r="L93">
            <v>27</v>
          </cell>
          <cell r="M93">
            <v>0</v>
          </cell>
          <cell r="N93">
            <v>19243</v>
          </cell>
          <cell r="O93">
            <v>35</v>
          </cell>
          <cell r="P93">
            <v>27</v>
          </cell>
          <cell r="Q93">
            <v>0</v>
          </cell>
          <cell r="R93">
            <v>0</v>
          </cell>
          <cell r="U93">
            <v>0</v>
          </cell>
          <cell r="W93">
            <v>1</v>
          </cell>
          <cell r="Y93">
            <v>1</v>
          </cell>
          <cell r="AA93">
            <v>0</v>
          </cell>
          <cell r="AB93">
            <v>0</v>
          </cell>
          <cell r="AD93">
            <v>3</v>
          </cell>
          <cell r="AE93">
            <v>1</v>
          </cell>
          <cell r="AF93">
            <v>3</v>
          </cell>
          <cell r="AG93">
            <v>1</v>
          </cell>
          <cell r="AI93">
            <v>0</v>
          </cell>
          <cell r="AJ93">
            <v>3</v>
          </cell>
          <cell r="AK93" t="str">
            <v>10, 15 e 16</v>
          </cell>
          <cell r="AL93">
            <v>16</v>
          </cell>
          <cell r="AM93">
            <v>30</v>
          </cell>
          <cell r="AN93">
            <v>22</v>
          </cell>
          <cell r="AO93">
            <v>64</v>
          </cell>
          <cell r="AP93">
            <v>54</v>
          </cell>
          <cell r="AS93">
            <v>2008</v>
          </cell>
          <cell r="AT93">
            <v>29</v>
          </cell>
          <cell r="AU93">
            <v>27</v>
          </cell>
          <cell r="AV93">
            <v>64</v>
          </cell>
          <cell r="AW93">
            <v>0.25</v>
          </cell>
          <cell r="AX93">
            <v>1024</v>
          </cell>
          <cell r="AY93">
            <v>256</v>
          </cell>
          <cell r="AZ93">
            <v>36.880000000000003</v>
          </cell>
          <cell r="BA93">
            <v>27</v>
          </cell>
          <cell r="BB93">
            <v>730.22400000000005</v>
          </cell>
          <cell r="BC93">
            <v>36.880000000000003</v>
          </cell>
          <cell r="BD93">
            <v>27</v>
          </cell>
          <cell r="BE93">
            <v>730.22400000000005</v>
          </cell>
          <cell r="BF93">
            <v>36.880000000000003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1460.4480000000001</v>
          </cell>
          <cell r="BL93">
            <v>3727.1</v>
          </cell>
          <cell r="BM93">
            <v>3727.1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21.75</v>
          </cell>
          <cell r="BS93">
            <v>26.25</v>
          </cell>
          <cell r="BT93">
            <v>0</v>
          </cell>
          <cell r="BU93">
            <v>48</v>
          </cell>
          <cell r="BY93">
            <v>5395.5479999999998</v>
          </cell>
          <cell r="CP93" t="str">
            <v>2134/10</v>
          </cell>
          <cell r="CQ93">
            <v>40448</v>
          </cell>
          <cell r="CR93">
            <v>40627</v>
          </cell>
          <cell r="CS93" t="str">
            <v>2010-0.239.374-0</v>
          </cell>
          <cell r="CT93" t="str">
            <v>FRANCISCO LEDILSON DA SILVA MAIA</v>
          </cell>
          <cell r="CU93">
            <v>29504279287</v>
          </cell>
          <cell r="CV93">
            <v>106066</v>
          </cell>
          <cell r="CW93">
            <v>5439.3680000000004</v>
          </cell>
          <cell r="CX93">
            <v>146.86293600000002</v>
          </cell>
          <cell r="CY93">
            <v>27.196840000000005</v>
          </cell>
          <cell r="CZ93">
            <v>3263.6208000000001</v>
          </cell>
          <cell r="DA93">
            <v>228.69468000000006</v>
          </cell>
          <cell r="DD93">
            <v>228.69468000000006</v>
          </cell>
        </row>
        <row r="94">
          <cell r="C94" t="str">
            <v>2884/10</v>
          </cell>
          <cell r="D94" t="str">
            <v>01/01 A 31/01/11</v>
          </cell>
          <cell r="E94" t="str">
            <v>GILMAR TEIXEIRA DE MACEDO</v>
          </cell>
          <cell r="F94" t="str">
            <v>EMEF</v>
          </cell>
          <cell r="G94">
            <v>16</v>
          </cell>
          <cell r="H94">
            <v>16</v>
          </cell>
          <cell r="I94">
            <v>16</v>
          </cell>
          <cell r="J94">
            <v>19313</v>
          </cell>
          <cell r="K94">
            <v>41</v>
          </cell>
          <cell r="L94">
            <v>18</v>
          </cell>
          <cell r="M94">
            <v>0</v>
          </cell>
          <cell r="N94">
            <v>19313</v>
          </cell>
          <cell r="O94">
            <v>28</v>
          </cell>
          <cell r="P94">
            <v>18</v>
          </cell>
          <cell r="Q94">
            <v>0</v>
          </cell>
          <cell r="R94">
            <v>19313</v>
          </cell>
          <cell r="S94">
            <v>30</v>
          </cell>
          <cell r="T94">
            <v>18</v>
          </cell>
          <cell r="U94">
            <v>0</v>
          </cell>
          <cell r="W94">
            <v>1</v>
          </cell>
          <cell r="Y94">
            <v>1</v>
          </cell>
          <cell r="AA94">
            <v>1</v>
          </cell>
          <cell r="AB94">
            <v>0</v>
          </cell>
          <cell r="AE94">
            <v>1</v>
          </cell>
          <cell r="AG94">
            <v>1</v>
          </cell>
          <cell r="AI94">
            <v>1</v>
          </cell>
          <cell r="AJ94">
            <v>0</v>
          </cell>
          <cell r="AL94">
            <v>16</v>
          </cell>
          <cell r="AM94">
            <v>30</v>
          </cell>
          <cell r="AN94">
            <v>22</v>
          </cell>
          <cell r="AO94">
            <v>99</v>
          </cell>
          <cell r="AP94">
            <v>54</v>
          </cell>
          <cell r="AS94">
            <v>2010</v>
          </cell>
          <cell r="AT94">
            <v>19</v>
          </cell>
          <cell r="AU94">
            <v>17</v>
          </cell>
          <cell r="AV94">
            <v>99</v>
          </cell>
          <cell r="AW94">
            <v>0.65</v>
          </cell>
          <cell r="AX94">
            <v>1584</v>
          </cell>
          <cell r="AY94">
            <v>1029.6000000000001</v>
          </cell>
          <cell r="AZ94">
            <v>48.26</v>
          </cell>
          <cell r="BA94">
            <v>18</v>
          </cell>
          <cell r="BB94">
            <v>637.03200000000004</v>
          </cell>
          <cell r="BC94">
            <v>48.26</v>
          </cell>
          <cell r="BD94">
            <v>18</v>
          </cell>
          <cell r="BE94">
            <v>637.03200000000004</v>
          </cell>
          <cell r="BF94">
            <v>48.26</v>
          </cell>
          <cell r="BG94">
            <v>18</v>
          </cell>
          <cell r="BH94">
            <v>637.03200000000004</v>
          </cell>
          <cell r="BI94">
            <v>0</v>
          </cell>
          <cell r="BJ94">
            <v>0</v>
          </cell>
          <cell r="BK94">
            <v>1911.096</v>
          </cell>
          <cell r="BL94">
            <v>3103</v>
          </cell>
          <cell r="BM94">
            <v>3103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Y94">
            <v>6043.6959999999999</v>
          </cell>
          <cell r="CP94" t="str">
            <v>1911/10</v>
          </cell>
          <cell r="CQ94">
            <v>40441</v>
          </cell>
          <cell r="CR94">
            <v>40620</v>
          </cell>
          <cell r="CS94" t="str">
            <v>2010-0.230.658-9</v>
          </cell>
          <cell r="CT94" t="str">
            <v>GEDEON BERNARDINO DE SENA</v>
          </cell>
          <cell r="CU94">
            <v>12836029897</v>
          </cell>
          <cell r="CV94">
            <v>104897</v>
          </cell>
          <cell r="CW94">
            <v>6029.7919999999995</v>
          </cell>
          <cell r="CX94">
            <v>162.804384</v>
          </cell>
          <cell r="CY94">
            <v>30.148960000000002</v>
          </cell>
          <cell r="CZ94">
            <v>3617.8751999999995</v>
          </cell>
          <cell r="DA94">
            <v>308.4019199999999</v>
          </cell>
          <cell r="DD94">
            <v>308.4019199999999</v>
          </cell>
        </row>
        <row r="95">
          <cell r="C95" t="str">
            <v>1875/10</v>
          </cell>
          <cell r="D95" t="str">
            <v>01/01 A 31/01/11</v>
          </cell>
          <cell r="E95" t="str">
            <v>GILSON ELIAS DOS SANTOS</v>
          </cell>
          <cell r="F95" t="str">
            <v>EMEI</v>
          </cell>
          <cell r="G95">
            <v>16</v>
          </cell>
          <cell r="H95">
            <v>16</v>
          </cell>
          <cell r="I95">
            <v>16</v>
          </cell>
          <cell r="J95">
            <v>19210</v>
          </cell>
          <cell r="K95">
            <v>22</v>
          </cell>
          <cell r="L95">
            <v>27</v>
          </cell>
          <cell r="M95">
            <v>0</v>
          </cell>
          <cell r="N95">
            <v>19210</v>
          </cell>
          <cell r="O95">
            <v>36</v>
          </cell>
          <cell r="P95">
            <v>25</v>
          </cell>
          <cell r="Q95">
            <v>0</v>
          </cell>
          <cell r="R95">
            <v>19210</v>
          </cell>
          <cell r="S95">
            <v>24</v>
          </cell>
          <cell r="T95">
            <v>27</v>
          </cell>
          <cell r="U95">
            <v>0</v>
          </cell>
          <cell r="W95">
            <v>1</v>
          </cell>
          <cell r="Y95">
            <v>1</v>
          </cell>
          <cell r="AA95">
            <v>1</v>
          </cell>
          <cell r="AB95">
            <v>0</v>
          </cell>
          <cell r="AE95">
            <v>1</v>
          </cell>
          <cell r="AG95">
            <v>1</v>
          </cell>
          <cell r="AI95">
            <v>1</v>
          </cell>
          <cell r="AJ95">
            <v>0</v>
          </cell>
          <cell r="AL95">
            <v>16</v>
          </cell>
          <cell r="AM95">
            <v>30</v>
          </cell>
          <cell r="AN95">
            <v>22</v>
          </cell>
          <cell r="AO95">
            <v>82</v>
          </cell>
          <cell r="AP95">
            <v>79</v>
          </cell>
          <cell r="AS95">
            <v>2007</v>
          </cell>
          <cell r="AT95">
            <v>29</v>
          </cell>
          <cell r="AU95">
            <v>27</v>
          </cell>
          <cell r="AV95">
            <v>82</v>
          </cell>
          <cell r="AW95">
            <v>0.25</v>
          </cell>
          <cell r="AX95">
            <v>1312</v>
          </cell>
          <cell r="AY95">
            <v>328</v>
          </cell>
          <cell r="AZ95">
            <v>36.880000000000003</v>
          </cell>
          <cell r="BA95">
            <v>27</v>
          </cell>
          <cell r="BB95">
            <v>730.22400000000005</v>
          </cell>
          <cell r="BC95">
            <v>36.880000000000003</v>
          </cell>
          <cell r="BD95">
            <v>25</v>
          </cell>
          <cell r="BE95">
            <v>676.13333333333344</v>
          </cell>
          <cell r="BF95">
            <v>36.880000000000003</v>
          </cell>
          <cell r="BG95">
            <v>27</v>
          </cell>
          <cell r="BH95">
            <v>730.22400000000005</v>
          </cell>
          <cell r="BI95">
            <v>0</v>
          </cell>
          <cell r="BJ95">
            <v>0</v>
          </cell>
          <cell r="BK95">
            <v>2136.5813333333335</v>
          </cell>
          <cell r="BL95">
            <v>3618.12</v>
          </cell>
          <cell r="BM95">
            <v>3618.12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Y95">
            <v>6082.7013333333334</v>
          </cell>
          <cell r="CP95" t="str">
            <v>2110/10</v>
          </cell>
          <cell r="CQ95">
            <v>40448</v>
          </cell>
          <cell r="CR95">
            <v>40627</v>
          </cell>
          <cell r="CS95" t="str">
            <v>2010-0.236.677-8</v>
          </cell>
          <cell r="CT95" t="str">
            <v>GILBERTO JOSE GOMES</v>
          </cell>
          <cell r="CU95">
            <v>59227087834</v>
          </cell>
          <cell r="CV95">
            <v>105965</v>
          </cell>
          <cell r="CW95">
            <v>4309.902</v>
          </cell>
          <cell r="CX95">
            <v>116.36735400000001</v>
          </cell>
          <cell r="CY95">
            <v>21.549510000000001</v>
          </cell>
          <cell r="CZ95">
            <v>2585.9411999999998</v>
          </cell>
          <cell r="DA95">
            <v>106.95117999999997</v>
          </cell>
          <cell r="DD95">
            <v>106.95117999999997</v>
          </cell>
        </row>
        <row r="96">
          <cell r="C96" t="str">
            <v>1991/10</v>
          </cell>
          <cell r="D96" t="str">
            <v>01/01 A 31/01/11</v>
          </cell>
          <cell r="E96" t="str">
            <v>GILVANETE ROQUE DA CRUZ</v>
          </cell>
          <cell r="F96" t="str">
            <v>EMEF</v>
          </cell>
          <cell r="G96">
            <v>16</v>
          </cell>
          <cell r="H96">
            <v>16</v>
          </cell>
          <cell r="I96">
            <v>16</v>
          </cell>
          <cell r="J96">
            <v>93301</v>
          </cell>
          <cell r="K96">
            <v>77</v>
          </cell>
          <cell r="L96">
            <v>18</v>
          </cell>
          <cell r="M96">
            <v>0</v>
          </cell>
          <cell r="N96">
            <v>93301</v>
          </cell>
          <cell r="O96">
            <v>72</v>
          </cell>
          <cell r="P96">
            <v>23</v>
          </cell>
          <cell r="Q96">
            <v>0</v>
          </cell>
          <cell r="R96">
            <v>0</v>
          </cell>
          <cell r="U96">
            <v>0</v>
          </cell>
          <cell r="W96">
            <v>1</v>
          </cell>
          <cell r="Y96">
            <v>1</v>
          </cell>
          <cell r="AA96">
            <v>0</v>
          </cell>
          <cell r="AB96">
            <v>0</v>
          </cell>
          <cell r="AE96">
            <v>1</v>
          </cell>
          <cell r="AG96">
            <v>1</v>
          </cell>
          <cell r="AI96">
            <v>0</v>
          </cell>
          <cell r="AJ96">
            <v>0</v>
          </cell>
          <cell r="AL96">
            <v>16</v>
          </cell>
          <cell r="AM96">
            <v>30</v>
          </cell>
          <cell r="AN96">
            <v>22</v>
          </cell>
          <cell r="AO96">
            <v>149</v>
          </cell>
          <cell r="AP96">
            <v>41</v>
          </cell>
          <cell r="AS96">
            <v>2003</v>
          </cell>
          <cell r="AT96">
            <v>25</v>
          </cell>
          <cell r="AU96">
            <v>23</v>
          </cell>
          <cell r="AV96">
            <v>149</v>
          </cell>
          <cell r="AW96">
            <v>0.25</v>
          </cell>
          <cell r="AX96">
            <v>2384</v>
          </cell>
          <cell r="AY96">
            <v>596</v>
          </cell>
          <cell r="AZ96">
            <v>36.880000000000003</v>
          </cell>
          <cell r="BA96">
            <v>18</v>
          </cell>
          <cell r="BB96">
            <v>486.81600000000003</v>
          </cell>
          <cell r="BC96">
            <v>36.880000000000003</v>
          </cell>
          <cell r="BD96">
            <v>23</v>
          </cell>
          <cell r="BE96">
            <v>622.04266666666672</v>
          </cell>
          <cell r="BF96">
            <v>36.880000000000003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1108.8586666666667</v>
          </cell>
          <cell r="BL96">
            <v>3291.19</v>
          </cell>
          <cell r="BM96">
            <v>3291.19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Y96">
            <v>4996.0486666666666</v>
          </cell>
          <cell r="CP96" t="str">
            <v>1805/10</v>
          </cell>
          <cell r="CQ96">
            <v>40434</v>
          </cell>
          <cell r="CR96">
            <v>40613</v>
          </cell>
          <cell r="CS96" t="str">
            <v>2010-0.225.082-6</v>
          </cell>
          <cell r="CT96" t="str">
            <v>GILMAR GRANDINI</v>
          </cell>
          <cell r="CU96" t="str">
            <v>006.092.538-83</v>
          </cell>
          <cell r="CV96">
            <v>96978</v>
          </cell>
          <cell r="CW96">
            <v>5395.5479999999998</v>
          </cell>
          <cell r="CX96">
            <v>145.67979600000001</v>
          </cell>
          <cell r="CY96">
            <v>26.977740000000001</v>
          </cell>
          <cell r="CZ96">
            <v>3237.3287999999998</v>
          </cell>
          <cell r="DA96">
            <v>222.77897999999993</v>
          </cell>
          <cell r="DD96">
            <v>222.77897999999993</v>
          </cell>
        </row>
        <row r="97">
          <cell r="C97" t="str">
            <v>1706/10</v>
          </cell>
          <cell r="D97" t="str">
            <v>01/01 A 31/01/11</v>
          </cell>
          <cell r="E97" t="str">
            <v>GISLENE SILVINO SILVA DA HORA</v>
          </cell>
          <cell r="F97" t="str">
            <v>EMEF / EMEI</v>
          </cell>
          <cell r="G97">
            <v>14</v>
          </cell>
          <cell r="H97">
            <v>14</v>
          </cell>
          <cell r="I97">
            <v>14</v>
          </cell>
          <cell r="J97">
            <v>16501</v>
          </cell>
          <cell r="K97">
            <v>25</v>
          </cell>
          <cell r="L97">
            <v>8</v>
          </cell>
          <cell r="M97">
            <v>1</v>
          </cell>
          <cell r="N97">
            <v>16501</v>
          </cell>
          <cell r="O97">
            <v>22</v>
          </cell>
          <cell r="P97">
            <v>2</v>
          </cell>
          <cell r="Q97">
            <v>2</v>
          </cell>
          <cell r="R97">
            <v>19323</v>
          </cell>
          <cell r="S97">
            <v>11</v>
          </cell>
          <cell r="T97">
            <v>0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15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17</v>
          </cell>
          <cell r="AL97">
            <v>16</v>
          </cell>
          <cell r="AM97">
            <v>30</v>
          </cell>
          <cell r="AN97">
            <v>22</v>
          </cell>
          <cell r="AO97">
            <v>58</v>
          </cell>
          <cell r="AP97">
            <v>14</v>
          </cell>
          <cell r="AS97">
            <v>2010</v>
          </cell>
          <cell r="AT97">
            <v>10</v>
          </cell>
          <cell r="AU97">
            <v>9</v>
          </cell>
          <cell r="AV97">
            <v>58</v>
          </cell>
          <cell r="AW97">
            <v>0.25</v>
          </cell>
          <cell r="AX97">
            <v>928</v>
          </cell>
          <cell r="AY97">
            <v>232</v>
          </cell>
          <cell r="AZ97">
            <v>36.880000000000003</v>
          </cell>
          <cell r="BA97">
            <v>10</v>
          </cell>
          <cell r="BB97">
            <v>270.45333333333332</v>
          </cell>
          <cell r="BC97">
            <v>2290.25</v>
          </cell>
          <cell r="BD97">
            <v>4</v>
          </cell>
          <cell r="BE97">
            <v>1679.5166666666667</v>
          </cell>
          <cell r="BF97">
            <v>0</v>
          </cell>
          <cell r="BG97">
            <v>0</v>
          </cell>
          <cell r="BH97">
            <v>0</v>
          </cell>
          <cell r="BI97">
            <v>4</v>
          </cell>
          <cell r="BJ97">
            <v>0</v>
          </cell>
          <cell r="BK97">
            <v>1949.97</v>
          </cell>
          <cell r="BL97">
            <v>3945.03</v>
          </cell>
          <cell r="BM97">
            <v>3945.03</v>
          </cell>
          <cell r="BN97">
            <v>63.167996666666674</v>
          </cell>
          <cell r="BO97">
            <v>1117.6786633333334</v>
          </cell>
          <cell r="BP97">
            <v>46.145330000000001</v>
          </cell>
          <cell r="BQ97">
            <v>1226.99199</v>
          </cell>
          <cell r="BR97">
            <v>6.25</v>
          </cell>
          <cell r="BS97">
            <v>5.5</v>
          </cell>
          <cell r="BT97">
            <v>2.75</v>
          </cell>
          <cell r="BU97">
            <v>14.5</v>
          </cell>
          <cell r="BY97">
            <v>4885.5080100000014</v>
          </cell>
          <cell r="CP97" t="str">
            <v>2884/10</v>
          </cell>
          <cell r="CQ97">
            <v>40483</v>
          </cell>
          <cell r="CR97">
            <v>40662</v>
          </cell>
          <cell r="CS97" t="str">
            <v>2010-0.282.187-4</v>
          </cell>
          <cell r="CT97" t="str">
            <v>GILMAR TEIXEIRA DE MACEDO</v>
          </cell>
          <cell r="CU97">
            <v>20624674860</v>
          </cell>
          <cell r="CV97">
            <v>122646</v>
          </cell>
          <cell r="CW97">
            <v>6043.6959999999999</v>
          </cell>
          <cell r="CX97">
            <v>163.17979200000002</v>
          </cell>
          <cell r="CY97">
            <v>30.21848</v>
          </cell>
          <cell r="CZ97">
            <v>3626.2175999999999</v>
          </cell>
          <cell r="DA97">
            <v>310.27895999999998</v>
          </cell>
          <cell r="DD97">
            <v>310.27895999999998</v>
          </cell>
        </row>
        <row r="98">
          <cell r="C98" t="str">
            <v>2171/10</v>
          </cell>
          <cell r="D98" t="str">
            <v>01/01 A 31/01/11</v>
          </cell>
          <cell r="E98" t="str">
            <v xml:space="preserve">HERINALDO JOAQUIM DE SANTANA </v>
          </cell>
          <cell r="F98" t="str">
            <v>SAAI</v>
          </cell>
          <cell r="G98">
            <v>16</v>
          </cell>
          <cell r="H98">
            <v>16</v>
          </cell>
          <cell r="I98">
            <v>16</v>
          </cell>
          <cell r="J98">
            <v>19674</v>
          </cell>
          <cell r="K98">
            <v>38</v>
          </cell>
          <cell r="L98">
            <v>4</v>
          </cell>
          <cell r="M98">
            <v>3</v>
          </cell>
          <cell r="N98">
            <v>19674</v>
          </cell>
          <cell r="O98">
            <v>48</v>
          </cell>
          <cell r="P98">
            <v>5</v>
          </cell>
          <cell r="Q98">
            <v>3</v>
          </cell>
          <cell r="R98">
            <v>19674</v>
          </cell>
          <cell r="S98">
            <v>75</v>
          </cell>
          <cell r="T98">
            <v>15</v>
          </cell>
          <cell r="U98">
            <v>2</v>
          </cell>
          <cell r="W98">
            <v>1</v>
          </cell>
          <cell r="Y98">
            <v>1</v>
          </cell>
          <cell r="AA98">
            <v>1</v>
          </cell>
          <cell r="AB98">
            <v>0</v>
          </cell>
          <cell r="AE98">
            <v>1</v>
          </cell>
          <cell r="AG98">
            <v>1</v>
          </cell>
          <cell r="AI98">
            <v>1</v>
          </cell>
          <cell r="AJ98">
            <v>0</v>
          </cell>
          <cell r="AL98">
            <v>16</v>
          </cell>
          <cell r="AM98">
            <v>30</v>
          </cell>
          <cell r="AN98">
            <v>22</v>
          </cell>
          <cell r="AO98">
            <v>161</v>
          </cell>
          <cell r="AP98">
            <v>32</v>
          </cell>
          <cell r="AS98">
            <v>2007</v>
          </cell>
          <cell r="AT98">
            <v>29</v>
          </cell>
          <cell r="AU98">
            <v>27</v>
          </cell>
          <cell r="AV98">
            <v>161</v>
          </cell>
          <cell r="AW98">
            <v>0.25</v>
          </cell>
          <cell r="AX98">
            <v>2576</v>
          </cell>
          <cell r="AY98">
            <v>644</v>
          </cell>
          <cell r="AZ98">
            <v>36.880000000000003</v>
          </cell>
          <cell r="BA98">
            <v>12</v>
          </cell>
          <cell r="BB98">
            <v>324.54400000000004</v>
          </cell>
          <cell r="BC98">
            <v>36.880000000000003</v>
          </cell>
          <cell r="BD98">
            <v>5</v>
          </cell>
          <cell r="BE98">
            <v>135.22666666666666</v>
          </cell>
          <cell r="BF98">
            <v>36.880000000000003</v>
          </cell>
          <cell r="BG98">
            <v>15</v>
          </cell>
          <cell r="BH98">
            <v>405.68</v>
          </cell>
          <cell r="BI98">
            <v>8</v>
          </cell>
          <cell r="BJ98">
            <v>216.36266666666668</v>
          </cell>
          <cell r="BK98">
            <v>1081.8133333333333</v>
          </cell>
          <cell r="BL98">
            <v>3618.12</v>
          </cell>
          <cell r="BM98">
            <v>3618.12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Y98">
            <v>5343.9333333333334</v>
          </cell>
          <cell r="CP98" t="str">
            <v>1875/10</v>
          </cell>
          <cell r="CQ98">
            <v>40441</v>
          </cell>
          <cell r="CR98">
            <v>40620</v>
          </cell>
          <cell r="CS98" t="str">
            <v>2010-0.229.301-0</v>
          </cell>
          <cell r="CT98" t="str">
            <v>GILSON ELIAS DOS SANTOS</v>
          </cell>
          <cell r="CU98" t="str">
            <v>012.236.058-33</v>
          </cell>
          <cell r="CV98">
            <v>104901</v>
          </cell>
          <cell r="CW98">
            <v>6082.7013333333334</v>
          </cell>
          <cell r="CX98">
            <v>164.232936</v>
          </cell>
          <cell r="CY98">
            <v>30.413506666666667</v>
          </cell>
          <cell r="CZ98">
            <v>3649.6208000000001</v>
          </cell>
          <cell r="DA98">
            <v>315.54468000000008</v>
          </cell>
          <cell r="DD98">
            <v>315.54468000000008</v>
          </cell>
        </row>
        <row r="99">
          <cell r="C99" t="str">
            <v>1625/10</v>
          </cell>
          <cell r="D99" t="str">
            <v>01/01 A 31/01/11</v>
          </cell>
          <cell r="E99" t="str">
            <v>INACIO VENANCIO SILVA</v>
          </cell>
          <cell r="F99" t="str">
            <v>EMEF</v>
          </cell>
          <cell r="G99">
            <v>16</v>
          </cell>
          <cell r="H99">
            <v>16</v>
          </cell>
          <cell r="I99">
            <v>16</v>
          </cell>
          <cell r="J99">
            <v>19313</v>
          </cell>
          <cell r="K99">
            <v>16</v>
          </cell>
          <cell r="L99">
            <v>23</v>
          </cell>
          <cell r="M99">
            <v>0</v>
          </cell>
          <cell r="N99">
            <v>19313</v>
          </cell>
          <cell r="O99">
            <v>28</v>
          </cell>
          <cell r="P99">
            <v>23</v>
          </cell>
          <cell r="Q99">
            <v>0</v>
          </cell>
          <cell r="R99">
            <v>19313</v>
          </cell>
          <cell r="S99">
            <v>28</v>
          </cell>
          <cell r="T99">
            <v>23</v>
          </cell>
          <cell r="U99">
            <v>0</v>
          </cell>
          <cell r="W99">
            <v>1</v>
          </cell>
          <cell r="Y99">
            <v>1</v>
          </cell>
          <cell r="AA99">
            <v>1</v>
          </cell>
          <cell r="AB99">
            <v>0</v>
          </cell>
          <cell r="AE99">
            <v>1</v>
          </cell>
          <cell r="AG99">
            <v>1</v>
          </cell>
          <cell r="AI99">
            <v>1</v>
          </cell>
          <cell r="AJ99">
            <v>0</v>
          </cell>
          <cell r="AL99">
            <v>16</v>
          </cell>
          <cell r="AM99">
            <v>30</v>
          </cell>
          <cell r="AN99">
            <v>22</v>
          </cell>
          <cell r="AO99">
            <v>72</v>
          </cell>
          <cell r="AP99">
            <v>69</v>
          </cell>
          <cell r="AS99">
            <v>2002</v>
          </cell>
          <cell r="AT99">
            <v>25</v>
          </cell>
          <cell r="AU99">
            <v>23</v>
          </cell>
          <cell r="AV99">
            <v>72</v>
          </cell>
          <cell r="AW99">
            <v>0.25</v>
          </cell>
          <cell r="AX99">
            <v>1152</v>
          </cell>
          <cell r="AY99">
            <v>288</v>
          </cell>
          <cell r="AZ99">
            <v>36.880000000000003</v>
          </cell>
          <cell r="BA99">
            <v>23</v>
          </cell>
          <cell r="BB99">
            <v>622.04266666666672</v>
          </cell>
          <cell r="BC99">
            <v>36.880000000000003</v>
          </cell>
          <cell r="BD99">
            <v>23</v>
          </cell>
          <cell r="BE99">
            <v>622.04266666666672</v>
          </cell>
          <cell r="BF99">
            <v>36.880000000000003</v>
          </cell>
          <cell r="BG99">
            <v>23</v>
          </cell>
          <cell r="BH99">
            <v>622.04266666666672</v>
          </cell>
          <cell r="BI99">
            <v>0</v>
          </cell>
          <cell r="BJ99">
            <v>0</v>
          </cell>
          <cell r="BK99">
            <v>1866.1280000000002</v>
          </cell>
          <cell r="BL99">
            <v>3072.24</v>
          </cell>
          <cell r="BM99">
            <v>3072.24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Y99">
            <v>5226.3680000000004</v>
          </cell>
          <cell r="CP99" t="str">
            <v>1991/10</v>
          </cell>
          <cell r="CQ99">
            <v>40441</v>
          </cell>
          <cell r="CR99">
            <v>40620</v>
          </cell>
          <cell r="CS99" t="str">
            <v>2010-0.232.196-0</v>
          </cell>
          <cell r="CT99" t="str">
            <v>GILVANETE ROQUE DA CRUZ</v>
          </cell>
          <cell r="CU99" t="str">
            <v>092.416.578-20</v>
          </cell>
          <cell r="CV99">
            <v>104907</v>
          </cell>
          <cell r="CW99">
            <v>4996.0486666666666</v>
          </cell>
          <cell r="CX99">
            <v>134.893314</v>
          </cell>
          <cell r="CY99">
            <v>24.980243333333334</v>
          </cell>
          <cell r="CZ99">
            <v>2997.6291999999999</v>
          </cell>
          <cell r="DA99">
            <v>168.84656999999993</v>
          </cell>
          <cell r="DD99">
            <v>168.84656999999993</v>
          </cell>
        </row>
        <row r="100">
          <cell r="C100" t="str">
            <v>1914/10</v>
          </cell>
          <cell r="D100" t="str">
            <v>01/01 A 31/01/11</v>
          </cell>
          <cell r="E100" t="str">
            <v>IVAN DE ANDRADE GOUVEIA</v>
          </cell>
          <cell r="F100" t="str">
            <v>EMEF</v>
          </cell>
          <cell r="G100">
            <v>16</v>
          </cell>
          <cell r="H100">
            <v>16</v>
          </cell>
          <cell r="I100">
            <v>16</v>
          </cell>
          <cell r="J100">
            <v>93416</v>
          </cell>
          <cell r="K100">
            <v>10</v>
          </cell>
          <cell r="L100">
            <v>11</v>
          </cell>
          <cell r="M100">
            <v>0</v>
          </cell>
          <cell r="N100">
            <v>93416</v>
          </cell>
          <cell r="O100">
            <v>26</v>
          </cell>
          <cell r="P100">
            <v>12</v>
          </cell>
          <cell r="Q100">
            <v>0</v>
          </cell>
          <cell r="R100">
            <v>93416</v>
          </cell>
          <cell r="S100">
            <v>14</v>
          </cell>
          <cell r="T100">
            <v>12</v>
          </cell>
          <cell r="U100">
            <v>0</v>
          </cell>
          <cell r="W100">
            <v>1</v>
          </cell>
          <cell r="Y100">
            <v>1</v>
          </cell>
          <cell r="AA100">
            <v>1</v>
          </cell>
          <cell r="AB100">
            <v>0</v>
          </cell>
          <cell r="AE100">
            <v>1</v>
          </cell>
          <cell r="AG100">
            <v>1</v>
          </cell>
          <cell r="AI100">
            <v>1</v>
          </cell>
          <cell r="AJ100">
            <v>0</v>
          </cell>
          <cell r="AL100">
            <v>16</v>
          </cell>
          <cell r="AM100">
            <v>30</v>
          </cell>
          <cell r="AN100">
            <v>22</v>
          </cell>
          <cell r="AO100">
            <v>50</v>
          </cell>
          <cell r="AP100">
            <v>35</v>
          </cell>
          <cell r="AS100">
            <v>1997</v>
          </cell>
          <cell r="AT100">
            <v>14</v>
          </cell>
          <cell r="AU100">
            <v>12</v>
          </cell>
          <cell r="AV100">
            <v>50</v>
          </cell>
          <cell r="AW100">
            <v>0.25</v>
          </cell>
          <cell r="AX100">
            <v>800</v>
          </cell>
          <cell r="AY100">
            <v>200</v>
          </cell>
          <cell r="AZ100">
            <v>36.880000000000003</v>
          </cell>
          <cell r="BA100">
            <v>11</v>
          </cell>
          <cell r="BB100">
            <v>297.49866666666668</v>
          </cell>
          <cell r="BC100">
            <v>36.880000000000003</v>
          </cell>
          <cell r="BD100">
            <v>12</v>
          </cell>
          <cell r="BE100">
            <v>324.54400000000004</v>
          </cell>
          <cell r="BF100">
            <v>36.880000000000003</v>
          </cell>
          <cell r="BG100">
            <v>12</v>
          </cell>
          <cell r="BH100">
            <v>324.54400000000004</v>
          </cell>
          <cell r="BI100">
            <v>0</v>
          </cell>
          <cell r="BJ100">
            <v>0</v>
          </cell>
          <cell r="BK100">
            <v>946.58666666666682</v>
          </cell>
          <cell r="BL100">
            <v>1838.58</v>
          </cell>
          <cell r="BM100">
            <v>1838.58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Y100">
            <v>2985.166666666667</v>
          </cell>
          <cell r="CP100" t="str">
            <v>1706/10</v>
          </cell>
          <cell r="CQ100">
            <v>40387</v>
          </cell>
          <cell r="CR100">
            <v>40566</v>
          </cell>
          <cell r="CS100" t="str">
            <v>2010-0.205.397-4</v>
          </cell>
          <cell r="CT100" t="str">
            <v>GISLENE SILVINO SILVA DA HORA</v>
          </cell>
          <cell r="CU100" t="str">
            <v>119.046.948-02</v>
          </cell>
          <cell r="CV100">
            <v>89565</v>
          </cell>
          <cell r="CW100">
            <v>4885.5080100000014</v>
          </cell>
          <cell r="CX100">
            <v>131.90871627000004</v>
          </cell>
          <cell r="CY100">
            <v>24.427540050000008</v>
          </cell>
          <cell r="CZ100">
            <v>2931.3048060000006</v>
          </cell>
          <cell r="DA100">
            <v>158.75572090000009</v>
          </cell>
          <cell r="DD100">
            <v>158.75572090000009</v>
          </cell>
        </row>
        <row r="101">
          <cell r="C101" t="str">
            <v>2310/10</v>
          </cell>
          <cell r="D101" t="str">
            <v>01/01 A 31/01/11</v>
          </cell>
          <cell r="E101" t="str">
            <v>IVANILDO DE ANDRADE</v>
          </cell>
          <cell r="F101" t="str">
            <v>EMEF</v>
          </cell>
          <cell r="G101">
            <v>16</v>
          </cell>
          <cell r="H101">
            <v>16</v>
          </cell>
          <cell r="I101">
            <v>16</v>
          </cell>
          <cell r="J101">
            <v>93319</v>
          </cell>
          <cell r="K101">
            <v>29</v>
          </cell>
          <cell r="L101">
            <v>14</v>
          </cell>
          <cell r="M101">
            <v>0</v>
          </cell>
          <cell r="N101">
            <v>93319</v>
          </cell>
          <cell r="O101">
            <v>9</v>
          </cell>
          <cell r="P101">
            <v>16</v>
          </cell>
          <cell r="Q101">
            <v>0</v>
          </cell>
          <cell r="R101">
            <v>93416</v>
          </cell>
          <cell r="S101">
            <v>14</v>
          </cell>
          <cell r="T101">
            <v>17</v>
          </cell>
          <cell r="U101">
            <v>0</v>
          </cell>
          <cell r="W101">
            <v>1</v>
          </cell>
          <cell r="Y101">
            <v>1</v>
          </cell>
          <cell r="AA101">
            <v>1</v>
          </cell>
          <cell r="AB101">
            <v>0</v>
          </cell>
          <cell r="AE101">
            <v>1</v>
          </cell>
          <cell r="AG101">
            <v>1</v>
          </cell>
          <cell r="AI101">
            <v>1</v>
          </cell>
          <cell r="AJ101">
            <v>0</v>
          </cell>
          <cell r="AL101">
            <v>16</v>
          </cell>
          <cell r="AM101">
            <v>30</v>
          </cell>
          <cell r="AN101">
            <v>22</v>
          </cell>
          <cell r="AO101">
            <v>52</v>
          </cell>
          <cell r="AP101">
            <v>47</v>
          </cell>
          <cell r="AS101">
            <v>2009</v>
          </cell>
          <cell r="AT101">
            <v>19</v>
          </cell>
          <cell r="AU101">
            <v>17</v>
          </cell>
          <cell r="AV101">
            <v>52</v>
          </cell>
          <cell r="AW101">
            <v>0.25</v>
          </cell>
          <cell r="AX101">
            <v>832</v>
          </cell>
          <cell r="AY101">
            <v>208</v>
          </cell>
          <cell r="AZ101">
            <v>36.880000000000003</v>
          </cell>
          <cell r="BA101">
            <v>14</v>
          </cell>
          <cell r="BB101">
            <v>378.6346666666667</v>
          </cell>
          <cell r="BC101">
            <v>36.880000000000003</v>
          </cell>
          <cell r="BD101">
            <v>16</v>
          </cell>
          <cell r="BE101">
            <v>432.72533333333337</v>
          </cell>
          <cell r="BF101">
            <v>36.880000000000003</v>
          </cell>
          <cell r="BG101">
            <v>17</v>
          </cell>
          <cell r="BH101">
            <v>459.77066666666667</v>
          </cell>
          <cell r="BI101">
            <v>0</v>
          </cell>
          <cell r="BJ101">
            <v>0</v>
          </cell>
          <cell r="BK101">
            <v>1271.1306666666669</v>
          </cell>
          <cell r="BL101">
            <v>2650.9</v>
          </cell>
          <cell r="BM101">
            <v>2650.9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Y101">
            <v>4130.0306666666675</v>
          </cell>
          <cell r="CP101" t="str">
            <v>2171/10</v>
          </cell>
          <cell r="CQ101">
            <v>40448</v>
          </cell>
          <cell r="CR101">
            <v>40627</v>
          </cell>
          <cell r="CS101" t="str">
            <v>2010-0.239.465-8</v>
          </cell>
          <cell r="CT101" t="str">
            <v xml:space="preserve">HERINALDO JOAQUIM DE SANTANA </v>
          </cell>
          <cell r="CU101">
            <v>28781636806</v>
          </cell>
          <cell r="CV101">
            <v>106158</v>
          </cell>
          <cell r="CW101">
            <v>5343.9333333333334</v>
          </cell>
          <cell r="CX101">
            <v>144.28620000000001</v>
          </cell>
          <cell r="CY101">
            <v>26.719666666666669</v>
          </cell>
          <cell r="CZ101">
            <v>3206.36</v>
          </cell>
          <cell r="DA101">
            <v>215.81100000000004</v>
          </cell>
          <cell r="DD101">
            <v>215.81100000000004</v>
          </cell>
        </row>
        <row r="102">
          <cell r="C102" t="str">
            <v>1953/10</v>
          </cell>
          <cell r="D102" t="str">
            <v>01/01 A 31/01/11</v>
          </cell>
          <cell r="E102" t="str">
            <v>IVANILTO MIRANDA DE OLIVEIRA</v>
          </cell>
          <cell r="F102" t="str">
            <v>EMEI / EMEF</v>
          </cell>
          <cell r="G102">
            <v>15</v>
          </cell>
          <cell r="H102">
            <v>15</v>
          </cell>
          <cell r="I102">
            <v>16</v>
          </cell>
          <cell r="J102">
            <v>19496</v>
          </cell>
          <cell r="K102">
            <v>30</v>
          </cell>
          <cell r="L102">
            <v>27</v>
          </cell>
          <cell r="M102">
            <v>0</v>
          </cell>
          <cell r="N102">
            <v>19496</v>
          </cell>
          <cell r="O102">
            <v>20</v>
          </cell>
          <cell r="P102">
            <v>27</v>
          </cell>
          <cell r="Q102">
            <v>0</v>
          </cell>
          <cell r="R102">
            <v>19441</v>
          </cell>
          <cell r="S102">
            <v>66</v>
          </cell>
          <cell r="T102">
            <v>38</v>
          </cell>
          <cell r="U102">
            <v>0</v>
          </cell>
          <cell r="W102">
            <v>1</v>
          </cell>
          <cell r="Y102">
            <v>1</v>
          </cell>
          <cell r="AA102">
            <v>1</v>
          </cell>
          <cell r="AB102">
            <v>0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I102">
            <v>1</v>
          </cell>
          <cell r="AJ102">
            <v>0.66666666666666663</v>
          </cell>
          <cell r="AK102">
            <v>10</v>
          </cell>
          <cell r="AL102">
            <v>16</v>
          </cell>
          <cell r="AM102">
            <v>30</v>
          </cell>
          <cell r="AN102">
            <v>22</v>
          </cell>
          <cell r="AO102">
            <v>116</v>
          </cell>
          <cell r="AP102">
            <v>92</v>
          </cell>
          <cell r="AS102">
            <v>2007</v>
          </cell>
          <cell r="AT102">
            <v>29</v>
          </cell>
          <cell r="AU102">
            <v>27</v>
          </cell>
          <cell r="AV102">
            <v>116</v>
          </cell>
          <cell r="AW102">
            <v>0.25</v>
          </cell>
          <cell r="AX102">
            <v>1856</v>
          </cell>
          <cell r="AY102">
            <v>464</v>
          </cell>
          <cell r="AZ102">
            <v>36.880000000000003</v>
          </cell>
          <cell r="BA102">
            <v>27</v>
          </cell>
          <cell r="BB102">
            <v>730.22400000000005</v>
          </cell>
          <cell r="BC102">
            <v>36.880000000000003</v>
          </cell>
          <cell r="BD102">
            <v>27</v>
          </cell>
          <cell r="BE102">
            <v>730.22400000000005</v>
          </cell>
          <cell r="BF102">
            <v>36.880000000000003</v>
          </cell>
          <cell r="BG102">
            <v>38</v>
          </cell>
          <cell r="BH102">
            <v>1027.7226666666666</v>
          </cell>
          <cell r="BI102">
            <v>0</v>
          </cell>
          <cell r="BJ102">
            <v>0</v>
          </cell>
          <cell r="BK102">
            <v>2488.1706666666669</v>
          </cell>
          <cell r="BL102">
            <v>3618.12</v>
          </cell>
          <cell r="BM102">
            <v>3618.12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7.5</v>
          </cell>
          <cell r="BS102">
            <v>5</v>
          </cell>
          <cell r="BT102">
            <v>0</v>
          </cell>
          <cell r="BU102">
            <v>12.5</v>
          </cell>
          <cell r="BY102">
            <v>6557.7906666666668</v>
          </cell>
          <cell r="CP102" t="str">
            <v>1625/10</v>
          </cell>
          <cell r="CQ102">
            <v>40407</v>
          </cell>
          <cell r="CR102">
            <v>40586</v>
          </cell>
          <cell r="CS102" t="str">
            <v>2010-0.189.146-1</v>
          </cell>
          <cell r="CT102" t="str">
            <v>INACIO VENANCIO SILVA</v>
          </cell>
          <cell r="CU102" t="str">
            <v>995.925.768-15</v>
          </cell>
          <cell r="CV102">
            <v>90037</v>
          </cell>
          <cell r="CW102">
            <v>5226.3680000000004</v>
          </cell>
          <cell r="CX102">
            <v>141.11193600000004</v>
          </cell>
          <cell r="CY102">
            <v>26.131840000000008</v>
          </cell>
          <cell r="CZ102">
            <v>3135.8208</v>
          </cell>
          <cell r="DA102">
            <v>199.93967999999995</v>
          </cell>
          <cell r="DD102">
            <v>199.93967999999995</v>
          </cell>
        </row>
        <row r="103">
          <cell r="C103" t="str">
            <v>2558/10</v>
          </cell>
          <cell r="D103" t="str">
            <v>01/01 A 31/01/11</v>
          </cell>
          <cell r="E103" t="str">
            <v>IVO MIGUEL JUNIOR</v>
          </cell>
          <cell r="F103" t="str">
            <v>EMEF</v>
          </cell>
          <cell r="G103">
            <v>15</v>
          </cell>
          <cell r="H103">
            <v>15</v>
          </cell>
          <cell r="I103">
            <v>15</v>
          </cell>
          <cell r="J103">
            <v>93378</v>
          </cell>
          <cell r="K103">
            <v>22</v>
          </cell>
          <cell r="L103">
            <v>23</v>
          </cell>
          <cell r="M103">
            <v>0</v>
          </cell>
          <cell r="N103">
            <v>93378</v>
          </cell>
          <cell r="O103">
            <v>26</v>
          </cell>
          <cell r="P103">
            <v>23</v>
          </cell>
          <cell r="Q103">
            <v>0</v>
          </cell>
          <cell r="R103">
            <v>93378</v>
          </cell>
          <cell r="S103">
            <v>28</v>
          </cell>
          <cell r="T103">
            <v>23</v>
          </cell>
          <cell r="U103">
            <v>0</v>
          </cell>
          <cell r="W103">
            <v>1</v>
          </cell>
          <cell r="Y103">
            <v>1</v>
          </cell>
          <cell r="AA103">
            <v>1</v>
          </cell>
          <cell r="AB103">
            <v>0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22</v>
          </cell>
          <cell r="AL103">
            <v>16</v>
          </cell>
          <cell r="AM103">
            <v>30</v>
          </cell>
          <cell r="AN103">
            <v>22</v>
          </cell>
          <cell r="AO103">
            <v>76</v>
          </cell>
          <cell r="AP103">
            <v>69</v>
          </cell>
          <cell r="AS103">
            <v>2007</v>
          </cell>
          <cell r="AT103">
            <v>25</v>
          </cell>
          <cell r="AU103">
            <v>23</v>
          </cell>
          <cell r="AV103">
            <v>76</v>
          </cell>
          <cell r="AW103">
            <v>0.25</v>
          </cell>
          <cell r="AX103">
            <v>1216</v>
          </cell>
          <cell r="AY103">
            <v>304</v>
          </cell>
          <cell r="AZ103">
            <v>36.880000000000003</v>
          </cell>
          <cell r="BA103">
            <v>23</v>
          </cell>
          <cell r="BB103">
            <v>622.04266666666672</v>
          </cell>
          <cell r="BC103">
            <v>36.880000000000003</v>
          </cell>
          <cell r="BD103">
            <v>23</v>
          </cell>
          <cell r="BE103">
            <v>622.04266666666672</v>
          </cell>
          <cell r="BF103">
            <v>36.880000000000003</v>
          </cell>
          <cell r="BG103">
            <v>23</v>
          </cell>
          <cell r="BH103">
            <v>622.04266666666672</v>
          </cell>
          <cell r="BI103">
            <v>0</v>
          </cell>
          <cell r="BJ103">
            <v>0</v>
          </cell>
          <cell r="BK103">
            <v>1866.1280000000002</v>
          </cell>
          <cell r="BL103">
            <v>3618.12</v>
          </cell>
          <cell r="BM103">
            <v>3618.12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5.5</v>
          </cell>
          <cell r="BS103">
            <v>6.5</v>
          </cell>
          <cell r="BT103">
            <v>7</v>
          </cell>
          <cell r="BU103">
            <v>19</v>
          </cell>
          <cell r="BY103">
            <v>5769.2479999999996</v>
          </cell>
          <cell r="CP103" t="str">
            <v>1914/10</v>
          </cell>
          <cell r="CQ103">
            <v>40441</v>
          </cell>
          <cell r="CR103">
            <v>40620</v>
          </cell>
          <cell r="CS103" t="str">
            <v>2010-0.230.667-8</v>
          </cell>
          <cell r="CT103" t="str">
            <v>IVAN DE ANDRADE GOUVEIA</v>
          </cell>
          <cell r="CU103">
            <v>68466080872</v>
          </cell>
          <cell r="CV103">
            <v>104910</v>
          </cell>
          <cell r="CW103">
            <v>2985.166666666667</v>
          </cell>
          <cell r="CX103">
            <v>80.59950000000002</v>
          </cell>
          <cell r="CY103">
            <v>14.925833333333337</v>
          </cell>
          <cell r="CZ103">
            <v>1791.1000000000001</v>
          </cell>
          <cell r="DA103">
            <v>21.902500000000003</v>
          </cell>
          <cell r="DD103">
            <v>-12.274999999999977</v>
          </cell>
        </row>
        <row r="104">
          <cell r="C104" t="str">
            <v>2249/10</v>
          </cell>
          <cell r="D104" t="str">
            <v>01/01 A 31/01/11</v>
          </cell>
          <cell r="E104" t="str">
            <v>IVONE APARECIDA HESSEL</v>
          </cell>
          <cell r="F104" t="str">
            <v>EMEF</v>
          </cell>
          <cell r="G104">
            <v>16</v>
          </cell>
          <cell r="H104">
            <v>16</v>
          </cell>
          <cell r="I104">
            <v>16</v>
          </cell>
          <cell r="J104">
            <v>93378</v>
          </cell>
          <cell r="K104">
            <v>38</v>
          </cell>
          <cell r="L104">
            <v>27</v>
          </cell>
          <cell r="M104">
            <v>0</v>
          </cell>
          <cell r="N104">
            <v>93378</v>
          </cell>
          <cell r="O104">
            <v>32</v>
          </cell>
          <cell r="P104">
            <v>27</v>
          </cell>
          <cell r="Q104">
            <v>0</v>
          </cell>
          <cell r="R104">
            <v>18546</v>
          </cell>
          <cell r="S104">
            <v>21</v>
          </cell>
          <cell r="T104">
            <v>27</v>
          </cell>
          <cell r="U104">
            <v>0</v>
          </cell>
          <cell r="W104">
            <v>1</v>
          </cell>
          <cell r="Y104">
            <v>1</v>
          </cell>
          <cell r="AA104">
            <v>1</v>
          </cell>
          <cell r="AB104">
            <v>0</v>
          </cell>
          <cell r="AE104">
            <v>1</v>
          </cell>
          <cell r="AG104">
            <v>1</v>
          </cell>
          <cell r="AI104">
            <v>1</v>
          </cell>
          <cell r="AJ104">
            <v>0</v>
          </cell>
          <cell r="AL104">
            <v>16</v>
          </cell>
          <cell r="AM104">
            <v>30</v>
          </cell>
          <cell r="AN104">
            <v>22</v>
          </cell>
          <cell r="AO104">
            <v>91</v>
          </cell>
          <cell r="AP104">
            <v>81</v>
          </cell>
          <cell r="AS104">
            <v>2007</v>
          </cell>
          <cell r="AT104">
            <v>29</v>
          </cell>
          <cell r="AU104">
            <v>27</v>
          </cell>
          <cell r="AV104">
            <v>91</v>
          </cell>
          <cell r="AW104">
            <v>0.25</v>
          </cell>
          <cell r="AX104">
            <v>1456</v>
          </cell>
          <cell r="AY104">
            <v>364</v>
          </cell>
          <cell r="AZ104">
            <v>36.880000000000003</v>
          </cell>
          <cell r="BA104">
            <v>27</v>
          </cell>
          <cell r="BB104">
            <v>730.22400000000005</v>
          </cell>
          <cell r="BC104">
            <v>36.880000000000003</v>
          </cell>
          <cell r="BD104">
            <v>27</v>
          </cell>
          <cell r="BE104">
            <v>730.22400000000005</v>
          </cell>
          <cell r="BF104">
            <v>36.880000000000003</v>
          </cell>
          <cell r="BG104">
            <v>27</v>
          </cell>
          <cell r="BH104">
            <v>730.22400000000005</v>
          </cell>
          <cell r="BI104">
            <v>0</v>
          </cell>
          <cell r="BJ104">
            <v>0</v>
          </cell>
          <cell r="BK104">
            <v>2190.672</v>
          </cell>
          <cell r="BL104">
            <v>3618.12</v>
          </cell>
          <cell r="BM104">
            <v>3618.12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Y104">
            <v>6172.7919999999995</v>
          </cell>
          <cell r="CP104" t="str">
            <v>2310/10</v>
          </cell>
          <cell r="CQ104">
            <v>40448</v>
          </cell>
          <cell r="CR104">
            <v>40627</v>
          </cell>
          <cell r="CS104" t="str">
            <v>2010-0.245.442-1</v>
          </cell>
          <cell r="CT104" t="str">
            <v>IVANILDO DE ANDRADE</v>
          </cell>
          <cell r="CU104" t="str">
            <v>033.847.978-33</v>
          </cell>
          <cell r="CV104">
            <v>106388</v>
          </cell>
          <cell r="CW104">
            <v>4130.0306666666675</v>
          </cell>
          <cell r="CX104">
            <v>111.51082800000003</v>
          </cell>
          <cell r="CY104">
            <v>20.650153333333339</v>
          </cell>
          <cell r="CZ104">
            <v>2478.0184000000004</v>
          </cell>
          <cell r="DA104">
            <v>90.762760000000071</v>
          </cell>
          <cell r="DD104">
            <v>90.762760000000071</v>
          </cell>
        </row>
        <row r="105">
          <cell r="C105" t="str">
            <v>2781/10</v>
          </cell>
          <cell r="D105" t="str">
            <v>01/01 A 31/01/11</v>
          </cell>
          <cell r="E105" t="str">
            <v>JACKSON DE DEUS DA SILVA</v>
          </cell>
          <cell r="F105" t="str">
            <v>EMEF</v>
          </cell>
          <cell r="G105">
            <v>15</v>
          </cell>
          <cell r="H105">
            <v>15</v>
          </cell>
          <cell r="I105">
            <v>15</v>
          </cell>
          <cell r="J105">
            <v>19496</v>
          </cell>
          <cell r="K105">
            <v>14</v>
          </cell>
          <cell r="L105">
            <v>12</v>
          </cell>
          <cell r="M105">
            <v>0</v>
          </cell>
          <cell r="N105">
            <v>19496</v>
          </cell>
          <cell r="O105">
            <v>19</v>
          </cell>
          <cell r="P105">
            <v>12</v>
          </cell>
          <cell r="Q105">
            <v>2</v>
          </cell>
          <cell r="R105">
            <v>19496</v>
          </cell>
          <cell r="S105">
            <v>19</v>
          </cell>
          <cell r="T105">
            <v>12</v>
          </cell>
          <cell r="U105">
            <v>0</v>
          </cell>
          <cell r="W105">
            <v>1</v>
          </cell>
          <cell r="Y105">
            <v>1</v>
          </cell>
          <cell r="AA105">
            <v>1</v>
          </cell>
          <cell r="AB105">
            <v>0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10</v>
          </cell>
          <cell r="AL105">
            <v>16</v>
          </cell>
          <cell r="AM105">
            <v>30</v>
          </cell>
          <cell r="AN105">
            <v>22</v>
          </cell>
          <cell r="AO105">
            <v>52</v>
          </cell>
          <cell r="AP105">
            <v>38</v>
          </cell>
          <cell r="AS105">
            <v>1997</v>
          </cell>
          <cell r="AT105">
            <v>14</v>
          </cell>
          <cell r="AU105">
            <v>12</v>
          </cell>
          <cell r="AV105">
            <v>52</v>
          </cell>
          <cell r="AW105">
            <v>0.25</v>
          </cell>
          <cell r="AX105">
            <v>832</v>
          </cell>
          <cell r="AY105">
            <v>208</v>
          </cell>
          <cell r="AZ105">
            <v>36.880000000000003</v>
          </cell>
          <cell r="BA105">
            <v>12</v>
          </cell>
          <cell r="BB105">
            <v>324.54400000000004</v>
          </cell>
          <cell r="BC105">
            <v>36.880000000000003</v>
          </cell>
          <cell r="BD105">
            <v>12</v>
          </cell>
          <cell r="BE105">
            <v>324.54400000000004</v>
          </cell>
          <cell r="BF105">
            <v>36.880000000000003</v>
          </cell>
          <cell r="BG105">
            <v>12</v>
          </cell>
          <cell r="BH105">
            <v>324.54400000000004</v>
          </cell>
          <cell r="BI105">
            <v>2</v>
          </cell>
          <cell r="BJ105">
            <v>54.090666666666671</v>
          </cell>
          <cell r="BK105">
            <v>1027.7226666666668</v>
          </cell>
          <cell r="BL105">
            <v>1838.58</v>
          </cell>
          <cell r="BM105">
            <v>1838.58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3.5</v>
          </cell>
          <cell r="BS105">
            <v>4.75</v>
          </cell>
          <cell r="BT105">
            <v>4.75</v>
          </cell>
          <cell r="BU105">
            <v>13</v>
          </cell>
          <cell r="BY105">
            <v>3061.3026666666665</v>
          </cell>
          <cell r="CP105" t="str">
            <v>1953/10</v>
          </cell>
          <cell r="CQ105">
            <v>40441</v>
          </cell>
          <cell r="CR105">
            <v>40620</v>
          </cell>
          <cell r="CS105" t="str">
            <v>2010-0.230.777-1</v>
          </cell>
          <cell r="CT105" t="str">
            <v>IVANILTO MIRANDA DE OLIVEIRA</v>
          </cell>
          <cell r="CU105">
            <v>11856472876</v>
          </cell>
          <cell r="CV105">
            <v>122701</v>
          </cell>
          <cell r="CW105">
            <v>6557.7906666666668</v>
          </cell>
          <cell r="CX105">
            <v>177.06034800000003</v>
          </cell>
          <cell r="CY105">
            <v>32.788953333333339</v>
          </cell>
          <cell r="CZ105">
            <v>3934.6743999999999</v>
          </cell>
          <cell r="DA105">
            <v>389.25546000000008</v>
          </cell>
          <cell r="DD105">
            <v>389.25546000000008</v>
          </cell>
        </row>
        <row r="106">
          <cell r="C106" t="str">
            <v>1724/10</v>
          </cell>
          <cell r="D106" t="str">
            <v>01/01 A 31/01/11</v>
          </cell>
          <cell r="E106" t="str">
            <v>JAIR GIL</v>
          </cell>
          <cell r="F106" t="str">
            <v>EMEF</v>
          </cell>
          <cell r="G106">
            <v>15</v>
          </cell>
          <cell r="H106">
            <v>15</v>
          </cell>
          <cell r="I106">
            <v>15</v>
          </cell>
          <cell r="J106">
            <v>19496</v>
          </cell>
          <cell r="K106">
            <v>28</v>
          </cell>
          <cell r="L106">
            <v>27</v>
          </cell>
          <cell r="M106">
            <v>0</v>
          </cell>
          <cell r="N106">
            <v>19496</v>
          </cell>
          <cell r="O106">
            <v>24</v>
          </cell>
          <cell r="P106">
            <v>27</v>
          </cell>
          <cell r="Q106">
            <v>0</v>
          </cell>
          <cell r="R106">
            <v>19496</v>
          </cell>
          <cell r="S106">
            <v>39</v>
          </cell>
          <cell r="T106">
            <v>27</v>
          </cell>
          <cell r="U106">
            <v>0</v>
          </cell>
          <cell r="W106">
            <v>1</v>
          </cell>
          <cell r="Y106">
            <v>1</v>
          </cell>
          <cell r="AA106">
            <v>1</v>
          </cell>
          <cell r="AB106">
            <v>0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10</v>
          </cell>
          <cell r="AL106">
            <v>16</v>
          </cell>
          <cell r="AM106">
            <v>30</v>
          </cell>
          <cell r="AN106">
            <v>22</v>
          </cell>
          <cell r="AO106">
            <v>91</v>
          </cell>
          <cell r="AP106">
            <v>81</v>
          </cell>
          <cell r="AS106">
            <v>2007</v>
          </cell>
          <cell r="AT106">
            <v>29</v>
          </cell>
          <cell r="AU106">
            <v>27</v>
          </cell>
          <cell r="AV106">
            <v>91</v>
          </cell>
          <cell r="AW106">
            <v>0.25</v>
          </cell>
          <cell r="AX106">
            <v>1456</v>
          </cell>
          <cell r="AY106">
            <v>364</v>
          </cell>
          <cell r="AZ106">
            <v>36.880000000000003</v>
          </cell>
          <cell r="BA106">
            <v>27</v>
          </cell>
          <cell r="BB106">
            <v>730.22400000000005</v>
          </cell>
          <cell r="BC106">
            <v>36.880000000000003</v>
          </cell>
          <cell r="BD106">
            <v>27</v>
          </cell>
          <cell r="BE106">
            <v>730.22400000000005</v>
          </cell>
          <cell r="BF106">
            <v>36.880000000000003</v>
          </cell>
          <cell r="BG106">
            <v>27</v>
          </cell>
          <cell r="BH106">
            <v>730.22400000000005</v>
          </cell>
          <cell r="BI106">
            <v>0</v>
          </cell>
          <cell r="BJ106">
            <v>0</v>
          </cell>
          <cell r="BK106">
            <v>2190.672</v>
          </cell>
          <cell r="BL106">
            <v>3618.12</v>
          </cell>
          <cell r="BM106">
            <v>3618.12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7</v>
          </cell>
          <cell r="BS106">
            <v>6</v>
          </cell>
          <cell r="BT106">
            <v>9.75</v>
          </cell>
          <cell r="BU106">
            <v>22.75</v>
          </cell>
          <cell r="BY106">
            <v>6150.0419999999995</v>
          </cell>
          <cell r="CP106" t="str">
            <v>2558/10</v>
          </cell>
          <cell r="CQ106">
            <v>40462</v>
          </cell>
          <cell r="CR106">
            <v>40641</v>
          </cell>
          <cell r="CS106" t="str">
            <v>2010-0.268.693-4</v>
          </cell>
          <cell r="CT106" t="str">
            <v>IVO MIGUEL JUNIOR</v>
          </cell>
          <cell r="CU106" t="str">
            <v>060.181.858-06</v>
          </cell>
          <cell r="CV106">
            <v>114094</v>
          </cell>
          <cell r="CW106">
            <v>5769.2479999999996</v>
          </cell>
          <cell r="CX106">
            <v>155.76969600000001</v>
          </cell>
          <cell r="CY106">
            <v>28.846240000000002</v>
          </cell>
          <cell r="CZ106">
            <v>3461.5487999999996</v>
          </cell>
          <cell r="DA106">
            <v>273.22847999999988</v>
          </cell>
          <cell r="DD106">
            <v>273.22847999999988</v>
          </cell>
        </row>
        <row r="107">
          <cell r="C107" t="str">
            <v>2136/10</v>
          </cell>
          <cell r="D107" t="str">
            <v>01/01 A 31/01/11</v>
          </cell>
          <cell r="E107" t="str">
            <v>JANIO MATSUDA</v>
          </cell>
          <cell r="F107" t="str">
            <v>EMEF</v>
          </cell>
          <cell r="G107">
            <v>16</v>
          </cell>
          <cell r="H107">
            <v>16</v>
          </cell>
          <cell r="I107">
            <v>16</v>
          </cell>
          <cell r="J107">
            <v>19436</v>
          </cell>
          <cell r="K107">
            <v>38</v>
          </cell>
          <cell r="L107">
            <v>27</v>
          </cell>
          <cell r="M107">
            <v>0</v>
          </cell>
          <cell r="N107">
            <v>19436</v>
          </cell>
          <cell r="O107">
            <v>36</v>
          </cell>
          <cell r="P107">
            <v>27</v>
          </cell>
          <cell r="Q107">
            <v>0</v>
          </cell>
          <cell r="R107">
            <v>19436</v>
          </cell>
          <cell r="S107">
            <v>29</v>
          </cell>
          <cell r="T107">
            <v>27</v>
          </cell>
          <cell r="U107">
            <v>0</v>
          </cell>
          <cell r="W107">
            <v>1</v>
          </cell>
          <cell r="Y107">
            <v>1</v>
          </cell>
          <cell r="AA107">
            <v>1</v>
          </cell>
          <cell r="AB107">
            <v>0</v>
          </cell>
          <cell r="AE107">
            <v>1</v>
          </cell>
          <cell r="AG107">
            <v>1</v>
          </cell>
          <cell r="AI107">
            <v>1</v>
          </cell>
          <cell r="AJ107">
            <v>0</v>
          </cell>
          <cell r="AL107">
            <v>16</v>
          </cell>
          <cell r="AM107">
            <v>30</v>
          </cell>
          <cell r="AN107">
            <v>22</v>
          </cell>
          <cell r="AO107">
            <v>103</v>
          </cell>
          <cell r="AP107">
            <v>81</v>
          </cell>
          <cell r="AS107">
            <v>2007</v>
          </cell>
          <cell r="AT107">
            <v>29</v>
          </cell>
          <cell r="AU107">
            <v>27</v>
          </cell>
          <cell r="AV107">
            <v>103</v>
          </cell>
          <cell r="AW107">
            <v>0.25</v>
          </cell>
          <cell r="AX107">
            <v>1648</v>
          </cell>
          <cell r="AY107">
            <v>412</v>
          </cell>
          <cell r="AZ107">
            <v>36.880000000000003</v>
          </cell>
          <cell r="BA107">
            <v>27</v>
          </cell>
          <cell r="BB107">
            <v>730.22400000000005</v>
          </cell>
          <cell r="BC107">
            <v>36.880000000000003</v>
          </cell>
          <cell r="BD107">
            <v>27</v>
          </cell>
          <cell r="BE107">
            <v>730.22400000000005</v>
          </cell>
          <cell r="BF107">
            <v>36.880000000000003</v>
          </cell>
          <cell r="BG107">
            <v>27</v>
          </cell>
          <cell r="BH107">
            <v>730.22400000000005</v>
          </cell>
          <cell r="BI107">
            <v>0</v>
          </cell>
          <cell r="BJ107">
            <v>0</v>
          </cell>
          <cell r="BK107">
            <v>2190.672</v>
          </cell>
          <cell r="BL107">
            <v>3618.12</v>
          </cell>
          <cell r="BM107">
            <v>3618.12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Y107">
            <v>6220.7919999999995</v>
          </cell>
          <cell r="CP107" t="str">
            <v>2249/10</v>
          </cell>
          <cell r="CQ107">
            <v>40448</v>
          </cell>
          <cell r="CR107">
            <v>40627</v>
          </cell>
          <cell r="CS107" t="str">
            <v>2010-0.243.844-2</v>
          </cell>
          <cell r="CT107" t="str">
            <v>IVONE APARECIDA HESSEL</v>
          </cell>
          <cell r="CU107" t="str">
            <v>048.749.688-48</v>
          </cell>
          <cell r="CV107">
            <v>106263</v>
          </cell>
          <cell r="CW107">
            <v>6172.7919999999995</v>
          </cell>
          <cell r="CX107">
            <v>166.66538399999999</v>
          </cell>
          <cell r="CY107">
            <v>30.863959999999999</v>
          </cell>
          <cell r="CZ107">
            <v>3703.6751999999997</v>
          </cell>
          <cell r="DA107">
            <v>327.70691999999997</v>
          </cell>
          <cell r="DD107">
            <v>327.70691999999997</v>
          </cell>
        </row>
        <row r="108">
          <cell r="C108" t="str">
            <v>3107/10</v>
          </cell>
          <cell r="D108" t="str">
            <v>01/01 A 31/01/11</v>
          </cell>
          <cell r="E108" t="str">
            <v>JANSEN FLORENTINO DE MORAES</v>
          </cell>
          <cell r="F108" t="str">
            <v>EMEF / EMEI</v>
          </cell>
          <cell r="G108">
            <v>15</v>
          </cell>
          <cell r="H108">
            <v>16</v>
          </cell>
          <cell r="I108">
            <v>16</v>
          </cell>
          <cell r="J108">
            <v>19451</v>
          </cell>
          <cell r="K108">
            <v>28</v>
          </cell>
          <cell r="L108">
            <v>17</v>
          </cell>
          <cell r="M108">
            <v>0</v>
          </cell>
          <cell r="N108">
            <v>93386</v>
          </cell>
          <cell r="O108">
            <v>22</v>
          </cell>
          <cell r="P108">
            <v>15</v>
          </cell>
          <cell r="Q108">
            <v>0</v>
          </cell>
          <cell r="R108">
            <v>93386</v>
          </cell>
          <cell r="S108">
            <v>40</v>
          </cell>
          <cell r="T108">
            <v>30</v>
          </cell>
          <cell r="U108">
            <v>0</v>
          </cell>
          <cell r="W108">
            <v>1</v>
          </cell>
          <cell r="Y108">
            <v>1</v>
          </cell>
          <cell r="AA108">
            <v>1</v>
          </cell>
          <cell r="AB108">
            <v>0</v>
          </cell>
          <cell r="AD108">
            <v>1</v>
          </cell>
          <cell r="AE108">
            <v>1</v>
          </cell>
          <cell r="AG108">
            <v>1</v>
          </cell>
          <cell r="AI108">
            <v>1</v>
          </cell>
          <cell r="AJ108">
            <v>0.33333333333333331</v>
          </cell>
          <cell r="AK108">
            <v>6</v>
          </cell>
          <cell r="AL108">
            <v>16</v>
          </cell>
          <cell r="AM108">
            <v>30</v>
          </cell>
          <cell r="AN108">
            <v>22</v>
          </cell>
          <cell r="AO108">
            <v>90</v>
          </cell>
          <cell r="AP108">
            <v>62</v>
          </cell>
          <cell r="AS108">
            <v>2009</v>
          </cell>
          <cell r="AT108">
            <v>15</v>
          </cell>
          <cell r="AU108">
            <v>13</v>
          </cell>
          <cell r="AV108">
            <v>90</v>
          </cell>
          <cell r="AW108">
            <v>0.25</v>
          </cell>
          <cell r="AX108">
            <v>1440</v>
          </cell>
          <cell r="AY108">
            <v>360</v>
          </cell>
          <cell r="AZ108">
            <v>36.880000000000003</v>
          </cell>
          <cell r="BA108">
            <v>17</v>
          </cell>
          <cell r="BB108">
            <v>459.77066666666667</v>
          </cell>
          <cell r="BC108">
            <v>36.880000000000003</v>
          </cell>
          <cell r="BD108">
            <v>15</v>
          </cell>
          <cell r="BE108">
            <v>405.68</v>
          </cell>
          <cell r="BF108">
            <v>36.880000000000003</v>
          </cell>
          <cell r="BG108">
            <v>30</v>
          </cell>
          <cell r="BH108">
            <v>811.36</v>
          </cell>
          <cell r="BI108">
            <v>0</v>
          </cell>
          <cell r="BJ108">
            <v>0</v>
          </cell>
          <cell r="BK108">
            <v>1676.8106666666667</v>
          </cell>
          <cell r="BL108">
            <v>2650.9</v>
          </cell>
          <cell r="BM108">
            <v>2650.9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7</v>
          </cell>
          <cell r="BS108">
            <v>0</v>
          </cell>
          <cell r="BT108">
            <v>0</v>
          </cell>
          <cell r="BU108">
            <v>7</v>
          </cell>
          <cell r="BY108">
            <v>4680.7106666666668</v>
          </cell>
          <cell r="CP108" t="str">
            <v>2781/10</v>
          </cell>
          <cell r="CQ108">
            <v>40469</v>
          </cell>
          <cell r="CR108">
            <v>40648</v>
          </cell>
          <cell r="CS108" t="str">
            <v>2010-0.277.874-0</v>
          </cell>
          <cell r="CT108" t="str">
            <v>JACKSON DE DEUS DA SILVA</v>
          </cell>
          <cell r="CU108">
            <v>18967997876</v>
          </cell>
          <cell r="CV108">
            <v>115299</v>
          </cell>
          <cell r="CW108">
            <v>3061.3026666666665</v>
          </cell>
          <cell r="CX108">
            <v>82.655172000000007</v>
          </cell>
          <cell r="CY108">
            <v>15.306513333333335</v>
          </cell>
          <cell r="CZ108">
            <v>1836.7815999999998</v>
          </cell>
          <cell r="DA108">
            <v>25.328619999999972</v>
          </cell>
          <cell r="DD108">
            <v>-5.4227600000000393</v>
          </cell>
        </row>
        <row r="109">
          <cell r="C109" t="str">
            <v>2696/10</v>
          </cell>
          <cell r="D109" t="str">
            <v>01/01 A 31/01/11</v>
          </cell>
          <cell r="E109" t="str">
            <v>JEFFERSON ROBERTO GALVAO</v>
          </cell>
          <cell r="F109" t="str">
            <v>EMEI / EMEF</v>
          </cell>
          <cell r="G109">
            <v>14</v>
          </cell>
          <cell r="H109">
            <v>15</v>
          </cell>
          <cell r="I109">
            <v>15</v>
          </cell>
          <cell r="J109">
            <v>19300</v>
          </cell>
          <cell r="K109">
            <v>51</v>
          </cell>
          <cell r="L109">
            <v>26</v>
          </cell>
          <cell r="M109">
            <v>0</v>
          </cell>
          <cell r="N109">
            <v>19300</v>
          </cell>
          <cell r="O109">
            <v>40</v>
          </cell>
          <cell r="P109">
            <v>27</v>
          </cell>
          <cell r="Q109">
            <v>0</v>
          </cell>
          <cell r="R109">
            <v>19300</v>
          </cell>
          <cell r="S109">
            <v>102</v>
          </cell>
          <cell r="T109">
            <v>54</v>
          </cell>
          <cell r="U109">
            <v>0</v>
          </cell>
          <cell r="V109">
            <v>1</v>
          </cell>
          <cell r="W109">
            <v>1</v>
          </cell>
          <cell r="Y109">
            <v>1</v>
          </cell>
          <cell r="AA109">
            <v>1</v>
          </cell>
          <cell r="AB109">
            <v>0.33333333333333331</v>
          </cell>
          <cell r="AC109">
            <v>13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17</v>
          </cell>
          <cell r="AL109">
            <v>16</v>
          </cell>
          <cell r="AM109">
            <v>30</v>
          </cell>
          <cell r="AN109">
            <v>22</v>
          </cell>
          <cell r="AO109">
            <v>193</v>
          </cell>
          <cell r="AP109">
            <v>107</v>
          </cell>
          <cell r="AS109">
            <v>2007</v>
          </cell>
          <cell r="AT109">
            <v>29</v>
          </cell>
          <cell r="AU109">
            <v>27</v>
          </cell>
          <cell r="AV109">
            <v>193</v>
          </cell>
          <cell r="AW109">
            <v>0.25</v>
          </cell>
          <cell r="AX109">
            <v>3088</v>
          </cell>
          <cell r="AY109">
            <v>772</v>
          </cell>
          <cell r="AZ109">
            <v>36.880000000000003</v>
          </cell>
          <cell r="BA109">
            <v>26</v>
          </cell>
          <cell r="BB109">
            <v>703.1786666666668</v>
          </cell>
          <cell r="BC109">
            <v>36.880000000000003</v>
          </cell>
          <cell r="BD109">
            <v>27</v>
          </cell>
          <cell r="BE109">
            <v>730.22400000000005</v>
          </cell>
          <cell r="BF109">
            <v>36.880000000000003</v>
          </cell>
          <cell r="BG109">
            <v>54</v>
          </cell>
          <cell r="BH109">
            <v>1460.4480000000001</v>
          </cell>
          <cell r="BI109">
            <v>0</v>
          </cell>
          <cell r="BJ109">
            <v>0</v>
          </cell>
          <cell r="BK109">
            <v>2893.8506666666672</v>
          </cell>
          <cell r="BL109">
            <v>3618.12</v>
          </cell>
          <cell r="BM109">
            <v>3618.12</v>
          </cell>
          <cell r="BN109">
            <v>84.511986666666672</v>
          </cell>
          <cell r="BO109">
            <v>0</v>
          </cell>
          <cell r="BP109">
            <v>0</v>
          </cell>
          <cell r="BQ109">
            <v>84.511986666666672</v>
          </cell>
          <cell r="BR109">
            <v>12.75</v>
          </cell>
          <cell r="BS109">
            <v>10</v>
          </cell>
          <cell r="BT109">
            <v>25.5</v>
          </cell>
          <cell r="BU109">
            <v>48.25</v>
          </cell>
          <cell r="BY109">
            <v>7151.2086800000006</v>
          </cell>
          <cell r="CP109" t="str">
            <v>1724/10</v>
          </cell>
          <cell r="CQ109">
            <v>40427</v>
          </cell>
          <cell r="CR109">
            <v>40606</v>
          </cell>
          <cell r="CS109" t="str">
            <v>2010-0.224.612-8</v>
          </cell>
          <cell r="CT109" t="str">
            <v>JAIR GIL</v>
          </cell>
          <cell r="CU109" t="str">
            <v>030.150.398-22</v>
          </cell>
          <cell r="CV109">
            <v>96998</v>
          </cell>
          <cell r="CW109">
            <v>6150.0419999999995</v>
          </cell>
          <cell r="CX109">
            <v>166.05113399999999</v>
          </cell>
          <cell r="CY109">
            <v>30.750209999999999</v>
          </cell>
          <cell r="CZ109">
            <v>3690.0251999999996</v>
          </cell>
          <cell r="DA109">
            <v>324.63566999999989</v>
          </cell>
          <cell r="DD109">
            <v>324.63566999999989</v>
          </cell>
        </row>
        <row r="110">
          <cell r="C110" t="str">
            <v>2278/10</v>
          </cell>
          <cell r="D110" t="str">
            <v>01/01 A 31/01/11</v>
          </cell>
          <cell r="E110" t="str">
            <v>JESSICA OLIVEIRA DOS SANTOS SILVA</v>
          </cell>
          <cell r="F110" t="str">
            <v>EMEF</v>
          </cell>
          <cell r="G110">
            <v>16</v>
          </cell>
          <cell r="H110">
            <v>16</v>
          </cell>
          <cell r="I110">
            <v>16</v>
          </cell>
          <cell r="J110">
            <v>19305</v>
          </cell>
          <cell r="K110">
            <v>30</v>
          </cell>
          <cell r="L110">
            <v>23</v>
          </cell>
          <cell r="M110">
            <v>0</v>
          </cell>
          <cell r="N110">
            <v>19305</v>
          </cell>
          <cell r="O110">
            <v>30</v>
          </cell>
          <cell r="P110">
            <v>23</v>
          </cell>
          <cell r="Q110">
            <v>0</v>
          </cell>
          <cell r="R110">
            <v>19305</v>
          </cell>
          <cell r="S110">
            <v>36</v>
          </cell>
          <cell r="T110">
            <v>23</v>
          </cell>
          <cell r="U110">
            <v>0</v>
          </cell>
          <cell r="W110">
            <v>1</v>
          </cell>
          <cell r="Y110">
            <v>1</v>
          </cell>
          <cell r="AA110">
            <v>1</v>
          </cell>
          <cell r="AB110">
            <v>0</v>
          </cell>
          <cell r="AE110">
            <v>1</v>
          </cell>
          <cell r="AG110">
            <v>1</v>
          </cell>
          <cell r="AI110">
            <v>1</v>
          </cell>
          <cell r="AJ110">
            <v>0</v>
          </cell>
          <cell r="AL110">
            <v>16</v>
          </cell>
          <cell r="AM110">
            <v>30</v>
          </cell>
          <cell r="AN110">
            <v>22</v>
          </cell>
          <cell r="AO110">
            <v>96</v>
          </cell>
          <cell r="AP110">
            <v>69</v>
          </cell>
          <cell r="AS110">
            <v>2002</v>
          </cell>
          <cell r="AT110">
            <v>25</v>
          </cell>
          <cell r="AU110">
            <v>23</v>
          </cell>
          <cell r="AV110">
            <v>96</v>
          </cell>
          <cell r="AW110">
            <v>0.25</v>
          </cell>
          <cell r="AX110">
            <v>1536</v>
          </cell>
          <cell r="AY110">
            <v>384</v>
          </cell>
          <cell r="AZ110">
            <v>36.880000000000003</v>
          </cell>
          <cell r="BA110">
            <v>23</v>
          </cell>
          <cell r="BB110">
            <v>622.04266666666672</v>
          </cell>
          <cell r="BC110">
            <v>36.880000000000003</v>
          </cell>
          <cell r="BD110">
            <v>23</v>
          </cell>
          <cell r="BE110">
            <v>622.04266666666672</v>
          </cell>
          <cell r="BF110">
            <v>36.880000000000003</v>
          </cell>
          <cell r="BG110">
            <v>23</v>
          </cell>
          <cell r="BH110">
            <v>622.04266666666672</v>
          </cell>
          <cell r="BI110">
            <v>0</v>
          </cell>
          <cell r="BJ110">
            <v>0</v>
          </cell>
          <cell r="BK110">
            <v>1866.1280000000002</v>
          </cell>
          <cell r="BL110">
            <v>3073.24</v>
          </cell>
          <cell r="BM110">
            <v>3073.24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Y110">
            <v>5323.3680000000004</v>
          </cell>
          <cell r="CP110" t="str">
            <v>2136/10</v>
          </cell>
          <cell r="CQ110">
            <v>40448</v>
          </cell>
          <cell r="CR110">
            <v>40627</v>
          </cell>
          <cell r="CS110" t="str">
            <v>2010-0.239.378-3</v>
          </cell>
          <cell r="CT110" t="str">
            <v>JANIO MATSUDA</v>
          </cell>
          <cell r="CU110">
            <v>13619465800</v>
          </cell>
          <cell r="CV110">
            <v>106077</v>
          </cell>
          <cell r="CW110">
            <v>6220.7919999999995</v>
          </cell>
          <cell r="CX110">
            <v>167.96138400000001</v>
          </cell>
          <cell r="CY110">
            <v>31.103960000000001</v>
          </cell>
          <cell r="CZ110">
            <v>3732.4751999999994</v>
          </cell>
          <cell r="DA110">
            <v>334.18691999999987</v>
          </cell>
          <cell r="DD110">
            <v>334.18691999999987</v>
          </cell>
        </row>
        <row r="111">
          <cell r="C111" t="str">
            <v>2899/10</v>
          </cell>
          <cell r="D111" t="str">
            <v>01/01 A 31/01/11</v>
          </cell>
          <cell r="E111" t="str">
            <v>JESUSNILDO SILVA SACRAMENTO</v>
          </cell>
          <cell r="F111" t="str">
            <v>EMEF</v>
          </cell>
          <cell r="G111">
            <v>16</v>
          </cell>
          <cell r="H111">
            <v>16</v>
          </cell>
          <cell r="I111">
            <v>16</v>
          </cell>
          <cell r="J111">
            <v>93301</v>
          </cell>
          <cell r="K111">
            <v>53</v>
          </cell>
          <cell r="L111">
            <v>27</v>
          </cell>
          <cell r="M111">
            <v>0</v>
          </cell>
          <cell r="N111">
            <v>93301</v>
          </cell>
          <cell r="O111">
            <v>39</v>
          </cell>
          <cell r="P111">
            <v>27</v>
          </cell>
          <cell r="Q111">
            <v>0</v>
          </cell>
          <cell r="R111">
            <v>93301</v>
          </cell>
          <cell r="S111">
            <v>8</v>
          </cell>
          <cell r="T111">
            <v>27</v>
          </cell>
          <cell r="U111">
            <v>0</v>
          </cell>
          <cell r="W111">
            <v>1</v>
          </cell>
          <cell r="Y111">
            <v>1</v>
          </cell>
          <cell r="AA111">
            <v>1</v>
          </cell>
          <cell r="AB111">
            <v>0</v>
          </cell>
          <cell r="AE111">
            <v>1</v>
          </cell>
          <cell r="AG111">
            <v>1</v>
          </cell>
          <cell r="AI111">
            <v>1</v>
          </cell>
          <cell r="AJ111">
            <v>0</v>
          </cell>
          <cell r="AL111">
            <v>16</v>
          </cell>
          <cell r="AM111">
            <v>30</v>
          </cell>
          <cell r="AN111">
            <v>22</v>
          </cell>
          <cell r="AO111">
            <v>100</v>
          </cell>
          <cell r="AP111">
            <v>81</v>
          </cell>
          <cell r="AS111">
            <v>2007</v>
          </cell>
          <cell r="AT111">
            <v>29</v>
          </cell>
          <cell r="AU111">
            <v>27</v>
          </cell>
          <cell r="AV111">
            <v>100</v>
          </cell>
          <cell r="AW111">
            <v>0.65</v>
          </cell>
          <cell r="AX111">
            <v>1600</v>
          </cell>
          <cell r="AY111">
            <v>1040</v>
          </cell>
          <cell r="AZ111">
            <v>48.26</v>
          </cell>
          <cell r="BA111">
            <v>27</v>
          </cell>
          <cell r="BB111">
            <v>955.548</v>
          </cell>
          <cell r="BC111">
            <v>48.26</v>
          </cell>
          <cell r="BD111">
            <v>27</v>
          </cell>
          <cell r="BE111">
            <v>955.548</v>
          </cell>
          <cell r="BF111">
            <v>48.26</v>
          </cell>
          <cell r="BG111">
            <v>27</v>
          </cell>
          <cell r="BH111">
            <v>955.548</v>
          </cell>
          <cell r="BI111">
            <v>0</v>
          </cell>
          <cell r="BJ111">
            <v>0</v>
          </cell>
          <cell r="BK111">
            <v>2866.6440000000002</v>
          </cell>
          <cell r="BL111">
            <v>2483</v>
          </cell>
          <cell r="BM111">
            <v>2483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Y111">
            <v>6389.6440000000002</v>
          </cell>
          <cell r="CP111" t="str">
            <v>3107/10</v>
          </cell>
          <cell r="CQ111">
            <v>40506</v>
          </cell>
          <cell r="CR111">
            <v>40685</v>
          </cell>
          <cell r="CS111" t="str">
            <v>2010-0.292.661-7</v>
          </cell>
          <cell r="CT111" t="str">
            <v>JANSEN FLORENTINO DE MORAES</v>
          </cell>
          <cell r="CU111" t="str">
            <v>143.392.758-67</v>
          </cell>
          <cell r="CV111">
            <v>124649</v>
          </cell>
          <cell r="CW111">
            <v>4680.7106666666668</v>
          </cell>
          <cell r="CX111">
            <v>126.37918800000001</v>
          </cell>
          <cell r="CY111">
            <v>23.403553333333335</v>
          </cell>
          <cell r="CZ111">
            <v>2808.4263999999998</v>
          </cell>
          <cell r="DA111">
            <v>140.32395999999994</v>
          </cell>
          <cell r="DD111">
            <v>140.32395999999994</v>
          </cell>
        </row>
        <row r="112">
          <cell r="C112" t="str">
            <v>2859/10</v>
          </cell>
          <cell r="D112" t="str">
            <v>01/01 A 31/01/11</v>
          </cell>
          <cell r="E112" t="str">
            <v>JOAO BATISTA FLORES</v>
          </cell>
          <cell r="F112" t="str">
            <v>EMEI / EMEF</v>
          </cell>
          <cell r="G112">
            <v>16</v>
          </cell>
          <cell r="H112">
            <v>16</v>
          </cell>
          <cell r="I112">
            <v>15</v>
          </cell>
          <cell r="J112">
            <v>93424</v>
          </cell>
          <cell r="K112">
            <v>25</v>
          </cell>
          <cell r="L112">
            <v>17</v>
          </cell>
          <cell r="M112">
            <v>0</v>
          </cell>
          <cell r="N112">
            <v>93424</v>
          </cell>
          <cell r="O112">
            <v>25</v>
          </cell>
          <cell r="P112">
            <v>17</v>
          </cell>
          <cell r="Q112">
            <v>0</v>
          </cell>
          <cell r="R112">
            <v>90557</v>
          </cell>
          <cell r="S112">
            <v>50</v>
          </cell>
          <cell r="T112">
            <v>16</v>
          </cell>
          <cell r="U112">
            <v>0</v>
          </cell>
          <cell r="W112">
            <v>1</v>
          </cell>
          <cell r="Y112">
            <v>1</v>
          </cell>
          <cell r="AA112">
            <v>1</v>
          </cell>
          <cell r="AB112">
            <v>0</v>
          </cell>
          <cell r="AE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0.33333333333333331</v>
          </cell>
          <cell r="AK112">
            <v>6</v>
          </cell>
          <cell r="AL112">
            <v>16</v>
          </cell>
          <cell r="AM112">
            <v>30</v>
          </cell>
          <cell r="AN112">
            <v>22</v>
          </cell>
          <cell r="AO112">
            <v>100</v>
          </cell>
          <cell r="AP112">
            <v>50</v>
          </cell>
          <cell r="AS112">
            <v>2010</v>
          </cell>
          <cell r="AT112">
            <v>19</v>
          </cell>
          <cell r="AU112">
            <v>17</v>
          </cell>
          <cell r="AV112">
            <v>100</v>
          </cell>
          <cell r="AW112">
            <v>0.25</v>
          </cell>
          <cell r="AX112">
            <v>1600</v>
          </cell>
          <cell r="AY112">
            <v>400</v>
          </cell>
          <cell r="AZ112">
            <v>36.880000000000003</v>
          </cell>
          <cell r="BA112">
            <v>17</v>
          </cell>
          <cell r="BB112">
            <v>459.77066666666667</v>
          </cell>
          <cell r="BC112">
            <v>36.880000000000003</v>
          </cell>
          <cell r="BD112">
            <v>17</v>
          </cell>
          <cell r="BE112">
            <v>459.77066666666667</v>
          </cell>
          <cell r="BF112">
            <v>36.880000000000003</v>
          </cell>
          <cell r="BG112">
            <v>16</v>
          </cell>
          <cell r="BH112">
            <v>432.72533333333337</v>
          </cell>
          <cell r="BI112">
            <v>0</v>
          </cell>
          <cell r="BJ112">
            <v>0</v>
          </cell>
          <cell r="BK112">
            <v>1352.2666666666667</v>
          </cell>
          <cell r="BL112">
            <v>2718.59</v>
          </cell>
          <cell r="BM112">
            <v>2718.59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12.5</v>
          </cell>
          <cell r="BU112">
            <v>12.5</v>
          </cell>
          <cell r="BY112">
            <v>4458.3566666666666</v>
          </cell>
          <cell r="CP112" t="str">
            <v>2696/10</v>
          </cell>
          <cell r="CQ112">
            <v>40462</v>
          </cell>
          <cell r="CR112">
            <v>40641</v>
          </cell>
          <cell r="CS112" t="str">
            <v>2010-0.274.763-1</v>
          </cell>
          <cell r="CT112" t="str">
            <v>JEFFERSON ROBERTO GALVAO</v>
          </cell>
          <cell r="CU112">
            <v>29161396800</v>
          </cell>
          <cell r="CV112">
            <v>114095</v>
          </cell>
          <cell r="CW112">
            <v>7151.2086800000006</v>
          </cell>
          <cell r="CX112">
            <v>193.08263436000004</v>
          </cell>
          <cell r="CY112">
            <v>35.756043400000003</v>
          </cell>
          <cell r="CZ112">
            <v>4290.7252079999998</v>
          </cell>
          <cell r="DA112">
            <v>487.16943220000007</v>
          </cell>
          <cell r="DD112">
            <v>487.16943220000007</v>
          </cell>
        </row>
        <row r="113">
          <cell r="C113" t="str">
            <v>1833/10</v>
          </cell>
          <cell r="D113" t="str">
            <v>01/01 A 31/01/11</v>
          </cell>
          <cell r="E113" t="str">
            <v>JOAO CARLOS DA SILVA REIS</v>
          </cell>
          <cell r="F113" t="str">
            <v>EMEI</v>
          </cell>
          <cell r="G113">
            <v>14</v>
          </cell>
          <cell r="H113">
            <v>14</v>
          </cell>
          <cell r="I113">
            <v>13</v>
          </cell>
          <cell r="J113">
            <v>90620</v>
          </cell>
          <cell r="K113">
            <v>28</v>
          </cell>
          <cell r="L113">
            <v>27</v>
          </cell>
          <cell r="M113">
            <v>0</v>
          </cell>
          <cell r="N113">
            <v>90620</v>
          </cell>
          <cell r="O113">
            <v>32</v>
          </cell>
          <cell r="P113">
            <v>27</v>
          </cell>
          <cell r="Q113">
            <v>0</v>
          </cell>
          <cell r="R113">
            <v>90620</v>
          </cell>
          <cell r="S113">
            <v>62</v>
          </cell>
          <cell r="T113">
            <v>52</v>
          </cell>
          <cell r="U113">
            <v>0</v>
          </cell>
          <cell r="W113">
            <v>1</v>
          </cell>
          <cell r="Y113">
            <v>1</v>
          </cell>
          <cell r="AA113">
            <v>1</v>
          </cell>
          <cell r="AB113">
            <v>0</v>
          </cell>
          <cell r="AD113">
            <v>2</v>
          </cell>
          <cell r="AE113">
            <v>1</v>
          </cell>
          <cell r="AF113">
            <v>2</v>
          </cell>
          <cell r="AG113">
            <v>1</v>
          </cell>
          <cell r="AH113">
            <v>3</v>
          </cell>
          <cell r="AI113">
            <v>1</v>
          </cell>
          <cell r="AJ113">
            <v>2.3333333333333335</v>
          </cell>
          <cell r="AK113" t="str">
            <v>3, 6 e 22</v>
          </cell>
          <cell r="AL113">
            <v>16</v>
          </cell>
          <cell r="AM113">
            <v>30</v>
          </cell>
          <cell r="AN113">
            <v>22</v>
          </cell>
          <cell r="AO113">
            <v>122</v>
          </cell>
          <cell r="AP113">
            <v>106</v>
          </cell>
          <cell r="AS113">
            <v>2007</v>
          </cell>
          <cell r="AT113">
            <v>29</v>
          </cell>
          <cell r="AU113">
            <v>27</v>
          </cell>
          <cell r="AV113">
            <v>122</v>
          </cell>
          <cell r="AW113">
            <v>0.25</v>
          </cell>
          <cell r="AX113">
            <v>1952</v>
          </cell>
          <cell r="AY113">
            <v>488</v>
          </cell>
          <cell r="AZ113">
            <v>36.880000000000003</v>
          </cell>
          <cell r="BA113">
            <v>27</v>
          </cell>
          <cell r="BB113">
            <v>730.22400000000005</v>
          </cell>
          <cell r="BC113">
            <v>36.880000000000003</v>
          </cell>
          <cell r="BD113">
            <v>27</v>
          </cell>
          <cell r="BE113">
            <v>730.22400000000005</v>
          </cell>
          <cell r="BF113">
            <v>36.880000000000003</v>
          </cell>
          <cell r="BG113">
            <v>52</v>
          </cell>
          <cell r="BH113">
            <v>1406.3573333333336</v>
          </cell>
          <cell r="BI113">
            <v>0</v>
          </cell>
          <cell r="BJ113">
            <v>0</v>
          </cell>
          <cell r="BK113">
            <v>2866.8053333333337</v>
          </cell>
          <cell r="BL113">
            <v>3618.12</v>
          </cell>
          <cell r="BM113">
            <v>3618.12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14</v>
          </cell>
          <cell r="BS113">
            <v>16</v>
          </cell>
          <cell r="BT113">
            <v>46.5</v>
          </cell>
          <cell r="BU113">
            <v>76.5</v>
          </cell>
          <cell r="BY113">
            <v>6896.4253333333336</v>
          </cell>
          <cell r="CP113" t="str">
            <v>2278/10</v>
          </cell>
          <cell r="CQ113">
            <v>40448</v>
          </cell>
          <cell r="CR113">
            <v>40627</v>
          </cell>
          <cell r="CS113" t="str">
            <v>2010-0.244.884-7</v>
          </cell>
          <cell r="CT113" t="str">
            <v>JESSICA OLIVEIRA DOS SANTOS SILVA</v>
          </cell>
          <cell r="CU113" t="str">
            <v>308.923.818-76</v>
          </cell>
          <cell r="CV113">
            <v>106346</v>
          </cell>
          <cell r="CW113">
            <v>5323.3680000000004</v>
          </cell>
          <cell r="CX113">
            <v>143.73093600000001</v>
          </cell>
          <cell r="CY113">
            <v>26.616840000000003</v>
          </cell>
          <cell r="CZ113">
            <v>3194.0208000000002</v>
          </cell>
          <cell r="DA113">
            <v>213.03468000000009</v>
          </cell>
          <cell r="DD113">
            <v>213.03468000000009</v>
          </cell>
        </row>
        <row r="114">
          <cell r="C114" t="str">
            <v>3095/10</v>
          </cell>
          <cell r="D114" t="str">
            <v>01/01 A 31/01/11</v>
          </cell>
          <cell r="E114" t="str">
            <v>JOÃO CARLOS ROSA</v>
          </cell>
          <cell r="F114" t="str">
            <v>EMEF</v>
          </cell>
          <cell r="G114">
            <v>14</v>
          </cell>
          <cell r="H114">
            <v>14</v>
          </cell>
          <cell r="I114">
            <v>14</v>
          </cell>
          <cell r="J114">
            <v>93394</v>
          </cell>
          <cell r="K114">
            <v>31</v>
          </cell>
          <cell r="L114">
            <v>21</v>
          </cell>
          <cell r="M114">
            <v>0</v>
          </cell>
          <cell r="N114">
            <v>93394</v>
          </cell>
          <cell r="O114">
            <v>34</v>
          </cell>
          <cell r="P114">
            <v>21</v>
          </cell>
          <cell r="Q114">
            <v>0</v>
          </cell>
          <cell r="R114">
            <v>93394</v>
          </cell>
          <cell r="S114">
            <v>36</v>
          </cell>
          <cell r="T114">
            <v>21</v>
          </cell>
          <cell r="U114">
            <v>0</v>
          </cell>
          <cell r="W114">
            <v>1</v>
          </cell>
          <cell r="Y114">
            <v>1</v>
          </cell>
          <cell r="AA114">
            <v>1</v>
          </cell>
          <cell r="AB114">
            <v>0</v>
          </cell>
          <cell r="AD114">
            <v>2</v>
          </cell>
          <cell r="AE114">
            <v>1</v>
          </cell>
          <cell r="AF114">
            <v>2</v>
          </cell>
          <cell r="AG114">
            <v>1</v>
          </cell>
          <cell r="AH114">
            <v>2</v>
          </cell>
          <cell r="AI114">
            <v>1</v>
          </cell>
          <cell r="AJ114">
            <v>2</v>
          </cell>
          <cell r="AK114" t="str">
            <v>21 e 22</v>
          </cell>
          <cell r="AL114">
            <v>16</v>
          </cell>
          <cell r="AM114">
            <v>30</v>
          </cell>
          <cell r="AN114">
            <v>22</v>
          </cell>
          <cell r="AO114">
            <v>101</v>
          </cell>
          <cell r="AP114">
            <v>63</v>
          </cell>
          <cell r="AS114">
            <v>2004</v>
          </cell>
          <cell r="AT114">
            <v>23</v>
          </cell>
          <cell r="AU114">
            <v>21</v>
          </cell>
          <cell r="AV114">
            <v>101</v>
          </cell>
          <cell r="AW114">
            <v>0.65</v>
          </cell>
          <cell r="AX114">
            <v>1616</v>
          </cell>
          <cell r="AY114">
            <v>1050.4000000000001</v>
          </cell>
          <cell r="AZ114">
            <v>48.26</v>
          </cell>
          <cell r="BA114">
            <v>21</v>
          </cell>
          <cell r="BB114">
            <v>743.20399999999995</v>
          </cell>
          <cell r="BC114">
            <v>48.26</v>
          </cell>
          <cell r="BD114">
            <v>21</v>
          </cell>
          <cell r="BE114">
            <v>743.20399999999995</v>
          </cell>
          <cell r="BF114">
            <v>48.26</v>
          </cell>
          <cell r="BG114">
            <v>21</v>
          </cell>
          <cell r="BH114">
            <v>743.20399999999995</v>
          </cell>
          <cell r="BI114">
            <v>0</v>
          </cell>
          <cell r="BJ114">
            <v>0</v>
          </cell>
          <cell r="BK114">
            <v>2229.6120000000001</v>
          </cell>
          <cell r="BL114">
            <v>1957</v>
          </cell>
          <cell r="BM114">
            <v>1957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40.300000000000004</v>
          </cell>
          <cell r="BS114">
            <v>44.2</v>
          </cell>
          <cell r="BT114">
            <v>46.800000000000004</v>
          </cell>
          <cell r="BU114">
            <v>131.30000000000001</v>
          </cell>
          <cell r="BY114">
            <v>5105.7120000000004</v>
          </cell>
          <cell r="CP114" t="str">
            <v>2899/10</v>
          </cell>
          <cell r="CQ114">
            <v>40483</v>
          </cell>
          <cell r="CR114">
            <v>40662</v>
          </cell>
          <cell r="CS114" t="str">
            <v>2010-0.282.237-4</v>
          </cell>
          <cell r="CT114" t="str">
            <v>JESUSNILDO SILVA SACRAMENTO</v>
          </cell>
          <cell r="CU114" t="str">
            <v>043.821.038-78</v>
          </cell>
          <cell r="CV114">
            <v>119863</v>
          </cell>
          <cell r="CW114">
            <v>6389.6440000000002</v>
          </cell>
          <cell r="CX114">
            <v>172.52038800000003</v>
          </cell>
          <cell r="CY114">
            <v>31.948220000000006</v>
          </cell>
          <cell r="CZ114">
            <v>3833.7864</v>
          </cell>
          <cell r="DA114">
            <v>361.51125999999999</v>
          </cell>
          <cell r="DD114">
            <v>361.51125999999999</v>
          </cell>
        </row>
        <row r="115">
          <cell r="C115" t="str">
            <v>2900/10</v>
          </cell>
          <cell r="D115" t="str">
            <v>01/01 A 31/01/11</v>
          </cell>
          <cell r="E115" t="str">
            <v>JOÃO CESAR DOS SANTOS</v>
          </cell>
          <cell r="F115" t="str">
            <v>EMEF</v>
          </cell>
          <cell r="G115">
            <v>16</v>
          </cell>
          <cell r="H115">
            <v>16</v>
          </cell>
          <cell r="I115">
            <v>16</v>
          </cell>
          <cell r="J115">
            <v>18546</v>
          </cell>
          <cell r="K115">
            <v>30</v>
          </cell>
          <cell r="L115">
            <v>27</v>
          </cell>
          <cell r="M115">
            <v>0</v>
          </cell>
          <cell r="N115">
            <v>18546</v>
          </cell>
          <cell r="O115">
            <v>30</v>
          </cell>
          <cell r="P115">
            <v>27</v>
          </cell>
          <cell r="Q115">
            <v>0</v>
          </cell>
          <cell r="R115">
            <v>18546</v>
          </cell>
          <cell r="S115">
            <v>30</v>
          </cell>
          <cell r="T115">
            <v>27</v>
          </cell>
          <cell r="U115">
            <v>0</v>
          </cell>
          <cell r="W115">
            <v>1</v>
          </cell>
          <cell r="Y115">
            <v>1</v>
          </cell>
          <cell r="AA115">
            <v>1</v>
          </cell>
          <cell r="AB115">
            <v>0</v>
          </cell>
          <cell r="AE115">
            <v>1</v>
          </cell>
          <cell r="AG115">
            <v>1</v>
          </cell>
          <cell r="AI115">
            <v>1</v>
          </cell>
          <cell r="AJ115">
            <v>0</v>
          </cell>
          <cell r="AL115">
            <v>16</v>
          </cell>
          <cell r="AM115">
            <v>30</v>
          </cell>
          <cell r="AN115">
            <v>22</v>
          </cell>
          <cell r="AO115">
            <v>90</v>
          </cell>
          <cell r="AP115">
            <v>81</v>
          </cell>
          <cell r="AS115">
            <v>2007</v>
          </cell>
          <cell r="AT115">
            <v>29</v>
          </cell>
          <cell r="AU115">
            <v>27</v>
          </cell>
          <cell r="AV115">
            <v>90</v>
          </cell>
          <cell r="AW115">
            <v>0.65</v>
          </cell>
          <cell r="AX115">
            <v>1440</v>
          </cell>
          <cell r="AY115">
            <v>936</v>
          </cell>
          <cell r="AZ115">
            <v>48.26</v>
          </cell>
          <cell r="BA115">
            <v>27</v>
          </cell>
          <cell r="BB115">
            <v>955.548</v>
          </cell>
          <cell r="BC115">
            <v>48.26</v>
          </cell>
          <cell r="BD115">
            <v>27</v>
          </cell>
          <cell r="BE115">
            <v>955.548</v>
          </cell>
          <cell r="BF115">
            <v>48.26</v>
          </cell>
          <cell r="BG115">
            <v>27</v>
          </cell>
          <cell r="BH115">
            <v>955.548</v>
          </cell>
          <cell r="BI115">
            <v>0</v>
          </cell>
          <cell r="BJ115">
            <v>0</v>
          </cell>
          <cell r="BK115">
            <v>2866.6440000000002</v>
          </cell>
          <cell r="BL115">
            <v>2483</v>
          </cell>
          <cell r="BM115">
            <v>2483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Y115">
            <v>6285.6440000000002</v>
          </cell>
          <cell r="CP115" t="str">
            <v>2859/10</v>
          </cell>
          <cell r="CQ115">
            <v>40476</v>
          </cell>
          <cell r="CR115">
            <v>40655</v>
          </cell>
          <cell r="CS115" t="str">
            <v>2010-0.280.205-5</v>
          </cell>
          <cell r="CT115" t="str">
            <v>JOAO BATISTA FLORES</v>
          </cell>
          <cell r="CU115">
            <v>99972956849</v>
          </cell>
          <cell r="CV115">
            <v>116236</v>
          </cell>
          <cell r="CW115">
            <v>4458.3566666666666</v>
          </cell>
          <cell r="CX115">
            <v>120.37563000000002</v>
          </cell>
          <cell r="CY115">
            <v>22.291783333333335</v>
          </cell>
          <cell r="CZ115">
            <v>2675.0139999999997</v>
          </cell>
          <cell r="DA115">
            <v>120.31209999999993</v>
          </cell>
          <cell r="DD115">
            <v>120.31209999999993</v>
          </cell>
        </row>
        <row r="116">
          <cell r="C116" t="str">
            <v>2458/10</v>
          </cell>
          <cell r="D116" t="str">
            <v>01/01 A 31/01/11</v>
          </cell>
          <cell r="E116" t="str">
            <v>JOAO DANTAS DE MENDONCA</v>
          </cell>
          <cell r="F116" t="str">
            <v>EMEF</v>
          </cell>
          <cell r="G116">
            <v>16</v>
          </cell>
          <cell r="H116">
            <v>15</v>
          </cell>
          <cell r="I116">
            <v>16</v>
          </cell>
          <cell r="J116">
            <v>93360</v>
          </cell>
          <cell r="K116">
            <v>30</v>
          </cell>
          <cell r="L116">
            <v>23</v>
          </cell>
          <cell r="M116">
            <v>0</v>
          </cell>
          <cell r="N116">
            <v>19406</v>
          </cell>
          <cell r="O116">
            <v>42</v>
          </cell>
          <cell r="P116">
            <v>23</v>
          </cell>
          <cell r="Q116">
            <v>0</v>
          </cell>
          <cell r="R116">
            <v>0</v>
          </cell>
          <cell r="U116">
            <v>0</v>
          </cell>
          <cell r="W116">
            <v>1</v>
          </cell>
          <cell r="Y116">
            <v>1</v>
          </cell>
          <cell r="AA116">
            <v>0</v>
          </cell>
          <cell r="AB116">
            <v>0</v>
          </cell>
          <cell r="AE116">
            <v>1</v>
          </cell>
          <cell r="AF116">
            <v>1</v>
          </cell>
          <cell r="AG116">
            <v>1</v>
          </cell>
          <cell r="AI116">
            <v>0</v>
          </cell>
          <cell r="AJ116">
            <v>0.5</v>
          </cell>
          <cell r="AK116">
            <v>6</v>
          </cell>
          <cell r="AL116">
            <v>16</v>
          </cell>
          <cell r="AM116">
            <v>30</v>
          </cell>
          <cell r="AN116">
            <v>22</v>
          </cell>
          <cell r="AO116">
            <v>72</v>
          </cell>
          <cell r="AP116">
            <v>46</v>
          </cell>
          <cell r="AS116">
            <v>2006</v>
          </cell>
          <cell r="AT116">
            <v>25</v>
          </cell>
          <cell r="AU116">
            <v>23</v>
          </cell>
          <cell r="AV116">
            <v>72</v>
          </cell>
          <cell r="AW116">
            <v>0.25</v>
          </cell>
          <cell r="AX116">
            <v>1152</v>
          </cell>
          <cell r="AY116">
            <v>288</v>
          </cell>
          <cell r="AZ116">
            <v>36.880000000000003</v>
          </cell>
          <cell r="BA116">
            <v>23</v>
          </cell>
          <cell r="BB116">
            <v>622.04266666666672</v>
          </cell>
          <cell r="BC116">
            <v>36.880000000000003</v>
          </cell>
          <cell r="BD116">
            <v>23</v>
          </cell>
          <cell r="BE116">
            <v>622.04266666666672</v>
          </cell>
          <cell r="BF116">
            <v>36.880000000000003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1244.0853333333334</v>
          </cell>
          <cell r="BL116">
            <v>3509.14</v>
          </cell>
          <cell r="BM116">
            <v>3509.14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10.5</v>
          </cell>
          <cell r="BT116">
            <v>0</v>
          </cell>
          <cell r="BU116">
            <v>10.5</v>
          </cell>
          <cell r="BY116">
            <v>5030.7253333333338</v>
          </cell>
          <cell r="CP116" t="str">
            <v>1833/10</v>
          </cell>
          <cell r="CQ116">
            <v>40434</v>
          </cell>
          <cell r="CR116">
            <v>40613</v>
          </cell>
          <cell r="CS116" t="str">
            <v>2010-0.225.974-2</v>
          </cell>
          <cell r="CT116" t="str">
            <v>JOAO CARLOS DA SILVA REIS</v>
          </cell>
          <cell r="CU116" t="str">
            <v>050.358.018-02</v>
          </cell>
          <cell r="CV116">
            <v>97006</v>
          </cell>
          <cell r="CW116">
            <v>6896.4253333333336</v>
          </cell>
          <cell r="CX116">
            <v>186.20348400000003</v>
          </cell>
          <cell r="CY116">
            <v>34.482126666666673</v>
          </cell>
          <cell r="CZ116">
            <v>4137.8552</v>
          </cell>
          <cell r="DA116">
            <v>445.13018000000011</v>
          </cell>
          <cell r="DD116">
            <v>445.13018000000011</v>
          </cell>
        </row>
        <row r="117">
          <cell r="C117" t="str">
            <v>2462/10</v>
          </cell>
          <cell r="D117" t="str">
            <v>01/01 A 31/01/11</v>
          </cell>
          <cell r="E117" t="str">
            <v>JOAO ELIEZER DA SILVA</v>
          </cell>
          <cell r="F117" t="str">
            <v>EMEF</v>
          </cell>
          <cell r="G117">
            <v>16</v>
          </cell>
          <cell r="H117">
            <v>16</v>
          </cell>
          <cell r="I117">
            <v>16</v>
          </cell>
          <cell r="J117">
            <v>18546</v>
          </cell>
          <cell r="K117">
            <v>26</v>
          </cell>
          <cell r="L117">
            <v>27</v>
          </cell>
          <cell r="M117">
            <v>0</v>
          </cell>
          <cell r="N117">
            <v>18546</v>
          </cell>
          <cell r="O117">
            <v>28</v>
          </cell>
          <cell r="P117">
            <v>27</v>
          </cell>
          <cell r="Q117">
            <v>0</v>
          </cell>
          <cell r="R117">
            <v>18546</v>
          </cell>
          <cell r="S117">
            <v>22</v>
          </cell>
          <cell r="T117">
            <v>27</v>
          </cell>
          <cell r="U117">
            <v>0</v>
          </cell>
          <cell r="W117">
            <v>1</v>
          </cell>
          <cell r="Y117">
            <v>1</v>
          </cell>
          <cell r="AA117">
            <v>1</v>
          </cell>
          <cell r="AB117">
            <v>0</v>
          </cell>
          <cell r="AE117">
            <v>1</v>
          </cell>
          <cell r="AG117">
            <v>1</v>
          </cell>
          <cell r="AI117">
            <v>1</v>
          </cell>
          <cell r="AJ117">
            <v>0</v>
          </cell>
          <cell r="AL117">
            <v>16</v>
          </cell>
          <cell r="AM117">
            <v>30</v>
          </cell>
          <cell r="AN117">
            <v>22</v>
          </cell>
          <cell r="AO117">
            <v>76</v>
          </cell>
          <cell r="AP117">
            <v>81</v>
          </cell>
          <cell r="AS117">
            <v>2007</v>
          </cell>
          <cell r="AT117">
            <v>29</v>
          </cell>
          <cell r="AU117">
            <v>27</v>
          </cell>
          <cell r="AV117">
            <v>76</v>
          </cell>
          <cell r="AW117">
            <v>0.25</v>
          </cell>
          <cell r="AX117">
            <v>1216</v>
          </cell>
          <cell r="AY117">
            <v>304</v>
          </cell>
          <cell r="AZ117">
            <v>36.880000000000003</v>
          </cell>
          <cell r="BA117">
            <v>27</v>
          </cell>
          <cell r="BB117">
            <v>730.22400000000005</v>
          </cell>
          <cell r="BC117">
            <v>36.880000000000003</v>
          </cell>
          <cell r="BD117">
            <v>27</v>
          </cell>
          <cell r="BE117">
            <v>730.22400000000005</v>
          </cell>
          <cell r="BF117">
            <v>36.880000000000003</v>
          </cell>
          <cell r="BG117">
            <v>27</v>
          </cell>
          <cell r="BH117">
            <v>730.22400000000005</v>
          </cell>
          <cell r="BI117">
            <v>0</v>
          </cell>
          <cell r="BJ117">
            <v>0</v>
          </cell>
          <cell r="BK117">
            <v>2190.672</v>
          </cell>
          <cell r="BL117">
            <v>3618.12</v>
          </cell>
          <cell r="BM117">
            <v>3618.12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Y117">
            <v>6112.7919999999995</v>
          </cell>
          <cell r="CP117" t="str">
            <v>3095/10</v>
          </cell>
          <cell r="CQ117">
            <v>40504</v>
          </cell>
          <cell r="CR117">
            <v>40683</v>
          </cell>
          <cell r="CS117" t="str">
            <v>2010-0.292.616-1</v>
          </cell>
          <cell r="CT117" t="str">
            <v>JOÃO CARLOS ROSA</v>
          </cell>
          <cell r="CU117" t="str">
            <v>082.682.288-65</v>
          </cell>
          <cell r="CV117">
            <v>124651</v>
          </cell>
          <cell r="CW117">
            <v>5105.7120000000004</v>
          </cell>
          <cell r="CX117">
            <v>137.85422400000004</v>
          </cell>
          <cell r="CY117">
            <v>25.528560000000006</v>
          </cell>
          <cell r="CZ117">
            <v>3063.4272000000001</v>
          </cell>
          <cell r="DA117">
            <v>183.65111999999999</v>
          </cell>
          <cell r="DD117">
            <v>183.65111999999999</v>
          </cell>
        </row>
        <row r="118">
          <cell r="C118" t="str">
            <v>2321/10</v>
          </cell>
          <cell r="D118" t="str">
            <v>01/01 A 31/01/11</v>
          </cell>
          <cell r="E118" t="str">
            <v xml:space="preserve">JOAO EVANGELISTA PIRES </v>
          </cell>
          <cell r="F118" t="str">
            <v>EMEI</v>
          </cell>
          <cell r="G118">
            <v>16</v>
          </cell>
          <cell r="H118">
            <v>16</v>
          </cell>
          <cell r="I118">
            <v>16</v>
          </cell>
          <cell r="J118">
            <v>90590</v>
          </cell>
          <cell r="K118">
            <v>18</v>
          </cell>
          <cell r="L118">
            <v>17</v>
          </cell>
          <cell r="M118">
            <v>0</v>
          </cell>
          <cell r="N118">
            <v>90590</v>
          </cell>
          <cell r="O118">
            <v>34</v>
          </cell>
          <cell r="P118">
            <v>17</v>
          </cell>
          <cell r="Q118">
            <v>0</v>
          </cell>
          <cell r="R118">
            <v>90573</v>
          </cell>
          <cell r="S118">
            <v>10</v>
          </cell>
          <cell r="T118">
            <v>17</v>
          </cell>
          <cell r="U118">
            <v>0</v>
          </cell>
          <cell r="W118">
            <v>1</v>
          </cell>
          <cell r="Y118">
            <v>1</v>
          </cell>
          <cell r="AA118">
            <v>1</v>
          </cell>
          <cell r="AB118">
            <v>0</v>
          </cell>
          <cell r="AE118">
            <v>1</v>
          </cell>
          <cell r="AG118">
            <v>1</v>
          </cell>
          <cell r="AI118">
            <v>1</v>
          </cell>
          <cell r="AJ118">
            <v>0</v>
          </cell>
          <cell r="AL118">
            <v>16</v>
          </cell>
          <cell r="AM118">
            <v>30</v>
          </cell>
          <cell r="AN118">
            <v>22</v>
          </cell>
          <cell r="AO118">
            <v>62</v>
          </cell>
          <cell r="AP118">
            <v>51</v>
          </cell>
          <cell r="AS118">
            <v>2007</v>
          </cell>
          <cell r="AT118">
            <v>19</v>
          </cell>
          <cell r="AU118">
            <v>17</v>
          </cell>
          <cell r="AV118">
            <v>62</v>
          </cell>
          <cell r="AW118">
            <v>0.25</v>
          </cell>
          <cell r="AX118">
            <v>992</v>
          </cell>
          <cell r="AY118">
            <v>248</v>
          </cell>
          <cell r="AZ118">
            <v>36.880000000000003</v>
          </cell>
          <cell r="BA118">
            <v>17</v>
          </cell>
          <cell r="BB118">
            <v>459.77066666666667</v>
          </cell>
          <cell r="BC118">
            <v>36.880000000000003</v>
          </cell>
          <cell r="BD118">
            <v>17</v>
          </cell>
          <cell r="BE118">
            <v>459.77066666666667</v>
          </cell>
          <cell r="BF118">
            <v>36.880000000000003</v>
          </cell>
          <cell r="BG118">
            <v>17</v>
          </cell>
          <cell r="BH118">
            <v>459.77066666666667</v>
          </cell>
          <cell r="BI118">
            <v>0</v>
          </cell>
          <cell r="BJ118">
            <v>0</v>
          </cell>
          <cell r="BK118">
            <v>1379.3119999999999</v>
          </cell>
          <cell r="BL118">
            <v>2515.52</v>
          </cell>
          <cell r="BM118">
            <v>2515.52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Y118">
            <v>4142.8320000000003</v>
          </cell>
          <cell r="CP118" t="str">
            <v>2900/10</v>
          </cell>
          <cell r="CQ118">
            <v>40483</v>
          </cell>
          <cell r="CR118">
            <v>40662</v>
          </cell>
          <cell r="CS118" t="str">
            <v>2010-0.282.238-2</v>
          </cell>
          <cell r="CT118" t="str">
            <v>JOÃO CESAR DOS SANTOS</v>
          </cell>
          <cell r="CU118">
            <v>29193467842</v>
          </cell>
          <cell r="CV118">
            <v>119867</v>
          </cell>
          <cell r="CW118">
            <v>6285.6440000000002</v>
          </cell>
          <cell r="CX118">
            <v>169.71238800000003</v>
          </cell>
          <cell r="CY118">
            <v>31.428220000000007</v>
          </cell>
          <cell r="CZ118">
            <v>3771.3863999999999</v>
          </cell>
          <cell r="DA118">
            <v>344.35126000000014</v>
          </cell>
          <cell r="DD118">
            <v>344.35126000000014</v>
          </cell>
        </row>
        <row r="119">
          <cell r="C119" t="str">
            <v>1954/10</v>
          </cell>
          <cell r="D119" t="str">
            <v>01/01 A 31/01/11</v>
          </cell>
          <cell r="E119" t="str">
            <v>JOAO LINO DE SOUSA</v>
          </cell>
          <cell r="F119" t="str">
            <v>EMEF</v>
          </cell>
          <cell r="G119">
            <v>15</v>
          </cell>
          <cell r="H119">
            <v>15</v>
          </cell>
          <cell r="I119">
            <v>16</v>
          </cell>
          <cell r="J119">
            <v>19496</v>
          </cell>
          <cell r="K119">
            <v>38</v>
          </cell>
          <cell r="L119">
            <v>27</v>
          </cell>
          <cell r="M119">
            <v>0</v>
          </cell>
          <cell r="N119">
            <v>19496</v>
          </cell>
          <cell r="O119">
            <v>28</v>
          </cell>
          <cell r="P119">
            <v>27</v>
          </cell>
          <cell r="Q119">
            <v>0</v>
          </cell>
          <cell r="R119">
            <v>19291</v>
          </cell>
          <cell r="S119">
            <v>43</v>
          </cell>
          <cell r="T119">
            <v>27</v>
          </cell>
          <cell r="U119">
            <v>0</v>
          </cell>
          <cell r="W119">
            <v>1</v>
          </cell>
          <cell r="Y119">
            <v>1</v>
          </cell>
          <cell r="AA119">
            <v>1</v>
          </cell>
          <cell r="AB119">
            <v>0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I119">
            <v>1</v>
          </cell>
          <cell r="AJ119">
            <v>0.66666666666666663</v>
          </cell>
          <cell r="AK119">
            <v>10</v>
          </cell>
          <cell r="AL119">
            <v>16</v>
          </cell>
          <cell r="AM119">
            <v>30</v>
          </cell>
          <cell r="AN119">
            <v>22</v>
          </cell>
          <cell r="AO119">
            <v>109</v>
          </cell>
          <cell r="AP119">
            <v>81</v>
          </cell>
          <cell r="AS119">
            <v>2007</v>
          </cell>
          <cell r="AT119">
            <v>29</v>
          </cell>
          <cell r="AU119">
            <v>27</v>
          </cell>
          <cell r="AV119">
            <v>109</v>
          </cell>
          <cell r="AW119">
            <v>0.25</v>
          </cell>
          <cell r="AX119">
            <v>1744</v>
          </cell>
          <cell r="AY119">
            <v>436</v>
          </cell>
          <cell r="AZ119">
            <v>36.880000000000003</v>
          </cell>
          <cell r="BA119">
            <v>27</v>
          </cell>
          <cell r="BB119">
            <v>730.22400000000005</v>
          </cell>
          <cell r="BC119">
            <v>36.880000000000003</v>
          </cell>
          <cell r="BD119">
            <v>27</v>
          </cell>
          <cell r="BE119">
            <v>730.22400000000005</v>
          </cell>
          <cell r="BF119">
            <v>36.880000000000003</v>
          </cell>
          <cell r="BG119">
            <v>27</v>
          </cell>
          <cell r="BH119">
            <v>730.22400000000005</v>
          </cell>
          <cell r="BI119">
            <v>0</v>
          </cell>
          <cell r="BJ119">
            <v>0</v>
          </cell>
          <cell r="BK119">
            <v>2190.672</v>
          </cell>
          <cell r="BL119">
            <v>3618.12</v>
          </cell>
          <cell r="BM119">
            <v>3618.12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9.5</v>
          </cell>
          <cell r="BS119">
            <v>7</v>
          </cell>
          <cell r="BT119">
            <v>0</v>
          </cell>
          <cell r="BU119">
            <v>16.5</v>
          </cell>
          <cell r="BY119">
            <v>6228.2919999999995</v>
          </cell>
          <cell r="CP119" t="str">
            <v>2458/10</v>
          </cell>
          <cell r="CQ119">
            <v>40455</v>
          </cell>
          <cell r="CR119">
            <v>40634</v>
          </cell>
          <cell r="CS119" t="str">
            <v>2010-0.267.273-9</v>
          </cell>
          <cell r="CT119" t="str">
            <v>JOAO DANTAS DE MENDONCA</v>
          </cell>
          <cell r="CU119">
            <v>64496147815</v>
          </cell>
          <cell r="CV119">
            <v>111900</v>
          </cell>
          <cell r="CW119">
            <v>5030.7253333333338</v>
          </cell>
          <cell r="CX119">
            <v>135.82958400000004</v>
          </cell>
          <cell r="CY119">
            <v>25.153626666666671</v>
          </cell>
          <cell r="CZ119">
            <v>3018.4352000000003</v>
          </cell>
          <cell r="DA119">
            <v>173.52792000000011</v>
          </cell>
          <cell r="DD119">
            <v>173.52792000000011</v>
          </cell>
        </row>
        <row r="120">
          <cell r="C120" t="str">
            <v>1955/10</v>
          </cell>
          <cell r="D120" t="str">
            <v>01/01 A 31/01/11</v>
          </cell>
          <cell r="E120" t="str">
            <v>JOAO MARCOS LIMA CRUZ</v>
          </cell>
          <cell r="F120" t="str">
            <v>EMEF / EMEI</v>
          </cell>
          <cell r="G120">
            <v>15</v>
          </cell>
          <cell r="H120">
            <v>15</v>
          </cell>
          <cell r="I120">
            <v>16</v>
          </cell>
          <cell r="J120">
            <v>19496</v>
          </cell>
          <cell r="K120">
            <v>25</v>
          </cell>
          <cell r="L120">
            <v>23</v>
          </cell>
          <cell r="M120">
            <v>0</v>
          </cell>
          <cell r="N120">
            <v>19496</v>
          </cell>
          <cell r="O120">
            <v>24</v>
          </cell>
          <cell r="P120">
            <v>23</v>
          </cell>
          <cell r="Q120">
            <v>0</v>
          </cell>
          <cell r="R120">
            <v>19448</v>
          </cell>
          <cell r="S120">
            <v>37</v>
          </cell>
          <cell r="T120">
            <v>18</v>
          </cell>
          <cell r="U120">
            <v>0</v>
          </cell>
          <cell r="W120">
            <v>1</v>
          </cell>
          <cell r="Y120">
            <v>1</v>
          </cell>
          <cell r="AA120">
            <v>1</v>
          </cell>
          <cell r="AB120">
            <v>0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I120">
            <v>1</v>
          </cell>
          <cell r="AJ120">
            <v>0.66666666666666663</v>
          </cell>
          <cell r="AK120">
            <v>10</v>
          </cell>
          <cell r="AL120">
            <v>16</v>
          </cell>
          <cell r="AM120">
            <v>30</v>
          </cell>
          <cell r="AN120">
            <v>22</v>
          </cell>
          <cell r="AO120">
            <v>86</v>
          </cell>
          <cell r="AP120">
            <v>64</v>
          </cell>
          <cell r="AS120">
            <v>2002</v>
          </cell>
          <cell r="AT120">
            <v>25</v>
          </cell>
          <cell r="AU120">
            <v>23</v>
          </cell>
          <cell r="AV120">
            <v>86</v>
          </cell>
          <cell r="AW120">
            <v>0.25</v>
          </cell>
          <cell r="AX120">
            <v>1376</v>
          </cell>
          <cell r="AY120">
            <v>344</v>
          </cell>
          <cell r="AZ120">
            <v>36.880000000000003</v>
          </cell>
          <cell r="BA120">
            <v>23</v>
          </cell>
          <cell r="BB120">
            <v>622.04266666666672</v>
          </cell>
          <cell r="BC120">
            <v>36.880000000000003</v>
          </cell>
          <cell r="BD120">
            <v>23</v>
          </cell>
          <cell r="BE120">
            <v>622.04266666666672</v>
          </cell>
          <cell r="BF120">
            <v>36.880000000000003</v>
          </cell>
          <cell r="BG120">
            <v>18</v>
          </cell>
          <cell r="BH120">
            <v>486.81600000000003</v>
          </cell>
          <cell r="BI120">
            <v>0</v>
          </cell>
          <cell r="BJ120">
            <v>0</v>
          </cell>
          <cell r="BK120">
            <v>1730.9013333333335</v>
          </cell>
          <cell r="BL120">
            <v>3073.24</v>
          </cell>
          <cell r="BM120">
            <v>3073.24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6.25</v>
          </cell>
          <cell r="BS120">
            <v>6</v>
          </cell>
          <cell r="BT120">
            <v>0</v>
          </cell>
          <cell r="BU120">
            <v>12.25</v>
          </cell>
          <cell r="BY120">
            <v>5135.891333333333</v>
          </cell>
          <cell r="CP120" t="str">
            <v>2462/10</v>
          </cell>
          <cell r="CQ120">
            <v>40455</v>
          </cell>
          <cell r="CR120">
            <v>40634</v>
          </cell>
          <cell r="CS120" t="str">
            <v>2010-0.267.280-1</v>
          </cell>
          <cell r="CT120" t="str">
            <v>JOAO ELIEZER DA SILVA</v>
          </cell>
          <cell r="CU120">
            <v>53419065868</v>
          </cell>
          <cell r="CV120">
            <v>112701</v>
          </cell>
          <cell r="CW120">
            <v>6112.7919999999995</v>
          </cell>
          <cell r="CX120">
            <v>165.04538399999998</v>
          </cell>
          <cell r="CY120">
            <v>30.563959999999998</v>
          </cell>
          <cell r="CZ120">
            <v>3667.6751999999997</v>
          </cell>
          <cell r="DA120">
            <v>319.60691999999995</v>
          </cell>
          <cell r="DD120">
            <v>319.60691999999995</v>
          </cell>
        </row>
        <row r="121">
          <cell r="C121" t="str">
            <v>2311/10</v>
          </cell>
          <cell r="D121" t="str">
            <v>01/01 A 31/01/11</v>
          </cell>
          <cell r="E121" t="str">
            <v>JOAO VELOSO COSTA</v>
          </cell>
          <cell r="F121" t="str">
            <v>EMEI</v>
          </cell>
          <cell r="G121">
            <v>13</v>
          </cell>
          <cell r="H121">
            <v>13</v>
          </cell>
          <cell r="I121">
            <v>15</v>
          </cell>
          <cell r="J121">
            <v>19213</v>
          </cell>
          <cell r="K121">
            <v>22</v>
          </cell>
          <cell r="L121">
            <v>27</v>
          </cell>
          <cell r="M121">
            <v>0</v>
          </cell>
          <cell r="N121">
            <v>19213</v>
          </cell>
          <cell r="O121">
            <v>25</v>
          </cell>
          <cell r="P121">
            <v>27</v>
          </cell>
          <cell r="Q121">
            <v>0</v>
          </cell>
          <cell r="R121">
            <v>19213</v>
          </cell>
          <cell r="S121">
            <v>16</v>
          </cell>
          <cell r="T121">
            <v>27</v>
          </cell>
          <cell r="U121">
            <v>0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40501</v>
          </cell>
          <cell r="AD121">
            <v>2</v>
          </cell>
          <cell r="AE121">
            <v>1</v>
          </cell>
          <cell r="AF121">
            <v>2</v>
          </cell>
          <cell r="AG121">
            <v>1</v>
          </cell>
          <cell r="AI121">
            <v>1</v>
          </cell>
          <cell r="AJ121">
            <v>1.3333333333333333</v>
          </cell>
          <cell r="AK121" t="str">
            <v>1, 9, 10 e 13</v>
          </cell>
          <cell r="AL121">
            <v>16</v>
          </cell>
          <cell r="AM121">
            <v>30</v>
          </cell>
          <cell r="AN121">
            <v>22</v>
          </cell>
          <cell r="AO121">
            <v>63</v>
          </cell>
          <cell r="AP121">
            <v>81</v>
          </cell>
          <cell r="AS121">
            <v>2007</v>
          </cell>
          <cell r="AT121">
            <v>29</v>
          </cell>
          <cell r="AU121">
            <v>27</v>
          </cell>
          <cell r="AV121">
            <v>63</v>
          </cell>
          <cell r="AW121">
            <v>0.25</v>
          </cell>
          <cell r="AX121">
            <v>1008</v>
          </cell>
          <cell r="AY121">
            <v>252</v>
          </cell>
          <cell r="AZ121">
            <v>36.880000000000003</v>
          </cell>
          <cell r="BA121">
            <v>27</v>
          </cell>
          <cell r="BB121">
            <v>730.22400000000005</v>
          </cell>
          <cell r="BC121">
            <v>36.880000000000003</v>
          </cell>
          <cell r="BD121">
            <v>27</v>
          </cell>
          <cell r="BE121">
            <v>730.22400000000005</v>
          </cell>
          <cell r="BF121">
            <v>36.880000000000003</v>
          </cell>
          <cell r="BG121">
            <v>27</v>
          </cell>
          <cell r="BH121">
            <v>730.22400000000005</v>
          </cell>
          <cell r="BI121">
            <v>0</v>
          </cell>
          <cell r="BJ121">
            <v>0</v>
          </cell>
          <cell r="BK121">
            <v>2190.672</v>
          </cell>
          <cell r="BL121">
            <v>3618.12</v>
          </cell>
          <cell r="BM121">
            <v>3618.12</v>
          </cell>
          <cell r="BN121">
            <v>78.491320000000002</v>
          </cell>
          <cell r="BO121">
            <v>79.241320000000002</v>
          </cell>
          <cell r="BP121">
            <v>76.991320000000002</v>
          </cell>
          <cell r="BQ121">
            <v>234.72396000000001</v>
          </cell>
          <cell r="BR121">
            <v>11</v>
          </cell>
          <cell r="BS121">
            <v>12.5</v>
          </cell>
          <cell r="BT121">
            <v>0</v>
          </cell>
          <cell r="BU121">
            <v>23.5</v>
          </cell>
          <cell r="BY121">
            <v>5802.5680399999992</v>
          </cell>
          <cell r="CP121" t="str">
            <v>2321/10</v>
          </cell>
          <cell r="CQ121">
            <v>40448</v>
          </cell>
          <cell r="CR121">
            <v>40627</v>
          </cell>
          <cell r="CS121" t="str">
            <v>2010-0.245.467-7</v>
          </cell>
          <cell r="CT121" t="str">
            <v xml:space="preserve">JOAO EVANGELISTA PIRES </v>
          </cell>
          <cell r="CU121" t="str">
            <v>030.543.288-56</v>
          </cell>
          <cell r="CV121">
            <v>106441</v>
          </cell>
          <cell r="CW121">
            <v>4142.8320000000003</v>
          </cell>
          <cell r="CX121">
            <v>111.85646400000003</v>
          </cell>
          <cell r="CY121">
            <v>20.714160000000007</v>
          </cell>
          <cell r="CZ121">
            <v>2485.6992</v>
          </cell>
          <cell r="DA121">
            <v>91.914879999999982</v>
          </cell>
          <cell r="DD121">
            <v>91.914879999999982</v>
          </cell>
        </row>
        <row r="122">
          <cell r="C122" t="str">
            <v>2433/10</v>
          </cell>
          <cell r="D122" t="str">
            <v>01/01 A 31/01/11</v>
          </cell>
          <cell r="E122" t="str">
            <v>JOAQUIM DE OLIVEIRA ARAUJO</v>
          </cell>
          <cell r="F122" t="str">
            <v>EMEI / EMEF</v>
          </cell>
          <cell r="G122">
            <v>16</v>
          </cell>
          <cell r="H122">
            <v>16</v>
          </cell>
          <cell r="I122">
            <v>15</v>
          </cell>
          <cell r="J122">
            <v>98931</v>
          </cell>
          <cell r="K122">
            <v>36</v>
          </cell>
          <cell r="L122">
            <v>17</v>
          </cell>
          <cell r="M122">
            <v>0</v>
          </cell>
          <cell r="N122">
            <v>98931</v>
          </cell>
          <cell r="O122">
            <v>45</v>
          </cell>
          <cell r="P122">
            <v>27</v>
          </cell>
          <cell r="Q122">
            <v>0</v>
          </cell>
          <cell r="R122">
            <v>98931</v>
          </cell>
          <cell r="S122">
            <v>54</v>
          </cell>
          <cell r="T122">
            <v>38</v>
          </cell>
          <cell r="U122">
            <v>0</v>
          </cell>
          <cell r="W122">
            <v>1</v>
          </cell>
          <cell r="Y122">
            <v>1</v>
          </cell>
          <cell r="AA122">
            <v>1</v>
          </cell>
          <cell r="AB122">
            <v>0</v>
          </cell>
          <cell r="AE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0.33333333333333331</v>
          </cell>
          <cell r="AK122">
            <v>3</v>
          </cell>
          <cell r="AL122">
            <v>16</v>
          </cell>
          <cell r="AM122">
            <v>30</v>
          </cell>
          <cell r="AN122">
            <v>22</v>
          </cell>
          <cell r="AO122">
            <v>135</v>
          </cell>
          <cell r="AP122">
            <v>82</v>
          </cell>
          <cell r="AS122">
            <v>2007</v>
          </cell>
          <cell r="AT122">
            <v>29</v>
          </cell>
          <cell r="AU122">
            <v>27</v>
          </cell>
          <cell r="AV122">
            <v>135</v>
          </cell>
          <cell r="AW122">
            <v>0.25</v>
          </cell>
          <cell r="AX122">
            <v>2160</v>
          </cell>
          <cell r="AY122">
            <v>540</v>
          </cell>
          <cell r="AZ122">
            <v>36.880000000000003</v>
          </cell>
          <cell r="BA122">
            <v>17</v>
          </cell>
          <cell r="BB122">
            <v>459.77066666666667</v>
          </cell>
          <cell r="BC122">
            <v>36.880000000000003</v>
          </cell>
          <cell r="BD122">
            <v>27</v>
          </cell>
          <cell r="BE122">
            <v>730.22400000000005</v>
          </cell>
          <cell r="BF122">
            <v>36.880000000000003</v>
          </cell>
          <cell r="BG122">
            <v>38</v>
          </cell>
          <cell r="BH122">
            <v>1027.7226666666666</v>
          </cell>
          <cell r="BI122">
            <v>0</v>
          </cell>
          <cell r="BJ122">
            <v>0</v>
          </cell>
          <cell r="BK122">
            <v>2217.717333333333</v>
          </cell>
          <cell r="BL122">
            <v>3618.12</v>
          </cell>
          <cell r="BM122">
            <v>3618.12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13.5</v>
          </cell>
          <cell r="BU122">
            <v>13.5</v>
          </cell>
          <cell r="BY122">
            <v>6362.3373333333329</v>
          </cell>
          <cell r="CP122" t="str">
            <v>1954/10</v>
          </cell>
          <cell r="CQ122">
            <v>40441</v>
          </cell>
          <cell r="CR122">
            <v>40620</v>
          </cell>
          <cell r="CS122" t="str">
            <v>2010-0.230.780-1</v>
          </cell>
          <cell r="CT122" t="str">
            <v>JOAO LINO DE SOUSA</v>
          </cell>
          <cell r="CU122">
            <v>15929299315</v>
          </cell>
          <cell r="CV122">
            <v>104918</v>
          </cell>
          <cell r="CW122">
            <v>6228.2919999999995</v>
          </cell>
          <cell r="CX122">
            <v>168.16388400000002</v>
          </cell>
          <cell r="CY122">
            <v>31.141460000000002</v>
          </cell>
          <cell r="CZ122">
            <v>3736.9751999999994</v>
          </cell>
          <cell r="DA122">
            <v>335.19941999999992</v>
          </cell>
          <cell r="DD122">
            <v>335.19941999999992</v>
          </cell>
        </row>
        <row r="123">
          <cell r="C123" t="str">
            <v>2719/10</v>
          </cell>
          <cell r="D123" t="str">
            <v>01/01 A 31/01/11</v>
          </cell>
          <cell r="E123" t="str">
            <v>JONAS ANTONIO DA SILVA</v>
          </cell>
          <cell r="F123" t="str">
            <v>EMEF</v>
          </cell>
          <cell r="G123">
            <v>15</v>
          </cell>
          <cell r="H123">
            <v>15</v>
          </cell>
          <cell r="I123">
            <v>16</v>
          </cell>
          <cell r="J123">
            <v>19228</v>
          </cell>
          <cell r="K123">
            <v>24</v>
          </cell>
          <cell r="L123">
            <v>12</v>
          </cell>
          <cell r="M123">
            <v>0</v>
          </cell>
          <cell r="N123">
            <v>19228</v>
          </cell>
          <cell r="O123">
            <v>29</v>
          </cell>
          <cell r="P123">
            <v>12</v>
          </cell>
          <cell r="Q123">
            <v>0</v>
          </cell>
          <cell r="R123">
            <v>18546</v>
          </cell>
          <cell r="S123">
            <v>18</v>
          </cell>
          <cell r="T123">
            <v>12</v>
          </cell>
          <cell r="U123">
            <v>0</v>
          </cell>
          <cell r="W123">
            <v>1</v>
          </cell>
          <cell r="Y123">
            <v>1</v>
          </cell>
          <cell r="AA123">
            <v>1</v>
          </cell>
          <cell r="AB123">
            <v>0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I123">
            <v>1</v>
          </cell>
          <cell r="AJ123">
            <v>0.66666666666666663</v>
          </cell>
          <cell r="AK123">
            <v>3</v>
          </cell>
          <cell r="AL123">
            <v>16</v>
          </cell>
          <cell r="AM123">
            <v>30</v>
          </cell>
          <cell r="AN123">
            <v>22</v>
          </cell>
          <cell r="AO123">
            <v>71</v>
          </cell>
          <cell r="AP123">
            <v>36</v>
          </cell>
          <cell r="AS123">
            <v>2000</v>
          </cell>
          <cell r="AT123">
            <v>14</v>
          </cell>
          <cell r="AU123">
            <v>12</v>
          </cell>
          <cell r="AV123">
            <v>71</v>
          </cell>
          <cell r="AW123">
            <v>0.25</v>
          </cell>
          <cell r="AX123">
            <v>1136</v>
          </cell>
          <cell r="AY123">
            <v>284</v>
          </cell>
          <cell r="AZ123">
            <v>36.880000000000003</v>
          </cell>
          <cell r="BA123">
            <v>12</v>
          </cell>
          <cell r="BB123">
            <v>324.54400000000004</v>
          </cell>
          <cell r="BC123">
            <v>36.880000000000003</v>
          </cell>
          <cell r="BD123">
            <v>12</v>
          </cell>
          <cell r="BE123">
            <v>324.54400000000004</v>
          </cell>
          <cell r="BF123">
            <v>36.880000000000003</v>
          </cell>
          <cell r="BG123">
            <v>12</v>
          </cell>
          <cell r="BH123">
            <v>324.54400000000004</v>
          </cell>
          <cell r="BI123">
            <v>0</v>
          </cell>
          <cell r="BJ123">
            <v>0</v>
          </cell>
          <cell r="BK123">
            <v>973.63200000000006</v>
          </cell>
          <cell r="BL123">
            <v>2041.67</v>
          </cell>
          <cell r="BM123">
            <v>2041.67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6</v>
          </cell>
          <cell r="BS123">
            <v>7.25</v>
          </cell>
          <cell r="BT123">
            <v>0</v>
          </cell>
          <cell r="BU123">
            <v>13.25</v>
          </cell>
          <cell r="BY123">
            <v>3286.0520000000001</v>
          </cell>
          <cell r="CP123" t="str">
            <v>1955/10</v>
          </cell>
          <cell r="CQ123">
            <v>40441</v>
          </cell>
          <cell r="CR123">
            <v>40620</v>
          </cell>
          <cell r="CS123" t="str">
            <v>2010-0.230.783-6</v>
          </cell>
          <cell r="CT123" t="str">
            <v>JOAO MARCOS LIMA CRUZ</v>
          </cell>
          <cell r="CU123" t="str">
            <v>011.360.598-65</v>
          </cell>
          <cell r="CV123">
            <v>104923</v>
          </cell>
          <cell r="CW123">
            <v>5135.891333333333</v>
          </cell>
          <cell r="CX123">
            <v>138.66906599999999</v>
          </cell>
          <cell r="CY123">
            <v>25.679456666666667</v>
          </cell>
          <cell r="CZ123">
            <v>3081.5347999999999</v>
          </cell>
          <cell r="DA123">
            <v>187.72532999999999</v>
          </cell>
          <cell r="DD123">
            <v>187.72532999999999</v>
          </cell>
        </row>
        <row r="124">
          <cell r="C124" t="str">
            <v>2768/10</v>
          </cell>
          <cell r="D124" t="str">
            <v>01/01 A 31/01/11</v>
          </cell>
          <cell r="E124" t="str">
            <v>JONAS SERNA</v>
          </cell>
          <cell r="F124" t="str">
            <v>EMEF / EMEI</v>
          </cell>
          <cell r="G124">
            <v>15</v>
          </cell>
          <cell r="H124">
            <v>15</v>
          </cell>
          <cell r="I124">
            <v>16</v>
          </cell>
          <cell r="J124">
            <v>19406</v>
          </cell>
          <cell r="K124">
            <v>29</v>
          </cell>
          <cell r="L124">
            <v>12</v>
          </cell>
          <cell r="M124">
            <v>0</v>
          </cell>
          <cell r="N124">
            <v>19406</v>
          </cell>
          <cell r="O124">
            <v>36</v>
          </cell>
          <cell r="P124">
            <v>17</v>
          </cell>
          <cell r="Q124">
            <v>0</v>
          </cell>
          <cell r="R124">
            <v>18546</v>
          </cell>
          <cell r="S124">
            <v>23</v>
          </cell>
          <cell r="T124">
            <v>17</v>
          </cell>
          <cell r="U124">
            <v>0</v>
          </cell>
          <cell r="W124">
            <v>1</v>
          </cell>
          <cell r="Y124">
            <v>1</v>
          </cell>
          <cell r="AA124">
            <v>1</v>
          </cell>
          <cell r="AB124">
            <v>0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I124">
            <v>1</v>
          </cell>
          <cell r="AJ124">
            <v>0.66666666666666663</v>
          </cell>
          <cell r="AK124">
            <v>6</v>
          </cell>
          <cell r="AL124">
            <v>16</v>
          </cell>
          <cell r="AM124">
            <v>30</v>
          </cell>
          <cell r="AN124">
            <v>22</v>
          </cell>
          <cell r="AO124">
            <v>88</v>
          </cell>
          <cell r="AP124">
            <v>46</v>
          </cell>
          <cell r="AS124">
            <v>2010</v>
          </cell>
          <cell r="AT124">
            <v>19</v>
          </cell>
          <cell r="AU124">
            <v>17</v>
          </cell>
          <cell r="AV124">
            <v>88</v>
          </cell>
          <cell r="AW124">
            <v>0.25</v>
          </cell>
          <cell r="AX124">
            <v>1408</v>
          </cell>
          <cell r="AY124">
            <v>352</v>
          </cell>
          <cell r="AZ124">
            <v>36.880000000000003</v>
          </cell>
          <cell r="BA124">
            <v>12</v>
          </cell>
          <cell r="BB124">
            <v>324.54400000000004</v>
          </cell>
          <cell r="BC124">
            <v>36.880000000000003</v>
          </cell>
          <cell r="BD124">
            <v>17</v>
          </cell>
          <cell r="BE124">
            <v>459.77066666666667</v>
          </cell>
          <cell r="BF124">
            <v>36.880000000000003</v>
          </cell>
          <cell r="BG124">
            <v>17</v>
          </cell>
          <cell r="BH124">
            <v>459.77066666666667</v>
          </cell>
          <cell r="BI124">
            <v>0</v>
          </cell>
          <cell r="BJ124">
            <v>0</v>
          </cell>
          <cell r="BK124">
            <v>1244.0853333333334</v>
          </cell>
          <cell r="BL124">
            <v>2718.59</v>
          </cell>
          <cell r="BM124">
            <v>2718.59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7.25</v>
          </cell>
          <cell r="BS124">
            <v>9</v>
          </cell>
          <cell r="BT124">
            <v>0</v>
          </cell>
          <cell r="BU124">
            <v>16.25</v>
          </cell>
          <cell r="BY124">
            <v>4298.4253333333336</v>
          </cell>
          <cell r="CP124" t="str">
            <v>2311/10</v>
          </cell>
          <cell r="CQ124">
            <v>40448</v>
          </cell>
          <cell r="CR124">
            <v>40627</v>
          </cell>
          <cell r="CS124" t="str">
            <v>2010-0.245.445-6</v>
          </cell>
          <cell r="CT124" t="str">
            <v>JOAO VELOSO COSTA</v>
          </cell>
          <cell r="CU124" t="str">
            <v>013.191.868-07</v>
          </cell>
          <cell r="CV124">
            <v>106397</v>
          </cell>
          <cell r="CW124">
            <v>5802.5680399999992</v>
          </cell>
          <cell r="CX124">
            <v>156.66933708000002</v>
          </cell>
          <cell r="CY124">
            <v>29.012840199999999</v>
          </cell>
          <cell r="CZ124">
            <v>3481.5408239999992</v>
          </cell>
          <cell r="DA124">
            <v>277.72668539999984</v>
          </cell>
          <cell r="DD124">
            <v>277.72668539999984</v>
          </cell>
        </row>
        <row r="125">
          <cell r="C125" t="str">
            <v>2312/10</v>
          </cell>
          <cell r="D125" t="str">
            <v>01/01 A 31/01/11</v>
          </cell>
          <cell r="E125" t="str">
            <v>JONES HONORIO DA CUNHA</v>
          </cell>
          <cell r="F125" t="str">
            <v>EMEF</v>
          </cell>
          <cell r="G125">
            <v>15</v>
          </cell>
          <cell r="H125">
            <v>15</v>
          </cell>
          <cell r="I125">
            <v>16</v>
          </cell>
          <cell r="J125">
            <v>99791</v>
          </cell>
          <cell r="K125">
            <v>17</v>
          </cell>
          <cell r="L125">
            <v>27</v>
          </cell>
          <cell r="M125">
            <v>0</v>
          </cell>
          <cell r="N125">
            <v>99791</v>
          </cell>
          <cell r="O125">
            <v>19</v>
          </cell>
          <cell r="P125">
            <v>27</v>
          </cell>
          <cell r="Q125">
            <v>0</v>
          </cell>
          <cell r="R125">
            <v>0</v>
          </cell>
          <cell r="U125">
            <v>0</v>
          </cell>
          <cell r="W125">
            <v>1</v>
          </cell>
          <cell r="Y125">
            <v>1</v>
          </cell>
          <cell r="AA125">
            <v>0</v>
          </cell>
          <cell r="AB125">
            <v>0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I125">
            <v>0</v>
          </cell>
          <cell r="AJ125">
            <v>1</v>
          </cell>
          <cell r="AK125">
            <v>8</v>
          </cell>
          <cell r="AL125">
            <v>16</v>
          </cell>
          <cell r="AM125">
            <v>30</v>
          </cell>
          <cell r="AN125">
            <v>22</v>
          </cell>
          <cell r="AO125">
            <v>36</v>
          </cell>
          <cell r="AP125">
            <v>54</v>
          </cell>
          <cell r="AS125">
            <v>2007</v>
          </cell>
          <cell r="AT125">
            <v>29</v>
          </cell>
          <cell r="AU125">
            <v>27</v>
          </cell>
          <cell r="AV125">
            <v>36</v>
          </cell>
          <cell r="AW125">
            <v>0.25</v>
          </cell>
          <cell r="AX125">
            <v>576</v>
          </cell>
          <cell r="AY125">
            <v>144</v>
          </cell>
          <cell r="AZ125">
            <v>36.880000000000003</v>
          </cell>
          <cell r="BA125">
            <v>27</v>
          </cell>
          <cell r="BB125">
            <v>730.22400000000005</v>
          </cell>
          <cell r="BC125">
            <v>36.880000000000003</v>
          </cell>
          <cell r="BD125">
            <v>27</v>
          </cell>
          <cell r="BE125">
            <v>730.22400000000005</v>
          </cell>
          <cell r="BF125">
            <v>36.880000000000003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1460.4480000000001</v>
          </cell>
          <cell r="BL125">
            <v>3618.12</v>
          </cell>
          <cell r="BM125">
            <v>3618.12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4.25</v>
          </cell>
          <cell r="BS125">
            <v>4.75</v>
          </cell>
          <cell r="BT125">
            <v>0</v>
          </cell>
          <cell r="BU125">
            <v>9</v>
          </cell>
          <cell r="BY125">
            <v>5213.5680000000002</v>
          </cell>
          <cell r="CP125" t="str">
            <v>2433/10</v>
          </cell>
          <cell r="CQ125">
            <v>40455</v>
          </cell>
          <cell r="CR125">
            <v>40634</v>
          </cell>
          <cell r="CS125" t="str">
            <v>2010-0.267.151-1</v>
          </cell>
          <cell r="CT125" t="str">
            <v>JOAQUIM DE OLIVEIRA ARAUJO</v>
          </cell>
          <cell r="CU125">
            <v>94040265815</v>
          </cell>
          <cell r="CV125">
            <v>112703</v>
          </cell>
          <cell r="CW125">
            <v>6362.3373333333329</v>
          </cell>
          <cell r="CX125">
            <v>171.78310800000003</v>
          </cell>
          <cell r="CY125">
            <v>31.81168666666667</v>
          </cell>
          <cell r="CZ125">
            <v>3817.4023999999995</v>
          </cell>
          <cell r="DA125">
            <v>357.00566000000003</v>
          </cell>
          <cell r="DD125">
            <v>357.00566000000003</v>
          </cell>
        </row>
        <row r="126">
          <cell r="C126" t="str">
            <v>1915/10</v>
          </cell>
          <cell r="D126" t="str">
            <v>01/01 A 31/01/11</v>
          </cell>
          <cell r="E126" t="str">
            <v>JORGE EDUARDO DOS SANTOS</v>
          </cell>
          <cell r="F126" t="str">
            <v>EMEI</v>
          </cell>
          <cell r="G126">
            <v>16</v>
          </cell>
          <cell r="H126">
            <v>16</v>
          </cell>
          <cell r="I126">
            <v>16</v>
          </cell>
          <cell r="J126">
            <v>90603</v>
          </cell>
          <cell r="K126">
            <v>31</v>
          </cell>
          <cell r="L126">
            <v>27</v>
          </cell>
          <cell r="M126">
            <v>0</v>
          </cell>
          <cell r="N126">
            <v>90603</v>
          </cell>
          <cell r="O126">
            <v>37</v>
          </cell>
          <cell r="P126">
            <v>27</v>
          </cell>
          <cell r="Q126">
            <v>0</v>
          </cell>
          <cell r="R126">
            <v>90603</v>
          </cell>
          <cell r="S126">
            <v>32</v>
          </cell>
          <cell r="T126">
            <v>27</v>
          </cell>
          <cell r="U126">
            <v>0</v>
          </cell>
          <cell r="W126">
            <v>1</v>
          </cell>
          <cell r="Y126">
            <v>1</v>
          </cell>
          <cell r="AA126">
            <v>1</v>
          </cell>
          <cell r="AB126">
            <v>0</v>
          </cell>
          <cell r="AE126">
            <v>1</v>
          </cell>
          <cell r="AG126">
            <v>1</v>
          </cell>
          <cell r="AI126">
            <v>1</v>
          </cell>
          <cell r="AJ126">
            <v>0</v>
          </cell>
          <cell r="AL126">
            <v>16</v>
          </cell>
          <cell r="AM126">
            <v>30</v>
          </cell>
          <cell r="AN126">
            <v>22</v>
          </cell>
          <cell r="AO126">
            <v>100</v>
          </cell>
          <cell r="AP126">
            <v>81</v>
          </cell>
          <cell r="AS126">
            <v>2007</v>
          </cell>
          <cell r="AT126">
            <v>29</v>
          </cell>
          <cell r="AU126">
            <v>27</v>
          </cell>
          <cell r="AV126">
            <v>100</v>
          </cell>
          <cell r="AW126">
            <v>0.25</v>
          </cell>
          <cell r="AX126">
            <v>1600</v>
          </cell>
          <cell r="AY126">
            <v>400</v>
          </cell>
          <cell r="AZ126">
            <v>36.880000000000003</v>
          </cell>
          <cell r="BA126">
            <v>27</v>
          </cell>
          <cell r="BB126">
            <v>730.22400000000005</v>
          </cell>
          <cell r="BC126">
            <v>36.880000000000003</v>
          </cell>
          <cell r="BD126">
            <v>27</v>
          </cell>
          <cell r="BE126">
            <v>730.22400000000005</v>
          </cell>
          <cell r="BF126">
            <v>36.880000000000003</v>
          </cell>
          <cell r="BG126">
            <v>27</v>
          </cell>
          <cell r="BH126">
            <v>730.22400000000005</v>
          </cell>
          <cell r="BI126">
            <v>0</v>
          </cell>
          <cell r="BJ126">
            <v>0</v>
          </cell>
          <cell r="BK126">
            <v>2190.672</v>
          </cell>
          <cell r="BL126">
            <v>3618.12</v>
          </cell>
          <cell r="BM126">
            <v>3618.12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Y126">
            <v>6208.7919999999995</v>
          </cell>
          <cell r="CP126" t="str">
            <v>2719/10</v>
          </cell>
          <cell r="CQ126">
            <v>40469</v>
          </cell>
          <cell r="CR126">
            <v>40648</v>
          </cell>
          <cell r="CS126" t="str">
            <v>2010-0.274.965-0</v>
          </cell>
          <cell r="CT126" t="str">
            <v>JONAS ANTONIO DA SILVA</v>
          </cell>
          <cell r="CU126">
            <v>25467547852</v>
          </cell>
          <cell r="CV126">
            <v>115304</v>
          </cell>
          <cell r="CW126">
            <v>3286.0520000000001</v>
          </cell>
          <cell r="CX126">
            <v>88.723404000000016</v>
          </cell>
          <cell r="CY126">
            <v>16.430260000000001</v>
          </cell>
          <cell r="CZ126">
            <v>1971.6312</v>
          </cell>
          <cell r="DA126">
            <v>35.442340000000002</v>
          </cell>
          <cell r="DD126">
            <v>14.804680000000019</v>
          </cell>
        </row>
        <row r="127">
          <cell r="C127" t="str">
            <v>2457/10</v>
          </cell>
          <cell r="D127" t="str">
            <v>01/01 A 31/01/11</v>
          </cell>
          <cell r="E127" t="str">
            <v>JORGE GABRIEL DA SILVA</v>
          </cell>
          <cell r="F127" t="str">
            <v>EMEI</v>
          </cell>
          <cell r="G127">
            <v>15</v>
          </cell>
          <cell r="H127">
            <v>15</v>
          </cell>
          <cell r="I127">
            <v>15</v>
          </cell>
          <cell r="J127">
            <v>19323</v>
          </cell>
          <cell r="K127">
            <v>34</v>
          </cell>
          <cell r="L127">
            <v>27</v>
          </cell>
          <cell r="M127">
            <v>0</v>
          </cell>
          <cell r="N127">
            <v>19323</v>
          </cell>
          <cell r="O127">
            <v>33</v>
          </cell>
          <cell r="P127">
            <v>27</v>
          </cell>
          <cell r="Q127">
            <v>0</v>
          </cell>
          <cell r="R127">
            <v>19323</v>
          </cell>
          <cell r="S127">
            <v>31</v>
          </cell>
          <cell r="T127">
            <v>27</v>
          </cell>
          <cell r="U127">
            <v>0</v>
          </cell>
          <cell r="W127">
            <v>1</v>
          </cell>
          <cell r="Y127">
            <v>1</v>
          </cell>
          <cell r="AA127">
            <v>1</v>
          </cell>
          <cell r="AB127">
            <v>0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17</v>
          </cell>
          <cell r="AL127">
            <v>16</v>
          </cell>
          <cell r="AM127">
            <v>30</v>
          </cell>
          <cell r="AN127">
            <v>22</v>
          </cell>
          <cell r="AO127">
            <v>98</v>
          </cell>
          <cell r="AP127">
            <v>81</v>
          </cell>
          <cell r="AS127">
            <v>2006</v>
          </cell>
          <cell r="AT127">
            <v>29</v>
          </cell>
          <cell r="AU127">
            <v>27</v>
          </cell>
          <cell r="AV127">
            <v>98</v>
          </cell>
          <cell r="AW127">
            <v>0.25</v>
          </cell>
          <cell r="AX127">
            <v>1568</v>
          </cell>
          <cell r="AY127">
            <v>392</v>
          </cell>
          <cell r="AZ127">
            <v>36.880000000000003</v>
          </cell>
          <cell r="BA127">
            <v>27</v>
          </cell>
          <cell r="BB127">
            <v>730.22400000000005</v>
          </cell>
          <cell r="BC127">
            <v>36.880000000000003</v>
          </cell>
          <cell r="BD127">
            <v>27</v>
          </cell>
          <cell r="BE127">
            <v>730.22400000000005</v>
          </cell>
          <cell r="BF127">
            <v>36.880000000000003</v>
          </cell>
          <cell r="BG127">
            <v>27</v>
          </cell>
          <cell r="BH127">
            <v>730.22400000000005</v>
          </cell>
          <cell r="BI127">
            <v>0</v>
          </cell>
          <cell r="BJ127">
            <v>0</v>
          </cell>
          <cell r="BK127">
            <v>2190.672</v>
          </cell>
          <cell r="BL127">
            <v>3509.14</v>
          </cell>
          <cell r="BM127">
            <v>3509.14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8.5</v>
          </cell>
          <cell r="BS127">
            <v>8.25</v>
          </cell>
          <cell r="BT127">
            <v>7.75</v>
          </cell>
          <cell r="BU127">
            <v>24.5</v>
          </cell>
          <cell r="BY127">
            <v>6067.3119999999999</v>
          </cell>
          <cell r="CP127" t="str">
            <v>2768/10</v>
          </cell>
          <cell r="CQ127">
            <v>40469</v>
          </cell>
          <cell r="CR127">
            <v>40648</v>
          </cell>
          <cell r="CS127" t="str">
            <v>2010-0.277.833-2</v>
          </cell>
          <cell r="CT127" t="str">
            <v>JONAS SERNA</v>
          </cell>
          <cell r="CU127" t="str">
            <v>044.600.688-26</v>
          </cell>
          <cell r="CV127">
            <v>115309</v>
          </cell>
          <cell r="CW127">
            <v>4298.4253333333336</v>
          </cell>
          <cell r="CX127">
            <v>116.05748400000002</v>
          </cell>
          <cell r="CY127">
            <v>21.492126666666671</v>
          </cell>
          <cell r="CZ127">
            <v>2579.0552000000002</v>
          </cell>
          <cell r="DA127">
            <v>105.91828000000004</v>
          </cell>
          <cell r="DD127">
            <v>105.91828000000004</v>
          </cell>
        </row>
        <row r="128">
          <cell r="C128" t="str">
            <v>2606/10</v>
          </cell>
          <cell r="D128" t="str">
            <v>01/01 A 31/01/11</v>
          </cell>
          <cell r="E128" t="str">
            <v>JORGE PEREIRA DA CRUZ SILVA</v>
          </cell>
          <cell r="F128" t="str">
            <v>EMEI</v>
          </cell>
          <cell r="G128">
            <v>15</v>
          </cell>
          <cell r="H128">
            <v>15</v>
          </cell>
          <cell r="I128">
            <v>15</v>
          </cell>
          <cell r="J128">
            <v>531</v>
          </cell>
          <cell r="K128">
            <v>41</v>
          </cell>
          <cell r="L128">
            <v>19</v>
          </cell>
          <cell r="M128">
            <v>0</v>
          </cell>
          <cell r="N128">
            <v>531</v>
          </cell>
          <cell r="O128">
            <v>46</v>
          </cell>
          <cell r="P128">
            <v>19</v>
          </cell>
          <cell r="Q128">
            <v>0</v>
          </cell>
          <cell r="R128">
            <v>531</v>
          </cell>
          <cell r="S128">
            <v>35</v>
          </cell>
          <cell r="T128">
            <v>19</v>
          </cell>
          <cell r="U128">
            <v>0</v>
          </cell>
          <cell r="W128">
            <v>1</v>
          </cell>
          <cell r="Y128">
            <v>1</v>
          </cell>
          <cell r="AA128">
            <v>1</v>
          </cell>
          <cell r="AB128">
            <v>0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13</v>
          </cell>
          <cell r="AL128">
            <v>16</v>
          </cell>
          <cell r="AM128">
            <v>30</v>
          </cell>
          <cell r="AN128">
            <v>22</v>
          </cell>
          <cell r="AO128">
            <v>122</v>
          </cell>
          <cell r="AP128">
            <v>57</v>
          </cell>
          <cell r="AS128">
            <v>2002</v>
          </cell>
          <cell r="AT128">
            <v>21</v>
          </cell>
          <cell r="AU128">
            <v>19</v>
          </cell>
          <cell r="AV128">
            <v>122</v>
          </cell>
          <cell r="AW128">
            <v>0.25</v>
          </cell>
          <cell r="AX128">
            <v>1952</v>
          </cell>
          <cell r="AY128">
            <v>488</v>
          </cell>
          <cell r="AZ128">
            <v>36.880000000000003</v>
          </cell>
          <cell r="BA128">
            <v>19</v>
          </cell>
          <cell r="BB128">
            <v>513.86133333333328</v>
          </cell>
          <cell r="BC128">
            <v>36.880000000000003</v>
          </cell>
          <cell r="BD128">
            <v>19</v>
          </cell>
          <cell r="BE128">
            <v>513.86133333333328</v>
          </cell>
          <cell r="BF128">
            <v>36.880000000000003</v>
          </cell>
          <cell r="BG128">
            <v>19</v>
          </cell>
          <cell r="BH128">
            <v>513.86133333333328</v>
          </cell>
          <cell r="BI128">
            <v>0</v>
          </cell>
          <cell r="BJ128">
            <v>0</v>
          </cell>
          <cell r="BK128">
            <v>1541.5839999999998</v>
          </cell>
          <cell r="BL128">
            <v>2177.0500000000002</v>
          </cell>
          <cell r="BM128">
            <v>2177.0500000000002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10.25</v>
          </cell>
          <cell r="BS128">
            <v>11.5</v>
          </cell>
          <cell r="BT128">
            <v>8.75</v>
          </cell>
          <cell r="BU128">
            <v>30.5</v>
          </cell>
          <cell r="BY128">
            <v>4176.134</v>
          </cell>
          <cell r="CP128" t="str">
            <v>2312/10</v>
          </cell>
          <cell r="CQ128">
            <v>40448</v>
          </cell>
          <cell r="CR128">
            <v>40627</v>
          </cell>
          <cell r="CS128" t="str">
            <v>2010-0.245.446-4</v>
          </cell>
          <cell r="CT128" t="str">
            <v>JONES HONORIO DA CUNHA</v>
          </cell>
          <cell r="CU128">
            <v>37034790604</v>
          </cell>
          <cell r="CV128">
            <v>106404</v>
          </cell>
          <cell r="CW128">
            <v>5213.5680000000002</v>
          </cell>
          <cell r="CX128">
            <v>140.76633600000002</v>
          </cell>
          <cell r="CY128">
            <v>26.067840000000004</v>
          </cell>
          <cell r="CZ128">
            <v>3128.1408000000001</v>
          </cell>
          <cell r="DA128">
            <v>198.21168</v>
          </cell>
          <cell r="DD128">
            <v>198.21168</v>
          </cell>
        </row>
        <row r="129">
          <cell r="C129" t="str">
            <v>2060/10</v>
          </cell>
          <cell r="D129" t="str">
            <v>01/01 A 31/01/11</v>
          </cell>
          <cell r="E129" t="str">
            <v>JOSE ALDO ENEAS DA COSTA</v>
          </cell>
          <cell r="F129" t="str">
            <v>EMEF / EMEI</v>
          </cell>
          <cell r="G129">
            <v>16</v>
          </cell>
          <cell r="H129">
            <v>16</v>
          </cell>
          <cell r="I129">
            <v>14</v>
          </cell>
          <cell r="J129">
            <v>19321</v>
          </cell>
          <cell r="K129">
            <v>30</v>
          </cell>
          <cell r="L129">
            <v>13</v>
          </cell>
          <cell r="M129">
            <v>0</v>
          </cell>
          <cell r="N129">
            <v>19321</v>
          </cell>
          <cell r="O129">
            <v>43</v>
          </cell>
          <cell r="P129">
            <v>13</v>
          </cell>
          <cell r="Q129">
            <v>0</v>
          </cell>
          <cell r="R129">
            <v>19321</v>
          </cell>
          <cell r="S129">
            <v>43</v>
          </cell>
          <cell r="T129">
            <v>13</v>
          </cell>
          <cell r="U129">
            <v>0</v>
          </cell>
          <cell r="W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0.33333333333333331</v>
          </cell>
          <cell r="AC129">
            <v>1</v>
          </cell>
          <cell r="AE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0.33333333333333331</v>
          </cell>
          <cell r="AK129" t="str">
            <v>15, 16 e 17</v>
          </cell>
          <cell r="AL129">
            <v>16</v>
          </cell>
          <cell r="AM129">
            <v>30</v>
          </cell>
          <cell r="AN129">
            <v>22</v>
          </cell>
          <cell r="AO129">
            <v>116</v>
          </cell>
          <cell r="AP129">
            <v>39</v>
          </cell>
          <cell r="AS129">
            <v>2009</v>
          </cell>
          <cell r="AT129">
            <v>15</v>
          </cell>
          <cell r="AU129">
            <v>13</v>
          </cell>
          <cell r="AV129">
            <v>116</v>
          </cell>
          <cell r="AW129">
            <v>0.25</v>
          </cell>
          <cell r="AX129">
            <v>1856</v>
          </cell>
          <cell r="AY129">
            <v>464</v>
          </cell>
          <cell r="AZ129">
            <v>36.880000000000003</v>
          </cell>
          <cell r="BA129">
            <v>13</v>
          </cell>
          <cell r="BB129">
            <v>351.5893333333334</v>
          </cell>
          <cell r="BC129">
            <v>36.880000000000003</v>
          </cell>
          <cell r="BD129">
            <v>13</v>
          </cell>
          <cell r="BE129">
            <v>351.5893333333334</v>
          </cell>
          <cell r="BF129">
            <v>36.880000000000003</v>
          </cell>
          <cell r="BG129">
            <v>13</v>
          </cell>
          <cell r="BH129">
            <v>351.5893333333334</v>
          </cell>
          <cell r="BI129">
            <v>0</v>
          </cell>
          <cell r="BJ129">
            <v>0</v>
          </cell>
          <cell r="BK129">
            <v>1054.7680000000003</v>
          </cell>
          <cell r="BL129">
            <v>2650.9</v>
          </cell>
          <cell r="BM129">
            <v>2650.9</v>
          </cell>
          <cell r="BN129">
            <v>0</v>
          </cell>
          <cell r="BO129">
            <v>0</v>
          </cell>
          <cell r="BP129">
            <v>55.891233333333332</v>
          </cell>
          <cell r="BQ129">
            <v>55.891233333333332</v>
          </cell>
          <cell r="BR129">
            <v>0</v>
          </cell>
          <cell r="BS129">
            <v>0</v>
          </cell>
          <cell r="BT129">
            <v>10.75</v>
          </cell>
          <cell r="BU129">
            <v>10.75</v>
          </cell>
          <cell r="BY129">
            <v>4103.0267666666668</v>
          </cell>
          <cell r="CP129" t="str">
            <v>1915/10</v>
          </cell>
          <cell r="CQ129">
            <v>40441</v>
          </cell>
          <cell r="CR129">
            <v>40620</v>
          </cell>
          <cell r="CS129" t="str">
            <v>2010-0.230.669-4</v>
          </cell>
          <cell r="CT129" t="str">
            <v>JORGE EDUARDO DOS SANTOS</v>
          </cell>
          <cell r="CU129">
            <v>53770110587</v>
          </cell>
          <cell r="CV129">
            <v>104925</v>
          </cell>
          <cell r="CW129">
            <v>6208.7919999999995</v>
          </cell>
          <cell r="CX129">
            <v>167.637384</v>
          </cell>
          <cell r="CY129">
            <v>31.043959999999998</v>
          </cell>
          <cell r="CZ129">
            <v>3725.2751999999996</v>
          </cell>
          <cell r="DA129">
            <v>332.56691999999987</v>
          </cell>
          <cell r="DD129">
            <v>332.56691999999987</v>
          </cell>
        </row>
        <row r="130">
          <cell r="C130" t="str">
            <v>2137/10</v>
          </cell>
          <cell r="D130" t="str">
            <v>01/01 A 31/01/11</v>
          </cell>
          <cell r="E130" t="str">
            <v>JOSE AMERICO DA SILVA JUNIOR</v>
          </cell>
          <cell r="F130" t="str">
            <v>EMEI</v>
          </cell>
          <cell r="G130">
            <v>16</v>
          </cell>
          <cell r="H130">
            <v>16</v>
          </cell>
          <cell r="I130">
            <v>16</v>
          </cell>
          <cell r="J130">
            <v>98931</v>
          </cell>
          <cell r="K130">
            <v>33</v>
          </cell>
          <cell r="L130">
            <v>22</v>
          </cell>
          <cell r="M130">
            <v>0</v>
          </cell>
          <cell r="N130">
            <v>98931</v>
          </cell>
          <cell r="O130">
            <v>40</v>
          </cell>
          <cell r="P130">
            <v>27</v>
          </cell>
          <cell r="Q130">
            <v>0</v>
          </cell>
          <cell r="R130">
            <v>98931</v>
          </cell>
          <cell r="S130">
            <v>32</v>
          </cell>
          <cell r="T130">
            <v>25</v>
          </cell>
          <cell r="U130">
            <v>0</v>
          </cell>
          <cell r="W130">
            <v>1</v>
          </cell>
          <cell r="Y130">
            <v>1</v>
          </cell>
          <cell r="AA130">
            <v>1</v>
          </cell>
          <cell r="AB130">
            <v>0</v>
          </cell>
          <cell r="AE130">
            <v>1</v>
          </cell>
          <cell r="AG130">
            <v>1</v>
          </cell>
          <cell r="AI130">
            <v>1</v>
          </cell>
          <cell r="AJ130">
            <v>0</v>
          </cell>
          <cell r="AL130">
            <v>16</v>
          </cell>
          <cell r="AM130">
            <v>30</v>
          </cell>
          <cell r="AN130">
            <v>22</v>
          </cell>
          <cell r="AO130">
            <v>105</v>
          </cell>
          <cell r="AP130">
            <v>74</v>
          </cell>
          <cell r="AS130">
            <v>2007</v>
          </cell>
          <cell r="AT130">
            <v>29</v>
          </cell>
          <cell r="AU130">
            <v>27</v>
          </cell>
          <cell r="AV130">
            <v>105</v>
          </cell>
          <cell r="AW130">
            <v>0.25</v>
          </cell>
          <cell r="AX130">
            <v>1680</v>
          </cell>
          <cell r="AY130">
            <v>420</v>
          </cell>
          <cell r="AZ130">
            <v>36.880000000000003</v>
          </cell>
          <cell r="BA130">
            <v>22</v>
          </cell>
          <cell r="BB130">
            <v>594.99733333333336</v>
          </cell>
          <cell r="BC130">
            <v>36.880000000000003</v>
          </cell>
          <cell r="BD130">
            <v>27</v>
          </cell>
          <cell r="BE130">
            <v>730.22400000000005</v>
          </cell>
          <cell r="BF130">
            <v>36.880000000000003</v>
          </cell>
          <cell r="BG130">
            <v>25</v>
          </cell>
          <cell r="BH130">
            <v>676.13333333333344</v>
          </cell>
          <cell r="BI130">
            <v>0</v>
          </cell>
          <cell r="BJ130">
            <v>0</v>
          </cell>
          <cell r="BK130">
            <v>2001.3546666666668</v>
          </cell>
          <cell r="BL130">
            <v>3618.12</v>
          </cell>
          <cell r="BM130">
            <v>3618.12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Y130">
            <v>6039.474666666667</v>
          </cell>
          <cell r="CP130" t="str">
            <v>2457/10</v>
          </cell>
          <cell r="CQ130">
            <v>40455</v>
          </cell>
          <cell r="CR130">
            <v>40634</v>
          </cell>
          <cell r="CS130" t="str">
            <v>2010-0.267.269-0</v>
          </cell>
          <cell r="CT130" t="str">
            <v>JORGE GABRIEL DA SILVA</v>
          </cell>
          <cell r="CU130">
            <v>12819151817</v>
          </cell>
          <cell r="CV130">
            <v>112705</v>
          </cell>
          <cell r="CW130">
            <v>6067.3119999999999</v>
          </cell>
          <cell r="CX130">
            <v>163.81742400000002</v>
          </cell>
          <cell r="CY130">
            <v>30.336560000000006</v>
          </cell>
          <cell r="CZ130">
            <v>3640.3871999999997</v>
          </cell>
          <cell r="DA130">
            <v>313.46711999999991</v>
          </cell>
          <cell r="DD130">
            <v>313.46711999999991</v>
          </cell>
        </row>
        <row r="131">
          <cell r="C131" t="str">
            <v>2367/10</v>
          </cell>
          <cell r="D131" t="str">
            <v>01/01 A 31/01/11</v>
          </cell>
          <cell r="E131" t="str">
            <v>JOSÉ AMORIM NOVAIS</v>
          </cell>
          <cell r="F131" t="str">
            <v>EMEF</v>
          </cell>
          <cell r="G131">
            <v>16</v>
          </cell>
          <cell r="H131">
            <v>16</v>
          </cell>
          <cell r="I131">
            <v>16</v>
          </cell>
          <cell r="J131">
            <v>19291</v>
          </cell>
          <cell r="K131">
            <v>79</v>
          </cell>
          <cell r="L131">
            <v>17</v>
          </cell>
          <cell r="M131">
            <v>0</v>
          </cell>
          <cell r="N131">
            <v>19291</v>
          </cell>
          <cell r="O131">
            <v>38</v>
          </cell>
          <cell r="P131">
            <v>17</v>
          </cell>
          <cell r="Q131">
            <v>0</v>
          </cell>
          <cell r="R131">
            <v>19291</v>
          </cell>
          <cell r="S131">
            <v>29</v>
          </cell>
          <cell r="T131">
            <v>17</v>
          </cell>
          <cell r="U131">
            <v>0</v>
          </cell>
          <cell r="W131">
            <v>1</v>
          </cell>
          <cell r="Y131">
            <v>1</v>
          </cell>
          <cell r="AA131">
            <v>1</v>
          </cell>
          <cell r="AB131">
            <v>0</v>
          </cell>
          <cell r="AE131">
            <v>1</v>
          </cell>
          <cell r="AG131">
            <v>1</v>
          </cell>
          <cell r="AI131">
            <v>1</v>
          </cell>
          <cell r="AJ131">
            <v>0</v>
          </cell>
          <cell r="AL131">
            <v>16</v>
          </cell>
          <cell r="AM131">
            <v>30</v>
          </cell>
          <cell r="AN131">
            <v>22</v>
          </cell>
          <cell r="AO131">
            <v>146</v>
          </cell>
          <cell r="AP131">
            <v>51</v>
          </cell>
          <cell r="AS131">
            <v>2009</v>
          </cell>
          <cell r="AT131">
            <v>19</v>
          </cell>
          <cell r="AU131">
            <v>17</v>
          </cell>
          <cell r="AV131">
            <v>146</v>
          </cell>
          <cell r="AW131">
            <v>0.25</v>
          </cell>
          <cell r="AX131">
            <v>2336</v>
          </cell>
          <cell r="AY131">
            <v>584</v>
          </cell>
          <cell r="AZ131">
            <v>36.880000000000003</v>
          </cell>
          <cell r="BA131">
            <v>17</v>
          </cell>
          <cell r="BB131">
            <v>459.77066666666667</v>
          </cell>
          <cell r="BC131">
            <v>36.880000000000003</v>
          </cell>
          <cell r="BD131">
            <v>17</v>
          </cell>
          <cell r="BE131">
            <v>459.77066666666667</v>
          </cell>
          <cell r="BF131">
            <v>36.880000000000003</v>
          </cell>
          <cell r="BG131">
            <v>17</v>
          </cell>
          <cell r="BH131">
            <v>459.77066666666667</v>
          </cell>
          <cell r="BI131">
            <v>0</v>
          </cell>
          <cell r="BJ131">
            <v>0</v>
          </cell>
          <cell r="BK131">
            <v>1379.3119999999999</v>
          </cell>
          <cell r="BL131">
            <v>2650.9</v>
          </cell>
          <cell r="BM131">
            <v>2650.9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Y131">
            <v>4614.2119999999995</v>
          </cell>
          <cell r="CP131" t="str">
            <v>2606/10</v>
          </cell>
          <cell r="CQ131">
            <v>40462</v>
          </cell>
          <cell r="CR131">
            <v>40641</v>
          </cell>
          <cell r="CS131" t="str">
            <v>2010-0.270.458-4</v>
          </cell>
          <cell r="CT131" t="str">
            <v>JORGE PEREIRA DA CRUZ SILVA</v>
          </cell>
          <cell r="CU131" t="str">
            <v>083.192.355-53</v>
          </cell>
          <cell r="CV131">
            <v>114096</v>
          </cell>
          <cell r="CW131">
            <v>4176.134</v>
          </cell>
          <cell r="CX131">
            <v>112.75561800000001</v>
          </cell>
          <cell r="CY131">
            <v>20.880670000000002</v>
          </cell>
          <cell r="CZ131">
            <v>2505.6803999999997</v>
          </cell>
          <cell r="DA131">
            <v>94.91205999999994</v>
          </cell>
          <cell r="DD131">
            <v>94.91205999999994</v>
          </cell>
        </row>
        <row r="132">
          <cell r="C132" t="str">
            <v>2720/10</v>
          </cell>
          <cell r="D132" t="str">
            <v>01/01 A 31/01/11</v>
          </cell>
          <cell r="E132" t="str">
            <v>JOSE ANTERO BEZERRA DE ALMEIDA</v>
          </cell>
          <cell r="F132" t="str">
            <v>EMEF / EMEI</v>
          </cell>
          <cell r="G132">
            <v>16</v>
          </cell>
          <cell r="H132">
            <v>16</v>
          </cell>
          <cell r="I132">
            <v>16</v>
          </cell>
          <cell r="J132">
            <v>19305</v>
          </cell>
          <cell r="K132">
            <v>43</v>
          </cell>
          <cell r="L132">
            <v>27</v>
          </cell>
          <cell r="M132">
            <v>0</v>
          </cell>
          <cell r="N132">
            <v>19305</v>
          </cell>
          <cell r="O132">
            <v>41</v>
          </cell>
          <cell r="P132">
            <v>27</v>
          </cell>
          <cell r="Q132">
            <v>0</v>
          </cell>
          <cell r="R132">
            <v>98031</v>
          </cell>
          <cell r="S132">
            <v>33</v>
          </cell>
          <cell r="T132">
            <v>23</v>
          </cell>
          <cell r="U132">
            <v>0</v>
          </cell>
          <cell r="W132">
            <v>1</v>
          </cell>
          <cell r="Y132">
            <v>1</v>
          </cell>
          <cell r="AA132">
            <v>1</v>
          </cell>
          <cell r="AB132">
            <v>0</v>
          </cell>
          <cell r="AE132">
            <v>1</v>
          </cell>
          <cell r="AG132">
            <v>1</v>
          </cell>
          <cell r="AI132">
            <v>1</v>
          </cell>
          <cell r="AJ132">
            <v>0</v>
          </cell>
          <cell r="AL132">
            <v>16</v>
          </cell>
          <cell r="AM132">
            <v>30</v>
          </cell>
          <cell r="AN132">
            <v>22</v>
          </cell>
          <cell r="AO132">
            <v>117</v>
          </cell>
          <cell r="AP132">
            <v>77</v>
          </cell>
          <cell r="AS132">
            <v>2007</v>
          </cell>
          <cell r="AT132">
            <v>29</v>
          </cell>
          <cell r="AU132">
            <v>27</v>
          </cell>
          <cell r="AV132">
            <v>117</v>
          </cell>
          <cell r="AW132">
            <v>0.25</v>
          </cell>
          <cell r="AX132">
            <v>1872</v>
          </cell>
          <cell r="AY132">
            <v>468</v>
          </cell>
          <cell r="AZ132">
            <v>36.880000000000003</v>
          </cell>
          <cell r="BA132">
            <v>27</v>
          </cell>
          <cell r="BB132">
            <v>730.22400000000005</v>
          </cell>
          <cell r="BC132">
            <v>36.880000000000003</v>
          </cell>
          <cell r="BD132">
            <v>27</v>
          </cell>
          <cell r="BE132">
            <v>730.22400000000005</v>
          </cell>
          <cell r="BF132">
            <v>36.880000000000003</v>
          </cell>
          <cell r="BG132">
            <v>23</v>
          </cell>
          <cell r="BH132">
            <v>622.04266666666672</v>
          </cell>
          <cell r="BI132">
            <v>0</v>
          </cell>
          <cell r="BJ132">
            <v>0</v>
          </cell>
          <cell r="BK132">
            <v>2082.4906666666666</v>
          </cell>
          <cell r="BL132">
            <v>3618.12</v>
          </cell>
          <cell r="BM132">
            <v>3618.12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Y132">
            <v>6168.6106666666665</v>
          </cell>
          <cell r="CP132" t="str">
            <v>2060/10</v>
          </cell>
          <cell r="CQ132">
            <v>40441</v>
          </cell>
          <cell r="CR132">
            <v>40620</v>
          </cell>
          <cell r="CS132" t="str">
            <v>2010-0.235.476-1</v>
          </cell>
          <cell r="CT132" t="str">
            <v>JOSE ALDO ENEAS DA COSTA</v>
          </cell>
          <cell r="CU132">
            <v>80591710463</v>
          </cell>
          <cell r="CV132">
            <v>104931</v>
          </cell>
          <cell r="CW132">
            <v>4103.0267666666668</v>
          </cell>
          <cell r="CX132">
            <v>110.78172270000002</v>
          </cell>
          <cell r="CY132">
            <v>20.515133833333337</v>
          </cell>
          <cell r="CZ132">
            <v>2461.8160600000001</v>
          </cell>
          <cell r="DA132">
            <v>88.332408999999984</v>
          </cell>
          <cell r="DD132">
            <v>88.332408999999984</v>
          </cell>
        </row>
        <row r="133">
          <cell r="C133" t="str">
            <v>2574/10</v>
          </cell>
          <cell r="D133" t="str">
            <v>01/01 A 31/01/11</v>
          </cell>
          <cell r="E133" t="str">
            <v>JOSE AUGUSTO DA SILVA OLIVEIRA</v>
          </cell>
          <cell r="F133" t="str">
            <v>EMEI</v>
          </cell>
          <cell r="G133">
            <v>15</v>
          </cell>
          <cell r="H133">
            <v>15</v>
          </cell>
          <cell r="I133">
            <v>15</v>
          </cell>
          <cell r="J133">
            <v>90565</v>
          </cell>
          <cell r="K133">
            <v>37</v>
          </cell>
          <cell r="L133">
            <v>17</v>
          </cell>
          <cell r="M133">
            <v>0</v>
          </cell>
          <cell r="N133">
            <v>90565</v>
          </cell>
          <cell r="O133">
            <v>38</v>
          </cell>
          <cell r="P133">
            <v>17</v>
          </cell>
          <cell r="Q133">
            <v>0</v>
          </cell>
          <cell r="R133">
            <v>90565</v>
          </cell>
          <cell r="S133">
            <v>35</v>
          </cell>
          <cell r="T133">
            <v>17</v>
          </cell>
          <cell r="U133">
            <v>0</v>
          </cell>
          <cell r="W133">
            <v>1</v>
          </cell>
          <cell r="Y133">
            <v>1</v>
          </cell>
          <cell r="AA133">
            <v>1</v>
          </cell>
          <cell r="AB133">
            <v>0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9</v>
          </cell>
          <cell r="AL133">
            <v>16</v>
          </cell>
          <cell r="AM133">
            <v>30</v>
          </cell>
          <cell r="AN133">
            <v>22</v>
          </cell>
          <cell r="AO133">
            <v>110</v>
          </cell>
          <cell r="AP133">
            <v>51</v>
          </cell>
          <cell r="AS133">
            <v>2008</v>
          </cell>
          <cell r="AT133">
            <v>19</v>
          </cell>
          <cell r="AU133">
            <v>17</v>
          </cell>
          <cell r="AV133">
            <v>110</v>
          </cell>
          <cell r="AW133">
            <v>0.25</v>
          </cell>
          <cell r="AX133">
            <v>1760</v>
          </cell>
          <cell r="AY133">
            <v>440</v>
          </cell>
          <cell r="AZ133">
            <v>36.880000000000003</v>
          </cell>
          <cell r="BA133">
            <v>17</v>
          </cell>
          <cell r="BB133">
            <v>459.77066666666667</v>
          </cell>
          <cell r="BC133">
            <v>36.880000000000003</v>
          </cell>
          <cell r="BD133">
            <v>17</v>
          </cell>
          <cell r="BE133">
            <v>459.77066666666667</v>
          </cell>
          <cell r="BF133">
            <v>36.880000000000003</v>
          </cell>
          <cell r="BG133">
            <v>17</v>
          </cell>
          <cell r="BH133">
            <v>459.77066666666667</v>
          </cell>
          <cell r="BI133">
            <v>0</v>
          </cell>
          <cell r="BJ133">
            <v>0</v>
          </cell>
          <cell r="BK133">
            <v>1379.3119999999999</v>
          </cell>
          <cell r="BL133">
            <v>2583.21</v>
          </cell>
          <cell r="BM133">
            <v>2583.21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9.25</v>
          </cell>
          <cell r="BS133">
            <v>9.5</v>
          </cell>
          <cell r="BT133">
            <v>8.75</v>
          </cell>
          <cell r="BU133">
            <v>27.5</v>
          </cell>
          <cell r="BY133">
            <v>4375.0219999999999</v>
          </cell>
          <cell r="CP133" t="str">
            <v>2137/10</v>
          </cell>
          <cell r="CQ133">
            <v>40448</v>
          </cell>
          <cell r="CR133">
            <v>40627</v>
          </cell>
          <cell r="CS133" t="str">
            <v>2010-0.239.381-3</v>
          </cell>
          <cell r="CT133" t="str">
            <v>JOSE AMERICO DA SILVA JUNIOR</v>
          </cell>
          <cell r="CU133" t="str">
            <v>014.316.718-94</v>
          </cell>
          <cell r="CV133">
            <v>106086</v>
          </cell>
          <cell r="CW133">
            <v>6039.474666666667</v>
          </cell>
          <cell r="CX133">
            <v>163.06581600000004</v>
          </cell>
          <cell r="CY133">
            <v>30.197373333333339</v>
          </cell>
          <cell r="CZ133">
            <v>3623.6848</v>
          </cell>
          <cell r="DA133">
            <v>309.70907999999997</v>
          </cell>
          <cell r="DD133">
            <v>309.70907999999997</v>
          </cell>
        </row>
        <row r="134">
          <cell r="C134" t="str">
            <v>2019/10</v>
          </cell>
          <cell r="D134" t="str">
            <v>01/01 A 31/01/11</v>
          </cell>
          <cell r="E134" t="str">
            <v>JOSE CARDOSO DE ARAUJO</v>
          </cell>
          <cell r="F134" t="str">
            <v>EMEI</v>
          </cell>
          <cell r="G134">
            <v>14</v>
          </cell>
          <cell r="H134">
            <v>14</v>
          </cell>
          <cell r="I134">
            <v>14</v>
          </cell>
          <cell r="J134">
            <v>90620</v>
          </cell>
          <cell r="K134">
            <v>26</v>
          </cell>
          <cell r="L134">
            <v>23</v>
          </cell>
          <cell r="M134">
            <v>0</v>
          </cell>
          <cell r="N134">
            <v>90620</v>
          </cell>
          <cell r="O134">
            <v>31</v>
          </cell>
          <cell r="P134">
            <v>23</v>
          </cell>
          <cell r="Q134">
            <v>0</v>
          </cell>
          <cell r="R134">
            <v>90620</v>
          </cell>
          <cell r="S134">
            <v>34</v>
          </cell>
          <cell r="T134">
            <v>23</v>
          </cell>
          <cell r="U134">
            <v>0</v>
          </cell>
          <cell r="W134">
            <v>1</v>
          </cell>
          <cell r="Y134">
            <v>1</v>
          </cell>
          <cell r="AA134">
            <v>1</v>
          </cell>
          <cell r="AB134">
            <v>0</v>
          </cell>
          <cell r="AD134">
            <v>2</v>
          </cell>
          <cell r="AE134">
            <v>1</v>
          </cell>
          <cell r="AF134">
            <v>2</v>
          </cell>
          <cell r="AG134">
            <v>1</v>
          </cell>
          <cell r="AH134">
            <v>2</v>
          </cell>
          <cell r="AI134">
            <v>1</v>
          </cell>
          <cell r="AJ134">
            <v>2</v>
          </cell>
          <cell r="AK134" t="str">
            <v>3 e 22</v>
          </cell>
          <cell r="AL134">
            <v>16</v>
          </cell>
          <cell r="AM134">
            <v>30</v>
          </cell>
          <cell r="AN134">
            <v>22</v>
          </cell>
          <cell r="AO134">
            <v>91</v>
          </cell>
          <cell r="AP134">
            <v>69</v>
          </cell>
          <cell r="AS134">
            <v>2006</v>
          </cell>
          <cell r="AT134">
            <v>25</v>
          </cell>
          <cell r="AU134">
            <v>23</v>
          </cell>
          <cell r="AV134">
            <v>91</v>
          </cell>
          <cell r="AW134">
            <v>0.25</v>
          </cell>
          <cell r="AX134">
            <v>1456</v>
          </cell>
          <cell r="AY134">
            <v>364</v>
          </cell>
          <cell r="AZ134">
            <v>36.880000000000003</v>
          </cell>
          <cell r="BA134">
            <v>23</v>
          </cell>
          <cell r="BB134">
            <v>622.04266666666672</v>
          </cell>
          <cell r="BC134">
            <v>36.880000000000003</v>
          </cell>
          <cell r="BD134">
            <v>23</v>
          </cell>
          <cell r="BE134">
            <v>622.04266666666672</v>
          </cell>
          <cell r="BF134">
            <v>36.880000000000003</v>
          </cell>
          <cell r="BG134">
            <v>23</v>
          </cell>
          <cell r="BH134">
            <v>622.04266666666672</v>
          </cell>
          <cell r="BI134">
            <v>0</v>
          </cell>
          <cell r="BJ134">
            <v>0</v>
          </cell>
          <cell r="BK134">
            <v>1866.1280000000002</v>
          </cell>
          <cell r="BL134">
            <v>3509.14</v>
          </cell>
          <cell r="BM134">
            <v>3509.14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13</v>
          </cell>
          <cell r="BS134">
            <v>15.5</v>
          </cell>
          <cell r="BT134">
            <v>17</v>
          </cell>
          <cell r="BU134">
            <v>45.5</v>
          </cell>
          <cell r="BY134">
            <v>5693.768</v>
          </cell>
          <cell r="CP134" t="str">
            <v>2367/10</v>
          </cell>
          <cell r="CQ134">
            <v>40448</v>
          </cell>
          <cell r="CR134">
            <v>40627</v>
          </cell>
          <cell r="CS134" t="str">
            <v>2010-0.245.766-8</v>
          </cell>
          <cell r="CT134" t="str">
            <v>JOSÉ AMORIM NOVAIS</v>
          </cell>
          <cell r="CU134">
            <v>48706833500</v>
          </cell>
          <cell r="CV134">
            <v>106452</v>
          </cell>
          <cell r="CW134">
            <v>4614.2119999999995</v>
          </cell>
          <cell r="CX134">
            <v>124.583724</v>
          </cell>
          <cell r="CY134">
            <v>23.071060000000003</v>
          </cell>
          <cell r="CZ134">
            <v>2768.5271999999995</v>
          </cell>
          <cell r="DA134">
            <v>134.33907999999991</v>
          </cell>
          <cell r="DD134">
            <v>134.33907999999991</v>
          </cell>
        </row>
        <row r="135">
          <cell r="C135" t="str">
            <v>2139/10</v>
          </cell>
          <cell r="D135" t="str">
            <v>01/01 A 31/01/11</v>
          </cell>
          <cell r="E135" t="str">
            <v>JOSE CARLOS DOMINGOS DE SOUZA</v>
          </cell>
          <cell r="F135" t="str">
            <v>EMEI</v>
          </cell>
          <cell r="G135">
            <v>14</v>
          </cell>
          <cell r="H135">
            <v>14</v>
          </cell>
          <cell r="I135">
            <v>14</v>
          </cell>
          <cell r="J135">
            <v>19213</v>
          </cell>
          <cell r="K135">
            <v>39</v>
          </cell>
          <cell r="L135">
            <v>27</v>
          </cell>
          <cell r="M135">
            <v>0</v>
          </cell>
          <cell r="N135">
            <v>19213</v>
          </cell>
          <cell r="O135">
            <v>25</v>
          </cell>
          <cell r="P135">
            <v>27</v>
          </cell>
          <cell r="Q135">
            <v>0</v>
          </cell>
          <cell r="R135">
            <v>19213</v>
          </cell>
          <cell r="S135">
            <v>51</v>
          </cell>
          <cell r="T135">
            <v>27</v>
          </cell>
          <cell r="U135">
            <v>0</v>
          </cell>
          <cell r="W135">
            <v>1</v>
          </cell>
          <cell r="Y135">
            <v>1</v>
          </cell>
          <cell r="AA135">
            <v>1</v>
          </cell>
          <cell r="AB135">
            <v>0</v>
          </cell>
          <cell r="AD135">
            <v>2</v>
          </cell>
          <cell r="AE135">
            <v>1</v>
          </cell>
          <cell r="AF135">
            <v>2</v>
          </cell>
          <cell r="AG135">
            <v>1</v>
          </cell>
          <cell r="AH135">
            <v>2</v>
          </cell>
          <cell r="AI135">
            <v>1</v>
          </cell>
          <cell r="AJ135">
            <v>2</v>
          </cell>
          <cell r="AK135" t="str">
            <v>1, 9, 10 e 13</v>
          </cell>
          <cell r="AL135">
            <v>16</v>
          </cell>
          <cell r="AM135">
            <v>30</v>
          </cell>
          <cell r="AN135">
            <v>22</v>
          </cell>
          <cell r="AO135">
            <v>115</v>
          </cell>
          <cell r="AP135">
            <v>81</v>
          </cell>
          <cell r="AS135">
            <v>2007</v>
          </cell>
          <cell r="AT135">
            <v>29</v>
          </cell>
          <cell r="AU135">
            <v>27</v>
          </cell>
          <cell r="AV135">
            <v>115</v>
          </cell>
          <cell r="AW135">
            <v>0.25</v>
          </cell>
          <cell r="AX135">
            <v>1840</v>
          </cell>
          <cell r="AY135">
            <v>460</v>
          </cell>
          <cell r="AZ135">
            <v>36.880000000000003</v>
          </cell>
          <cell r="BA135">
            <v>27</v>
          </cell>
          <cell r="BB135">
            <v>730.22400000000005</v>
          </cell>
          <cell r="BC135">
            <v>36.880000000000003</v>
          </cell>
          <cell r="BD135">
            <v>27</v>
          </cell>
          <cell r="BE135">
            <v>730.22400000000005</v>
          </cell>
          <cell r="BF135">
            <v>36.880000000000003</v>
          </cell>
          <cell r="BG135">
            <v>27</v>
          </cell>
          <cell r="BH135">
            <v>730.22400000000005</v>
          </cell>
          <cell r="BI135">
            <v>0</v>
          </cell>
          <cell r="BJ135">
            <v>0</v>
          </cell>
          <cell r="BK135">
            <v>2190.672</v>
          </cell>
          <cell r="BL135">
            <v>3618.12</v>
          </cell>
          <cell r="BM135">
            <v>3618.12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19.5</v>
          </cell>
          <cell r="BS135">
            <v>12.5</v>
          </cell>
          <cell r="BT135">
            <v>25.5</v>
          </cell>
          <cell r="BU135">
            <v>57.5</v>
          </cell>
          <cell r="BY135">
            <v>6211.2919999999995</v>
          </cell>
          <cell r="CP135" t="str">
            <v>2720/10</v>
          </cell>
          <cell r="CQ135">
            <v>40469</v>
          </cell>
          <cell r="CR135">
            <v>40648</v>
          </cell>
          <cell r="CS135" t="str">
            <v>2010-0.277.047-1</v>
          </cell>
          <cell r="CT135" t="str">
            <v>JOSE ANTERO BEZERRA DE ALMEIDA</v>
          </cell>
          <cell r="CU135">
            <v>57350442300</v>
          </cell>
          <cell r="CV135">
            <v>115311</v>
          </cell>
          <cell r="CW135">
            <v>6168.6106666666665</v>
          </cell>
          <cell r="CX135">
            <v>166.55248800000001</v>
          </cell>
          <cell r="CY135">
            <v>30.843053333333337</v>
          </cell>
          <cell r="CZ135">
            <v>3701.1663999999996</v>
          </cell>
          <cell r="DA135">
            <v>327.14243999999997</v>
          </cell>
          <cell r="DD135">
            <v>327.14243999999997</v>
          </cell>
        </row>
        <row r="136">
          <cell r="C136" t="str">
            <v>2663/10</v>
          </cell>
          <cell r="D136" t="str">
            <v>01/01 A 31/01/11</v>
          </cell>
          <cell r="E136" t="str">
            <v>JOSE CARLOS RODRIGUES DE OLIVEIRA</v>
          </cell>
          <cell r="F136" t="str">
            <v>EMEF</v>
          </cell>
          <cell r="G136">
            <v>16</v>
          </cell>
          <cell r="H136">
            <v>16</v>
          </cell>
          <cell r="I136">
            <v>16</v>
          </cell>
          <cell r="J136">
            <v>19194</v>
          </cell>
          <cell r="K136">
            <v>46</v>
          </cell>
          <cell r="L136">
            <v>17</v>
          </cell>
          <cell r="M136">
            <v>0</v>
          </cell>
          <cell r="N136">
            <v>19194</v>
          </cell>
          <cell r="O136">
            <v>50</v>
          </cell>
          <cell r="P136">
            <v>17</v>
          </cell>
          <cell r="Q136">
            <v>0</v>
          </cell>
          <cell r="R136">
            <v>19291</v>
          </cell>
          <cell r="S136">
            <v>70</v>
          </cell>
          <cell r="T136">
            <v>34</v>
          </cell>
          <cell r="U136">
            <v>0</v>
          </cell>
          <cell r="W136">
            <v>1</v>
          </cell>
          <cell r="Y136">
            <v>1</v>
          </cell>
          <cell r="AA136">
            <v>1</v>
          </cell>
          <cell r="AB136">
            <v>0</v>
          </cell>
          <cell r="AE136">
            <v>1</v>
          </cell>
          <cell r="AG136">
            <v>1</v>
          </cell>
          <cell r="AI136">
            <v>1</v>
          </cell>
          <cell r="AJ136">
            <v>0</v>
          </cell>
          <cell r="AL136">
            <v>16</v>
          </cell>
          <cell r="AM136">
            <v>30</v>
          </cell>
          <cell r="AN136">
            <v>22</v>
          </cell>
          <cell r="AO136">
            <v>166</v>
          </cell>
          <cell r="AP136">
            <v>68</v>
          </cell>
          <cell r="AS136">
            <v>1998</v>
          </cell>
          <cell r="AT136">
            <v>20</v>
          </cell>
          <cell r="AU136">
            <v>18</v>
          </cell>
          <cell r="AV136">
            <v>166</v>
          </cell>
          <cell r="AW136">
            <v>0.25</v>
          </cell>
          <cell r="AX136">
            <v>2656</v>
          </cell>
          <cell r="AY136">
            <v>664</v>
          </cell>
          <cell r="AZ136">
            <v>36.880000000000003</v>
          </cell>
          <cell r="BA136">
            <v>17</v>
          </cell>
          <cell r="BB136">
            <v>459.77066666666667</v>
          </cell>
          <cell r="BC136">
            <v>36.880000000000003</v>
          </cell>
          <cell r="BD136">
            <v>17</v>
          </cell>
          <cell r="BE136">
            <v>459.77066666666667</v>
          </cell>
          <cell r="BF136">
            <v>36.880000000000003</v>
          </cell>
          <cell r="BG136">
            <v>34</v>
          </cell>
          <cell r="BH136">
            <v>919.54133333333334</v>
          </cell>
          <cell r="BI136">
            <v>0</v>
          </cell>
          <cell r="BJ136">
            <v>0</v>
          </cell>
          <cell r="BK136">
            <v>1839.0826666666667</v>
          </cell>
          <cell r="BL136">
            <v>1906.28</v>
          </cell>
          <cell r="BM136">
            <v>1906.28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Y136">
            <v>4409.362666666666</v>
          </cell>
          <cell r="CP136" t="str">
            <v>2574/10</v>
          </cell>
          <cell r="CQ136">
            <v>40462</v>
          </cell>
          <cell r="CR136">
            <v>40641</v>
          </cell>
          <cell r="CS136" t="str">
            <v>2010-0.268.757-4</v>
          </cell>
          <cell r="CT136" t="str">
            <v>JOSE AUGUSTO DA SILVA OLIVEIRA</v>
          </cell>
          <cell r="CU136">
            <v>26481079837</v>
          </cell>
          <cell r="CV136">
            <v>114099</v>
          </cell>
          <cell r="CW136">
            <v>4375.0219999999999</v>
          </cell>
          <cell r="CX136">
            <v>118.12559400000001</v>
          </cell>
          <cell r="CY136">
            <v>21.875110000000003</v>
          </cell>
          <cell r="CZ136">
            <v>2625.0131999999999</v>
          </cell>
          <cell r="DA136">
            <v>112.81197999999995</v>
          </cell>
          <cell r="DD136">
            <v>112.81197999999995</v>
          </cell>
        </row>
        <row r="137">
          <cell r="C137" t="str">
            <v>1782/10</v>
          </cell>
          <cell r="D137" t="str">
            <v>01/01 A 31/01/11</v>
          </cell>
          <cell r="E137" t="str">
            <v>JOSE DO NASCIMENTO RAMOS</v>
          </cell>
          <cell r="F137" t="str">
            <v>EMEI</v>
          </cell>
          <cell r="G137">
            <v>16</v>
          </cell>
          <cell r="H137">
            <v>16</v>
          </cell>
          <cell r="I137">
            <v>16</v>
          </cell>
          <cell r="J137">
            <v>19210</v>
          </cell>
          <cell r="K137">
            <v>29</v>
          </cell>
          <cell r="L137">
            <v>17</v>
          </cell>
          <cell r="M137">
            <v>0</v>
          </cell>
          <cell r="N137">
            <v>19210</v>
          </cell>
          <cell r="O137">
            <v>28</v>
          </cell>
          <cell r="P137">
            <v>16</v>
          </cell>
          <cell r="Q137">
            <v>0</v>
          </cell>
          <cell r="R137">
            <v>19210</v>
          </cell>
          <cell r="S137">
            <v>28</v>
          </cell>
          <cell r="T137">
            <v>17</v>
          </cell>
          <cell r="U137">
            <v>0</v>
          </cell>
          <cell r="W137">
            <v>1</v>
          </cell>
          <cell r="Y137">
            <v>1</v>
          </cell>
          <cell r="AA137">
            <v>1</v>
          </cell>
          <cell r="AB137">
            <v>0</v>
          </cell>
          <cell r="AE137">
            <v>1</v>
          </cell>
          <cell r="AG137">
            <v>1</v>
          </cell>
          <cell r="AI137">
            <v>1</v>
          </cell>
          <cell r="AJ137">
            <v>0</v>
          </cell>
          <cell r="AL137">
            <v>16</v>
          </cell>
          <cell r="AM137">
            <v>30</v>
          </cell>
          <cell r="AN137">
            <v>22</v>
          </cell>
          <cell r="AO137">
            <v>85</v>
          </cell>
          <cell r="AP137">
            <v>50</v>
          </cell>
          <cell r="AS137">
            <v>2009</v>
          </cell>
          <cell r="AT137">
            <v>19</v>
          </cell>
          <cell r="AU137">
            <v>17</v>
          </cell>
          <cell r="AV137">
            <v>85</v>
          </cell>
          <cell r="AW137">
            <v>0.25</v>
          </cell>
          <cell r="AX137">
            <v>1360</v>
          </cell>
          <cell r="AY137">
            <v>340</v>
          </cell>
          <cell r="AZ137">
            <v>36.880000000000003</v>
          </cell>
          <cell r="BA137">
            <v>17</v>
          </cell>
          <cell r="BB137">
            <v>459.77066666666667</v>
          </cell>
          <cell r="BC137">
            <v>36.880000000000003</v>
          </cell>
          <cell r="BD137">
            <v>16</v>
          </cell>
          <cell r="BE137">
            <v>432.72533333333337</v>
          </cell>
          <cell r="BF137">
            <v>36.880000000000003</v>
          </cell>
          <cell r="BG137">
            <v>17</v>
          </cell>
          <cell r="BH137">
            <v>459.77066666666667</v>
          </cell>
          <cell r="BI137">
            <v>0</v>
          </cell>
          <cell r="BJ137">
            <v>0</v>
          </cell>
          <cell r="BK137">
            <v>1352.2666666666669</v>
          </cell>
          <cell r="BL137">
            <v>2650.9</v>
          </cell>
          <cell r="BM137">
            <v>2650.9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Y137">
            <v>4343.166666666667</v>
          </cell>
          <cell r="CP137" t="str">
            <v>2019/10</v>
          </cell>
          <cell r="CQ137">
            <v>40441</v>
          </cell>
          <cell r="CR137">
            <v>40620</v>
          </cell>
          <cell r="CS137" t="str">
            <v>2010-0.234.917-2</v>
          </cell>
          <cell r="CT137" t="str">
            <v>JOSE CARDOSO DE ARAUJO</v>
          </cell>
          <cell r="CU137">
            <v>38493918504</v>
          </cell>
          <cell r="CV137">
            <v>104936</v>
          </cell>
          <cell r="CW137">
            <v>5693.768</v>
          </cell>
          <cell r="CX137">
            <v>153.73173600000001</v>
          </cell>
          <cell r="CY137">
            <v>28.46884</v>
          </cell>
          <cell r="CZ137">
            <v>3416.2608</v>
          </cell>
          <cell r="DA137">
            <v>263.03868</v>
          </cell>
          <cell r="DD137">
            <v>263.03868</v>
          </cell>
        </row>
        <row r="138">
          <cell r="C138" t="str">
            <v>2740/10</v>
          </cell>
          <cell r="D138" t="str">
            <v>01/01 A 31/01/11</v>
          </cell>
          <cell r="E138" t="str">
            <v>JOSE LINO DA SILVA</v>
          </cell>
          <cell r="F138" t="str">
            <v>EMEF</v>
          </cell>
          <cell r="G138">
            <v>16</v>
          </cell>
          <cell r="H138">
            <v>16</v>
          </cell>
          <cell r="I138">
            <v>16</v>
          </cell>
          <cell r="J138">
            <v>19194</v>
          </cell>
          <cell r="K138">
            <v>58</v>
          </cell>
          <cell r="L138">
            <v>27</v>
          </cell>
          <cell r="M138">
            <v>0</v>
          </cell>
          <cell r="N138">
            <v>19194</v>
          </cell>
          <cell r="O138">
            <v>63</v>
          </cell>
          <cell r="P138">
            <v>26</v>
          </cell>
          <cell r="Q138">
            <v>0</v>
          </cell>
          <cell r="R138">
            <v>19194</v>
          </cell>
          <cell r="S138">
            <v>21</v>
          </cell>
          <cell r="T138">
            <v>25</v>
          </cell>
          <cell r="U138">
            <v>0</v>
          </cell>
          <cell r="W138">
            <v>1</v>
          </cell>
          <cell r="Y138">
            <v>1</v>
          </cell>
          <cell r="AA138">
            <v>1</v>
          </cell>
          <cell r="AB138">
            <v>0</v>
          </cell>
          <cell r="AE138">
            <v>1</v>
          </cell>
          <cell r="AG138">
            <v>1</v>
          </cell>
          <cell r="AI138">
            <v>1</v>
          </cell>
          <cell r="AJ138">
            <v>0</v>
          </cell>
          <cell r="AL138">
            <v>16</v>
          </cell>
          <cell r="AM138">
            <v>30</v>
          </cell>
          <cell r="AN138">
            <v>22</v>
          </cell>
          <cell r="AO138">
            <v>142</v>
          </cell>
          <cell r="AP138">
            <v>78</v>
          </cell>
          <cell r="AS138">
            <v>2007</v>
          </cell>
          <cell r="AT138">
            <v>29</v>
          </cell>
          <cell r="AU138">
            <v>27</v>
          </cell>
          <cell r="AV138">
            <v>142</v>
          </cell>
          <cell r="AW138">
            <v>0.25</v>
          </cell>
          <cell r="AX138">
            <v>2272</v>
          </cell>
          <cell r="AY138">
            <v>568</v>
          </cell>
          <cell r="AZ138">
            <v>36.880000000000003</v>
          </cell>
          <cell r="BA138">
            <v>27</v>
          </cell>
          <cell r="BB138">
            <v>730.22400000000005</v>
          </cell>
          <cell r="BC138">
            <v>36.880000000000003</v>
          </cell>
          <cell r="BD138">
            <v>26</v>
          </cell>
          <cell r="BE138">
            <v>703.1786666666668</v>
          </cell>
          <cell r="BF138">
            <v>36.880000000000003</v>
          </cell>
          <cell r="BG138">
            <v>25</v>
          </cell>
          <cell r="BH138">
            <v>676.13333333333344</v>
          </cell>
          <cell r="BI138">
            <v>0</v>
          </cell>
          <cell r="BJ138">
            <v>0</v>
          </cell>
          <cell r="BK138">
            <v>2109.5360000000001</v>
          </cell>
          <cell r="BL138">
            <v>3618.12</v>
          </cell>
          <cell r="BM138">
            <v>3618.12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Y138">
            <v>6295.6559999999999</v>
          </cell>
          <cell r="CP138" t="str">
            <v>2139/10</v>
          </cell>
          <cell r="CQ138">
            <v>40448</v>
          </cell>
          <cell r="CR138">
            <v>40627</v>
          </cell>
          <cell r="CS138" t="str">
            <v>2010-0.239.387-2</v>
          </cell>
          <cell r="CT138" t="str">
            <v>JOSE CARLOS DOMINGOS DE SOUZA</v>
          </cell>
          <cell r="CU138" t="str">
            <v>065.191.358-60</v>
          </cell>
          <cell r="CV138">
            <v>106093</v>
          </cell>
          <cell r="CW138">
            <v>6211.2919999999995</v>
          </cell>
          <cell r="CX138">
            <v>167.70488399999999</v>
          </cell>
          <cell r="CY138">
            <v>31.056460000000001</v>
          </cell>
          <cell r="CZ138">
            <v>3726.7751999999996</v>
          </cell>
          <cell r="DA138">
            <v>332.90441999999996</v>
          </cell>
          <cell r="DD138">
            <v>332.90441999999996</v>
          </cell>
        </row>
        <row r="139">
          <cell r="C139" t="str">
            <v>1957/10</v>
          </cell>
          <cell r="D139" t="str">
            <v>01/01 A 31/01/11</v>
          </cell>
          <cell r="E139" t="str">
            <v>JOSE LINO DOS REIS</v>
          </cell>
          <cell r="F139" t="str">
            <v>EMEF</v>
          </cell>
          <cell r="G139">
            <v>16</v>
          </cell>
          <cell r="H139">
            <v>16</v>
          </cell>
          <cell r="I139">
            <v>16</v>
          </cell>
          <cell r="J139">
            <v>93416</v>
          </cell>
          <cell r="K139">
            <v>16</v>
          </cell>
          <cell r="L139">
            <v>7</v>
          </cell>
          <cell r="M139">
            <v>0</v>
          </cell>
          <cell r="N139">
            <v>93416</v>
          </cell>
          <cell r="O139">
            <v>17</v>
          </cell>
          <cell r="P139">
            <v>12</v>
          </cell>
          <cell r="Q139">
            <v>0</v>
          </cell>
          <cell r="R139">
            <v>0</v>
          </cell>
          <cell r="U139">
            <v>0</v>
          </cell>
          <cell r="W139">
            <v>1</v>
          </cell>
          <cell r="Y139">
            <v>1</v>
          </cell>
          <cell r="AA139">
            <v>0</v>
          </cell>
          <cell r="AB139">
            <v>0</v>
          </cell>
          <cell r="AE139">
            <v>1</v>
          </cell>
          <cell r="AG139">
            <v>1</v>
          </cell>
          <cell r="AI139">
            <v>0</v>
          </cell>
          <cell r="AJ139">
            <v>0</v>
          </cell>
          <cell r="AL139">
            <v>16</v>
          </cell>
          <cell r="AM139">
            <v>30</v>
          </cell>
          <cell r="AN139">
            <v>22</v>
          </cell>
          <cell r="AO139">
            <v>33</v>
          </cell>
          <cell r="AP139">
            <v>19</v>
          </cell>
          <cell r="AS139">
            <v>2000</v>
          </cell>
          <cell r="AT139">
            <v>14</v>
          </cell>
          <cell r="AU139">
            <v>12</v>
          </cell>
          <cell r="AV139">
            <v>33</v>
          </cell>
          <cell r="AW139">
            <v>0.25</v>
          </cell>
          <cell r="AX139">
            <v>528</v>
          </cell>
          <cell r="AY139">
            <v>132</v>
          </cell>
          <cell r="AZ139">
            <v>36.880000000000003</v>
          </cell>
          <cell r="BA139">
            <v>7</v>
          </cell>
          <cell r="BB139">
            <v>189.31733333333335</v>
          </cell>
          <cell r="BC139">
            <v>36.880000000000003</v>
          </cell>
          <cell r="BD139">
            <v>12</v>
          </cell>
          <cell r="BE139">
            <v>324.54400000000004</v>
          </cell>
          <cell r="BF139">
            <v>36.880000000000003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513.86133333333339</v>
          </cell>
          <cell r="BL139">
            <v>2041.67</v>
          </cell>
          <cell r="BM139">
            <v>2041.67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Y139">
            <v>2687.5313333333334</v>
          </cell>
          <cell r="CP139" t="str">
            <v>2663/10</v>
          </cell>
          <cell r="CQ139">
            <v>40462</v>
          </cell>
          <cell r="CR139">
            <v>40641</v>
          </cell>
          <cell r="CS139" t="str">
            <v>2010-0.270.691-9</v>
          </cell>
          <cell r="CT139" t="str">
            <v>JOSE CARLOS RODRIGUES DE OLIVEIRA</v>
          </cell>
          <cell r="CU139">
            <v>25608663829</v>
          </cell>
          <cell r="CV139">
            <v>114100</v>
          </cell>
          <cell r="CW139">
            <v>4409.362666666666</v>
          </cell>
          <cell r="CX139">
            <v>119.05279199999998</v>
          </cell>
          <cell r="CY139">
            <v>22.046813333333333</v>
          </cell>
          <cell r="CZ139">
            <v>2645.6175999999996</v>
          </cell>
          <cell r="DA139">
            <v>115.90263999999991</v>
          </cell>
          <cell r="DD139">
            <v>115.90263999999991</v>
          </cell>
        </row>
        <row r="140">
          <cell r="C140" t="str">
            <v>1917/10</v>
          </cell>
          <cell r="D140" t="str">
            <v>01/01 A 31/01/11</v>
          </cell>
          <cell r="E140" t="str">
            <v>JOSE LOPES LIMA</v>
          </cell>
          <cell r="F140" t="str">
            <v>EMEI</v>
          </cell>
          <cell r="G140">
            <v>16</v>
          </cell>
          <cell r="H140">
            <v>16</v>
          </cell>
          <cell r="I140">
            <v>16</v>
          </cell>
          <cell r="J140">
            <v>19151</v>
          </cell>
          <cell r="K140">
            <v>28</v>
          </cell>
          <cell r="L140">
            <v>27</v>
          </cell>
          <cell r="M140">
            <v>0</v>
          </cell>
          <cell r="N140">
            <v>19151</v>
          </cell>
          <cell r="O140">
            <v>21</v>
          </cell>
          <cell r="P140">
            <v>26</v>
          </cell>
          <cell r="Q140">
            <v>0</v>
          </cell>
          <cell r="R140">
            <v>19151</v>
          </cell>
          <cell r="S140">
            <v>23</v>
          </cell>
          <cell r="T140">
            <v>27</v>
          </cell>
          <cell r="U140">
            <v>0</v>
          </cell>
          <cell r="W140">
            <v>1</v>
          </cell>
          <cell r="Y140">
            <v>1</v>
          </cell>
          <cell r="AA140">
            <v>1</v>
          </cell>
          <cell r="AB140">
            <v>0</v>
          </cell>
          <cell r="AE140">
            <v>1</v>
          </cell>
          <cell r="AG140">
            <v>1</v>
          </cell>
          <cell r="AI140">
            <v>1</v>
          </cell>
          <cell r="AJ140">
            <v>0</v>
          </cell>
          <cell r="AL140">
            <v>16</v>
          </cell>
          <cell r="AM140">
            <v>30</v>
          </cell>
          <cell r="AN140">
            <v>22</v>
          </cell>
          <cell r="AO140">
            <v>72</v>
          </cell>
          <cell r="AP140">
            <v>80</v>
          </cell>
          <cell r="AS140">
            <v>2007</v>
          </cell>
          <cell r="AT140">
            <v>29</v>
          </cell>
          <cell r="AU140">
            <v>27</v>
          </cell>
          <cell r="AV140">
            <v>72</v>
          </cell>
          <cell r="AW140">
            <v>0.25</v>
          </cell>
          <cell r="AX140">
            <v>1152</v>
          </cell>
          <cell r="AY140">
            <v>288</v>
          </cell>
          <cell r="AZ140">
            <v>36.880000000000003</v>
          </cell>
          <cell r="BA140">
            <v>27</v>
          </cell>
          <cell r="BB140">
            <v>730.22400000000005</v>
          </cell>
          <cell r="BC140">
            <v>36.880000000000003</v>
          </cell>
          <cell r="BD140">
            <v>26</v>
          </cell>
          <cell r="BE140">
            <v>703.1786666666668</v>
          </cell>
          <cell r="BF140">
            <v>36.880000000000003</v>
          </cell>
          <cell r="BG140">
            <v>27</v>
          </cell>
          <cell r="BH140">
            <v>730.22400000000005</v>
          </cell>
          <cell r="BI140">
            <v>0</v>
          </cell>
          <cell r="BJ140">
            <v>0</v>
          </cell>
          <cell r="BK140">
            <v>2163.626666666667</v>
          </cell>
          <cell r="BL140">
            <v>3618.12</v>
          </cell>
          <cell r="BM140">
            <v>3618.12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Y140">
            <v>6069.7466666666669</v>
          </cell>
          <cell r="CP140" t="str">
            <v>1782/10</v>
          </cell>
          <cell r="CQ140">
            <v>40427</v>
          </cell>
          <cell r="CR140">
            <v>40606</v>
          </cell>
          <cell r="CS140" t="str">
            <v>2010-0.225.031-1</v>
          </cell>
          <cell r="CT140" t="str">
            <v>JOSE DO NASCIMENTO RAMOS</v>
          </cell>
          <cell r="CU140">
            <v>10300656831</v>
          </cell>
          <cell r="CV140">
            <v>97033</v>
          </cell>
          <cell r="CW140">
            <v>4343.166666666667</v>
          </cell>
          <cell r="CX140">
            <v>117.26550000000002</v>
          </cell>
          <cell r="CY140">
            <v>21.715833333333336</v>
          </cell>
          <cell r="CZ140">
            <v>2605.9</v>
          </cell>
          <cell r="DA140">
            <v>109.94499999999999</v>
          </cell>
          <cell r="DD140">
            <v>109.94499999999999</v>
          </cell>
        </row>
        <row r="141">
          <cell r="C141" t="str">
            <v>1613/10</v>
          </cell>
          <cell r="D141" t="str">
            <v>01/01 A 31/01/11</v>
          </cell>
          <cell r="E141" t="str">
            <v>JOSE MARCIANO ANICETO</v>
          </cell>
          <cell r="F141" t="str">
            <v>EMEI</v>
          </cell>
          <cell r="G141">
            <v>16</v>
          </cell>
          <cell r="H141">
            <v>16</v>
          </cell>
          <cell r="I141">
            <v>15</v>
          </cell>
          <cell r="J141">
            <v>11568</v>
          </cell>
          <cell r="K141">
            <v>58</v>
          </cell>
          <cell r="L141">
            <v>17</v>
          </cell>
          <cell r="M141">
            <v>0</v>
          </cell>
          <cell r="N141">
            <v>11568</v>
          </cell>
          <cell r="O141">
            <v>60</v>
          </cell>
          <cell r="P141">
            <v>17</v>
          </cell>
          <cell r="Q141">
            <v>0</v>
          </cell>
          <cell r="R141">
            <v>90565</v>
          </cell>
          <cell r="S141">
            <v>79</v>
          </cell>
          <cell r="T141">
            <v>17</v>
          </cell>
          <cell r="U141">
            <v>0</v>
          </cell>
          <cell r="W141">
            <v>1</v>
          </cell>
          <cell r="Y141">
            <v>1</v>
          </cell>
          <cell r="AA141">
            <v>1</v>
          </cell>
          <cell r="AB141">
            <v>0</v>
          </cell>
          <cell r="AE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0.33333333333333331</v>
          </cell>
          <cell r="AK141">
            <v>9</v>
          </cell>
          <cell r="AL141">
            <v>16</v>
          </cell>
          <cell r="AM141">
            <v>30</v>
          </cell>
          <cell r="AN141">
            <v>22</v>
          </cell>
          <cell r="AO141">
            <v>197</v>
          </cell>
          <cell r="AP141">
            <v>51</v>
          </cell>
          <cell r="AS141">
            <v>2010</v>
          </cell>
          <cell r="AT141">
            <v>19</v>
          </cell>
          <cell r="AU141">
            <v>17</v>
          </cell>
          <cell r="AV141">
            <v>197</v>
          </cell>
          <cell r="AW141">
            <v>0.25</v>
          </cell>
          <cell r="AX141">
            <v>3152</v>
          </cell>
          <cell r="AY141">
            <v>788</v>
          </cell>
          <cell r="AZ141">
            <v>36.880000000000003</v>
          </cell>
          <cell r="BA141">
            <v>17</v>
          </cell>
          <cell r="BB141">
            <v>459.77066666666667</v>
          </cell>
          <cell r="BC141">
            <v>36.880000000000003</v>
          </cell>
          <cell r="BD141">
            <v>17</v>
          </cell>
          <cell r="BE141">
            <v>459.77066666666667</v>
          </cell>
          <cell r="BF141">
            <v>36.880000000000003</v>
          </cell>
          <cell r="BG141">
            <v>17</v>
          </cell>
          <cell r="BH141">
            <v>459.77066666666667</v>
          </cell>
          <cell r="BI141">
            <v>0</v>
          </cell>
          <cell r="BJ141">
            <v>0</v>
          </cell>
          <cell r="BK141">
            <v>1379.3119999999999</v>
          </cell>
          <cell r="BL141">
            <v>2718.59</v>
          </cell>
          <cell r="BM141">
            <v>2718.59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19.75</v>
          </cell>
          <cell r="BU141">
            <v>19.75</v>
          </cell>
          <cell r="BY141">
            <v>4866.152</v>
          </cell>
          <cell r="CP141" t="str">
            <v>2740/10</v>
          </cell>
          <cell r="CQ141">
            <v>40469</v>
          </cell>
          <cell r="CR141">
            <v>40648</v>
          </cell>
          <cell r="CS141" t="str">
            <v>2010-0.277.644-5</v>
          </cell>
          <cell r="CT141" t="str">
            <v>JOSE LINO DA SILVA</v>
          </cell>
          <cell r="CU141">
            <v>92764851804</v>
          </cell>
          <cell r="CV141">
            <v>115319</v>
          </cell>
          <cell r="CW141">
            <v>6295.6559999999999</v>
          </cell>
          <cell r="CX141">
            <v>169.98271200000002</v>
          </cell>
          <cell r="CY141">
            <v>31.478280000000002</v>
          </cell>
          <cell r="CZ141">
            <v>3777.3935999999999</v>
          </cell>
          <cell r="DA141">
            <v>346.00324000000001</v>
          </cell>
          <cell r="DD141">
            <v>346.00324000000001</v>
          </cell>
        </row>
        <row r="142">
          <cell r="C142" t="str">
            <v>2607/10</v>
          </cell>
          <cell r="D142" t="str">
            <v>01/01 A 31/01/11</v>
          </cell>
          <cell r="E142" t="str">
            <v>JOSE MAXIMO DOS SANTOS FILHO</v>
          </cell>
          <cell r="F142" t="str">
            <v>EMEI</v>
          </cell>
          <cell r="G142">
            <v>16</v>
          </cell>
          <cell r="H142">
            <v>16</v>
          </cell>
          <cell r="I142">
            <v>16</v>
          </cell>
          <cell r="J142">
            <v>19151</v>
          </cell>
          <cell r="K142">
            <v>22</v>
          </cell>
          <cell r="L142">
            <v>23</v>
          </cell>
          <cell r="M142">
            <v>0</v>
          </cell>
          <cell r="N142">
            <v>19151</v>
          </cell>
          <cell r="O142">
            <v>33</v>
          </cell>
          <cell r="P142">
            <v>23</v>
          </cell>
          <cell r="Q142">
            <v>0</v>
          </cell>
          <cell r="R142">
            <v>19151</v>
          </cell>
          <cell r="S142">
            <v>24</v>
          </cell>
          <cell r="T142">
            <v>23</v>
          </cell>
          <cell r="U142">
            <v>0</v>
          </cell>
          <cell r="W142">
            <v>1</v>
          </cell>
          <cell r="Y142">
            <v>1</v>
          </cell>
          <cell r="AA142">
            <v>1</v>
          </cell>
          <cell r="AB142">
            <v>0</v>
          </cell>
          <cell r="AE142">
            <v>1</v>
          </cell>
          <cell r="AG142">
            <v>1</v>
          </cell>
          <cell r="AI142">
            <v>1</v>
          </cell>
          <cell r="AJ142">
            <v>0</v>
          </cell>
          <cell r="AL142">
            <v>16</v>
          </cell>
          <cell r="AM142">
            <v>30</v>
          </cell>
          <cell r="AN142">
            <v>22</v>
          </cell>
          <cell r="AO142">
            <v>79</v>
          </cell>
          <cell r="AP142">
            <v>69</v>
          </cell>
          <cell r="AS142">
            <v>2007</v>
          </cell>
          <cell r="AT142">
            <v>25</v>
          </cell>
          <cell r="AU142">
            <v>23</v>
          </cell>
          <cell r="AV142">
            <v>79</v>
          </cell>
          <cell r="AW142">
            <v>0.25</v>
          </cell>
          <cell r="AX142">
            <v>1264</v>
          </cell>
          <cell r="AY142">
            <v>316</v>
          </cell>
          <cell r="AZ142">
            <v>36.880000000000003</v>
          </cell>
          <cell r="BA142">
            <v>23</v>
          </cell>
          <cell r="BB142">
            <v>622.04266666666672</v>
          </cell>
          <cell r="BC142">
            <v>36.880000000000003</v>
          </cell>
          <cell r="BD142">
            <v>23</v>
          </cell>
          <cell r="BE142">
            <v>622.04266666666672</v>
          </cell>
          <cell r="BF142">
            <v>36.880000000000003</v>
          </cell>
          <cell r="BG142">
            <v>23</v>
          </cell>
          <cell r="BH142">
            <v>622.04266666666672</v>
          </cell>
          <cell r="BI142">
            <v>0</v>
          </cell>
          <cell r="BJ142">
            <v>0</v>
          </cell>
          <cell r="BK142">
            <v>1866.1280000000002</v>
          </cell>
          <cell r="BL142">
            <v>3618.12</v>
          </cell>
          <cell r="BM142">
            <v>3618.12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Y142">
            <v>5800.2479999999996</v>
          </cell>
          <cell r="CP142" t="str">
            <v>1957/10</v>
          </cell>
          <cell r="CQ142">
            <v>40441</v>
          </cell>
          <cell r="CR142">
            <v>40620</v>
          </cell>
          <cell r="CS142" t="str">
            <v>2010-0.230.786-0</v>
          </cell>
          <cell r="CT142" t="str">
            <v>JOSE LINO DOS REIS</v>
          </cell>
          <cell r="CU142" t="str">
            <v>012.958.128-35</v>
          </cell>
          <cell r="CV142">
            <v>104941</v>
          </cell>
          <cell r="CW142">
            <v>2687.5313333333334</v>
          </cell>
          <cell r="CX142">
            <v>72.563345999999996</v>
          </cell>
          <cell r="CY142">
            <v>13.437656666666667</v>
          </cell>
          <cell r="CZ142">
            <v>1612.5188000000001</v>
          </cell>
          <cell r="DA142">
            <v>8.508909999999986</v>
          </cell>
          <cell r="DD142">
            <v>-39.062180000000012</v>
          </cell>
        </row>
        <row r="143">
          <cell r="C143" t="str">
            <v>2908/10</v>
          </cell>
          <cell r="D143" t="str">
            <v>01/01 A 31/01/11</v>
          </cell>
          <cell r="E143" t="str">
            <v>JOSE MILTON FERNANDES DA SILVA</v>
          </cell>
          <cell r="F143" t="str">
            <v>EMEI</v>
          </cell>
          <cell r="G143">
            <v>15</v>
          </cell>
          <cell r="H143">
            <v>15</v>
          </cell>
          <cell r="I143">
            <v>16</v>
          </cell>
          <cell r="J143">
            <v>19682</v>
          </cell>
          <cell r="K143">
            <v>41</v>
          </cell>
          <cell r="L143">
            <v>26</v>
          </cell>
          <cell r="M143">
            <v>0</v>
          </cell>
          <cell r="N143">
            <v>19682</v>
          </cell>
          <cell r="O143">
            <v>43</v>
          </cell>
          <cell r="P143">
            <v>26</v>
          </cell>
          <cell r="Q143">
            <v>0</v>
          </cell>
          <cell r="R143">
            <v>19682</v>
          </cell>
          <cell r="S143">
            <v>78</v>
          </cell>
          <cell r="T143">
            <v>27</v>
          </cell>
          <cell r="U143">
            <v>0</v>
          </cell>
          <cell r="W143">
            <v>1</v>
          </cell>
          <cell r="Y143">
            <v>1</v>
          </cell>
          <cell r="AA143">
            <v>1</v>
          </cell>
          <cell r="AB143">
            <v>0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I143">
            <v>1</v>
          </cell>
          <cell r="AJ143">
            <v>0.66666666666666663</v>
          </cell>
          <cell r="AK143">
            <v>17</v>
          </cell>
          <cell r="AL143">
            <v>16</v>
          </cell>
          <cell r="AM143">
            <v>30</v>
          </cell>
          <cell r="AN143">
            <v>22</v>
          </cell>
          <cell r="AO143">
            <v>162</v>
          </cell>
          <cell r="AP143">
            <v>79</v>
          </cell>
          <cell r="AS143">
            <v>2007</v>
          </cell>
          <cell r="AT143">
            <v>29</v>
          </cell>
          <cell r="AU143">
            <v>27</v>
          </cell>
          <cell r="AV143">
            <v>162</v>
          </cell>
          <cell r="AW143">
            <v>0.65</v>
          </cell>
          <cell r="AX143">
            <v>2592</v>
          </cell>
          <cell r="AY143">
            <v>1684.8</v>
          </cell>
          <cell r="AZ143">
            <v>48.26</v>
          </cell>
          <cell r="BA143">
            <v>26</v>
          </cell>
          <cell r="BB143">
            <v>920.15733333333333</v>
          </cell>
          <cell r="BC143">
            <v>48.26</v>
          </cell>
          <cell r="BD143">
            <v>26</v>
          </cell>
          <cell r="BE143">
            <v>920.15733333333333</v>
          </cell>
          <cell r="BF143">
            <v>48.26</v>
          </cell>
          <cell r="BG143">
            <v>27</v>
          </cell>
          <cell r="BH143">
            <v>955.548</v>
          </cell>
          <cell r="BI143">
            <v>0</v>
          </cell>
          <cell r="BJ143">
            <v>0</v>
          </cell>
          <cell r="BK143">
            <v>2795.8626666666669</v>
          </cell>
          <cell r="BL143">
            <v>2483</v>
          </cell>
          <cell r="BM143">
            <v>2483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26.650000000000002</v>
          </cell>
          <cell r="BS143">
            <v>27.95</v>
          </cell>
          <cell r="BT143">
            <v>0</v>
          </cell>
          <cell r="BU143">
            <v>54.6</v>
          </cell>
          <cell r="BY143">
            <v>6909.0626666666667</v>
          </cell>
          <cell r="CP143" t="str">
            <v>1917/10</v>
          </cell>
          <cell r="CQ143">
            <v>40441</v>
          </cell>
          <cell r="CR143">
            <v>40620</v>
          </cell>
          <cell r="CS143" t="str">
            <v>2010-0.230.673-2</v>
          </cell>
          <cell r="CT143" t="str">
            <v>JOSE LOPES LIMA</v>
          </cell>
          <cell r="CU143" t="str">
            <v>030.569.868-00</v>
          </cell>
          <cell r="CV143">
            <v>104944</v>
          </cell>
          <cell r="CW143">
            <v>6069.7466666666669</v>
          </cell>
          <cell r="CX143">
            <v>163.88316000000003</v>
          </cell>
          <cell r="CY143">
            <v>30.348733333333339</v>
          </cell>
          <cell r="CZ143">
            <v>3641.848</v>
          </cell>
          <cell r="DA143">
            <v>313.79579999999999</v>
          </cell>
          <cell r="DD143">
            <v>313.79579999999999</v>
          </cell>
        </row>
        <row r="144">
          <cell r="C144" t="str">
            <v>2313/10</v>
          </cell>
          <cell r="D144" t="str">
            <v>01/01 A 31/01/11</v>
          </cell>
          <cell r="E144" t="str">
            <v>JOSE MOREIRA DA SILVA</v>
          </cell>
          <cell r="F144" t="str">
            <v>EMEI</v>
          </cell>
          <cell r="G144">
            <v>15</v>
          </cell>
          <cell r="H144">
            <v>15</v>
          </cell>
          <cell r="I144">
            <v>15</v>
          </cell>
          <cell r="J144">
            <v>19300</v>
          </cell>
          <cell r="K144">
            <v>100</v>
          </cell>
          <cell r="L144">
            <v>26</v>
          </cell>
          <cell r="M144">
            <v>0</v>
          </cell>
          <cell r="N144">
            <v>19300</v>
          </cell>
          <cell r="O144">
            <v>30</v>
          </cell>
          <cell r="P144">
            <v>27</v>
          </cell>
          <cell r="Q144">
            <v>0</v>
          </cell>
          <cell r="R144">
            <v>19300</v>
          </cell>
          <cell r="S144">
            <v>30</v>
          </cell>
          <cell r="T144">
            <v>27</v>
          </cell>
          <cell r="U144">
            <v>0</v>
          </cell>
          <cell r="W144">
            <v>1</v>
          </cell>
          <cell r="Y144">
            <v>1</v>
          </cell>
          <cell r="AA144">
            <v>1</v>
          </cell>
          <cell r="AB144">
            <v>0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17</v>
          </cell>
          <cell r="AL144">
            <v>16</v>
          </cell>
          <cell r="AM144">
            <v>30</v>
          </cell>
          <cell r="AN144">
            <v>22</v>
          </cell>
          <cell r="AO144">
            <v>160</v>
          </cell>
          <cell r="AP144">
            <v>80</v>
          </cell>
          <cell r="AS144">
            <v>2007</v>
          </cell>
          <cell r="AT144">
            <v>29</v>
          </cell>
          <cell r="AU144">
            <v>27</v>
          </cell>
          <cell r="AV144">
            <v>160</v>
          </cell>
          <cell r="AW144">
            <v>0.25</v>
          </cell>
          <cell r="AX144">
            <v>2560</v>
          </cell>
          <cell r="AY144">
            <v>640</v>
          </cell>
          <cell r="AZ144">
            <v>36.880000000000003</v>
          </cell>
          <cell r="BA144">
            <v>26</v>
          </cell>
          <cell r="BB144">
            <v>703.1786666666668</v>
          </cell>
          <cell r="BC144">
            <v>36.880000000000003</v>
          </cell>
          <cell r="BD144">
            <v>27</v>
          </cell>
          <cell r="BE144">
            <v>730.22400000000005</v>
          </cell>
          <cell r="BF144">
            <v>36.880000000000003</v>
          </cell>
          <cell r="BG144">
            <v>27</v>
          </cell>
          <cell r="BH144">
            <v>730.22400000000005</v>
          </cell>
          <cell r="BI144">
            <v>0</v>
          </cell>
          <cell r="BJ144">
            <v>0</v>
          </cell>
          <cell r="BK144">
            <v>2163.626666666667</v>
          </cell>
          <cell r="BL144">
            <v>3618.12</v>
          </cell>
          <cell r="BM144">
            <v>3618.12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25</v>
          </cell>
          <cell r="BS144">
            <v>7.5</v>
          </cell>
          <cell r="BT144">
            <v>7.5</v>
          </cell>
          <cell r="BU144">
            <v>40</v>
          </cell>
          <cell r="BY144">
            <v>6381.7466666666669</v>
          </cell>
          <cell r="CP144" t="str">
            <v>1613/10</v>
          </cell>
          <cell r="CQ144">
            <v>40392</v>
          </cell>
          <cell r="CR144">
            <v>40571</v>
          </cell>
          <cell r="CS144" t="str">
            <v>2010-0.184.626-1</v>
          </cell>
          <cell r="CT144" t="str">
            <v>JOSE MARCIANO ANICETO</v>
          </cell>
          <cell r="CU144" t="str">
            <v>075.934.478-71</v>
          </cell>
          <cell r="CV144">
            <v>86011</v>
          </cell>
          <cell r="CW144">
            <v>4866.152</v>
          </cell>
          <cell r="CX144">
            <v>131.38610400000002</v>
          </cell>
          <cell r="CY144">
            <v>24.330760000000001</v>
          </cell>
          <cell r="CZ144">
            <v>2919.6911999999998</v>
          </cell>
          <cell r="DA144">
            <v>157.01367999999997</v>
          </cell>
          <cell r="DD144">
            <v>157.01367999999997</v>
          </cell>
        </row>
        <row r="145">
          <cell r="C145" t="str">
            <v>2890/10</v>
          </cell>
          <cell r="D145" t="str">
            <v>01/01 A 31/01/11</v>
          </cell>
          <cell r="E145" t="str">
            <v>JOSE PEREIRA DA MATA</v>
          </cell>
          <cell r="F145" t="str">
            <v>EMEF</v>
          </cell>
          <cell r="G145">
            <v>16</v>
          </cell>
          <cell r="H145">
            <v>16</v>
          </cell>
          <cell r="I145">
            <v>16</v>
          </cell>
          <cell r="J145">
            <v>93416</v>
          </cell>
          <cell r="K145">
            <v>9</v>
          </cell>
          <cell r="L145">
            <v>13</v>
          </cell>
          <cell r="M145">
            <v>0</v>
          </cell>
          <cell r="N145">
            <v>93416</v>
          </cell>
          <cell r="O145">
            <v>19</v>
          </cell>
          <cell r="P145">
            <v>18</v>
          </cell>
          <cell r="Q145">
            <v>0</v>
          </cell>
          <cell r="R145">
            <v>93416</v>
          </cell>
          <cell r="S145">
            <v>16</v>
          </cell>
          <cell r="T145">
            <v>11</v>
          </cell>
          <cell r="U145">
            <v>0</v>
          </cell>
          <cell r="W145">
            <v>1</v>
          </cell>
          <cell r="Y145">
            <v>1</v>
          </cell>
          <cell r="AA145">
            <v>1</v>
          </cell>
          <cell r="AB145">
            <v>0</v>
          </cell>
          <cell r="AE145">
            <v>1</v>
          </cell>
          <cell r="AG145">
            <v>1</v>
          </cell>
          <cell r="AI145">
            <v>1</v>
          </cell>
          <cell r="AJ145">
            <v>0</v>
          </cell>
          <cell r="AL145">
            <v>16</v>
          </cell>
          <cell r="AM145">
            <v>30</v>
          </cell>
          <cell r="AN145">
            <v>22</v>
          </cell>
          <cell r="AO145">
            <v>44</v>
          </cell>
          <cell r="AP145">
            <v>42</v>
          </cell>
          <cell r="AS145">
            <v>1999</v>
          </cell>
          <cell r="AT145">
            <v>20</v>
          </cell>
          <cell r="AU145">
            <v>18</v>
          </cell>
          <cell r="AV145">
            <v>44</v>
          </cell>
          <cell r="AW145">
            <v>0.65</v>
          </cell>
          <cell r="AX145">
            <v>704</v>
          </cell>
          <cell r="AY145">
            <v>457.6</v>
          </cell>
          <cell r="AZ145">
            <v>48.26</v>
          </cell>
          <cell r="BA145">
            <v>13</v>
          </cell>
          <cell r="BB145">
            <v>460.07866666666666</v>
          </cell>
          <cell r="BC145">
            <v>48.26</v>
          </cell>
          <cell r="BD145">
            <v>18</v>
          </cell>
          <cell r="BE145">
            <v>637.03200000000004</v>
          </cell>
          <cell r="BF145">
            <v>48.26</v>
          </cell>
          <cell r="BG145">
            <v>11</v>
          </cell>
          <cell r="BH145">
            <v>389.29733333333337</v>
          </cell>
          <cell r="BI145">
            <v>0</v>
          </cell>
          <cell r="BJ145">
            <v>0</v>
          </cell>
          <cell r="BK145">
            <v>1486.4080000000001</v>
          </cell>
          <cell r="BL145">
            <v>1291</v>
          </cell>
          <cell r="BM145">
            <v>1291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Y145">
            <v>3235.0079999999998</v>
          </cell>
          <cell r="CP145" t="str">
            <v>2607/10</v>
          </cell>
          <cell r="CQ145">
            <v>40462</v>
          </cell>
          <cell r="CR145">
            <v>40641</v>
          </cell>
          <cell r="CS145" t="str">
            <v>2010-0.270.462-2</v>
          </cell>
          <cell r="CT145" t="str">
            <v>JOSE MAXIMO DOS SANTOS FILHO</v>
          </cell>
          <cell r="CU145">
            <v>21387508504</v>
          </cell>
          <cell r="CV145">
            <v>114101</v>
          </cell>
          <cell r="CW145">
            <v>5800.2479999999996</v>
          </cell>
          <cell r="CX145">
            <v>156.60669600000003</v>
          </cell>
          <cell r="CY145">
            <v>29.001240000000003</v>
          </cell>
          <cell r="CZ145">
            <v>3480.1487999999995</v>
          </cell>
          <cell r="DA145">
            <v>277.41347999999994</v>
          </cell>
          <cell r="DD145">
            <v>277.41347999999994</v>
          </cell>
        </row>
        <row r="146">
          <cell r="C146" t="str">
            <v>2216/10</v>
          </cell>
          <cell r="D146" t="str">
            <v>01/01 A 31/01/11</v>
          </cell>
          <cell r="E146" t="str">
            <v>JOSE RAMON CREO CARAU</v>
          </cell>
          <cell r="F146" t="str">
            <v>CONVENIADA</v>
          </cell>
          <cell r="G146">
            <v>16</v>
          </cell>
          <cell r="H146">
            <v>16</v>
          </cell>
          <cell r="I146">
            <v>16</v>
          </cell>
          <cell r="J146">
            <v>0</v>
          </cell>
          <cell r="K146">
            <v>96</v>
          </cell>
          <cell r="L146">
            <v>8</v>
          </cell>
          <cell r="M146">
            <v>0</v>
          </cell>
          <cell r="N146">
            <v>0</v>
          </cell>
          <cell r="O146">
            <v>86</v>
          </cell>
          <cell r="P146">
            <v>7</v>
          </cell>
          <cell r="Q146">
            <v>0</v>
          </cell>
          <cell r="R146">
            <v>0</v>
          </cell>
          <cell r="U146">
            <v>0</v>
          </cell>
          <cell r="W146">
            <v>1</v>
          </cell>
          <cell r="Y146">
            <v>1</v>
          </cell>
          <cell r="AA146">
            <v>0</v>
          </cell>
          <cell r="AB146">
            <v>0</v>
          </cell>
          <cell r="AE146">
            <v>1</v>
          </cell>
          <cell r="AG146">
            <v>1</v>
          </cell>
          <cell r="AI146">
            <v>0</v>
          </cell>
          <cell r="AJ146">
            <v>0</v>
          </cell>
          <cell r="AL146">
            <v>16</v>
          </cell>
          <cell r="AM146">
            <v>30</v>
          </cell>
          <cell r="AN146">
            <v>22</v>
          </cell>
          <cell r="AO146">
            <v>182</v>
          </cell>
          <cell r="AP146">
            <v>15</v>
          </cell>
          <cell r="AS146">
            <v>2005</v>
          </cell>
          <cell r="AT146">
            <v>29</v>
          </cell>
          <cell r="AU146">
            <v>27</v>
          </cell>
          <cell r="AV146">
            <v>182</v>
          </cell>
          <cell r="AW146">
            <v>0.25</v>
          </cell>
          <cell r="AX146">
            <v>2912</v>
          </cell>
          <cell r="AY146">
            <v>728</v>
          </cell>
          <cell r="AZ146">
            <v>2544.7199999999998</v>
          </cell>
          <cell r="BA146">
            <v>8</v>
          </cell>
          <cell r="BB146">
            <v>1866.1279999999999</v>
          </cell>
          <cell r="BC146">
            <v>0</v>
          </cell>
          <cell r="BD146">
            <v>7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1866.1279999999999</v>
          </cell>
          <cell r="BL146">
            <v>3400.17</v>
          </cell>
          <cell r="BM146">
            <v>3400.17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Y146">
            <v>5994.2979999999998</v>
          </cell>
          <cell r="CP146" t="str">
            <v>2908/10</v>
          </cell>
          <cell r="CQ146">
            <v>40483</v>
          </cell>
          <cell r="CR146">
            <v>40662</v>
          </cell>
          <cell r="CS146" t="str">
            <v>2010-0.283.575-1</v>
          </cell>
          <cell r="CT146" t="str">
            <v>JOSE MILTON FERNANDES DA SILVA</v>
          </cell>
          <cell r="CU146">
            <v>54016908604</v>
          </cell>
          <cell r="CV146">
            <v>119868</v>
          </cell>
          <cell r="CW146">
            <v>6909.0626666666667</v>
          </cell>
          <cell r="CX146">
            <v>186.54469200000003</v>
          </cell>
          <cell r="CY146">
            <v>34.54531333333334</v>
          </cell>
          <cell r="CZ146">
            <v>4145.4376000000002</v>
          </cell>
          <cell r="DA146">
            <v>447.2153400000002</v>
          </cell>
          <cell r="DD146">
            <v>447.2153400000002</v>
          </cell>
        </row>
        <row r="147">
          <cell r="C147" t="str">
            <v>2175/10</v>
          </cell>
          <cell r="D147" t="str">
            <v>01/01 A 31/01/11</v>
          </cell>
          <cell r="E147" t="str">
            <v>JOSÉ REINALDO DOS SANTOS</v>
          </cell>
          <cell r="F147" t="str">
            <v>EMEF</v>
          </cell>
          <cell r="G147">
            <v>16</v>
          </cell>
          <cell r="H147">
            <v>16</v>
          </cell>
          <cell r="I147">
            <v>16</v>
          </cell>
          <cell r="J147">
            <v>93416</v>
          </cell>
          <cell r="K147">
            <v>42</v>
          </cell>
          <cell r="L147">
            <v>26</v>
          </cell>
          <cell r="M147">
            <v>0</v>
          </cell>
          <cell r="N147">
            <v>93416</v>
          </cell>
          <cell r="O147">
            <v>67</v>
          </cell>
          <cell r="P147">
            <v>27</v>
          </cell>
          <cell r="Q147">
            <v>0</v>
          </cell>
          <cell r="R147">
            <v>0</v>
          </cell>
          <cell r="U147">
            <v>0</v>
          </cell>
          <cell r="W147">
            <v>1</v>
          </cell>
          <cell r="Y147">
            <v>1</v>
          </cell>
          <cell r="AA147">
            <v>0</v>
          </cell>
          <cell r="AB147">
            <v>0</v>
          </cell>
          <cell r="AE147">
            <v>1</v>
          </cell>
          <cell r="AG147">
            <v>1</v>
          </cell>
          <cell r="AI147">
            <v>0</v>
          </cell>
          <cell r="AJ147">
            <v>0</v>
          </cell>
          <cell r="AL147">
            <v>16</v>
          </cell>
          <cell r="AM147">
            <v>30</v>
          </cell>
          <cell r="AN147">
            <v>22</v>
          </cell>
          <cell r="AO147">
            <v>109</v>
          </cell>
          <cell r="AP147">
            <v>53</v>
          </cell>
          <cell r="AS147">
            <v>2007</v>
          </cell>
          <cell r="AT147">
            <v>29</v>
          </cell>
          <cell r="AU147">
            <v>27</v>
          </cell>
          <cell r="AV147">
            <v>109</v>
          </cell>
          <cell r="AW147">
            <v>0.25</v>
          </cell>
          <cell r="AX147">
            <v>1744</v>
          </cell>
          <cell r="AY147">
            <v>436</v>
          </cell>
          <cell r="AZ147">
            <v>36.880000000000003</v>
          </cell>
          <cell r="BA147">
            <v>26</v>
          </cell>
          <cell r="BB147">
            <v>703.1786666666668</v>
          </cell>
          <cell r="BC147">
            <v>36.880000000000003</v>
          </cell>
          <cell r="BD147">
            <v>27</v>
          </cell>
          <cell r="BE147">
            <v>730.22400000000005</v>
          </cell>
          <cell r="BF147">
            <v>36.880000000000003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1433.4026666666668</v>
          </cell>
          <cell r="BL147">
            <v>3618.12</v>
          </cell>
          <cell r="BM147">
            <v>3618.12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Y147">
            <v>5487.5226666666667</v>
          </cell>
          <cell r="CP147" t="str">
            <v>2313/10</v>
          </cell>
          <cell r="CQ147">
            <v>40448</v>
          </cell>
          <cell r="CR147">
            <v>40627</v>
          </cell>
          <cell r="CS147" t="str">
            <v>2010-0.245.448-0</v>
          </cell>
          <cell r="CT147" t="str">
            <v>JOSE MOREIRA DA SILVA</v>
          </cell>
          <cell r="CU147">
            <v>88120910834</v>
          </cell>
          <cell r="CV147">
            <v>106409</v>
          </cell>
          <cell r="CW147">
            <v>6381.7466666666669</v>
          </cell>
          <cell r="CX147">
            <v>172.30716000000004</v>
          </cell>
          <cell r="CY147">
            <v>31.908733333333341</v>
          </cell>
          <cell r="CZ147">
            <v>3829.0479999999998</v>
          </cell>
          <cell r="DA147">
            <v>360.20820000000003</v>
          </cell>
          <cell r="DD147">
            <v>360.20820000000003</v>
          </cell>
        </row>
        <row r="148">
          <cell r="C148" t="str">
            <v>1835/10</v>
          </cell>
          <cell r="D148" t="str">
            <v>01/01 A 31/01/11</v>
          </cell>
          <cell r="E148" t="str">
            <v>JOSE ROBERTO ALVES DA ROCHA</v>
          </cell>
          <cell r="F148" t="str">
            <v>EMEF / EMEI</v>
          </cell>
          <cell r="G148">
            <v>16</v>
          </cell>
          <cell r="H148">
            <v>16</v>
          </cell>
          <cell r="I148">
            <v>15</v>
          </cell>
          <cell r="J148">
            <v>93386</v>
          </cell>
          <cell r="K148">
            <v>15</v>
          </cell>
          <cell r="L148">
            <v>27</v>
          </cell>
          <cell r="M148">
            <v>0</v>
          </cell>
          <cell r="N148">
            <v>93386</v>
          </cell>
          <cell r="O148">
            <v>30</v>
          </cell>
          <cell r="P148">
            <v>27</v>
          </cell>
          <cell r="Q148">
            <v>0</v>
          </cell>
          <cell r="R148">
            <v>19451</v>
          </cell>
          <cell r="S148">
            <v>21</v>
          </cell>
          <cell r="T148">
            <v>26</v>
          </cell>
          <cell r="U148">
            <v>0</v>
          </cell>
          <cell r="W148">
            <v>1</v>
          </cell>
          <cell r="Y148">
            <v>1</v>
          </cell>
          <cell r="AA148">
            <v>1</v>
          </cell>
          <cell r="AB148">
            <v>0</v>
          </cell>
          <cell r="AE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0.33333333333333331</v>
          </cell>
          <cell r="AK148">
            <v>6</v>
          </cell>
          <cell r="AL148">
            <v>16</v>
          </cell>
          <cell r="AM148">
            <v>30</v>
          </cell>
          <cell r="AN148">
            <v>22</v>
          </cell>
          <cell r="AO148">
            <v>66</v>
          </cell>
          <cell r="AP148">
            <v>80</v>
          </cell>
          <cell r="AS148">
            <v>2007</v>
          </cell>
          <cell r="AT148">
            <v>29</v>
          </cell>
          <cell r="AU148">
            <v>27</v>
          </cell>
          <cell r="AV148">
            <v>66</v>
          </cell>
          <cell r="AW148">
            <v>0.25</v>
          </cell>
          <cell r="AX148">
            <v>1056</v>
          </cell>
          <cell r="AY148">
            <v>264</v>
          </cell>
          <cell r="AZ148">
            <v>36.880000000000003</v>
          </cell>
          <cell r="BA148">
            <v>27</v>
          </cell>
          <cell r="BB148">
            <v>730.22400000000005</v>
          </cell>
          <cell r="BC148">
            <v>36.880000000000003</v>
          </cell>
          <cell r="BD148">
            <v>27</v>
          </cell>
          <cell r="BE148">
            <v>730.22400000000005</v>
          </cell>
          <cell r="BF148">
            <v>36.880000000000003</v>
          </cell>
          <cell r="BG148">
            <v>26</v>
          </cell>
          <cell r="BH148">
            <v>703.1786666666668</v>
          </cell>
          <cell r="BI148">
            <v>0</v>
          </cell>
          <cell r="BJ148">
            <v>0</v>
          </cell>
          <cell r="BK148">
            <v>2163.626666666667</v>
          </cell>
          <cell r="BL148">
            <v>3618.12</v>
          </cell>
          <cell r="BM148">
            <v>3618.12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5.25</v>
          </cell>
          <cell r="BU148">
            <v>5.25</v>
          </cell>
          <cell r="BY148">
            <v>6040.4966666666669</v>
          </cell>
          <cell r="CP148" t="str">
            <v>2890/10</v>
          </cell>
          <cell r="CQ148">
            <v>40483</v>
          </cell>
          <cell r="CR148">
            <v>40662</v>
          </cell>
          <cell r="CS148" t="str">
            <v>2010-0.282.200-5</v>
          </cell>
          <cell r="CT148" t="str">
            <v>JOSE PEREIRA DA MATA</v>
          </cell>
          <cell r="CU148">
            <v>87401347849</v>
          </cell>
          <cell r="CV148">
            <v>119859</v>
          </cell>
          <cell r="CW148">
            <v>3235.0079999999998</v>
          </cell>
          <cell r="CX148">
            <v>87.345216000000008</v>
          </cell>
          <cell r="CY148">
            <v>16.175040000000003</v>
          </cell>
          <cell r="CZ148">
            <v>1941.0047999999997</v>
          </cell>
          <cell r="DA148">
            <v>33.145359999999954</v>
          </cell>
          <cell r="DD148">
            <v>10.210719999999924</v>
          </cell>
        </row>
        <row r="149">
          <cell r="C149" t="str">
            <v>1836/10</v>
          </cell>
          <cell r="D149" t="str">
            <v>01/01 A 31/01/11</v>
          </cell>
          <cell r="E149" t="str">
            <v>JOSE ROBERTO BARQUEIRO</v>
          </cell>
          <cell r="F149" t="str">
            <v>EMEI</v>
          </cell>
          <cell r="G149">
            <v>16</v>
          </cell>
          <cell r="H149">
            <v>16</v>
          </cell>
          <cell r="I149">
            <v>16</v>
          </cell>
          <cell r="J149">
            <v>19197</v>
          </cell>
          <cell r="K149">
            <v>16</v>
          </cell>
          <cell r="L149">
            <v>21</v>
          </cell>
          <cell r="M149">
            <v>0</v>
          </cell>
          <cell r="N149">
            <v>19197</v>
          </cell>
          <cell r="O149">
            <v>18</v>
          </cell>
          <cell r="P149">
            <v>21</v>
          </cell>
          <cell r="Q149">
            <v>0</v>
          </cell>
          <cell r="R149">
            <v>19197</v>
          </cell>
          <cell r="S149">
            <v>26</v>
          </cell>
          <cell r="T149">
            <v>21</v>
          </cell>
          <cell r="U149">
            <v>0</v>
          </cell>
          <cell r="W149">
            <v>1</v>
          </cell>
          <cell r="Y149">
            <v>1</v>
          </cell>
          <cell r="AA149">
            <v>1</v>
          </cell>
          <cell r="AB149">
            <v>0</v>
          </cell>
          <cell r="AE149">
            <v>1</v>
          </cell>
          <cell r="AG149">
            <v>1</v>
          </cell>
          <cell r="AI149">
            <v>1</v>
          </cell>
          <cell r="AJ149">
            <v>0</v>
          </cell>
          <cell r="AL149">
            <v>16</v>
          </cell>
          <cell r="AM149">
            <v>30</v>
          </cell>
          <cell r="AN149">
            <v>22</v>
          </cell>
          <cell r="AO149">
            <v>60</v>
          </cell>
          <cell r="AP149">
            <v>63</v>
          </cell>
          <cell r="AS149">
            <v>2006</v>
          </cell>
          <cell r="AT149">
            <v>23</v>
          </cell>
          <cell r="AU149">
            <v>21</v>
          </cell>
          <cell r="AV149">
            <v>60</v>
          </cell>
          <cell r="AW149">
            <v>0.25</v>
          </cell>
          <cell r="AX149">
            <v>960</v>
          </cell>
          <cell r="AY149">
            <v>240</v>
          </cell>
          <cell r="AZ149">
            <v>36.880000000000003</v>
          </cell>
          <cell r="BA149">
            <v>21</v>
          </cell>
          <cell r="BB149">
            <v>567.952</v>
          </cell>
          <cell r="BC149">
            <v>36.880000000000003</v>
          </cell>
          <cell r="BD149">
            <v>21</v>
          </cell>
          <cell r="BE149">
            <v>567.952</v>
          </cell>
          <cell r="BF149">
            <v>36.880000000000003</v>
          </cell>
          <cell r="BG149">
            <v>21</v>
          </cell>
          <cell r="BH149">
            <v>567.952</v>
          </cell>
          <cell r="BI149">
            <v>0</v>
          </cell>
          <cell r="BJ149">
            <v>0</v>
          </cell>
          <cell r="BK149">
            <v>1703.856</v>
          </cell>
          <cell r="BL149">
            <v>2447.83</v>
          </cell>
          <cell r="BM149">
            <v>2447.83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Y149">
            <v>4391.6859999999997</v>
          </cell>
          <cell r="CP149" t="str">
            <v>2216/10</v>
          </cell>
          <cell r="CQ149">
            <v>40448</v>
          </cell>
          <cell r="CR149">
            <v>40627</v>
          </cell>
          <cell r="CS149" t="str">
            <v>2010-0.243.653-9</v>
          </cell>
          <cell r="CT149" t="str">
            <v>JOSE RAMON CREO CARAU</v>
          </cell>
          <cell r="CU149" t="str">
            <v>014.586.828-11</v>
          </cell>
          <cell r="CV149">
            <v>106228</v>
          </cell>
          <cell r="CW149">
            <v>5994.2979999999998</v>
          </cell>
          <cell r="CX149">
            <v>161.846046</v>
          </cell>
          <cell r="CY149">
            <v>29.971490000000003</v>
          </cell>
          <cell r="CZ149">
            <v>3596.5787999999998</v>
          </cell>
          <cell r="DA149">
            <v>303.61023</v>
          </cell>
          <cell r="DD149">
            <v>303.61023</v>
          </cell>
        </row>
        <row r="150">
          <cell r="C150" t="str">
            <v>2314/10</v>
          </cell>
          <cell r="D150" t="str">
            <v>01/01 A 31/01/11</v>
          </cell>
          <cell r="E150" t="str">
            <v>JOSE WILSON DA COSTA</v>
          </cell>
          <cell r="F150" t="str">
            <v>EMEF</v>
          </cell>
          <cell r="G150">
            <v>16</v>
          </cell>
          <cell r="H150">
            <v>16</v>
          </cell>
          <cell r="I150">
            <v>16</v>
          </cell>
          <cell r="J150">
            <v>93424</v>
          </cell>
          <cell r="K150">
            <v>52</v>
          </cell>
          <cell r="L150">
            <v>27</v>
          </cell>
          <cell r="M150">
            <v>0</v>
          </cell>
          <cell r="N150">
            <v>93424</v>
          </cell>
          <cell r="O150">
            <v>64</v>
          </cell>
          <cell r="P150">
            <v>27</v>
          </cell>
          <cell r="Q150">
            <v>0</v>
          </cell>
          <cell r="R150">
            <v>0</v>
          </cell>
          <cell r="U150">
            <v>0</v>
          </cell>
          <cell r="W150">
            <v>1</v>
          </cell>
          <cell r="Y150">
            <v>1</v>
          </cell>
          <cell r="AA150">
            <v>0</v>
          </cell>
          <cell r="AB150">
            <v>0</v>
          </cell>
          <cell r="AE150">
            <v>1</v>
          </cell>
          <cell r="AG150">
            <v>1</v>
          </cell>
          <cell r="AI150">
            <v>0</v>
          </cell>
          <cell r="AJ150">
            <v>0</v>
          </cell>
          <cell r="AL150">
            <v>16</v>
          </cell>
          <cell r="AM150">
            <v>30</v>
          </cell>
          <cell r="AN150">
            <v>22</v>
          </cell>
          <cell r="AO150">
            <v>116</v>
          </cell>
          <cell r="AP150">
            <v>54</v>
          </cell>
          <cell r="AS150">
            <v>2008</v>
          </cell>
          <cell r="AT150">
            <v>29</v>
          </cell>
          <cell r="AU150">
            <v>27</v>
          </cell>
          <cell r="AV150">
            <v>116</v>
          </cell>
          <cell r="AW150">
            <v>0.25</v>
          </cell>
          <cell r="AX150">
            <v>1856</v>
          </cell>
          <cell r="AY150">
            <v>464</v>
          </cell>
          <cell r="AZ150">
            <v>36.880000000000003</v>
          </cell>
          <cell r="BA150">
            <v>27</v>
          </cell>
          <cell r="BB150">
            <v>730.22400000000005</v>
          </cell>
          <cell r="BC150">
            <v>36.880000000000003</v>
          </cell>
          <cell r="BD150">
            <v>27</v>
          </cell>
          <cell r="BE150">
            <v>730.22400000000005</v>
          </cell>
          <cell r="BF150">
            <v>36.880000000000003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1460.4480000000001</v>
          </cell>
          <cell r="BL150">
            <v>3727.1</v>
          </cell>
          <cell r="BM150">
            <v>3727.1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Y150">
            <v>5651.5480000000007</v>
          </cell>
          <cell r="CP150" t="str">
            <v>2175/10</v>
          </cell>
          <cell r="CQ150">
            <v>40448</v>
          </cell>
          <cell r="CR150">
            <v>40627</v>
          </cell>
          <cell r="CS150" t="str">
            <v>2010-0.239.917-0</v>
          </cell>
          <cell r="CT150" t="str">
            <v>JOSÉ REINALDO DOS SANTOS</v>
          </cell>
          <cell r="CU150" t="str">
            <v>064.316.988-19</v>
          </cell>
          <cell r="CV150">
            <v>106174</v>
          </cell>
          <cell r="CW150">
            <v>5487.5226666666667</v>
          </cell>
          <cell r="CX150">
            <v>148.16311200000004</v>
          </cell>
          <cell r="CY150">
            <v>27.437613333333339</v>
          </cell>
          <cell r="CZ150">
            <v>3292.5135999999998</v>
          </cell>
          <cell r="DA150">
            <v>235.19556</v>
          </cell>
          <cell r="DD150">
            <v>235.19556</v>
          </cell>
        </row>
        <row r="151">
          <cell r="C151" t="str">
            <v>2601/10</v>
          </cell>
          <cell r="D151" t="str">
            <v>01/01 A 31/01/11</v>
          </cell>
          <cell r="E151" t="str">
            <v>JOSEMAR BATISTA NUNES</v>
          </cell>
          <cell r="F151" t="str">
            <v>EMEF</v>
          </cell>
          <cell r="G151">
            <v>16</v>
          </cell>
          <cell r="H151">
            <v>16</v>
          </cell>
          <cell r="I151">
            <v>16</v>
          </cell>
          <cell r="J151">
            <v>18546</v>
          </cell>
          <cell r="K151">
            <v>34</v>
          </cell>
          <cell r="L151">
            <v>27</v>
          </cell>
          <cell r="M151">
            <v>0</v>
          </cell>
          <cell r="N151">
            <v>18546</v>
          </cell>
          <cell r="O151">
            <v>19</v>
          </cell>
          <cell r="P151">
            <v>27</v>
          </cell>
          <cell r="Q151">
            <v>0</v>
          </cell>
          <cell r="R151">
            <v>18546</v>
          </cell>
          <cell r="S151">
            <v>37</v>
          </cell>
          <cell r="T151">
            <v>27</v>
          </cell>
          <cell r="U151">
            <v>0</v>
          </cell>
          <cell r="W151">
            <v>1</v>
          </cell>
          <cell r="Y151">
            <v>1</v>
          </cell>
          <cell r="AA151">
            <v>1</v>
          </cell>
          <cell r="AB151">
            <v>0</v>
          </cell>
          <cell r="AE151">
            <v>1</v>
          </cell>
          <cell r="AG151">
            <v>1</v>
          </cell>
          <cell r="AI151">
            <v>1</v>
          </cell>
          <cell r="AJ151">
            <v>0</v>
          </cell>
          <cell r="AL151">
            <v>16</v>
          </cell>
          <cell r="AM151">
            <v>30</v>
          </cell>
          <cell r="AN151">
            <v>22</v>
          </cell>
          <cell r="AO151">
            <v>90</v>
          </cell>
          <cell r="AP151">
            <v>81</v>
          </cell>
          <cell r="AS151">
            <v>2007</v>
          </cell>
          <cell r="AT151">
            <v>29</v>
          </cell>
          <cell r="AU151">
            <v>27</v>
          </cell>
          <cell r="AV151">
            <v>90</v>
          </cell>
          <cell r="AW151">
            <v>0.25</v>
          </cell>
          <cell r="AX151">
            <v>1440</v>
          </cell>
          <cell r="AY151">
            <v>360</v>
          </cell>
          <cell r="AZ151">
            <v>36.880000000000003</v>
          </cell>
          <cell r="BA151">
            <v>27</v>
          </cell>
          <cell r="BB151">
            <v>730.22400000000005</v>
          </cell>
          <cell r="BC151">
            <v>36.880000000000003</v>
          </cell>
          <cell r="BD151">
            <v>27</v>
          </cell>
          <cell r="BE151">
            <v>730.22400000000005</v>
          </cell>
          <cell r="BF151">
            <v>36.880000000000003</v>
          </cell>
          <cell r="BG151">
            <v>27</v>
          </cell>
          <cell r="BH151">
            <v>730.22400000000005</v>
          </cell>
          <cell r="BI151">
            <v>0</v>
          </cell>
          <cell r="BJ151">
            <v>0</v>
          </cell>
          <cell r="BK151">
            <v>2190.672</v>
          </cell>
          <cell r="BL151">
            <v>3618.12</v>
          </cell>
          <cell r="BM151">
            <v>3618.12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Y151">
            <v>6168.7919999999995</v>
          </cell>
          <cell r="CP151" t="str">
            <v>1835/10</v>
          </cell>
          <cell r="CQ151">
            <v>40434</v>
          </cell>
          <cell r="CR151">
            <v>40613</v>
          </cell>
          <cell r="CS151" t="str">
            <v>2010-0.225.976-9</v>
          </cell>
          <cell r="CT151" t="str">
            <v>JOSE ROBERTO ALVES DA ROCHA</v>
          </cell>
          <cell r="CU151" t="str">
            <v>047.841.758-65</v>
          </cell>
          <cell r="CV151">
            <v>97804</v>
          </cell>
          <cell r="CW151">
            <v>6040.4966666666669</v>
          </cell>
          <cell r="CX151">
            <v>163.09341000000001</v>
          </cell>
          <cell r="CY151">
            <v>30.202483333333333</v>
          </cell>
          <cell r="CZ151">
            <v>3624.2980000000002</v>
          </cell>
          <cell r="DA151">
            <v>309.84705000000008</v>
          </cell>
          <cell r="DD151">
            <v>309.84705000000008</v>
          </cell>
        </row>
        <row r="152">
          <cell r="C152" t="str">
            <v>1883/10</v>
          </cell>
          <cell r="D152" t="str">
            <v>01/01 A 31/01/11</v>
          </cell>
          <cell r="E152" t="str">
            <v>JOSIVAM JOSE DE OLIVEIRA</v>
          </cell>
          <cell r="F152" t="str">
            <v>EMEI / EMEF</v>
          </cell>
          <cell r="G152">
            <v>16</v>
          </cell>
          <cell r="H152">
            <v>16</v>
          </cell>
          <cell r="I152">
            <v>16</v>
          </cell>
          <cell r="J152">
            <v>90590</v>
          </cell>
          <cell r="K152">
            <v>44</v>
          </cell>
          <cell r="L152">
            <v>27</v>
          </cell>
          <cell r="M152">
            <v>0</v>
          </cell>
          <cell r="N152">
            <v>90590</v>
          </cell>
          <cell r="O152">
            <v>47</v>
          </cell>
          <cell r="P152">
            <v>25</v>
          </cell>
          <cell r="Q152">
            <v>0</v>
          </cell>
          <cell r="R152">
            <v>90590</v>
          </cell>
          <cell r="S152">
            <v>64</v>
          </cell>
          <cell r="T152">
            <v>48</v>
          </cell>
          <cell r="U152">
            <v>0</v>
          </cell>
          <cell r="W152">
            <v>1</v>
          </cell>
          <cell r="Y152">
            <v>1</v>
          </cell>
          <cell r="AA152">
            <v>1</v>
          </cell>
          <cell r="AB152">
            <v>0</v>
          </cell>
          <cell r="AE152">
            <v>1</v>
          </cell>
          <cell r="AG152">
            <v>1</v>
          </cell>
          <cell r="AI152">
            <v>1</v>
          </cell>
          <cell r="AJ152">
            <v>0</v>
          </cell>
          <cell r="AL152">
            <v>16</v>
          </cell>
          <cell r="AM152">
            <v>30</v>
          </cell>
          <cell r="AN152">
            <v>22</v>
          </cell>
          <cell r="AO152">
            <v>155</v>
          </cell>
          <cell r="AP152">
            <v>100</v>
          </cell>
          <cell r="AS152">
            <v>2008</v>
          </cell>
          <cell r="AT152">
            <v>29</v>
          </cell>
          <cell r="AU152">
            <v>27</v>
          </cell>
          <cell r="AV152">
            <v>155</v>
          </cell>
          <cell r="AW152">
            <v>0.25</v>
          </cell>
          <cell r="AX152">
            <v>2480</v>
          </cell>
          <cell r="AY152">
            <v>620</v>
          </cell>
          <cell r="AZ152">
            <v>36.880000000000003</v>
          </cell>
          <cell r="BA152">
            <v>27</v>
          </cell>
          <cell r="BB152">
            <v>730.22400000000005</v>
          </cell>
          <cell r="BC152">
            <v>36.880000000000003</v>
          </cell>
          <cell r="BD152">
            <v>25</v>
          </cell>
          <cell r="BE152">
            <v>676.13333333333344</v>
          </cell>
          <cell r="BF152">
            <v>36.880000000000003</v>
          </cell>
          <cell r="BG152">
            <v>48</v>
          </cell>
          <cell r="BH152">
            <v>1298.1760000000002</v>
          </cell>
          <cell r="BI152">
            <v>0</v>
          </cell>
          <cell r="BJ152">
            <v>0</v>
          </cell>
          <cell r="BK152">
            <v>2704.5333333333338</v>
          </cell>
          <cell r="BL152">
            <v>3727.1</v>
          </cell>
          <cell r="BM152">
            <v>3727.1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Y152">
            <v>7051.6333333333341</v>
          </cell>
          <cell r="CP152" t="str">
            <v>1836/10</v>
          </cell>
          <cell r="CQ152">
            <v>40434</v>
          </cell>
          <cell r="CR152">
            <v>40613</v>
          </cell>
          <cell r="CS152" t="str">
            <v>2010-0.225.978-5</v>
          </cell>
          <cell r="CT152" t="str">
            <v>JOSE ROBERTO BARQUEIRO</v>
          </cell>
          <cell r="CU152" t="str">
            <v>039.878.998-32</v>
          </cell>
          <cell r="CV152">
            <v>97814</v>
          </cell>
          <cell r="CW152">
            <v>4391.6859999999997</v>
          </cell>
          <cell r="CX152">
            <v>118.57552200000001</v>
          </cell>
          <cell r="CY152">
            <v>21.95843</v>
          </cell>
          <cell r="CZ152">
            <v>2635.0115999999998</v>
          </cell>
          <cell r="DA152">
            <v>114.31173999999999</v>
          </cell>
          <cell r="DD152">
            <v>114.31173999999999</v>
          </cell>
        </row>
        <row r="153">
          <cell r="C153" t="str">
            <v>3048/10</v>
          </cell>
          <cell r="D153" t="str">
            <v>01/01 A 31/01/11</v>
          </cell>
          <cell r="E153" t="str">
            <v>JULIO CESAR DA SILVA LAPA</v>
          </cell>
          <cell r="F153" t="str">
            <v>EMEI</v>
          </cell>
          <cell r="G153">
            <v>14</v>
          </cell>
          <cell r="H153">
            <v>14</v>
          </cell>
          <cell r="I153">
            <v>14</v>
          </cell>
          <cell r="J153">
            <v>90620</v>
          </cell>
          <cell r="K153">
            <v>40</v>
          </cell>
          <cell r="L153">
            <v>27</v>
          </cell>
          <cell r="M153">
            <v>0</v>
          </cell>
          <cell r="N153">
            <v>90620</v>
          </cell>
          <cell r="O153">
            <v>35</v>
          </cell>
          <cell r="P153">
            <v>27</v>
          </cell>
          <cell r="Q153">
            <v>0</v>
          </cell>
          <cell r="R153">
            <v>90620</v>
          </cell>
          <cell r="S153">
            <v>35</v>
          </cell>
          <cell r="T153">
            <v>27</v>
          </cell>
          <cell r="U153">
            <v>0</v>
          </cell>
          <cell r="W153">
            <v>1</v>
          </cell>
          <cell r="Y153">
            <v>1</v>
          </cell>
          <cell r="AA153">
            <v>1</v>
          </cell>
          <cell r="AB153">
            <v>0</v>
          </cell>
          <cell r="AD153">
            <v>2</v>
          </cell>
          <cell r="AE153">
            <v>1</v>
          </cell>
          <cell r="AF153">
            <v>2</v>
          </cell>
          <cell r="AG153">
            <v>1</v>
          </cell>
          <cell r="AH153">
            <v>2</v>
          </cell>
          <cell r="AI153">
            <v>1</v>
          </cell>
          <cell r="AJ153">
            <v>2</v>
          </cell>
          <cell r="AK153" t="str">
            <v>3 e 22</v>
          </cell>
          <cell r="AL153">
            <v>16</v>
          </cell>
          <cell r="AM153">
            <v>30</v>
          </cell>
          <cell r="AN153">
            <v>22</v>
          </cell>
          <cell r="AO153">
            <v>110</v>
          </cell>
          <cell r="AP153">
            <v>81</v>
          </cell>
          <cell r="AS153">
            <v>2007</v>
          </cell>
          <cell r="AT153">
            <v>29</v>
          </cell>
          <cell r="AU153">
            <v>27</v>
          </cell>
          <cell r="AV153">
            <v>110</v>
          </cell>
          <cell r="AW153">
            <v>0.65</v>
          </cell>
          <cell r="AX153">
            <v>1760</v>
          </cell>
          <cell r="AY153">
            <v>1144</v>
          </cell>
          <cell r="AZ153">
            <v>48.26</v>
          </cell>
          <cell r="BA153">
            <v>27</v>
          </cell>
          <cell r="BB153">
            <v>955.548</v>
          </cell>
          <cell r="BC153">
            <v>48.26</v>
          </cell>
          <cell r="BD153">
            <v>27</v>
          </cell>
          <cell r="BE153">
            <v>955.548</v>
          </cell>
          <cell r="BF153">
            <v>48.26</v>
          </cell>
          <cell r="BG153">
            <v>27</v>
          </cell>
          <cell r="BH153">
            <v>955.548</v>
          </cell>
          <cell r="BI153">
            <v>0</v>
          </cell>
          <cell r="BJ153">
            <v>0</v>
          </cell>
          <cell r="BK153">
            <v>2866.6440000000002</v>
          </cell>
          <cell r="BL153">
            <v>2483</v>
          </cell>
          <cell r="BM153">
            <v>2483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52</v>
          </cell>
          <cell r="BS153">
            <v>45.5</v>
          </cell>
          <cell r="BT153">
            <v>45.5</v>
          </cell>
          <cell r="BU153">
            <v>143</v>
          </cell>
          <cell r="BY153">
            <v>6350.6440000000002</v>
          </cell>
          <cell r="CP153" t="str">
            <v>2314/10</v>
          </cell>
          <cell r="CQ153">
            <v>40462</v>
          </cell>
          <cell r="CR153">
            <v>40641</v>
          </cell>
          <cell r="CS153">
            <v>201002454502</v>
          </cell>
          <cell r="CT153" t="str">
            <v>JOSE WILSON DA COSTA</v>
          </cell>
          <cell r="CU153" t="str">
            <v>046.315.218-21</v>
          </cell>
          <cell r="CV153">
            <v>111165</v>
          </cell>
          <cell r="CW153">
            <v>5651.5480000000007</v>
          </cell>
          <cell r="CX153">
            <v>152.59179600000004</v>
          </cell>
          <cell r="CY153">
            <v>28.257740000000009</v>
          </cell>
          <cell r="CZ153">
            <v>3390.9288000000001</v>
          </cell>
          <cell r="DA153">
            <v>257.33897999999999</v>
          </cell>
          <cell r="DD153">
            <v>257.33897999999999</v>
          </cell>
        </row>
        <row r="154">
          <cell r="C154" t="str">
            <v>2774/10</v>
          </cell>
          <cell r="D154" t="str">
            <v>01/01 A 31/01/11</v>
          </cell>
          <cell r="E154" t="str">
            <v>KATIA ROBERTA CARDOSO PEREIRA</v>
          </cell>
          <cell r="F154" t="str">
            <v>EMEF</v>
          </cell>
          <cell r="G154">
            <v>16</v>
          </cell>
          <cell r="H154">
            <v>16</v>
          </cell>
          <cell r="I154">
            <v>16</v>
          </cell>
          <cell r="J154">
            <v>18546</v>
          </cell>
          <cell r="K154">
            <v>20</v>
          </cell>
          <cell r="L154">
            <v>17</v>
          </cell>
          <cell r="M154">
            <v>0</v>
          </cell>
          <cell r="N154">
            <v>18546</v>
          </cell>
          <cell r="O154">
            <v>15</v>
          </cell>
          <cell r="P154">
            <v>17</v>
          </cell>
          <cell r="Q154">
            <v>0</v>
          </cell>
          <cell r="R154">
            <v>18546</v>
          </cell>
          <cell r="S154">
            <v>13</v>
          </cell>
          <cell r="T154">
            <v>17</v>
          </cell>
          <cell r="U154">
            <v>0</v>
          </cell>
          <cell r="W154">
            <v>1</v>
          </cell>
          <cell r="Y154">
            <v>1</v>
          </cell>
          <cell r="AA154">
            <v>1</v>
          </cell>
          <cell r="AB154">
            <v>0</v>
          </cell>
          <cell r="AE154">
            <v>1</v>
          </cell>
          <cell r="AG154">
            <v>1</v>
          </cell>
          <cell r="AI154">
            <v>1</v>
          </cell>
          <cell r="AJ154">
            <v>0</v>
          </cell>
          <cell r="AL154">
            <v>16</v>
          </cell>
          <cell r="AM154">
            <v>30</v>
          </cell>
          <cell r="AN154">
            <v>22</v>
          </cell>
          <cell r="AO154">
            <v>48</v>
          </cell>
          <cell r="AP154">
            <v>51</v>
          </cell>
          <cell r="AS154">
            <v>2008</v>
          </cell>
          <cell r="AT154">
            <v>19</v>
          </cell>
          <cell r="AU154">
            <v>17</v>
          </cell>
          <cell r="AV154">
            <v>48</v>
          </cell>
          <cell r="AW154">
            <v>0.25</v>
          </cell>
          <cell r="AX154">
            <v>768</v>
          </cell>
          <cell r="AY154">
            <v>192</v>
          </cell>
          <cell r="AZ154">
            <v>36.880000000000003</v>
          </cell>
          <cell r="BA154">
            <v>17</v>
          </cell>
          <cell r="BB154">
            <v>459.77066666666667</v>
          </cell>
          <cell r="BC154">
            <v>36.880000000000003</v>
          </cell>
          <cell r="BD154">
            <v>17</v>
          </cell>
          <cell r="BE154">
            <v>459.77066666666667</v>
          </cell>
          <cell r="BF154">
            <v>36.880000000000003</v>
          </cell>
          <cell r="BG154">
            <v>17</v>
          </cell>
          <cell r="BH154">
            <v>459.77066666666667</v>
          </cell>
          <cell r="BI154">
            <v>0</v>
          </cell>
          <cell r="BJ154">
            <v>0</v>
          </cell>
          <cell r="BK154">
            <v>1379.3119999999999</v>
          </cell>
          <cell r="BL154">
            <v>2583.21</v>
          </cell>
          <cell r="BM154">
            <v>2583.21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Y154">
            <v>4154.5219999999999</v>
          </cell>
          <cell r="CP154" t="str">
            <v>2601/10</v>
          </cell>
          <cell r="CQ154">
            <v>40462</v>
          </cell>
          <cell r="CR154">
            <v>40641</v>
          </cell>
          <cell r="CS154" t="str">
            <v>2010-0.270.444-4</v>
          </cell>
          <cell r="CT154" t="str">
            <v>JOSEMAR BATISTA NUNES</v>
          </cell>
          <cell r="CU154">
            <v>26553086893</v>
          </cell>
          <cell r="CV154">
            <v>115322</v>
          </cell>
          <cell r="CW154">
            <v>6168.7919999999995</v>
          </cell>
          <cell r="CX154">
            <v>166.55738400000001</v>
          </cell>
          <cell r="CY154">
            <v>30.843959999999999</v>
          </cell>
          <cell r="CZ154">
            <v>3701.2751999999996</v>
          </cell>
          <cell r="DA154">
            <v>327.16691999999989</v>
          </cell>
          <cell r="DD154">
            <v>327.16691999999989</v>
          </cell>
        </row>
        <row r="155">
          <cell r="C155" t="str">
            <v>3001/10</v>
          </cell>
          <cell r="D155" t="str">
            <v>01/01 A 31/01/11</v>
          </cell>
          <cell r="E155" t="str">
            <v>LAURINDA ANGELICA DE SOUZA CRUZ</v>
          </cell>
          <cell r="F155" t="str">
            <v>EMEI</v>
          </cell>
          <cell r="G155">
            <v>16</v>
          </cell>
          <cell r="H155">
            <v>16</v>
          </cell>
          <cell r="I155">
            <v>16</v>
          </cell>
          <cell r="J155">
            <v>98931</v>
          </cell>
          <cell r="K155">
            <v>32</v>
          </cell>
          <cell r="L155">
            <v>17</v>
          </cell>
          <cell r="M155">
            <v>0</v>
          </cell>
          <cell r="N155">
            <v>98931</v>
          </cell>
          <cell r="O155">
            <v>31</v>
          </cell>
          <cell r="P155">
            <v>17</v>
          </cell>
          <cell r="Q155">
            <v>0</v>
          </cell>
          <cell r="R155">
            <v>98931</v>
          </cell>
          <cell r="S155">
            <v>43</v>
          </cell>
          <cell r="T155">
            <v>17</v>
          </cell>
          <cell r="U155">
            <v>0</v>
          </cell>
          <cell r="W155">
            <v>1</v>
          </cell>
          <cell r="Y155">
            <v>1</v>
          </cell>
          <cell r="AA155">
            <v>1</v>
          </cell>
          <cell r="AB155">
            <v>0</v>
          </cell>
          <cell r="AE155">
            <v>1</v>
          </cell>
          <cell r="AG155">
            <v>1</v>
          </cell>
          <cell r="AI155">
            <v>1</v>
          </cell>
          <cell r="AJ155">
            <v>0</v>
          </cell>
          <cell r="AL155">
            <v>16</v>
          </cell>
          <cell r="AM155">
            <v>30</v>
          </cell>
          <cell r="AN155">
            <v>22</v>
          </cell>
          <cell r="AO155">
            <v>106</v>
          </cell>
          <cell r="AP155">
            <v>51</v>
          </cell>
          <cell r="AS155">
            <v>2009</v>
          </cell>
          <cell r="AT155">
            <v>19</v>
          </cell>
          <cell r="AU155">
            <v>17</v>
          </cell>
          <cell r="AV155">
            <v>106</v>
          </cell>
          <cell r="AW155">
            <v>0.65</v>
          </cell>
          <cell r="AX155">
            <v>1696</v>
          </cell>
          <cell r="AY155">
            <v>1102.4000000000001</v>
          </cell>
          <cell r="AZ155">
            <v>48.26</v>
          </cell>
          <cell r="BA155">
            <v>17</v>
          </cell>
          <cell r="BB155">
            <v>601.64133333333325</v>
          </cell>
          <cell r="BC155">
            <v>48.26</v>
          </cell>
          <cell r="BD155">
            <v>17</v>
          </cell>
          <cell r="BE155">
            <v>601.64133333333325</v>
          </cell>
          <cell r="BF155">
            <v>48.26</v>
          </cell>
          <cell r="BG155">
            <v>17</v>
          </cell>
          <cell r="BH155">
            <v>601.64133333333325</v>
          </cell>
          <cell r="BI155">
            <v>0</v>
          </cell>
          <cell r="BJ155">
            <v>0</v>
          </cell>
          <cell r="BK155">
            <v>1804.9239999999998</v>
          </cell>
          <cell r="BL155">
            <v>2886</v>
          </cell>
          <cell r="BM155">
            <v>2886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Y155">
            <v>5793.3239999999996</v>
          </cell>
          <cell r="CP155" t="str">
            <v>1883/10</v>
          </cell>
          <cell r="CQ155">
            <v>40441</v>
          </cell>
          <cell r="CR155">
            <v>40620</v>
          </cell>
          <cell r="CS155" t="str">
            <v>2010-0.229.991-4</v>
          </cell>
          <cell r="CT155" t="str">
            <v>JOSIVAM JOSE DE OLIVEIRA</v>
          </cell>
          <cell r="CU155">
            <v>18275697867</v>
          </cell>
          <cell r="CV155">
            <v>104950</v>
          </cell>
          <cell r="CW155">
            <v>7051.6333333333341</v>
          </cell>
          <cell r="CX155">
            <v>190.39410000000004</v>
          </cell>
          <cell r="CY155">
            <v>35.258166666666675</v>
          </cell>
          <cell r="CZ155">
            <v>4230.9800000000005</v>
          </cell>
          <cell r="DA155">
            <v>470.73950000000036</v>
          </cell>
          <cell r="DD155">
            <v>470.73950000000036</v>
          </cell>
        </row>
        <row r="156">
          <cell r="C156" t="str">
            <v>2608/10</v>
          </cell>
          <cell r="D156" t="str">
            <v>01/01 A 31/01/11</v>
          </cell>
          <cell r="E156" t="str">
            <v>LEDA MARIA COELHO SARAIVA</v>
          </cell>
          <cell r="F156" t="str">
            <v>EMEF</v>
          </cell>
          <cell r="G156">
            <v>16</v>
          </cell>
          <cell r="H156">
            <v>15</v>
          </cell>
          <cell r="I156">
            <v>16</v>
          </cell>
          <cell r="J156">
            <v>93360</v>
          </cell>
          <cell r="K156">
            <v>38</v>
          </cell>
          <cell r="L156">
            <v>19</v>
          </cell>
          <cell r="M156">
            <v>0</v>
          </cell>
          <cell r="N156">
            <v>93343</v>
          </cell>
          <cell r="O156">
            <v>54</v>
          </cell>
          <cell r="P156">
            <v>19</v>
          </cell>
          <cell r="Q156">
            <v>0</v>
          </cell>
          <cell r="R156">
            <v>0</v>
          </cell>
          <cell r="U156">
            <v>0</v>
          </cell>
          <cell r="W156">
            <v>1</v>
          </cell>
          <cell r="Y156">
            <v>1</v>
          </cell>
          <cell r="AA156">
            <v>0</v>
          </cell>
          <cell r="AB156">
            <v>0</v>
          </cell>
          <cell r="AE156">
            <v>1</v>
          </cell>
          <cell r="AF156">
            <v>1</v>
          </cell>
          <cell r="AG156">
            <v>1</v>
          </cell>
          <cell r="AI156">
            <v>0</v>
          </cell>
          <cell r="AJ156">
            <v>0.5</v>
          </cell>
          <cell r="AK156">
            <v>6</v>
          </cell>
          <cell r="AL156">
            <v>16</v>
          </cell>
          <cell r="AM156">
            <v>30</v>
          </cell>
          <cell r="AN156">
            <v>22</v>
          </cell>
          <cell r="AO156">
            <v>92</v>
          </cell>
          <cell r="AP156">
            <v>38</v>
          </cell>
          <cell r="AS156">
            <v>1999</v>
          </cell>
          <cell r="AT156">
            <v>21</v>
          </cell>
          <cell r="AU156">
            <v>19</v>
          </cell>
          <cell r="AV156">
            <v>92</v>
          </cell>
          <cell r="AW156">
            <v>0.25</v>
          </cell>
          <cell r="AX156">
            <v>1472</v>
          </cell>
          <cell r="AY156">
            <v>368</v>
          </cell>
          <cell r="AZ156">
            <v>36.880000000000003</v>
          </cell>
          <cell r="BA156">
            <v>19</v>
          </cell>
          <cell r="BB156">
            <v>513.86133333333328</v>
          </cell>
          <cell r="BC156">
            <v>36.880000000000003</v>
          </cell>
          <cell r="BD156">
            <v>19</v>
          </cell>
          <cell r="BE156">
            <v>513.86133333333328</v>
          </cell>
          <cell r="BF156">
            <v>36.880000000000003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1027.7226666666666</v>
          </cell>
          <cell r="BL156">
            <v>1973.97</v>
          </cell>
          <cell r="BM156">
            <v>1973.9700000000003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13.5</v>
          </cell>
          <cell r="BT156">
            <v>0</v>
          </cell>
          <cell r="BU156">
            <v>13.5</v>
          </cell>
          <cell r="BY156">
            <v>3356.1926666666668</v>
          </cell>
          <cell r="CP156" t="str">
            <v>3048/10</v>
          </cell>
          <cell r="CQ156">
            <v>40498</v>
          </cell>
          <cell r="CR156">
            <v>40677</v>
          </cell>
          <cell r="CS156" t="str">
            <v>2010-0.289.174-0</v>
          </cell>
          <cell r="CT156" t="str">
            <v>JULIO CESAR DA SILVA LAPA</v>
          </cell>
          <cell r="CU156">
            <v>27033191855</v>
          </cell>
          <cell r="CV156">
            <v>122553</v>
          </cell>
          <cell r="CW156">
            <v>6350.6440000000002</v>
          </cell>
          <cell r="CX156">
            <v>171.46738800000003</v>
          </cell>
          <cell r="CY156">
            <v>31.753220000000006</v>
          </cell>
          <cell r="CZ156">
            <v>3810.3863999999999</v>
          </cell>
          <cell r="DA156">
            <v>355.07626000000005</v>
          </cell>
          <cell r="DD156">
            <v>355.07626000000005</v>
          </cell>
        </row>
        <row r="157">
          <cell r="C157" t="str">
            <v>2372/10</v>
          </cell>
          <cell r="D157" t="str">
            <v>01/01 A 31/01/11</v>
          </cell>
          <cell r="E157" t="str">
            <v>LENILSON LUIZ FERREIRA</v>
          </cell>
          <cell r="F157" t="str">
            <v>EMEI</v>
          </cell>
          <cell r="G157">
            <v>16</v>
          </cell>
          <cell r="H157">
            <v>16</v>
          </cell>
          <cell r="I157">
            <v>16</v>
          </cell>
          <cell r="J157">
            <v>11568</v>
          </cell>
          <cell r="K157">
            <v>48</v>
          </cell>
          <cell r="L157">
            <v>23</v>
          </cell>
          <cell r="M157">
            <v>0</v>
          </cell>
          <cell r="N157">
            <v>11568</v>
          </cell>
          <cell r="O157">
            <v>35</v>
          </cell>
          <cell r="P157">
            <v>23</v>
          </cell>
          <cell r="Q157">
            <v>0</v>
          </cell>
          <cell r="R157">
            <v>19441</v>
          </cell>
          <cell r="S157">
            <v>45</v>
          </cell>
          <cell r="T157">
            <v>13</v>
          </cell>
          <cell r="U157">
            <v>0</v>
          </cell>
          <cell r="W157">
            <v>1</v>
          </cell>
          <cell r="Y157">
            <v>1</v>
          </cell>
          <cell r="AA157">
            <v>1</v>
          </cell>
          <cell r="AB157">
            <v>0</v>
          </cell>
          <cell r="AE157">
            <v>1</v>
          </cell>
          <cell r="AG157">
            <v>1</v>
          </cell>
          <cell r="AI157">
            <v>1</v>
          </cell>
          <cell r="AJ157">
            <v>0</v>
          </cell>
          <cell r="AL157">
            <v>16</v>
          </cell>
          <cell r="AM157">
            <v>30</v>
          </cell>
          <cell r="AN157">
            <v>22</v>
          </cell>
          <cell r="AO157">
            <v>128</v>
          </cell>
          <cell r="AP157">
            <v>59</v>
          </cell>
          <cell r="AS157">
            <v>2001</v>
          </cell>
          <cell r="AT157">
            <v>25</v>
          </cell>
          <cell r="AU157">
            <v>23</v>
          </cell>
          <cell r="AV157">
            <v>128</v>
          </cell>
          <cell r="AW157">
            <v>0.25</v>
          </cell>
          <cell r="AX157">
            <v>2048</v>
          </cell>
          <cell r="AY157">
            <v>512</v>
          </cell>
          <cell r="AZ157">
            <v>36.880000000000003</v>
          </cell>
          <cell r="BA157">
            <v>23</v>
          </cell>
          <cell r="BB157">
            <v>622.04266666666672</v>
          </cell>
          <cell r="BC157">
            <v>36.880000000000003</v>
          </cell>
          <cell r="BD157">
            <v>23</v>
          </cell>
          <cell r="BE157">
            <v>622.04266666666672</v>
          </cell>
          <cell r="BF157">
            <v>36.880000000000003</v>
          </cell>
          <cell r="BG157">
            <v>13</v>
          </cell>
          <cell r="BH157">
            <v>351.5893333333334</v>
          </cell>
          <cell r="BI157">
            <v>0</v>
          </cell>
          <cell r="BJ157">
            <v>0</v>
          </cell>
          <cell r="BK157">
            <v>1595.6746666666668</v>
          </cell>
          <cell r="BL157">
            <v>2964.26</v>
          </cell>
          <cell r="BM157">
            <v>2964.26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Y157">
            <v>5071.934666666667</v>
          </cell>
          <cell r="CP157" t="str">
            <v>2774/10</v>
          </cell>
          <cell r="CQ157">
            <v>40469</v>
          </cell>
          <cell r="CR157">
            <v>40648</v>
          </cell>
          <cell r="CS157" t="str">
            <v>2010-0.277.850-2</v>
          </cell>
          <cell r="CT157" t="str">
            <v>KATIA ROBERTA CARDOSO PEREIRA</v>
          </cell>
          <cell r="CU157">
            <v>17600102862</v>
          </cell>
          <cell r="CV157">
            <v>115324</v>
          </cell>
          <cell r="CW157">
            <v>4154.5219999999999</v>
          </cell>
          <cell r="CX157">
            <v>112.17209400000002</v>
          </cell>
          <cell r="CY157">
            <v>20.77261</v>
          </cell>
          <cell r="CZ157">
            <v>2492.7131999999997</v>
          </cell>
          <cell r="DA157">
            <v>92.966979999999921</v>
          </cell>
          <cell r="DD157">
            <v>92.966979999999921</v>
          </cell>
        </row>
        <row r="158">
          <cell r="C158" t="str">
            <v>2176/10</v>
          </cell>
          <cell r="D158" t="str">
            <v>01/01 A 31/01/11</v>
          </cell>
          <cell r="E158" t="str">
            <v xml:space="preserve">LINDALVA MARIA ALVES DOS SANTOS </v>
          </cell>
          <cell r="F158" t="str">
            <v>EMEI</v>
          </cell>
          <cell r="G158">
            <v>16</v>
          </cell>
          <cell r="H158">
            <v>16</v>
          </cell>
          <cell r="I158">
            <v>16</v>
          </cell>
          <cell r="J158">
            <v>90557</v>
          </cell>
          <cell r="K158">
            <v>117</v>
          </cell>
          <cell r="L158">
            <v>27</v>
          </cell>
          <cell r="M158">
            <v>0</v>
          </cell>
          <cell r="N158">
            <v>90557</v>
          </cell>
          <cell r="O158">
            <v>75</v>
          </cell>
          <cell r="P158">
            <v>26</v>
          </cell>
          <cell r="Q158">
            <v>0</v>
          </cell>
          <cell r="R158">
            <v>0</v>
          </cell>
          <cell r="U158">
            <v>0</v>
          </cell>
          <cell r="W158">
            <v>1</v>
          </cell>
          <cell r="Y158">
            <v>1</v>
          </cell>
          <cell r="AA158">
            <v>0</v>
          </cell>
          <cell r="AB158">
            <v>0</v>
          </cell>
          <cell r="AE158">
            <v>1</v>
          </cell>
          <cell r="AG158">
            <v>1</v>
          </cell>
          <cell r="AI158">
            <v>0</v>
          </cell>
          <cell r="AJ158">
            <v>0</v>
          </cell>
          <cell r="AL158">
            <v>16</v>
          </cell>
          <cell r="AM158">
            <v>30</v>
          </cell>
          <cell r="AN158">
            <v>22</v>
          </cell>
          <cell r="AO158">
            <v>192</v>
          </cell>
          <cell r="AP158">
            <v>53</v>
          </cell>
          <cell r="AS158">
            <v>2007</v>
          </cell>
          <cell r="AT158">
            <v>29</v>
          </cell>
          <cell r="AU158">
            <v>27</v>
          </cell>
          <cell r="AV158">
            <v>192</v>
          </cell>
          <cell r="AW158">
            <v>0.25</v>
          </cell>
          <cell r="AX158">
            <v>3072</v>
          </cell>
          <cell r="AY158">
            <v>768</v>
          </cell>
          <cell r="AZ158">
            <v>36.880000000000003</v>
          </cell>
          <cell r="BA158">
            <v>27</v>
          </cell>
          <cell r="BB158">
            <v>730.22400000000005</v>
          </cell>
          <cell r="BC158">
            <v>36.880000000000003</v>
          </cell>
          <cell r="BD158">
            <v>26</v>
          </cell>
          <cell r="BE158">
            <v>703.1786666666668</v>
          </cell>
          <cell r="BF158">
            <v>36.880000000000003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1433.4026666666668</v>
          </cell>
          <cell r="BL158">
            <v>3618.12</v>
          </cell>
          <cell r="BM158">
            <v>3618.12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Y158">
            <v>5819.5226666666667</v>
          </cell>
          <cell r="CP158" t="str">
            <v>3001/10</v>
          </cell>
          <cell r="CQ158">
            <v>40498</v>
          </cell>
          <cell r="CR158">
            <v>40677</v>
          </cell>
          <cell r="CS158" t="str">
            <v>2010-0.288.554-6</v>
          </cell>
          <cell r="CT158" t="str">
            <v>LAURINDA ANGELICA DE SOUZA CRUZ</v>
          </cell>
          <cell r="CU158" t="str">
            <v>037.924.588-45</v>
          </cell>
          <cell r="CV158">
            <v>122567</v>
          </cell>
          <cell r="CW158">
            <v>5793.3239999999996</v>
          </cell>
          <cell r="CX158">
            <v>156.419748</v>
          </cell>
          <cell r="CY158">
            <v>28.966620000000002</v>
          </cell>
          <cell r="CZ158">
            <v>3475.9943999999996</v>
          </cell>
          <cell r="DA158">
            <v>276.4787399999999</v>
          </cell>
          <cell r="DD158">
            <v>276.4787399999999</v>
          </cell>
        </row>
        <row r="159">
          <cell r="C159" t="str">
            <v>1609/10</v>
          </cell>
          <cell r="D159" t="str">
            <v>01/01 A 31/01/11</v>
          </cell>
          <cell r="E159" t="str">
            <v>LOURIVAL POLIDORO RAIMUNDO</v>
          </cell>
          <cell r="F159" t="str">
            <v>EMEI</v>
          </cell>
          <cell r="G159">
            <v>16</v>
          </cell>
          <cell r="H159">
            <v>16</v>
          </cell>
          <cell r="I159">
            <v>16</v>
          </cell>
          <cell r="J159">
            <v>90646</v>
          </cell>
          <cell r="K159">
            <v>83</v>
          </cell>
          <cell r="L159">
            <v>23</v>
          </cell>
          <cell r="M159">
            <v>0</v>
          </cell>
          <cell r="N159">
            <v>90646</v>
          </cell>
          <cell r="O159">
            <v>96</v>
          </cell>
          <cell r="P159">
            <v>23</v>
          </cell>
          <cell r="Q159">
            <v>0</v>
          </cell>
          <cell r="R159">
            <v>0</v>
          </cell>
          <cell r="U159">
            <v>0</v>
          </cell>
          <cell r="W159">
            <v>1</v>
          </cell>
          <cell r="Y159">
            <v>1</v>
          </cell>
          <cell r="AA159">
            <v>0</v>
          </cell>
          <cell r="AB159">
            <v>0</v>
          </cell>
          <cell r="AE159">
            <v>1</v>
          </cell>
          <cell r="AG159">
            <v>1</v>
          </cell>
          <cell r="AI159">
            <v>0</v>
          </cell>
          <cell r="AJ159">
            <v>0</v>
          </cell>
          <cell r="AL159">
            <v>16</v>
          </cell>
          <cell r="AM159">
            <v>30</v>
          </cell>
          <cell r="AN159">
            <v>22</v>
          </cell>
          <cell r="AO159">
            <v>179</v>
          </cell>
          <cell r="AP159">
            <v>46</v>
          </cell>
          <cell r="AS159">
            <v>2008</v>
          </cell>
          <cell r="AT159">
            <v>25</v>
          </cell>
          <cell r="AU159">
            <v>23</v>
          </cell>
          <cell r="AV159">
            <v>179</v>
          </cell>
          <cell r="AW159">
            <v>0.25</v>
          </cell>
          <cell r="AX159">
            <v>2864</v>
          </cell>
          <cell r="AY159">
            <v>716</v>
          </cell>
          <cell r="AZ159">
            <v>36.880000000000003</v>
          </cell>
          <cell r="BA159">
            <v>23</v>
          </cell>
          <cell r="BB159">
            <v>622.04266666666672</v>
          </cell>
          <cell r="BC159">
            <v>36.880000000000003</v>
          </cell>
          <cell r="BD159">
            <v>23</v>
          </cell>
          <cell r="BE159">
            <v>622.04266666666672</v>
          </cell>
          <cell r="BF159">
            <v>36.880000000000003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1244.0853333333334</v>
          </cell>
          <cell r="BL159">
            <v>3727.1</v>
          </cell>
          <cell r="BM159">
            <v>3727.1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Y159">
            <v>5687.1853333333338</v>
          </cell>
          <cell r="CP159" t="str">
            <v>2608/10</v>
          </cell>
          <cell r="CQ159">
            <v>40462</v>
          </cell>
          <cell r="CR159">
            <v>40641</v>
          </cell>
          <cell r="CS159" t="str">
            <v>2010-0.270.464-9</v>
          </cell>
          <cell r="CT159" t="str">
            <v>LEDA MARIA COELHO SARAIVA</v>
          </cell>
          <cell r="CU159" t="str">
            <v>088.744.068-19</v>
          </cell>
          <cell r="CV159">
            <v>114102</v>
          </cell>
          <cell r="CW159">
            <v>3356.1926666666668</v>
          </cell>
          <cell r="CX159">
            <v>90.61720200000002</v>
          </cell>
          <cell r="CY159">
            <v>16.780963333333336</v>
          </cell>
          <cell r="CZ159">
            <v>2013.7156</v>
          </cell>
          <cell r="DA159">
            <v>38.598669999999998</v>
          </cell>
          <cell r="DD159">
            <v>21.117340000000013</v>
          </cell>
        </row>
        <row r="160">
          <cell r="C160" t="str">
            <v>2355/10</v>
          </cell>
          <cell r="D160" t="str">
            <v>01/01 A 31/01/11</v>
          </cell>
          <cell r="E160" t="str">
            <v>LUCENY FERREIRA PARREIRA</v>
          </cell>
          <cell r="F160" t="str">
            <v>EMEF</v>
          </cell>
          <cell r="G160">
            <v>15</v>
          </cell>
          <cell r="H160">
            <v>15</v>
          </cell>
          <cell r="I160">
            <v>15</v>
          </cell>
          <cell r="J160">
            <v>19313</v>
          </cell>
          <cell r="K160">
            <v>24</v>
          </cell>
          <cell r="L160">
            <v>18</v>
          </cell>
          <cell r="M160">
            <v>0</v>
          </cell>
          <cell r="N160">
            <v>19313</v>
          </cell>
          <cell r="O160">
            <v>22</v>
          </cell>
          <cell r="P160">
            <v>18</v>
          </cell>
          <cell r="Q160">
            <v>0</v>
          </cell>
          <cell r="R160">
            <v>19313</v>
          </cell>
          <cell r="S160">
            <v>23</v>
          </cell>
          <cell r="T160">
            <v>18</v>
          </cell>
          <cell r="U160">
            <v>0</v>
          </cell>
          <cell r="W160">
            <v>1</v>
          </cell>
          <cell r="Y160">
            <v>1</v>
          </cell>
          <cell r="AA160">
            <v>1</v>
          </cell>
          <cell r="AB160">
            <v>0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22</v>
          </cell>
          <cell r="AL160">
            <v>16</v>
          </cell>
          <cell r="AM160">
            <v>30</v>
          </cell>
          <cell r="AN160">
            <v>22</v>
          </cell>
          <cell r="AO160">
            <v>69</v>
          </cell>
          <cell r="AP160">
            <v>54</v>
          </cell>
          <cell r="AS160">
            <v>1999</v>
          </cell>
          <cell r="AT160">
            <v>20</v>
          </cell>
          <cell r="AU160">
            <v>18</v>
          </cell>
          <cell r="AV160">
            <v>69</v>
          </cell>
          <cell r="AW160">
            <v>0.25</v>
          </cell>
          <cell r="AX160">
            <v>1104</v>
          </cell>
          <cell r="AY160">
            <v>276</v>
          </cell>
          <cell r="AZ160">
            <v>36.880000000000003</v>
          </cell>
          <cell r="BA160">
            <v>18</v>
          </cell>
          <cell r="BB160">
            <v>486.81600000000003</v>
          </cell>
          <cell r="BC160">
            <v>36.880000000000003</v>
          </cell>
          <cell r="BD160">
            <v>18</v>
          </cell>
          <cell r="BE160">
            <v>486.81600000000003</v>
          </cell>
          <cell r="BF160">
            <v>36.880000000000003</v>
          </cell>
          <cell r="BG160">
            <v>18</v>
          </cell>
          <cell r="BH160">
            <v>486.81600000000003</v>
          </cell>
          <cell r="BI160">
            <v>0</v>
          </cell>
          <cell r="BJ160">
            <v>0</v>
          </cell>
          <cell r="BK160">
            <v>1460.4480000000001</v>
          </cell>
          <cell r="BL160">
            <v>1973.97</v>
          </cell>
          <cell r="BM160">
            <v>1973.9700000000003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6</v>
          </cell>
          <cell r="BS160">
            <v>5.5</v>
          </cell>
          <cell r="BT160">
            <v>5.75</v>
          </cell>
          <cell r="BU160">
            <v>17.25</v>
          </cell>
          <cell r="BY160">
            <v>3693.1680000000006</v>
          </cell>
          <cell r="CP160" t="str">
            <v>2372/10</v>
          </cell>
          <cell r="CQ160">
            <v>40449</v>
          </cell>
          <cell r="CR160">
            <v>40628</v>
          </cell>
          <cell r="CS160" t="str">
            <v>2010-0.245.810-9</v>
          </cell>
          <cell r="CT160" t="str">
            <v>LENILSON LUIZ FERREIRA</v>
          </cell>
          <cell r="CU160" t="str">
            <v>117.640.108-41</v>
          </cell>
          <cell r="CV160">
            <v>106455</v>
          </cell>
          <cell r="CW160">
            <v>5071.934666666667</v>
          </cell>
          <cell r="CX160">
            <v>136.94223600000004</v>
          </cell>
          <cell r="CY160">
            <v>25.359673333333337</v>
          </cell>
          <cell r="CZ160">
            <v>3043.1608000000001</v>
          </cell>
          <cell r="DA160">
            <v>179.09118000000001</v>
          </cell>
          <cell r="DD160">
            <v>179.09118000000001</v>
          </cell>
        </row>
        <row r="161">
          <cell r="C161" t="str">
            <v>1918/10</v>
          </cell>
          <cell r="D161" t="str">
            <v>01/01 A 31/01/11</v>
          </cell>
          <cell r="E161" t="str">
            <v>LUCIANO DE LIMA</v>
          </cell>
          <cell r="F161" t="str">
            <v>EMEF/EMEI</v>
          </cell>
          <cell r="G161">
            <v>16</v>
          </cell>
          <cell r="H161">
            <v>16</v>
          </cell>
          <cell r="I161">
            <v>15</v>
          </cell>
          <cell r="J161">
            <v>93386</v>
          </cell>
          <cell r="K161">
            <v>17</v>
          </cell>
          <cell r="L161">
            <v>27</v>
          </cell>
          <cell r="M161">
            <v>0</v>
          </cell>
          <cell r="N161">
            <v>93386</v>
          </cell>
          <cell r="O161">
            <v>23</v>
          </cell>
          <cell r="P161">
            <v>27</v>
          </cell>
          <cell r="Q161">
            <v>0</v>
          </cell>
          <cell r="R161">
            <v>19451</v>
          </cell>
          <cell r="S161">
            <v>14</v>
          </cell>
          <cell r="T161">
            <v>23</v>
          </cell>
          <cell r="U161">
            <v>0</v>
          </cell>
          <cell r="W161">
            <v>1</v>
          </cell>
          <cell r="Y161">
            <v>1</v>
          </cell>
          <cell r="AA161">
            <v>1</v>
          </cell>
          <cell r="AB161">
            <v>0</v>
          </cell>
          <cell r="AE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0.33333333333333331</v>
          </cell>
          <cell r="AK161">
            <v>6</v>
          </cell>
          <cell r="AL161">
            <v>16</v>
          </cell>
          <cell r="AM161">
            <v>30</v>
          </cell>
          <cell r="AN161">
            <v>22</v>
          </cell>
          <cell r="AO161">
            <v>54</v>
          </cell>
          <cell r="AP161">
            <v>77</v>
          </cell>
          <cell r="AS161">
            <v>2007</v>
          </cell>
          <cell r="AT161">
            <v>29</v>
          </cell>
          <cell r="AU161">
            <v>27</v>
          </cell>
          <cell r="AV161">
            <v>54</v>
          </cell>
          <cell r="AW161">
            <v>0.25</v>
          </cell>
          <cell r="AX161">
            <v>864</v>
          </cell>
          <cell r="AY161">
            <v>216</v>
          </cell>
          <cell r="AZ161">
            <v>36.880000000000003</v>
          </cell>
          <cell r="BA161">
            <v>27</v>
          </cell>
          <cell r="BB161">
            <v>730.22400000000005</v>
          </cell>
          <cell r="BC161">
            <v>36.880000000000003</v>
          </cell>
          <cell r="BD161">
            <v>27</v>
          </cell>
          <cell r="BE161">
            <v>730.22400000000005</v>
          </cell>
          <cell r="BF161">
            <v>36.880000000000003</v>
          </cell>
          <cell r="BG161">
            <v>23</v>
          </cell>
          <cell r="BH161">
            <v>622.04266666666672</v>
          </cell>
          <cell r="BI161">
            <v>0</v>
          </cell>
          <cell r="BJ161">
            <v>0</v>
          </cell>
          <cell r="BK161">
            <v>2082.4906666666666</v>
          </cell>
          <cell r="BL161">
            <v>3618.12</v>
          </cell>
          <cell r="BM161">
            <v>3618.12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3.5</v>
          </cell>
          <cell r="BU161">
            <v>3.5</v>
          </cell>
          <cell r="BY161">
            <v>5913.1106666666665</v>
          </cell>
          <cell r="CP161" t="str">
            <v>2176/10</v>
          </cell>
          <cell r="CQ161">
            <v>40448</v>
          </cell>
          <cell r="CR161">
            <v>40627</v>
          </cell>
          <cell r="CS161" t="str">
            <v>2010-0.240.919-1</v>
          </cell>
          <cell r="CT161" t="str">
            <v xml:space="preserve">LINDALVA MARIA ALVES DOS SANTOS </v>
          </cell>
          <cell r="CU161" t="str">
            <v>078.044.928-20</v>
          </cell>
          <cell r="CV161">
            <v>106185</v>
          </cell>
          <cell r="CW161">
            <v>5819.5226666666667</v>
          </cell>
          <cell r="CX161">
            <v>157.12711200000001</v>
          </cell>
          <cell r="CY161">
            <v>29.097613333333335</v>
          </cell>
          <cell r="CZ161">
            <v>3491.7136</v>
          </cell>
          <cell r="DA161">
            <v>280.01556000000005</v>
          </cell>
          <cell r="DD161">
            <v>280.01556000000005</v>
          </cell>
        </row>
        <row r="162">
          <cell r="C162" t="str">
            <v>2177/10</v>
          </cell>
          <cell r="D162" t="str">
            <v>01/01 A 31/01/11</v>
          </cell>
          <cell r="E162" t="str">
            <v>LUCIANO KLEBER SILVA PEREIRA</v>
          </cell>
          <cell r="F162" t="str">
            <v>CONVENIADA</v>
          </cell>
          <cell r="G162">
            <v>16</v>
          </cell>
          <cell r="H162">
            <v>16</v>
          </cell>
          <cell r="I162">
            <v>16</v>
          </cell>
          <cell r="J162">
            <v>0</v>
          </cell>
          <cell r="K162">
            <v>69</v>
          </cell>
          <cell r="L162">
            <v>7</v>
          </cell>
          <cell r="M162">
            <v>0</v>
          </cell>
          <cell r="N162">
            <v>0</v>
          </cell>
          <cell r="O162">
            <v>49</v>
          </cell>
          <cell r="P162">
            <v>6</v>
          </cell>
          <cell r="Q162">
            <v>0</v>
          </cell>
          <cell r="R162">
            <v>0</v>
          </cell>
          <cell r="U162">
            <v>0</v>
          </cell>
          <cell r="W162">
            <v>1</v>
          </cell>
          <cell r="Y162">
            <v>1</v>
          </cell>
          <cell r="AA162">
            <v>0</v>
          </cell>
          <cell r="AB162">
            <v>0</v>
          </cell>
          <cell r="AE162">
            <v>1</v>
          </cell>
          <cell r="AG162">
            <v>1</v>
          </cell>
          <cell r="AI162">
            <v>0</v>
          </cell>
          <cell r="AJ162">
            <v>0</v>
          </cell>
          <cell r="AL162">
            <v>16</v>
          </cell>
          <cell r="AM162">
            <v>30</v>
          </cell>
          <cell r="AN162">
            <v>22</v>
          </cell>
          <cell r="AO162">
            <v>118</v>
          </cell>
          <cell r="AP162">
            <v>13</v>
          </cell>
          <cell r="AS162">
            <v>2008</v>
          </cell>
          <cell r="AT162">
            <v>29</v>
          </cell>
          <cell r="AU162">
            <v>27</v>
          </cell>
          <cell r="AV162">
            <v>118</v>
          </cell>
          <cell r="AW162">
            <v>0.25</v>
          </cell>
          <cell r="AX162">
            <v>1888</v>
          </cell>
          <cell r="AY162">
            <v>472</v>
          </cell>
          <cell r="AZ162">
            <v>2544.7199999999998</v>
          </cell>
          <cell r="BA162">
            <v>7</v>
          </cell>
          <cell r="BB162">
            <v>1866.1279999999999</v>
          </cell>
          <cell r="BC162">
            <v>0</v>
          </cell>
          <cell r="BD162">
            <v>6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1866.1279999999999</v>
          </cell>
          <cell r="BL162">
            <v>3727.1</v>
          </cell>
          <cell r="BM162">
            <v>3727.1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Y162">
            <v>6065.2280000000001</v>
          </cell>
          <cell r="CP162" t="str">
            <v>1609/10</v>
          </cell>
          <cell r="CQ162">
            <v>40392</v>
          </cell>
          <cell r="CR162">
            <v>40571</v>
          </cell>
          <cell r="CS162" t="str">
            <v>2010-0.184.606-7</v>
          </cell>
          <cell r="CT162" t="str">
            <v>LOURIVAL POLIDORO RAIMUNDO</v>
          </cell>
          <cell r="CU162" t="str">
            <v>258.352.608-14</v>
          </cell>
          <cell r="CV162">
            <v>86012</v>
          </cell>
          <cell r="CW162">
            <v>5687.1853333333338</v>
          </cell>
          <cell r="CX162">
            <v>153.55400400000005</v>
          </cell>
          <cell r="CY162">
            <v>28.435926666666674</v>
          </cell>
          <cell r="CZ162">
            <v>3412.3112000000001</v>
          </cell>
          <cell r="DA162">
            <v>262.15002000000004</v>
          </cell>
          <cell r="DD162">
            <v>262.15002000000004</v>
          </cell>
        </row>
        <row r="163">
          <cell r="C163" t="str">
            <v>1919/10</v>
          </cell>
          <cell r="D163" t="str">
            <v>01/01 A 31/01/11</v>
          </cell>
          <cell r="E163" t="str">
            <v>LUIS FERNANDO RODRIGUES</v>
          </cell>
          <cell r="F163" t="str">
            <v>EMEF</v>
          </cell>
          <cell r="G163">
            <v>16</v>
          </cell>
          <cell r="H163">
            <v>16</v>
          </cell>
          <cell r="I163">
            <v>16</v>
          </cell>
          <cell r="J163">
            <v>93424</v>
          </cell>
          <cell r="K163">
            <v>43</v>
          </cell>
          <cell r="L163">
            <v>27</v>
          </cell>
          <cell r="M163">
            <v>0</v>
          </cell>
          <cell r="N163">
            <v>93424</v>
          </cell>
          <cell r="O163">
            <v>48</v>
          </cell>
          <cell r="P163">
            <v>25</v>
          </cell>
          <cell r="Q163">
            <v>0</v>
          </cell>
          <cell r="R163">
            <v>0</v>
          </cell>
          <cell r="U163">
            <v>0</v>
          </cell>
          <cell r="W163">
            <v>1</v>
          </cell>
          <cell r="Y163">
            <v>1</v>
          </cell>
          <cell r="AA163">
            <v>0</v>
          </cell>
          <cell r="AB163">
            <v>0</v>
          </cell>
          <cell r="AE163">
            <v>1</v>
          </cell>
          <cell r="AG163">
            <v>1</v>
          </cell>
          <cell r="AI163">
            <v>0</v>
          </cell>
          <cell r="AJ163">
            <v>0</v>
          </cell>
          <cell r="AL163">
            <v>16</v>
          </cell>
          <cell r="AM163">
            <v>30</v>
          </cell>
          <cell r="AN163">
            <v>22</v>
          </cell>
          <cell r="AO163">
            <v>91</v>
          </cell>
          <cell r="AP163">
            <v>52</v>
          </cell>
          <cell r="AS163">
            <v>2007</v>
          </cell>
          <cell r="AT163">
            <v>29</v>
          </cell>
          <cell r="AU163">
            <v>27</v>
          </cell>
          <cell r="AV163">
            <v>91</v>
          </cell>
          <cell r="AW163">
            <v>0.25</v>
          </cell>
          <cell r="AX163">
            <v>1456</v>
          </cell>
          <cell r="AY163">
            <v>364</v>
          </cell>
          <cell r="AZ163">
            <v>36.880000000000003</v>
          </cell>
          <cell r="BA163">
            <v>27</v>
          </cell>
          <cell r="BB163">
            <v>730.22400000000005</v>
          </cell>
          <cell r="BC163">
            <v>36.880000000000003</v>
          </cell>
          <cell r="BD163">
            <v>25</v>
          </cell>
          <cell r="BE163">
            <v>676.13333333333344</v>
          </cell>
          <cell r="BF163">
            <v>36.880000000000003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1406.3573333333334</v>
          </cell>
          <cell r="BL163">
            <v>3618.12</v>
          </cell>
          <cell r="BM163">
            <v>3618.12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Y163">
            <v>5388.4773333333333</v>
          </cell>
          <cell r="CP163" t="str">
            <v>2355/10</v>
          </cell>
          <cell r="CQ163">
            <v>40449</v>
          </cell>
          <cell r="CR163">
            <v>40628</v>
          </cell>
          <cell r="CS163" t="str">
            <v>2010-0.245.701-3</v>
          </cell>
          <cell r="CT163" t="str">
            <v>LUCENY FERREIRA PARREIRA</v>
          </cell>
          <cell r="CU163" t="str">
            <v>411.252.666-00</v>
          </cell>
          <cell r="CV163">
            <v>106446</v>
          </cell>
          <cell r="CW163">
            <v>3693.1680000000006</v>
          </cell>
          <cell r="CX163">
            <v>99.715536000000029</v>
          </cell>
          <cell r="CY163">
            <v>18.465840000000004</v>
          </cell>
          <cell r="CZ163">
            <v>2215.9008000000003</v>
          </cell>
          <cell r="DA163">
            <v>53.762560000000008</v>
          </cell>
          <cell r="DD163">
            <v>51.445120000000031</v>
          </cell>
        </row>
        <row r="164">
          <cell r="C164" t="str">
            <v>2315/10</v>
          </cell>
          <cell r="D164" t="str">
            <v>01/01 A 31/01/11</v>
          </cell>
          <cell r="E164" t="str">
            <v>LUIZ BATISTA DA SILVA</v>
          </cell>
          <cell r="F164" t="str">
            <v>EMEF</v>
          </cell>
          <cell r="G164">
            <v>15</v>
          </cell>
          <cell r="H164">
            <v>15</v>
          </cell>
          <cell r="I164">
            <v>16</v>
          </cell>
          <cell r="J164">
            <v>93360</v>
          </cell>
          <cell r="K164">
            <v>41</v>
          </cell>
          <cell r="L164">
            <v>27</v>
          </cell>
          <cell r="M164">
            <v>0</v>
          </cell>
          <cell r="N164">
            <v>93360</v>
          </cell>
          <cell r="O164">
            <v>29</v>
          </cell>
          <cell r="P164">
            <v>12</v>
          </cell>
          <cell r="Q164">
            <v>0</v>
          </cell>
          <cell r="R164">
            <v>93360</v>
          </cell>
          <cell r="S164">
            <v>52</v>
          </cell>
          <cell r="T164">
            <v>27</v>
          </cell>
          <cell r="U164">
            <v>0</v>
          </cell>
          <cell r="W164">
            <v>1</v>
          </cell>
          <cell r="Y164">
            <v>1</v>
          </cell>
          <cell r="AA164">
            <v>1</v>
          </cell>
          <cell r="AB164">
            <v>0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I164">
            <v>1</v>
          </cell>
          <cell r="AJ164">
            <v>0.66666666666666663</v>
          </cell>
          <cell r="AK164">
            <v>6</v>
          </cell>
          <cell r="AL164">
            <v>16</v>
          </cell>
          <cell r="AM164">
            <v>30</v>
          </cell>
          <cell r="AN164">
            <v>22</v>
          </cell>
          <cell r="AO164">
            <v>122</v>
          </cell>
          <cell r="AP164">
            <v>66</v>
          </cell>
          <cell r="AS164">
            <v>2006</v>
          </cell>
          <cell r="AT164">
            <v>29</v>
          </cell>
          <cell r="AU164">
            <v>27</v>
          </cell>
          <cell r="AV164">
            <v>122</v>
          </cell>
          <cell r="AW164">
            <v>0.25</v>
          </cell>
          <cell r="AX164">
            <v>1952</v>
          </cell>
          <cell r="AY164">
            <v>488</v>
          </cell>
          <cell r="AZ164">
            <v>36.880000000000003</v>
          </cell>
          <cell r="BA164">
            <v>27</v>
          </cell>
          <cell r="BB164">
            <v>730.22400000000005</v>
          </cell>
          <cell r="BC164">
            <v>36.880000000000003</v>
          </cell>
          <cell r="BD164">
            <v>12</v>
          </cell>
          <cell r="BE164">
            <v>324.54400000000004</v>
          </cell>
          <cell r="BF164">
            <v>36.880000000000003</v>
          </cell>
          <cell r="BG164">
            <v>27</v>
          </cell>
          <cell r="BH164">
            <v>730.22400000000005</v>
          </cell>
          <cell r="BI164">
            <v>0</v>
          </cell>
          <cell r="BJ164">
            <v>0</v>
          </cell>
          <cell r="BK164">
            <v>1784.9920000000002</v>
          </cell>
          <cell r="BL164">
            <v>3509.14</v>
          </cell>
          <cell r="BM164">
            <v>3509.14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10.25</v>
          </cell>
          <cell r="BS164">
            <v>7.25</v>
          </cell>
          <cell r="BT164">
            <v>0</v>
          </cell>
          <cell r="BU164">
            <v>17.5</v>
          </cell>
          <cell r="BY164">
            <v>5764.6319999999996</v>
          </cell>
          <cell r="CP164" t="str">
            <v>1918/10</v>
          </cell>
          <cell r="CQ164">
            <v>40441</v>
          </cell>
          <cell r="CR164">
            <v>40620</v>
          </cell>
          <cell r="CS164" t="str">
            <v>2010-0.230.674-0</v>
          </cell>
          <cell r="CT164" t="str">
            <v>LUCIANO DE LIMA</v>
          </cell>
          <cell r="CU164">
            <v>15325143875</v>
          </cell>
          <cell r="CV164">
            <v>104979</v>
          </cell>
          <cell r="CW164">
            <v>5913.1106666666665</v>
          </cell>
          <cell r="CX164">
            <v>159.653988</v>
          </cell>
          <cell r="CY164">
            <v>29.565553333333334</v>
          </cell>
          <cell r="CZ164">
            <v>3547.8663999999999</v>
          </cell>
          <cell r="DA164">
            <v>292.64994000000002</v>
          </cell>
          <cell r="DD164">
            <v>292.64994000000002</v>
          </cell>
        </row>
        <row r="165">
          <cell r="C165" t="str">
            <v>2741/10</v>
          </cell>
          <cell r="D165" t="str">
            <v>01/01 A 31/01/11</v>
          </cell>
          <cell r="E165" t="str">
            <v>LUIZ CARLOS RUDINISKI</v>
          </cell>
          <cell r="F165" t="str">
            <v>EMEF</v>
          </cell>
          <cell r="G165">
            <v>13</v>
          </cell>
          <cell r="H165">
            <v>13</v>
          </cell>
          <cell r="I165">
            <v>13</v>
          </cell>
          <cell r="J165">
            <v>19243</v>
          </cell>
          <cell r="K165">
            <v>22</v>
          </cell>
          <cell r="L165">
            <v>23</v>
          </cell>
          <cell r="M165">
            <v>0</v>
          </cell>
          <cell r="N165">
            <v>19243</v>
          </cell>
          <cell r="O165">
            <v>23</v>
          </cell>
          <cell r="P165">
            <v>23</v>
          </cell>
          <cell r="Q165">
            <v>0</v>
          </cell>
          <cell r="R165">
            <v>0</v>
          </cell>
          <cell r="U165">
            <v>0</v>
          </cell>
          <cell r="W165">
            <v>1</v>
          </cell>
          <cell r="Y165">
            <v>1</v>
          </cell>
          <cell r="AA165">
            <v>0</v>
          </cell>
          <cell r="AB165">
            <v>0</v>
          </cell>
          <cell r="AD165">
            <v>3</v>
          </cell>
          <cell r="AE165">
            <v>1</v>
          </cell>
          <cell r="AF165">
            <v>3</v>
          </cell>
          <cell r="AG165">
            <v>1</v>
          </cell>
          <cell r="AH165">
            <v>3</v>
          </cell>
          <cell r="AI165">
            <v>0</v>
          </cell>
          <cell r="AJ165">
            <v>4.5</v>
          </cell>
          <cell r="AK165" t="str">
            <v>10, 15 e 16</v>
          </cell>
          <cell r="AL165">
            <v>16</v>
          </cell>
          <cell r="AM165">
            <v>30</v>
          </cell>
          <cell r="AN165">
            <v>22</v>
          </cell>
          <cell r="AO165">
            <v>45</v>
          </cell>
          <cell r="AP165">
            <v>46</v>
          </cell>
          <cell r="AS165">
            <v>2002</v>
          </cell>
          <cell r="AT165">
            <v>25</v>
          </cell>
          <cell r="AU165">
            <v>23</v>
          </cell>
          <cell r="AV165">
            <v>45</v>
          </cell>
          <cell r="AW165">
            <v>0.25</v>
          </cell>
          <cell r="AX165">
            <v>720</v>
          </cell>
          <cell r="AY165">
            <v>180</v>
          </cell>
          <cell r="AZ165">
            <v>36.880000000000003</v>
          </cell>
          <cell r="BA165">
            <v>23</v>
          </cell>
          <cell r="BB165">
            <v>622.04266666666672</v>
          </cell>
          <cell r="BC165">
            <v>36.880000000000003</v>
          </cell>
          <cell r="BD165">
            <v>23</v>
          </cell>
          <cell r="BE165">
            <v>622.04266666666672</v>
          </cell>
          <cell r="BF165">
            <v>36.880000000000003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1244.0853333333334</v>
          </cell>
          <cell r="BL165">
            <v>3073.24</v>
          </cell>
          <cell r="BM165">
            <v>3073.24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16.5</v>
          </cell>
          <cell r="BS165">
            <v>17.25</v>
          </cell>
          <cell r="BT165">
            <v>0</v>
          </cell>
          <cell r="BU165">
            <v>33.75</v>
          </cell>
          <cell r="BY165">
            <v>4463.5753333333332</v>
          </cell>
          <cell r="CP165" t="str">
            <v>2177/10</v>
          </cell>
          <cell r="CQ165">
            <v>40448</v>
          </cell>
          <cell r="CR165">
            <v>40627</v>
          </cell>
          <cell r="CS165" t="str">
            <v>2010-0.240.920-5</v>
          </cell>
          <cell r="CT165" t="str">
            <v>LUCIANO KLEBER SILVA PEREIRA</v>
          </cell>
          <cell r="CU165">
            <v>31746399805</v>
          </cell>
          <cell r="CV165">
            <v>106200</v>
          </cell>
          <cell r="CW165">
            <v>6065.2280000000001</v>
          </cell>
          <cell r="CX165">
            <v>163.76115600000003</v>
          </cell>
          <cell r="CY165">
            <v>30.326140000000006</v>
          </cell>
          <cell r="CZ165">
            <v>3639.1367999999998</v>
          </cell>
          <cell r="DA165">
            <v>313.18577999999991</v>
          </cell>
          <cell r="DD165">
            <v>313.18577999999991</v>
          </cell>
        </row>
        <row r="166">
          <cell r="C166" t="str">
            <v>2195/10</v>
          </cell>
          <cell r="D166" t="str">
            <v>01/01 A 31/01/11</v>
          </cell>
          <cell r="E166" t="str">
            <v>LUIZ DA SILVA</v>
          </cell>
          <cell r="F166" t="str">
            <v>EMEF</v>
          </cell>
          <cell r="G166">
            <v>15</v>
          </cell>
          <cell r="H166">
            <v>15</v>
          </cell>
          <cell r="I166">
            <v>15</v>
          </cell>
          <cell r="J166">
            <v>93378</v>
          </cell>
          <cell r="K166">
            <v>24</v>
          </cell>
          <cell r="L166">
            <v>17</v>
          </cell>
          <cell r="M166">
            <v>0</v>
          </cell>
          <cell r="N166">
            <v>93378</v>
          </cell>
          <cell r="O166">
            <v>34</v>
          </cell>
          <cell r="P166">
            <v>17</v>
          </cell>
          <cell r="Q166">
            <v>0</v>
          </cell>
          <cell r="R166">
            <v>93378</v>
          </cell>
          <cell r="S166">
            <v>32</v>
          </cell>
          <cell r="T166">
            <v>17</v>
          </cell>
          <cell r="U166">
            <v>0</v>
          </cell>
          <cell r="W166">
            <v>1</v>
          </cell>
          <cell r="Y166">
            <v>1</v>
          </cell>
          <cell r="AA166">
            <v>1</v>
          </cell>
          <cell r="AB166">
            <v>0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22</v>
          </cell>
          <cell r="AL166">
            <v>16</v>
          </cell>
          <cell r="AM166">
            <v>30</v>
          </cell>
          <cell r="AN166">
            <v>22</v>
          </cell>
          <cell r="AO166">
            <v>90</v>
          </cell>
          <cell r="AP166">
            <v>51</v>
          </cell>
          <cell r="AS166">
            <v>2009</v>
          </cell>
          <cell r="AT166">
            <v>19</v>
          </cell>
          <cell r="AU166">
            <v>17</v>
          </cell>
          <cell r="AV166">
            <v>90</v>
          </cell>
          <cell r="AW166">
            <v>0.25</v>
          </cell>
          <cell r="AX166">
            <v>1440</v>
          </cell>
          <cell r="AY166">
            <v>360</v>
          </cell>
          <cell r="AZ166">
            <v>36.880000000000003</v>
          </cell>
          <cell r="BA166">
            <v>17</v>
          </cell>
          <cell r="BB166">
            <v>459.77066666666667</v>
          </cell>
          <cell r="BC166">
            <v>36.880000000000003</v>
          </cell>
          <cell r="BD166">
            <v>17</v>
          </cell>
          <cell r="BE166">
            <v>459.77066666666667</v>
          </cell>
          <cell r="BF166">
            <v>36.880000000000003</v>
          </cell>
          <cell r="BG166">
            <v>17</v>
          </cell>
          <cell r="BH166">
            <v>459.77066666666667</v>
          </cell>
          <cell r="BI166">
            <v>0</v>
          </cell>
          <cell r="BJ166">
            <v>0</v>
          </cell>
          <cell r="BK166">
            <v>1379.3119999999999</v>
          </cell>
          <cell r="BL166">
            <v>2650.9</v>
          </cell>
          <cell r="BM166">
            <v>2650.9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6</v>
          </cell>
          <cell r="BS166">
            <v>8.5</v>
          </cell>
          <cell r="BT166">
            <v>8</v>
          </cell>
          <cell r="BU166">
            <v>22.5</v>
          </cell>
          <cell r="BY166">
            <v>4367.7119999999995</v>
          </cell>
          <cell r="CP166" t="str">
            <v>1919/10</v>
          </cell>
          <cell r="CQ166">
            <v>40441</v>
          </cell>
          <cell r="CR166">
            <v>40620</v>
          </cell>
          <cell r="CS166" t="str">
            <v>2010-0.230.676-7</v>
          </cell>
          <cell r="CT166" t="str">
            <v>LUIS FERNANDO RODRIGUES</v>
          </cell>
          <cell r="CU166">
            <v>10101881860</v>
          </cell>
          <cell r="CV166">
            <v>104982</v>
          </cell>
          <cell r="CW166">
            <v>5388.4773333333333</v>
          </cell>
          <cell r="CX166">
            <v>145.48888800000003</v>
          </cell>
          <cell r="CY166">
            <v>26.942386666666671</v>
          </cell>
          <cell r="CZ166">
            <v>3233.0863999999997</v>
          </cell>
          <cell r="DA166">
            <v>221.82443999999998</v>
          </cell>
          <cell r="DD166">
            <v>221.82443999999998</v>
          </cell>
        </row>
        <row r="167">
          <cell r="C167" t="str">
            <v>2602/10</v>
          </cell>
          <cell r="D167" t="str">
            <v>01/01 A 31/01/11</v>
          </cell>
          <cell r="E167" t="str">
            <v>MANOEL INOCENCIO BEZERRA FILHO</v>
          </cell>
          <cell r="F167" t="str">
            <v>EMEI</v>
          </cell>
          <cell r="G167">
            <v>15</v>
          </cell>
          <cell r="H167">
            <v>15</v>
          </cell>
          <cell r="I167">
            <v>15</v>
          </cell>
          <cell r="J167">
            <v>531</v>
          </cell>
          <cell r="K167">
            <v>53</v>
          </cell>
          <cell r="L167">
            <v>23</v>
          </cell>
          <cell r="M167">
            <v>0</v>
          </cell>
          <cell r="N167">
            <v>531</v>
          </cell>
          <cell r="O167">
            <v>53</v>
          </cell>
          <cell r="P167">
            <v>23</v>
          </cell>
          <cell r="Q167">
            <v>0</v>
          </cell>
          <cell r="R167">
            <v>531</v>
          </cell>
          <cell r="S167">
            <v>47</v>
          </cell>
          <cell r="T167">
            <v>23</v>
          </cell>
          <cell r="U167">
            <v>0</v>
          </cell>
          <cell r="W167">
            <v>1</v>
          </cell>
          <cell r="Y167">
            <v>1</v>
          </cell>
          <cell r="AA167">
            <v>1</v>
          </cell>
          <cell r="AB167">
            <v>0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13</v>
          </cell>
          <cell r="AL167">
            <v>16</v>
          </cell>
          <cell r="AM167">
            <v>30</v>
          </cell>
          <cell r="AN167">
            <v>22</v>
          </cell>
          <cell r="AO167">
            <v>153</v>
          </cell>
          <cell r="AP167">
            <v>69</v>
          </cell>
          <cell r="AS167">
            <v>2002</v>
          </cell>
          <cell r="AT167">
            <v>25</v>
          </cell>
          <cell r="AU167">
            <v>23</v>
          </cell>
          <cell r="AV167">
            <v>153</v>
          </cell>
          <cell r="AW167">
            <v>0.25</v>
          </cell>
          <cell r="AX167">
            <v>2448</v>
          </cell>
          <cell r="AY167">
            <v>612</v>
          </cell>
          <cell r="AZ167">
            <v>36.880000000000003</v>
          </cell>
          <cell r="BA167">
            <v>23</v>
          </cell>
          <cell r="BB167">
            <v>622.04266666666672</v>
          </cell>
          <cell r="BC167">
            <v>36.880000000000003</v>
          </cell>
          <cell r="BD167">
            <v>23</v>
          </cell>
          <cell r="BE167">
            <v>622.04266666666672</v>
          </cell>
          <cell r="BF167">
            <v>36.880000000000003</v>
          </cell>
          <cell r="BG167">
            <v>23</v>
          </cell>
          <cell r="BH167">
            <v>622.04266666666672</v>
          </cell>
          <cell r="BI167">
            <v>0</v>
          </cell>
          <cell r="BJ167">
            <v>0</v>
          </cell>
          <cell r="BK167">
            <v>1866.1280000000002</v>
          </cell>
          <cell r="BL167">
            <v>3073.24</v>
          </cell>
          <cell r="BM167">
            <v>3073.24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13.25</v>
          </cell>
          <cell r="BS167">
            <v>13.25</v>
          </cell>
          <cell r="BT167">
            <v>11.75</v>
          </cell>
          <cell r="BU167">
            <v>38.25</v>
          </cell>
          <cell r="BY167">
            <v>5513.1180000000004</v>
          </cell>
          <cell r="CP167" t="str">
            <v>2315/10</v>
          </cell>
          <cell r="CQ167">
            <v>40448</v>
          </cell>
          <cell r="CR167">
            <v>40627</v>
          </cell>
          <cell r="CS167" t="str">
            <v>2010-0.245.451-0</v>
          </cell>
          <cell r="CT167" t="str">
            <v>LUIZ BATISTA DA SILVA</v>
          </cell>
          <cell r="CU167" t="str">
            <v>042.311.858-75</v>
          </cell>
          <cell r="CV167">
            <v>106411</v>
          </cell>
          <cell r="CW167">
            <v>5764.6319999999996</v>
          </cell>
          <cell r="CX167">
            <v>155.64506400000002</v>
          </cell>
          <cell r="CY167">
            <v>28.823160000000001</v>
          </cell>
          <cell r="CZ167">
            <v>3458.7791999999995</v>
          </cell>
          <cell r="DA167">
            <v>272.60531999999989</v>
          </cell>
          <cell r="DD167">
            <v>272.60531999999989</v>
          </cell>
        </row>
        <row r="168">
          <cell r="C168" t="str">
            <v>3044/10</v>
          </cell>
          <cell r="D168" t="str">
            <v>01/01 A 31/01/11</v>
          </cell>
          <cell r="E168" t="str">
            <v>MANOEL LINS DE ASSUMPÇÃO</v>
          </cell>
          <cell r="F168" t="str">
            <v>EMEI</v>
          </cell>
          <cell r="G168">
            <v>14</v>
          </cell>
          <cell r="H168">
            <v>14</v>
          </cell>
          <cell r="I168">
            <v>14</v>
          </cell>
          <cell r="J168">
            <v>19213</v>
          </cell>
          <cell r="K168">
            <v>32</v>
          </cell>
          <cell r="L168">
            <v>27</v>
          </cell>
          <cell r="M168">
            <v>0</v>
          </cell>
          <cell r="N168">
            <v>19213</v>
          </cell>
          <cell r="O168">
            <v>36</v>
          </cell>
          <cell r="P168">
            <v>27</v>
          </cell>
          <cell r="Q168">
            <v>0</v>
          </cell>
          <cell r="R168">
            <v>19213</v>
          </cell>
          <cell r="S168">
            <v>48</v>
          </cell>
          <cell r="T168">
            <v>27</v>
          </cell>
          <cell r="U168">
            <v>0</v>
          </cell>
          <cell r="W168">
            <v>1</v>
          </cell>
          <cell r="Y168">
            <v>1</v>
          </cell>
          <cell r="AA168">
            <v>1</v>
          </cell>
          <cell r="AB168">
            <v>0</v>
          </cell>
          <cell r="AD168">
            <v>2</v>
          </cell>
          <cell r="AE168">
            <v>1</v>
          </cell>
          <cell r="AF168">
            <v>2</v>
          </cell>
          <cell r="AG168">
            <v>1</v>
          </cell>
          <cell r="AH168">
            <v>2</v>
          </cell>
          <cell r="AI168">
            <v>1</v>
          </cell>
          <cell r="AJ168">
            <v>2</v>
          </cell>
          <cell r="AK168" t="str">
            <v>1, 9, 10 e 13</v>
          </cell>
          <cell r="AL168">
            <v>16</v>
          </cell>
          <cell r="AM168">
            <v>30</v>
          </cell>
          <cell r="AN168">
            <v>22</v>
          </cell>
          <cell r="AO168">
            <v>116</v>
          </cell>
          <cell r="AP168">
            <v>81</v>
          </cell>
          <cell r="AS168">
            <v>2008</v>
          </cell>
          <cell r="AT168">
            <v>29</v>
          </cell>
          <cell r="AU168">
            <v>27</v>
          </cell>
          <cell r="AV168">
            <v>116</v>
          </cell>
          <cell r="AW168">
            <v>0.65</v>
          </cell>
          <cell r="AX168">
            <v>1856</v>
          </cell>
          <cell r="AY168">
            <v>1206.4000000000001</v>
          </cell>
          <cell r="AZ168">
            <v>48.26</v>
          </cell>
          <cell r="BA168">
            <v>27</v>
          </cell>
          <cell r="BB168">
            <v>955.548</v>
          </cell>
          <cell r="BC168">
            <v>48.26</v>
          </cell>
          <cell r="BD168">
            <v>27</v>
          </cell>
          <cell r="BE168">
            <v>955.548</v>
          </cell>
          <cell r="BF168">
            <v>48.26</v>
          </cell>
          <cell r="BG168">
            <v>27</v>
          </cell>
          <cell r="BH168">
            <v>955.548</v>
          </cell>
          <cell r="BI168">
            <v>0</v>
          </cell>
          <cell r="BJ168">
            <v>0</v>
          </cell>
          <cell r="BK168">
            <v>2866.6440000000002</v>
          </cell>
          <cell r="BL168">
            <v>2679</v>
          </cell>
          <cell r="BM168">
            <v>2679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41.6</v>
          </cell>
          <cell r="BS168">
            <v>46.800000000000004</v>
          </cell>
          <cell r="BT168">
            <v>62.400000000000006</v>
          </cell>
          <cell r="BU168">
            <v>150.80000000000001</v>
          </cell>
          <cell r="BY168">
            <v>6601.2439999999997</v>
          </cell>
          <cell r="CP168" t="str">
            <v>2741/10</v>
          </cell>
          <cell r="CQ168">
            <v>40469</v>
          </cell>
          <cell r="CR168">
            <v>40648</v>
          </cell>
          <cell r="CS168" t="str">
            <v>2010-0.277.646-1</v>
          </cell>
          <cell r="CT168" t="str">
            <v>LUIZ CARLOS RUDINISKI</v>
          </cell>
          <cell r="CU168" t="str">
            <v>007.313.058-33</v>
          </cell>
          <cell r="CV168">
            <v>115329</v>
          </cell>
          <cell r="CW168">
            <v>4463.5753333333332</v>
          </cell>
          <cell r="CX168">
            <v>120.51653400000001</v>
          </cell>
          <cell r="CY168">
            <v>22.317876666666667</v>
          </cell>
          <cell r="CZ168">
            <v>2678.1451999999999</v>
          </cell>
          <cell r="DA168">
            <v>120.78177999999997</v>
          </cell>
          <cell r="DD168">
            <v>120.78177999999997</v>
          </cell>
        </row>
        <row r="169">
          <cell r="C169" t="str">
            <v>2445/10</v>
          </cell>
          <cell r="D169" t="str">
            <v>01/01 A 31/01/11</v>
          </cell>
          <cell r="E169" t="str">
            <v>MANUEL RODRIGUES BARBOSA</v>
          </cell>
          <cell r="F169" t="str">
            <v>EMEI</v>
          </cell>
          <cell r="G169">
            <v>14</v>
          </cell>
          <cell r="H169">
            <v>14</v>
          </cell>
          <cell r="I169">
            <v>14</v>
          </cell>
          <cell r="J169">
            <v>19213</v>
          </cell>
          <cell r="K169">
            <v>8</v>
          </cell>
          <cell r="L169">
            <v>10</v>
          </cell>
          <cell r="M169">
            <v>0</v>
          </cell>
          <cell r="N169">
            <v>19213</v>
          </cell>
          <cell r="O169">
            <v>49</v>
          </cell>
          <cell r="P169">
            <v>11</v>
          </cell>
          <cell r="Q169">
            <v>0</v>
          </cell>
          <cell r="R169">
            <v>19213</v>
          </cell>
          <cell r="S169">
            <v>46</v>
          </cell>
          <cell r="T169">
            <v>8</v>
          </cell>
          <cell r="U169">
            <v>0</v>
          </cell>
          <cell r="W169">
            <v>1</v>
          </cell>
          <cell r="Y169">
            <v>1</v>
          </cell>
          <cell r="AA169">
            <v>1</v>
          </cell>
          <cell r="AB169">
            <v>0</v>
          </cell>
          <cell r="AD169">
            <v>2</v>
          </cell>
          <cell r="AE169">
            <v>1</v>
          </cell>
          <cell r="AF169">
            <v>2</v>
          </cell>
          <cell r="AG169">
            <v>1</v>
          </cell>
          <cell r="AH169">
            <v>2</v>
          </cell>
          <cell r="AI169">
            <v>1</v>
          </cell>
          <cell r="AJ169">
            <v>2</v>
          </cell>
          <cell r="AK169" t="str">
            <v>1, 9, 10 e 13</v>
          </cell>
          <cell r="AL169">
            <v>16</v>
          </cell>
          <cell r="AM169">
            <v>30</v>
          </cell>
          <cell r="AN169">
            <v>22</v>
          </cell>
          <cell r="AO169">
            <v>103</v>
          </cell>
          <cell r="AP169">
            <v>29</v>
          </cell>
          <cell r="AS169">
            <v>2009</v>
          </cell>
          <cell r="AT169">
            <v>19</v>
          </cell>
          <cell r="AU169">
            <v>17</v>
          </cell>
          <cell r="AV169">
            <v>103</v>
          </cell>
          <cell r="AW169">
            <v>0.25</v>
          </cell>
          <cell r="AX169">
            <v>1648</v>
          </cell>
          <cell r="AY169">
            <v>412</v>
          </cell>
          <cell r="AZ169">
            <v>36.880000000000003</v>
          </cell>
          <cell r="BA169">
            <v>10</v>
          </cell>
          <cell r="BB169">
            <v>270.45333333333332</v>
          </cell>
          <cell r="BC169">
            <v>36.880000000000003</v>
          </cell>
          <cell r="BD169">
            <v>11</v>
          </cell>
          <cell r="BE169">
            <v>297.49866666666668</v>
          </cell>
          <cell r="BF169">
            <v>36.880000000000003</v>
          </cell>
          <cell r="BG169">
            <v>8</v>
          </cell>
          <cell r="BH169">
            <v>216.36266666666668</v>
          </cell>
          <cell r="BI169">
            <v>0</v>
          </cell>
          <cell r="BJ169">
            <v>0</v>
          </cell>
          <cell r="BK169">
            <v>784.31466666666665</v>
          </cell>
          <cell r="BL169">
            <v>2650.9</v>
          </cell>
          <cell r="BM169">
            <v>2650.9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4</v>
          </cell>
          <cell r="BS169">
            <v>24.5</v>
          </cell>
          <cell r="BT169">
            <v>23</v>
          </cell>
          <cell r="BU169">
            <v>51.5</v>
          </cell>
          <cell r="BY169">
            <v>3795.7146666666667</v>
          </cell>
          <cell r="CP169" t="str">
            <v>2195/10</v>
          </cell>
          <cell r="CQ169">
            <v>40448</v>
          </cell>
          <cell r="CR169">
            <v>40627</v>
          </cell>
          <cell r="CS169" t="str">
            <v>2010-0.242.370-4</v>
          </cell>
          <cell r="CT169" t="str">
            <v>LUIZ DA SILVA</v>
          </cell>
          <cell r="CU169">
            <v>78004330800</v>
          </cell>
          <cell r="CV169">
            <v>106215</v>
          </cell>
          <cell r="CW169">
            <v>4367.7119999999995</v>
          </cell>
          <cell r="CX169">
            <v>117.928224</v>
          </cell>
          <cell r="CY169">
            <v>21.838560000000001</v>
          </cell>
          <cell r="CZ169">
            <v>2620.6271999999994</v>
          </cell>
          <cell r="DA169">
            <v>112.15407999999991</v>
          </cell>
          <cell r="DD169">
            <v>112.15407999999991</v>
          </cell>
        </row>
        <row r="170">
          <cell r="C170" t="str">
            <v>2518/10</v>
          </cell>
          <cell r="D170" t="str">
            <v>01/01 A 31/01/11</v>
          </cell>
          <cell r="E170" t="str">
            <v>MARCELO APARECIDO DA MOTA</v>
          </cell>
          <cell r="F170" t="str">
            <v>EMEF</v>
          </cell>
          <cell r="G170">
            <v>16</v>
          </cell>
          <cell r="H170">
            <v>16</v>
          </cell>
          <cell r="I170">
            <v>16</v>
          </cell>
          <cell r="J170">
            <v>19305</v>
          </cell>
          <cell r="K170">
            <v>29</v>
          </cell>
          <cell r="L170">
            <v>16</v>
          </cell>
          <cell r="M170">
            <v>0</v>
          </cell>
          <cell r="N170">
            <v>19305</v>
          </cell>
          <cell r="O170">
            <v>35</v>
          </cell>
          <cell r="P170">
            <v>16</v>
          </cell>
          <cell r="Q170">
            <v>0</v>
          </cell>
          <cell r="R170">
            <v>19305</v>
          </cell>
          <cell r="S170">
            <v>35</v>
          </cell>
          <cell r="T170">
            <v>16</v>
          </cell>
          <cell r="U170">
            <v>0</v>
          </cell>
          <cell r="W170">
            <v>1</v>
          </cell>
          <cell r="Y170">
            <v>1</v>
          </cell>
          <cell r="AA170">
            <v>1</v>
          </cell>
          <cell r="AB170">
            <v>0</v>
          </cell>
          <cell r="AE170">
            <v>1</v>
          </cell>
          <cell r="AG170">
            <v>1</v>
          </cell>
          <cell r="AI170">
            <v>1</v>
          </cell>
          <cell r="AJ170">
            <v>0</v>
          </cell>
          <cell r="AL170">
            <v>16</v>
          </cell>
          <cell r="AM170">
            <v>30</v>
          </cell>
          <cell r="AN170">
            <v>22</v>
          </cell>
          <cell r="AO170">
            <v>99</v>
          </cell>
          <cell r="AP170">
            <v>48</v>
          </cell>
          <cell r="AS170">
            <v>2001</v>
          </cell>
          <cell r="AT170">
            <v>18</v>
          </cell>
          <cell r="AU170">
            <v>16</v>
          </cell>
          <cell r="AV170">
            <v>99</v>
          </cell>
          <cell r="AW170">
            <v>0.25</v>
          </cell>
          <cell r="AX170">
            <v>1584</v>
          </cell>
          <cell r="AY170">
            <v>396</v>
          </cell>
          <cell r="AZ170">
            <v>36.880000000000003</v>
          </cell>
          <cell r="BA170">
            <v>16</v>
          </cell>
          <cell r="BB170">
            <v>432.72533333333337</v>
          </cell>
          <cell r="BC170">
            <v>36.880000000000003</v>
          </cell>
          <cell r="BD170">
            <v>16</v>
          </cell>
          <cell r="BE170">
            <v>432.72533333333337</v>
          </cell>
          <cell r="BF170">
            <v>36.880000000000003</v>
          </cell>
          <cell r="BG170">
            <v>16</v>
          </cell>
          <cell r="BH170">
            <v>432.72533333333337</v>
          </cell>
          <cell r="BI170">
            <v>0</v>
          </cell>
          <cell r="BJ170">
            <v>0</v>
          </cell>
          <cell r="BK170">
            <v>1298.1760000000002</v>
          </cell>
          <cell r="BL170">
            <v>2109.35</v>
          </cell>
          <cell r="BM170">
            <v>2109.35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Y170">
            <v>3803.5259999999998</v>
          </cell>
          <cell r="CP170" t="str">
            <v>2602/10</v>
          </cell>
          <cell r="CQ170">
            <v>40462</v>
          </cell>
          <cell r="CR170">
            <v>40641</v>
          </cell>
          <cell r="CS170" t="str">
            <v>2010-0.270.448-7</v>
          </cell>
          <cell r="CT170" t="str">
            <v>MANOEL INOCENCIO BEZERRA FILHO</v>
          </cell>
          <cell r="CU170" t="str">
            <v>065.194.478-38</v>
          </cell>
          <cell r="CV170">
            <v>114104</v>
          </cell>
          <cell r="CW170">
            <v>5513.1180000000004</v>
          </cell>
          <cell r="CX170">
            <v>148.85418600000003</v>
          </cell>
          <cell r="CY170">
            <v>27.565590000000004</v>
          </cell>
          <cell r="CZ170">
            <v>3307.8708000000001</v>
          </cell>
          <cell r="DA170">
            <v>238.65093000000002</v>
          </cell>
          <cell r="DD170">
            <v>238.65093000000002</v>
          </cell>
        </row>
        <row r="171">
          <cell r="C171" t="str">
            <v>3084/10</v>
          </cell>
          <cell r="D171" t="str">
            <v>01/01 A 31/01/11</v>
          </cell>
          <cell r="E171" t="str">
            <v>MARCELO GOMES DE OLIVEIRA</v>
          </cell>
          <cell r="F171" t="str">
            <v>EMEI</v>
          </cell>
          <cell r="G171">
            <v>16</v>
          </cell>
          <cell r="H171">
            <v>16</v>
          </cell>
          <cell r="I171">
            <v>16</v>
          </cell>
          <cell r="J171">
            <v>19448</v>
          </cell>
          <cell r="K171">
            <v>49</v>
          </cell>
          <cell r="L171">
            <v>18</v>
          </cell>
          <cell r="M171">
            <v>0</v>
          </cell>
          <cell r="N171">
            <v>19448</v>
          </cell>
          <cell r="O171">
            <v>39</v>
          </cell>
          <cell r="P171">
            <v>19</v>
          </cell>
          <cell r="Q171">
            <v>0</v>
          </cell>
          <cell r="R171">
            <v>19441</v>
          </cell>
          <cell r="S171">
            <v>105</v>
          </cell>
          <cell r="T171">
            <v>32</v>
          </cell>
          <cell r="U171">
            <v>0</v>
          </cell>
          <cell r="W171">
            <v>1</v>
          </cell>
          <cell r="Y171">
            <v>1</v>
          </cell>
          <cell r="AA171">
            <v>1</v>
          </cell>
          <cell r="AB171">
            <v>0</v>
          </cell>
          <cell r="AE171">
            <v>1</v>
          </cell>
          <cell r="AG171">
            <v>1</v>
          </cell>
          <cell r="AI171">
            <v>1</v>
          </cell>
          <cell r="AJ171">
            <v>0</v>
          </cell>
          <cell r="AL171">
            <v>16</v>
          </cell>
          <cell r="AM171">
            <v>30</v>
          </cell>
          <cell r="AN171">
            <v>22</v>
          </cell>
          <cell r="AO171">
            <v>193</v>
          </cell>
          <cell r="AP171">
            <v>69</v>
          </cell>
          <cell r="AS171">
            <v>2009</v>
          </cell>
          <cell r="AT171">
            <v>19</v>
          </cell>
          <cell r="AU171">
            <v>17</v>
          </cell>
          <cell r="AV171">
            <v>193</v>
          </cell>
          <cell r="AW171">
            <v>0.65</v>
          </cell>
          <cell r="AX171">
            <v>3088</v>
          </cell>
          <cell r="AY171">
            <v>2007.2</v>
          </cell>
          <cell r="AZ171">
            <v>48.26</v>
          </cell>
          <cell r="BA171">
            <v>18</v>
          </cell>
          <cell r="BB171">
            <v>637.03200000000004</v>
          </cell>
          <cell r="BC171">
            <v>48.26</v>
          </cell>
          <cell r="BD171">
            <v>19</v>
          </cell>
          <cell r="BE171">
            <v>672.4226666666666</v>
          </cell>
          <cell r="BF171">
            <v>48.26</v>
          </cell>
          <cell r="BG171">
            <v>32</v>
          </cell>
          <cell r="BH171">
            <v>1132.5013333333334</v>
          </cell>
          <cell r="BI171">
            <v>0</v>
          </cell>
          <cell r="BJ171">
            <v>0</v>
          </cell>
          <cell r="BK171">
            <v>2441.9560000000001</v>
          </cell>
          <cell r="BL171">
            <v>2886</v>
          </cell>
          <cell r="BM171">
            <v>2886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Y171">
            <v>7335.1559999999999</v>
          </cell>
          <cell r="CP171" t="str">
            <v>3044/10</v>
          </cell>
          <cell r="CQ171">
            <v>40498</v>
          </cell>
          <cell r="CR171">
            <v>40677</v>
          </cell>
          <cell r="CS171" t="str">
            <v>2010-0.288.698-4</v>
          </cell>
          <cell r="CT171" t="str">
            <v>MANOEL LINS DE ASSUMPÇÃO</v>
          </cell>
          <cell r="CU171">
            <v>65198719820</v>
          </cell>
          <cell r="CV171">
            <v>122587</v>
          </cell>
          <cell r="CW171">
            <v>6601.2439999999997</v>
          </cell>
          <cell r="CX171">
            <v>178.23358800000003</v>
          </cell>
          <cell r="CY171">
            <v>33.006220000000006</v>
          </cell>
          <cell r="CZ171">
            <v>3960.7463999999995</v>
          </cell>
          <cell r="DA171">
            <v>396.42525999999998</v>
          </cell>
          <cell r="DD171">
            <v>396.42525999999998</v>
          </cell>
        </row>
        <row r="172">
          <cell r="C172" t="str">
            <v>1766/10</v>
          </cell>
          <cell r="D172" t="str">
            <v>01/01 A 31/01/11</v>
          </cell>
          <cell r="E172" t="str">
            <v>MARCELO MARTINS VIEIRA</v>
          </cell>
          <cell r="F172" t="str">
            <v>EMEF</v>
          </cell>
          <cell r="G172">
            <v>16</v>
          </cell>
          <cell r="H172">
            <v>16</v>
          </cell>
          <cell r="I172">
            <v>16</v>
          </cell>
          <cell r="J172">
            <v>93424</v>
          </cell>
          <cell r="K172">
            <v>39</v>
          </cell>
          <cell r="L172">
            <v>27</v>
          </cell>
          <cell r="M172">
            <v>0</v>
          </cell>
          <cell r="N172">
            <v>93424</v>
          </cell>
          <cell r="O172">
            <v>58</v>
          </cell>
          <cell r="P172">
            <v>27</v>
          </cell>
          <cell r="Q172">
            <v>0</v>
          </cell>
          <cell r="R172">
            <v>0</v>
          </cell>
          <cell r="U172">
            <v>0</v>
          </cell>
          <cell r="W172">
            <v>1</v>
          </cell>
          <cell r="Y172">
            <v>1</v>
          </cell>
          <cell r="AA172">
            <v>0</v>
          </cell>
          <cell r="AB172">
            <v>0</v>
          </cell>
          <cell r="AE172">
            <v>1</v>
          </cell>
          <cell r="AG172">
            <v>1</v>
          </cell>
          <cell r="AI172">
            <v>0</v>
          </cell>
          <cell r="AJ172">
            <v>0</v>
          </cell>
          <cell r="AL172">
            <v>16</v>
          </cell>
          <cell r="AM172">
            <v>30</v>
          </cell>
          <cell r="AN172">
            <v>22</v>
          </cell>
          <cell r="AO172">
            <v>97</v>
          </cell>
          <cell r="AP172">
            <v>54</v>
          </cell>
          <cell r="AS172">
            <v>2007</v>
          </cell>
          <cell r="AT172">
            <v>29</v>
          </cell>
          <cell r="AU172">
            <v>27</v>
          </cell>
          <cell r="AV172">
            <v>97</v>
          </cell>
          <cell r="AW172">
            <v>0.25</v>
          </cell>
          <cell r="AX172">
            <v>1552</v>
          </cell>
          <cell r="AY172">
            <v>388</v>
          </cell>
          <cell r="AZ172">
            <v>36.880000000000003</v>
          </cell>
          <cell r="BA172">
            <v>27</v>
          </cell>
          <cell r="BB172">
            <v>730.22400000000005</v>
          </cell>
          <cell r="BC172">
            <v>36.880000000000003</v>
          </cell>
          <cell r="BD172">
            <v>27</v>
          </cell>
          <cell r="BE172">
            <v>730.22400000000005</v>
          </cell>
          <cell r="BF172">
            <v>36.880000000000003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1460.4480000000001</v>
          </cell>
          <cell r="BL172">
            <v>3618.12</v>
          </cell>
          <cell r="BM172">
            <v>3618.12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Y172">
            <v>5466.5680000000002</v>
          </cell>
          <cell r="CP172" t="str">
            <v>2445/10</v>
          </cell>
          <cell r="CQ172">
            <v>40492</v>
          </cell>
          <cell r="CR172">
            <v>40671</v>
          </cell>
          <cell r="CS172" t="str">
            <v>2010-0.267.225-9</v>
          </cell>
          <cell r="CT172" t="str">
            <v>MANUEL RODRIGUES BARBOSA</v>
          </cell>
          <cell r="CU172">
            <v>99694697891</v>
          </cell>
          <cell r="CV172">
            <v>123027</v>
          </cell>
          <cell r="CW172">
            <v>3795.7146666666667</v>
          </cell>
          <cell r="CX172">
            <v>102.48429600000001</v>
          </cell>
          <cell r="CY172">
            <v>18.978573333333337</v>
          </cell>
          <cell r="CZ172">
            <v>2277.4288000000001</v>
          </cell>
          <cell r="DA172">
            <v>60.674320000000023</v>
          </cell>
          <cell r="DD172">
            <v>60.674320000000023</v>
          </cell>
        </row>
        <row r="173">
          <cell r="C173" t="str">
            <v>2142/10</v>
          </cell>
          <cell r="D173" t="str">
            <v>01/01 A 31/01/11</v>
          </cell>
          <cell r="E173" t="str">
            <v>MARCELO SANTOS</v>
          </cell>
          <cell r="F173" t="str">
            <v>EMEI</v>
          </cell>
          <cell r="G173">
            <v>15</v>
          </cell>
          <cell r="H173">
            <v>15</v>
          </cell>
          <cell r="I173">
            <v>15</v>
          </cell>
          <cell r="J173">
            <v>531</v>
          </cell>
          <cell r="K173">
            <v>41</v>
          </cell>
          <cell r="L173">
            <v>27</v>
          </cell>
          <cell r="M173">
            <v>0</v>
          </cell>
          <cell r="N173">
            <v>531</v>
          </cell>
          <cell r="O173">
            <v>32</v>
          </cell>
          <cell r="P173">
            <v>27</v>
          </cell>
          <cell r="Q173">
            <v>0</v>
          </cell>
          <cell r="R173">
            <v>531</v>
          </cell>
          <cell r="S173">
            <v>36</v>
          </cell>
          <cell r="T173">
            <v>27</v>
          </cell>
          <cell r="U173">
            <v>0</v>
          </cell>
          <cell r="W173">
            <v>1</v>
          </cell>
          <cell r="Y173">
            <v>1</v>
          </cell>
          <cell r="AA173">
            <v>1</v>
          </cell>
          <cell r="AB173">
            <v>0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13</v>
          </cell>
          <cell r="AL173">
            <v>16</v>
          </cell>
          <cell r="AM173">
            <v>30</v>
          </cell>
          <cell r="AN173">
            <v>22</v>
          </cell>
          <cell r="AO173">
            <v>109</v>
          </cell>
          <cell r="AP173">
            <v>81</v>
          </cell>
          <cell r="AS173">
            <v>2007</v>
          </cell>
          <cell r="AT173">
            <v>29</v>
          </cell>
          <cell r="AU173">
            <v>27</v>
          </cell>
          <cell r="AV173">
            <v>109</v>
          </cell>
          <cell r="AW173">
            <v>0.25</v>
          </cell>
          <cell r="AX173">
            <v>1744</v>
          </cell>
          <cell r="AY173">
            <v>436</v>
          </cell>
          <cell r="AZ173">
            <v>36.880000000000003</v>
          </cell>
          <cell r="BA173">
            <v>27</v>
          </cell>
          <cell r="BB173">
            <v>730.22400000000005</v>
          </cell>
          <cell r="BC173">
            <v>36.880000000000003</v>
          </cell>
          <cell r="BD173">
            <v>27</v>
          </cell>
          <cell r="BE173">
            <v>730.22400000000005</v>
          </cell>
          <cell r="BF173">
            <v>36.880000000000003</v>
          </cell>
          <cell r="BG173">
            <v>27</v>
          </cell>
          <cell r="BH173">
            <v>730.22400000000005</v>
          </cell>
          <cell r="BI173">
            <v>0</v>
          </cell>
          <cell r="BJ173">
            <v>0</v>
          </cell>
          <cell r="BK173">
            <v>2190.672</v>
          </cell>
          <cell r="BL173">
            <v>3618.12</v>
          </cell>
          <cell r="BM173">
            <v>3618.12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10.25</v>
          </cell>
          <cell r="BS173">
            <v>8</v>
          </cell>
          <cell r="BT173">
            <v>9</v>
          </cell>
          <cell r="BU173">
            <v>27.25</v>
          </cell>
          <cell r="BY173">
            <v>6217.5419999999995</v>
          </cell>
          <cell r="CP173" t="str">
            <v>2518/10</v>
          </cell>
          <cell r="CQ173">
            <v>40455</v>
          </cell>
          <cell r="CR173">
            <v>40634</v>
          </cell>
          <cell r="CS173" t="str">
            <v>2010-0.268.554-7</v>
          </cell>
          <cell r="CT173" t="str">
            <v>MARCELO APARECIDO DA MOTA</v>
          </cell>
          <cell r="CU173" t="str">
            <v>094.950.008-90</v>
          </cell>
          <cell r="CV173">
            <v>112720</v>
          </cell>
          <cell r="CW173">
            <v>3803.5259999999998</v>
          </cell>
          <cell r="CX173">
            <v>102.69520200000001</v>
          </cell>
          <cell r="CY173">
            <v>19.01763</v>
          </cell>
          <cell r="CZ173">
            <v>2282.1155999999996</v>
          </cell>
          <cell r="DA173">
            <v>61.377339999999947</v>
          </cell>
          <cell r="DD173">
            <v>61.377339999999947</v>
          </cell>
        </row>
        <row r="174">
          <cell r="C174" t="str">
            <v>2515/10</v>
          </cell>
          <cell r="D174" t="str">
            <v>01/01 A 31/01/11</v>
          </cell>
          <cell r="E174" t="str">
            <v>MARCELO SILVA BRAGA</v>
          </cell>
          <cell r="F174" t="str">
            <v>EMEF / SAAI</v>
          </cell>
          <cell r="G174">
            <v>16</v>
          </cell>
          <cell r="H174">
            <v>16</v>
          </cell>
          <cell r="I174">
            <v>16</v>
          </cell>
          <cell r="J174">
            <v>19305</v>
          </cell>
          <cell r="K174">
            <v>32</v>
          </cell>
          <cell r="L174">
            <v>5</v>
          </cell>
          <cell r="M174">
            <v>0</v>
          </cell>
          <cell r="N174">
            <v>19305</v>
          </cell>
          <cell r="O174">
            <v>34</v>
          </cell>
          <cell r="P174">
            <v>5</v>
          </cell>
          <cell r="Q174">
            <v>0</v>
          </cell>
          <cell r="R174">
            <v>19305</v>
          </cell>
          <cell r="S174">
            <v>32</v>
          </cell>
          <cell r="T174">
            <v>5</v>
          </cell>
          <cell r="U174">
            <v>0</v>
          </cell>
          <cell r="W174">
            <v>1</v>
          </cell>
          <cell r="Y174">
            <v>1</v>
          </cell>
          <cell r="AA174">
            <v>1</v>
          </cell>
          <cell r="AB174">
            <v>0</v>
          </cell>
          <cell r="AE174">
            <v>1</v>
          </cell>
          <cell r="AG174">
            <v>1</v>
          </cell>
          <cell r="AI174">
            <v>1</v>
          </cell>
          <cell r="AJ174">
            <v>0</v>
          </cell>
          <cell r="AL174">
            <v>16</v>
          </cell>
          <cell r="AM174">
            <v>30</v>
          </cell>
          <cell r="AN174">
            <v>22</v>
          </cell>
          <cell r="AO174">
            <v>98</v>
          </cell>
          <cell r="AP174">
            <v>15</v>
          </cell>
          <cell r="AS174">
            <v>2007</v>
          </cell>
          <cell r="AT174">
            <v>29</v>
          </cell>
          <cell r="AU174">
            <v>27</v>
          </cell>
          <cell r="AV174">
            <v>98</v>
          </cell>
          <cell r="AW174">
            <v>0.25</v>
          </cell>
          <cell r="AX174">
            <v>1568</v>
          </cell>
          <cell r="AY174">
            <v>392</v>
          </cell>
          <cell r="AZ174">
            <v>2544.7199999999998</v>
          </cell>
          <cell r="BA174">
            <v>5</v>
          </cell>
          <cell r="BB174">
            <v>1866.1279999999999</v>
          </cell>
          <cell r="BC174">
            <v>0</v>
          </cell>
          <cell r="BD174">
            <v>5</v>
          </cell>
          <cell r="BE174">
            <v>0</v>
          </cell>
          <cell r="BF174">
            <v>0</v>
          </cell>
          <cell r="BG174">
            <v>5</v>
          </cell>
          <cell r="BH174">
            <v>0</v>
          </cell>
          <cell r="BI174">
            <v>0</v>
          </cell>
          <cell r="BJ174">
            <v>0</v>
          </cell>
          <cell r="BK174">
            <v>1866.1279999999999</v>
          </cell>
          <cell r="BL174">
            <v>3618.12</v>
          </cell>
          <cell r="BM174">
            <v>3618.12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Y174">
            <v>5876.2479999999996</v>
          </cell>
          <cell r="CP174" t="str">
            <v>3084/10</v>
          </cell>
          <cell r="CQ174">
            <v>40498</v>
          </cell>
          <cell r="CR174">
            <v>40677</v>
          </cell>
          <cell r="CS174" t="str">
            <v>2010-0.290.095-2</v>
          </cell>
          <cell r="CT174" t="str">
            <v>MARCELO GOMES DE OLIVEIRA</v>
          </cell>
          <cell r="CU174" t="str">
            <v>335.828.938-98</v>
          </cell>
          <cell r="CV174">
            <v>122590</v>
          </cell>
          <cell r="CW174">
            <v>7335.1559999999999</v>
          </cell>
          <cell r="CX174">
            <v>198.04921200000004</v>
          </cell>
          <cell r="CY174">
            <v>36.675780000000003</v>
          </cell>
          <cell r="CZ174">
            <v>4401.0936000000002</v>
          </cell>
          <cell r="DA174">
            <v>517.52074000000016</v>
          </cell>
          <cell r="DD174">
            <v>517.52074000000016</v>
          </cell>
        </row>
        <row r="175">
          <cell r="C175" t="str">
            <v>2808/10</v>
          </cell>
          <cell r="D175" t="str">
            <v>01/01 A 31/01/11</v>
          </cell>
          <cell r="E175" t="str">
            <v>MARCIO APARECIDO SIQUEIRA</v>
          </cell>
          <cell r="F175" t="str">
            <v>EMEI</v>
          </cell>
          <cell r="G175">
            <v>16</v>
          </cell>
          <cell r="H175">
            <v>16</v>
          </cell>
          <cell r="I175">
            <v>16</v>
          </cell>
          <cell r="J175">
            <v>11568</v>
          </cell>
          <cell r="K175">
            <v>45</v>
          </cell>
          <cell r="L175">
            <v>12</v>
          </cell>
          <cell r="M175">
            <v>0</v>
          </cell>
          <cell r="N175">
            <v>11568</v>
          </cell>
          <cell r="O175">
            <v>84</v>
          </cell>
          <cell r="P175">
            <v>12</v>
          </cell>
          <cell r="Q175">
            <v>0</v>
          </cell>
          <cell r="R175">
            <v>0</v>
          </cell>
          <cell r="U175">
            <v>0</v>
          </cell>
          <cell r="W175">
            <v>1</v>
          </cell>
          <cell r="Y175">
            <v>1</v>
          </cell>
          <cell r="AA175">
            <v>0</v>
          </cell>
          <cell r="AB175">
            <v>0</v>
          </cell>
          <cell r="AE175">
            <v>1</v>
          </cell>
          <cell r="AG175">
            <v>1</v>
          </cell>
          <cell r="AI175">
            <v>0</v>
          </cell>
          <cell r="AJ175">
            <v>0</v>
          </cell>
          <cell r="AL175">
            <v>16</v>
          </cell>
          <cell r="AM175">
            <v>30</v>
          </cell>
          <cell r="AN175">
            <v>22</v>
          </cell>
          <cell r="AO175">
            <v>129</v>
          </cell>
          <cell r="AP175">
            <v>24</v>
          </cell>
          <cell r="AS175">
            <v>2000</v>
          </cell>
          <cell r="AT175">
            <v>14</v>
          </cell>
          <cell r="AU175">
            <v>12</v>
          </cell>
          <cell r="AV175">
            <v>129</v>
          </cell>
          <cell r="AW175">
            <v>0.25</v>
          </cell>
          <cell r="AX175">
            <v>2064</v>
          </cell>
          <cell r="AY175">
            <v>516</v>
          </cell>
          <cell r="AZ175">
            <v>36.880000000000003</v>
          </cell>
          <cell r="BA175">
            <v>12</v>
          </cell>
          <cell r="BB175">
            <v>324.54400000000004</v>
          </cell>
          <cell r="BC175">
            <v>36.880000000000003</v>
          </cell>
          <cell r="BD175">
            <v>12</v>
          </cell>
          <cell r="BE175">
            <v>324.54400000000004</v>
          </cell>
          <cell r="BF175">
            <v>36.880000000000003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649.08800000000008</v>
          </cell>
          <cell r="BL175">
            <v>2041.67</v>
          </cell>
          <cell r="BM175">
            <v>2041.67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Y175">
            <v>3206.7580000000003</v>
          </cell>
          <cell r="CP175" t="str">
            <v>1766/10</v>
          </cell>
          <cell r="CQ175">
            <v>40427</v>
          </cell>
          <cell r="CR175">
            <v>40606</v>
          </cell>
          <cell r="CS175" t="str">
            <v>2010-0.224.691-8</v>
          </cell>
          <cell r="CT175" t="str">
            <v>MARCELO MARTINS VIEIRA</v>
          </cell>
          <cell r="CU175" t="str">
            <v>092.091.708-90</v>
          </cell>
          <cell r="CV175">
            <v>98038</v>
          </cell>
          <cell r="CW175">
            <v>5466.5680000000002</v>
          </cell>
          <cell r="CX175">
            <v>147.59733600000004</v>
          </cell>
          <cell r="CY175">
            <v>27.332840000000004</v>
          </cell>
          <cell r="CZ175">
            <v>3279.9407999999999</v>
          </cell>
          <cell r="DA175">
            <v>232.36667999999997</v>
          </cell>
          <cell r="DD175">
            <v>232.36667999999997</v>
          </cell>
        </row>
        <row r="176">
          <cell r="C176" t="str">
            <v>2251/10</v>
          </cell>
          <cell r="D176" t="str">
            <v>01/01 A 31/01/11</v>
          </cell>
          <cell r="E176" t="str">
            <v>MARCIO MARTINS DA SILVA</v>
          </cell>
          <cell r="F176" t="str">
            <v>EMEI</v>
          </cell>
          <cell r="G176">
            <v>16</v>
          </cell>
          <cell r="H176">
            <v>16</v>
          </cell>
          <cell r="I176">
            <v>16</v>
          </cell>
          <cell r="J176">
            <v>19151</v>
          </cell>
          <cell r="K176">
            <v>19</v>
          </cell>
          <cell r="L176">
            <v>27</v>
          </cell>
          <cell r="M176">
            <v>0</v>
          </cell>
          <cell r="N176">
            <v>19151</v>
          </cell>
          <cell r="O176">
            <v>18</v>
          </cell>
          <cell r="P176">
            <v>25</v>
          </cell>
          <cell r="Q176">
            <v>0</v>
          </cell>
          <cell r="R176">
            <v>19151</v>
          </cell>
          <cell r="S176">
            <v>19</v>
          </cell>
          <cell r="T176">
            <v>25</v>
          </cell>
          <cell r="U176">
            <v>0</v>
          </cell>
          <cell r="W176">
            <v>1</v>
          </cell>
          <cell r="Y176">
            <v>1</v>
          </cell>
          <cell r="AA176">
            <v>1</v>
          </cell>
          <cell r="AB176">
            <v>0</v>
          </cell>
          <cell r="AE176">
            <v>1</v>
          </cell>
          <cell r="AG176">
            <v>1</v>
          </cell>
          <cell r="AI176">
            <v>1</v>
          </cell>
          <cell r="AJ176">
            <v>0</v>
          </cell>
          <cell r="AL176">
            <v>16</v>
          </cell>
          <cell r="AM176">
            <v>30</v>
          </cell>
          <cell r="AN176">
            <v>22</v>
          </cell>
          <cell r="AO176">
            <v>56</v>
          </cell>
          <cell r="AP176">
            <v>77</v>
          </cell>
          <cell r="AS176">
            <v>2007</v>
          </cell>
          <cell r="AT176">
            <v>29</v>
          </cell>
          <cell r="AU176">
            <v>27</v>
          </cell>
          <cell r="AV176">
            <v>56</v>
          </cell>
          <cell r="AW176">
            <v>0.25</v>
          </cell>
          <cell r="AX176">
            <v>896</v>
          </cell>
          <cell r="AY176">
            <v>224</v>
          </cell>
          <cell r="AZ176">
            <v>36.880000000000003</v>
          </cell>
          <cell r="BA176">
            <v>27</v>
          </cell>
          <cell r="BB176">
            <v>730.22400000000005</v>
          </cell>
          <cell r="BC176">
            <v>36.880000000000003</v>
          </cell>
          <cell r="BD176">
            <v>25</v>
          </cell>
          <cell r="BE176">
            <v>676.13333333333344</v>
          </cell>
          <cell r="BF176">
            <v>36.880000000000003</v>
          </cell>
          <cell r="BG176">
            <v>25</v>
          </cell>
          <cell r="BH176">
            <v>676.13333333333344</v>
          </cell>
          <cell r="BI176">
            <v>0</v>
          </cell>
          <cell r="BJ176">
            <v>0</v>
          </cell>
          <cell r="BK176">
            <v>2082.4906666666666</v>
          </cell>
          <cell r="BL176">
            <v>3618.12</v>
          </cell>
          <cell r="BM176">
            <v>3618.12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Y176">
            <v>5924.6106666666665</v>
          </cell>
          <cell r="CP176" t="str">
            <v>2142/10</v>
          </cell>
          <cell r="CQ176">
            <v>40448</v>
          </cell>
          <cell r="CR176">
            <v>40627</v>
          </cell>
          <cell r="CS176" t="str">
            <v>2010-0.239.391-0</v>
          </cell>
          <cell r="CT176" t="str">
            <v>MARCELO SANTOS</v>
          </cell>
          <cell r="CU176">
            <v>12781084832</v>
          </cell>
          <cell r="CV176">
            <v>106104</v>
          </cell>
          <cell r="CW176">
            <v>6217.5419999999995</v>
          </cell>
          <cell r="CX176">
            <v>167.87363400000001</v>
          </cell>
          <cell r="CY176">
            <v>31.087710000000001</v>
          </cell>
          <cell r="CZ176">
            <v>3730.5251999999996</v>
          </cell>
          <cell r="DA176">
            <v>333.74816999999996</v>
          </cell>
          <cell r="DD176">
            <v>333.74816999999996</v>
          </cell>
        </row>
        <row r="177">
          <cell r="C177" t="str">
            <v>2446/10</v>
          </cell>
          <cell r="D177" t="str">
            <v>01/01 A 31/01/11</v>
          </cell>
          <cell r="E177" t="str">
            <v>MARCOS AURELIO DA CONCEICAO</v>
          </cell>
          <cell r="F177" t="str">
            <v>EMEF</v>
          </cell>
          <cell r="G177">
            <v>16</v>
          </cell>
          <cell r="H177">
            <v>15</v>
          </cell>
          <cell r="I177">
            <v>16</v>
          </cell>
          <cell r="J177">
            <v>93360</v>
          </cell>
          <cell r="K177">
            <v>29</v>
          </cell>
          <cell r="L177">
            <v>27</v>
          </cell>
          <cell r="M177">
            <v>0</v>
          </cell>
          <cell r="N177">
            <v>19406</v>
          </cell>
          <cell r="O177">
            <v>20</v>
          </cell>
          <cell r="P177">
            <v>27</v>
          </cell>
          <cell r="Q177">
            <v>0</v>
          </cell>
          <cell r="R177">
            <v>93360</v>
          </cell>
          <cell r="S177">
            <v>9</v>
          </cell>
          <cell r="T177">
            <v>7</v>
          </cell>
          <cell r="U177">
            <v>0</v>
          </cell>
          <cell r="W177">
            <v>1</v>
          </cell>
          <cell r="Y177">
            <v>1</v>
          </cell>
          <cell r="AA177">
            <v>1</v>
          </cell>
          <cell r="AB177">
            <v>0</v>
          </cell>
          <cell r="AE177">
            <v>1</v>
          </cell>
          <cell r="AF177">
            <v>1</v>
          </cell>
          <cell r="AG177">
            <v>1</v>
          </cell>
          <cell r="AI177">
            <v>1</v>
          </cell>
          <cell r="AJ177">
            <v>0.33333333333333331</v>
          </cell>
          <cell r="AK177">
            <v>6</v>
          </cell>
          <cell r="AL177">
            <v>16</v>
          </cell>
          <cell r="AM177">
            <v>30</v>
          </cell>
          <cell r="AN177">
            <v>22</v>
          </cell>
          <cell r="AO177">
            <v>58</v>
          </cell>
          <cell r="AP177">
            <v>61</v>
          </cell>
          <cell r="AS177">
            <v>2007</v>
          </cell>
          <cell r="AT177">
            <v>29</v>
          </cell>
          <cell r="AU177">
            <v>27</v>
          </cell>
          <cell r="AV177">
            <v>58</v>
          </cell>
          <cell r="AW177">
            <v>0.25</v>
          </cell>
          <cell r="AX177">
            <v>928</v>
          </cell>
          <cell r="AY177">
            <v>232</v>
          </cell>
          <cell r="AZ177">
            <v>36.880000000000003</v>
          </cell>
          <cell r="BA177">
            <v>27</v>
          </cell>
          <cell r="BB177">
            <v>730.22400000000005</v>
          </cell>
          <cell r="BC177">
            <v>36.880000000000003</v>
          </cell>
          <cell r="BD177">
            <v>27</v>
          </cell>
          <cell r="BE177">
            <v>730.22400000000005</v>
          </cell>
          <cell r="BF177">
            <v>36.880000000000003</v>
          </cell>
          <cell r="BG177">
            <v>7</v>
          </cell>
          <cell r="BH177">
            <v>189.31733333333335</v>
          </cell>
          <cell r="BI177">
            <v>0</v>
          </cell>
          <cell r="BJ177">
            <v>0</v>
          </cell>
          <cell r="BK177">
            <v>1649.7653333333335</v>
          </cell>
          <cell r="BL177">
            <v>3618.12</v>
          </cell>
          <cell r="BM177">
            <v>3618.12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5</v>
          </cell>
          <cell r="BT177">
            <v>0</v>
          </cell>
          <cell r="BU177">
            <v>5</v>
          </cell>
          <cell r="BY177">
            <v>5494.8853333333336</v>
          </cell>
          <cell r="CP177" t="str">
            <v>2515/10</v>
          </cell>
          <cell r="CQ177">
            <v>40455</v>
          </cell>
          <cell r="CR177">
            <v>40634</v>
          </cell>
          <cell r="CS177" t="str">
            <v>2010-0.268.549-0</v>
          </cell>
          <cell r="CT177" t="str">
            <v>MARCELO SILVA BRAGA</v>
          </cell>
          <cell r="CU177">
            <v>17618446873</v>
          </cell>
          <cell r="CV177">
            <v>112721</v>
          </cell>
          <cell r="CW177">
            <v>5876.2479999999996</v>
          </cell>
          <cell r="CX177">
            <v>158.65869599999999</v>
          </cell>
          <cell r="CY177">
            <v>29.381239999999998</v>
          </cell>
          <cell r="CZ177">
            <v>3525.7487999999998</v>
          </cell>
          <cell r="DA177">
            <v>287.67347999999993</v>
          </cell>
          <cell r="DD177">
            <v>287.67347999999993</v>
          </cell>
        </row>
        <row r="178">
          <cell r="C178" t="str">
            <v>2557/10</v>
          </cell>
          <cell r="D178" t="str">
            <v>01/01 A 31/01/11</v>
          </cell>
          <cell r="E178" t="str">
            <v>MARCOS LOPES DE ARAUJO</v>
          </cell>
          <cell r="F178" t="str">
            <v>EMEI</v>
          </cell>
          <cell r="G178">
            <v>15</v>
          </cell>
          <cell r="H178">
            <v>15</v>
          </cell>
          <cell r="I178">
            <v>15</v>
          </cell>
          <cell r="J178">
            <v>531</v>
          </cell>
          <cell r="K178">
            <v>31</v>
          </cell>
          <cell r="L178">
            <v>23</v>
          </cell>
          <cell r="M178">
            <v>0</v>
          </cell>
          <cell r="N178">
            <v>531</v>
          </cell>
          <cell r="O178">
            <v>44</v>
          </cell>
          <cell r="P178">
            <v>20</v>
          </cell>
          <cell r="Q178">
            <v>0</v>
          </cell>
          <cell r="R178">
            <v>531</v>
          </cell>
          <cell r="S178">
            <v>55</v>
          </cell>
          <cell r="T178">
            <v>23</v>
          </cell>
          <cell r="U178">
            <v>0</v>
          </cell>
          <cell r="W178">
            <v>1</v>
          </cell>
          <cell r="Y178">
            <v>1</v>
          </cell>
          <cell r="AA178">
            <v>1</v>
          </cell>
          <cell r="AB178">
            <v>0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13</v>
          </cell>
          <cell r="AL178">
            <v>16</v>
          </cell>
          <cell r="AM178">
            <v>30</v>
          </cell>
          <cell r="AN178">
            <v>22</v>
          </cell>
          <cell r="AO178">
            <v>130</v>
          </cell>
          <cell r="AP178">
            <v>66</v>
          </cell>
          <cell r="AS178">
            <v>1999</v>
          </cell>
          <cell r="AT178">
            <v>25</v>
          </cell>
          <cell r="AU178">
            <v>23</v>
          </cell>
          <cell r="AV178">
            <v>130</v>
          </cell>
          <cell r="AW178">
            <v>0.25</v>
          </cell>
          <cell r="AX178">
            <v>2080</v>
          </cell>
          <cell r="AY178">
            <v>520</v>
          </cell>
          <cell r="AZ178">
            <v>36.880000000000003</v>
          </cell>
          <cell r="BA178">
            <v>23</v>
          </cell>
          <cell r="BB178">
            <v>622.04266666666672</v>
          </cell>
          <cell r="BC178">
            <v>36.880000000000003</v>
          </cell>
          <cell r="BD178">
            <v>20</v>
          </cell>
          <cell r="BE178">
            <v>540.90666666666664</v>
          </cell>
          <cell r="BF178">
            <v>36.880000000000003</v>
          </cell>
          <cell r="BG178">
            <v>23</v>
          </cell>
          <cell r="BH178">
            <v>622.04266666666672</v>
          </cell>
          <cell r="BI178">
            <v>0</v>
          </cell>
          <cell r="BJ178">
            <v>0</v>
          </cell>
          <cell r="BK178">
            <v>1784.9920000000002</v>
          </cell>
          <cell r="BL178">
            <v>2746.33</v>
          </cell>
          <cell r="BM178">
            <v>2746.33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7.75</v>
          </cell>
          <cell r="BS178">
            <v>11</v>
          </cell>
          <cell r="BT178">
            <v>13.75</v>
          </cell>
          <cell r="BU178">
            <v>32.5</v>
          </cell>
          <cell r="BY178">
            <v>5018.8220000000001</v>
          </cell>
          <cell r="CP178" t="str">
            <v>2808/10</v>
          </cell>
          <cell r="CQ178">
            <v>40476</v>
          </cell>
          <cell r="CR178">
            <v>40655</v>
          </cell>
          <cell r="CS178" t="str">
            <v>2010-0.277.994-0</v>
          </cell>
          <cell r="CT178" t="str">
            <v>MARCIO APARECIDO SIQUEIRA</v>
          </cell>
          <cell r="CU178">
            <v>26680686814</v>
          </cell>
          <cell r="CV178">
            <v>116234</v>
          </cell>
          <cell r="CW178">
            <v>3206.7580000000003</v>
          </cell>
          <cell r="CX178">
            <v>86.582466000000011</v>
          </cell>
          <cell r="CY178">
            <v>16.033790000000003</v>
          </cell>
          <cell r="CZ178">
            <v>1924.0548000000001</v>
          </cell>
          <cell r="DA178">
            <v>31.874110000000002</v>
          </cell>
          <cell r="DD178">
            <v>7.6682200000000194</v>
          </cell>
        </row>
        <row r="179">
          <cell r="C179" t="str">
            <v>2909/10</v>
          </cell>
          <cell r="D179" t="str">
            <v>01/01 A 31/01/11</v>
          </cell>
          <cell r="E179" t="str">
            <v>MARGARETE C. FERREIRA BEZERRA</v>
          </cell>
          <cell r="F179" t="str">
            <v>EMEF</v>
          </cell>
          <cell r="G179">
            <v>15</v>
          </cell>
          <cell r="H179">
            <v>15</v>
          </cell>
          <cell r="I179">
            <v>16</v>
          </cell>
          <cell r="J179">
            <v>19496</v>
          </cell>
          <cell r="K179">
            <v>27</v>
          </cell>
          <cell r="L179">
            <v>26</v>
          </cell>
          <cell r="M179">
            <v>0</v>
          </cell>
          <cell r="N179">
            <v>19496</v>
          </cell>
          <cell r="O179">
            <v>30</v>
          </cell>
          <cell r="P179">
            <v>26</v>
          </cell>
          <cell r="Q179">
            <v>0</v>
          </cell>
          <cell r="R179">
            <v>19496</v>
          </cell>
          <cell r="S179">
            <v>29</v>
          </cell>
          <cell r="T179">
            <v>26</v>
          </cell>
          <cell r="U179">
            <v>0</v>
          </cell>
          <cell r="W179">
            <v>1</v>
          </cell>
          <cell r="Y179">
            <v>1</v>
          </cell>
          <cell r="AA179">
            <v>1</v>
          </cell>
          <cell r="AB179">
            <v>0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I179">
            <v>1</v>
          </cell>
          <cell r="AJ179">
            <v>0.66666666666666663</v>
          </cell>
          <cell r="AK179">
            <v>10</v>
          </cell>
          <cell r="AL179">
            <v>16</v>
          </cell>
          <cell r="AM179">
            <v>30</v>
          </cell>
          <cell r="AN179">
            <v>22</v>
          </cell>
          <cell r="AO179">
            <v>86</v>
          </cell>
          <cell r="AP179">
            <v>78</v>
          </cell>
          <cell r="AS179">
            <v>2007</v>
          </cell>
          <cell r="AT179">
            <v>28</v>
          </cell>
          <cell r="AU179">
            <v>27</v>
          </cell>
          <cell r="AV179">
            <v>86</v>
          </cell>
          <cell r="AW179">
            <v>0.65</v>
          </cell>
          <cell r="AX179">
            <v>1376</v>
          </cell>
          <cell r="AY179">
            <v>894.4</v>
          </cell>
          <cell r="AZ179">
            <v>48.26</v>
          </cell>
          <cell r="BA179">
            <v>26</v>
          </cell>
          <cell r="BB179">
            <v>920.15733333333333</v>
          </cell>
          <cell r="BC179">
            <v>48.26</v>
          </cell>
          <cell r="BD179">
            <v>26</v>
          </cell>
          <cell r="BE179">
            <v>920.15733333333333</v>
          </cell>
          <cell r="BF179">
            <v>48.26</v>
          </cell>
          <cell r="BG179">
            <v>26</v>
          </cell>
          <cell r="BH179">
            <v>920.15733333333333</v>
          </cell>
          <cell r="BI179">
            <v>0</v>
          </cell>
          <cell r="BJ179">
            <v>0</v>
          </cell>
          <cell r="BK179">
            <v>2760.4719999999998</v>
          </cell>
          <cell r="BL179">
            <v>2483</v>
          </cell>
          <cell r="BM179">
            <v>2483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17.55</v>
          </cell>
          <cell r="BS179">
            <v>19.5</v>
          </cell>
          <cell r="BT179">
            <v>0</v>
          </cell>
          <cell r="BU179">
            <v>37.049999999999997</v>
          </cell>
          <cell r="BY179">
            <v>6100.8219999999992</v>
          </cell>
          <cell r="CP179" t="str">
            <v>2251/10</v>
          </cell>
          <cell r="CQ179">
            <v>40448</v>
          </cell>
          <cell r="CR179">
            <v>40627</v>
          </cell>
          <cell r="CS179" t="str">
            <v>2010-0.243.845-0</v>
          </cell>
          <cell r="CT179" t="str">
            <v>MARCIO MARTINS DA SILVA</v>
          </cell>
          <cell r="CU179">
            <v>18468017884</v>
          </cell>
          <cell r="CV179">
            <v>106267</v>
          </cell>
          <cell r="CW179">
            <v>5924.6106666666665</v>
          </cell>
          <cell r="CX179">
            <v>159.96448799999999</v>
          </cell>
          <cell r="CY179">
            <v>29.623053333333331</v>
          </cell>
          <cell r="CZ179">
            <v>3554.7664</v>
          </cell>
          <cell r="DA179">
            <v>294.20244000000002</v>
          </cell>
          <cell r="DD179">
            <v>294.20244000000002</v>
          </cell>
        </row>
        <row r="180">
          <cell r="C180" t="str">
            <v>2682/10</v>
          </cell>
          <cell r="D180" t="str">
            <v>01/01 A 31/01/11</v>
          </cell>
          <cell r="E180" t="str">
            <v>MARIA APARECIDA DA COSTA SERNA</v>
          </cell>
          <cell r="F180" t="str">
            <v>EMEI</v>
          </cell>
          <cell r="G180">
            <v>16</v>
          </cell>
          <cell r="H180">
            <v>16</v>
          </cell>
          <cell r="I180">
            <v>16</v>
          </cell>
          <cell r="J180">
            <v>90590</v>
          </cell>
          <cell r="K180">
            <v>31</v>
          </cell>
          <cell r="L180">
            <v>18</v>
          </cell>
          <cell r="M180">
            <v>0</v>
          </cell>
          <cell r="N180">
            <v>90590</v>
          </cell>
          <cell r="O180">
            <v>31</v>
          </cell>
          <cell r="P180">
            <v>18</v>
          </cell>
          <cell r="Q180">
            <v>0</v>
          </cell>
          <cell r="R180">
            <v>18546</v>
          </cell>
          <cell r="S180">
            <v>42</v>
          </cell>
          <cell r="T180">
            <v>34</v>
          </cell>
          <cell r="U180">
            <v>0</v>
          </cell>
          <cell r="W180">
            <v>1</v>
          </cell>
          <cell r="Y180">
            <v>1</v>
          </cell>
          <cell r="AA180">
            <v>1</v>
          </cell>
          <cell r="AB180">
            <v>0</v>
          </cell>
          <cell r="AE180">
            <v>1</v>
          </cell>
          <cell r="AG180">
            <v>1</v>
          </cell>
          <cell r="AI180">
            <v>1</v>
          </cell>
          <cell r="AJ180">
            <v>0</v>
          </cell>
          <cell r="AL180">
            <v>16</v>
          </cell>
          <cell r="AM180">
            <v>30</v>
          </cell>
          <cell r="AN180">
            <v>22</v>
          </cell>
          <cell r="AO180">
            <v>104</v>
          </cell>
          <cell r="AP180">
            <v>70</v>
          </cell>
          <cell r="AS180">
            <v>2002</v>
          </cell>
          <cell r="AT180">
            <v>20</v>
          </cell>
          <cell r="AU180">
            <v>18</v>
          </cell>
          <cell r="AV180">
            <v>104</v>
          </cell>
          <cell r="AW180">
            <v>0.25</v>
          </cell>
          <cell r="AX180">
            <v>1664</v>
          </cell>
          <cell r="AY180">
            <v>416</v>
          </cell>
          <cell r="AZ180">
            <v>36.880000000000003</v>
          </cell>
          <cell r="BA180">
            <v>18</v>
          </cell>
          <cell r="BB180">
            <v>486.81600000000003</v>
          </cell>
          <cell r="BC180">
            <v>36.880000000000003</v>
          </cell>
          <cell r="BD180">
            <v>18</v>
          </cell>
          <cell r="BE180">
            <v>486.81600000000003</v>
          </cell>
          <cell r="BF180">
            <v>36.880000000000003</v>
          </cell>
          <cell r="BG180">
            <v>34</v>
          </cell>
          <cell r="BH180">
            <v>919.54133333333334</v>
          </cell>
          <cell r="BI180">
            <v>0</v>
          </cell>
          <cell r="BJ180">
            <v>0</v>
          </cell>
          <cell r="BK180">
            <v>1893.1733333333334</v>
          </cell>
          <cell r="BL180">
            <v>2177.0500000000002</v>
          </cell>
          <cell r="BM180">
            <v>2177.0500000000002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Y180">
            <v>4486.2233333333334</v>
          </cell>
          <cell r="CP180" t="str">
            <v>2446/10</v>
          </cell>
          <cell r="CQ180">
            <v>40455</v>
          </cell>
          <cell r="CR180">
            <v>40634</v>
          </cell>
          <cell r="CS180" t="str">
            <v>2010-0.267.229-1</v>
          </cell>
          <cell r="CT180" t="str">
            <v>MARCOS AURELIO DA CONCEICAO</v>
          </cell>
          <cell r="CU180">
            <v>13032813840</v>
          </cell>
          <cell r="CV180">
            <v>115333</v>
          </cell>
          <cell r="CW180">
            <v>5494.8853333333336</v>
          </cell>
          <cell r="CX180">
            <v>148.36190400000004</v>
          </cell>
          <cell r="CY180">
            <v>27.474426666666673</v>
          </cell>
          <cell r="CZ180">
            <v>3296.9312</v>
          </cell>
          <cell r="DA180">
            <v>236.18952000000002</v>
          </cell>
          <cell r="DD180">
            <v>236.18952000000002</v>
          </cell>
        </row>
        <row r="181">
          <cell r="C181" t="str">
            <v>2995/10</v>
          </cell>
          <cell r="D181" t="str">
            <v>01/01 A 31/01/11</v>
          </cell>
          <cell r="E181" t="str">
            <v>MARIA APARECIDA DE MORAIS</v>
          </cell>
          <cell r="F181" t="str">
            <v>EMEI</v>
          </cell>
          <cell r="G181">
            <v>16</v>
          </cell>
          <cell r="H181">
            <v>16</v>
          </cell>
          <cell r="I181">
            <v>16</v>
          </cell>
          <cell r="J181">
            <v>90603</v>
          </cell>
          <cell r="K181">
            <v>35</v>
          </cell>
          <cell r="L181">
            <v>27</v>
          </cell>
          <cell r="M181">
            <v>0</v>
          </cell>
          <cell r="N181">
            <v>90603</v>
          </cell>
          <cell r="O181">
            <v>33</v>
          </cell>
          <cell r="P181">
            <v>27</v>
          </cell>
          <cell r="Q181">
            <v>0</v>
          </cell>
          <cell r="R181">
            <v>90603</v>
          </cell>
          <cell r="S181">
            <v>32</v>
          </cell>
          <cell r="T181">
            <v>27</v>
          </cell>
          <cell r="U181">
            <v>0</v>
          </cell>
          <cell r="W181">
            <v>1</v>
          </cell>
          <cell r="Y181">
            <v>1</v>
          </cell>
          <cell r="AA181">
            <v>1</v>
          </cell>
          <cell r="AB181">
            <v>0</v>
          </cell>
          <cell r="AE181">
            <v>1</v>
          </cell>
          <cell r="AG181">
            <v>1</v>
          </cell>
          <cell r="AI181">
            <v>1</v>
          </cell>
          <cell r="AJ181">
            <v>0</v>
          </cell>
          <cell r="AL181">
            <v>16</v>
          </cell>
          <cell r="AM181">
            <v>30</v>
          </cell>
          <cell r="AN181">
            <v>22</v>
          </cell>
          <cell r="AO181">
            <v>100</v>
          </cell>
          <cell r="AP181">
            <v>81</v>
          </cell>
          <cell r="AS181">
            <v>2007</v>
          </cell>
          <cell r="AT181">
            <v>29</v>
          </cell>
          <cell r="AU181">
            <v>27</v>
          </cell>
          <cell r="AV181">
            <v>100</v>
          </cell>
          <cell r="AW181">
            <v>0.65</v>
          </cell>
          <cell r="AX181">
            <v>1600</v>
          </cell>
          <cell r="AY181">
            <v>1040</v>
          </cell>
          <cell r="AZ181">
            <v>48.26</v>
          </cell>
          <cell r="BA181">
            <v>27</v>
          </cell>
          <cell r="BB181">
            <v>955.548</v>
          </cell>
          <cell r="BC181">
            <v>48.26</v>
          </cell>
          <cell r="BD181">
            <v>27</v>
          </cell>
          <cell r="BE181">
            <v>955.548</v>
          </cell>
          <cell r="BF181">
            <v>48.26</v>
          </cell>
          <cell r="BG181">
            <v>27</v>
          </cell>
          <cell r="BH181">
            <v>955.548</v>
          </cell>
          <cell r="BI181">
            <v>0</v>
          </cell>
          <cell r="BJ181">
            <v>0</v>
          </cell>
          <cell r="BK181">
            <v>2866.6440000000002</v>
          </cell>
          <cell r="BL181">
            <v>2483</v>
          </cell>
          <cell r="BM181">
            <v>2483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Y181">
            <v>6389.6440000000002</v>
          </cell>
          <cell r="CP181" t="str">
            <v>2557/10</v>
          </cell>
          <cell r="CQ181">
            <v>40462</v>
          </cell>
          <cell r="CR181">
            <v>40641</v>
          </cell>
          <cell r="CS181" t="str">
            <v>2010-0.268.690-0</v>
          </cell>
          <cell r="CT181" t="str">
            <v>MARCOS LOPES DE ARAUJO</v>
          </cell>
          <cell r="CU181">
            <v>26101102866</v>
          </cell>
          <cell r="CV181">
            <v>115334</v>
          </cell>
          <cell r="CW181">
            <v>5018.8220000000001</v>
          </cell>
          <cell r="CX181">
            <v>135.508194</v>
          </cell>
          <cell r="CY181">
            <v>25.094110000000001</v>
          </cell>
          <cell r="CZ181">
            <v>3011.2932000000001</v>
          </cell>
          <cell r="DA181">
            <v>171.92097000000001</v>
          </cell>
          <cell r="DD181">
            <v>171.92097000000001</v>
          </cell>
        </row>
        <row r="182">
          <cell r="C182" t="str">
            <v>2316/10</v>
          </cell>
          <cell r="D182" t="str">
            <v>01/01 A 31/01/11</v>
          </cell>
          <cell r="E182" t="str">
            <v>MARIA DE FATIMA FERNANDES DA SILVA</v>
          </cell>
          <cell r="F182" t="str">
            <v>EMEI</v>
          </cell>
          <cell r="G182">
            <v>16</v>
          </cell>
          <cell r="H182">
            <v>16</v>
          </cell>
          <cell r="I182">
            <v>16</v>
          </cell>
          <cell r="J182">
            <v>11568</v>
          </cell>
          <cell r="K182">
            <v>37</v>
          </cell>
          <cell r="L182">
            <v>26</v>
          </cell>
          <cell r="M182">
            <v>0</v>
          </cell>
          <cell r="N182">
            <v>11568</v>
          </cell>
          <cell r="O182">
            <v>44</v>
          </cell>
          <cell r="P182">
            <v>27</v>
          </cell>
          <cell r="Q182">
            <v>0</v>
          </cell>
          <cell r="R182">
            <v>0</v>
          </cell>
          <cell r="U182">
            <v>0</v>
          </cell>
          <cell r="W182">
            <v>1</v>
          </cell>
          <cell r="Y182">
            <v>1</v>
          </cell>
          <cell r="AA182">
            <v>0</v>
          </cell>
          <cell r="AB182">
            <v>0</v>
          </cell>
          <cell r="AE182">
            <v>1</v>
          </cell>
          <cell r="AG182">
            <v>1</v>
          </cell>
          <cell r="AI182">
            <v>0</v>
          </cell>
          <cell r="AJ182">
            <v>0</v>
          </cell>
          <cell r="AL182">
            <v>16</v>
          </cell>
          <cell r="AM182">
            <v>30</v>
          </cell>
          <cell r="AN182">
            <v>22</v>
          </cell>
          <cell r="AO182">
            <v>81</v>
          </cell>
          <cell r="AP182">
            <v>53</v>
          </cell>
          <cell r="AS182">
            <v>2007</v>
          </cell>
          <cell r="AT182">
            <v>29</v>
          </cell>
          <cell r="AU182">
            <v>27</v>
          </cell>
          <cell r="AV182">
            <v>81</v>
          </cell>
          <cell r="AW182">
            <v>0.25</v>
          </cell>
          <cell r="AX182">
            <v>1296</v>
          </cell>
          <cell r="AY182">
            <v>324</v>
          </cell>
          <cell r="AZ182">
            <v>36.880000000000003</v>
          </cell>
          <cell r="BA182">
            <v>26</v>
          </cell>
          <cell r="BB182">
            <v>703.1786666666668</v>
          </cell>
          <cell r="BC182">
            <v>36.880000000000003</v>
          </cell>
          <cell r="BD182">
            <v>27</v>
          </cell>
          <cell r="BE182">
            <v>730.22400000000005</v>
          </cell>
          <cell r="BF182">
            <v>36.880000000000003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1433.4026666666668</v>
          </cell>
          <cell r="BL182">
            <v>3618.12</v>
          </cell>
          <cell r="BM182">
            <v>3618.12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Y182">
            <v>5375.5226666666667</v>
          </cell>
          <cell r="CP182" t="str">
            <v>2909/10</v>
          </cell>
          <cell r="CQ182">
            <v>40483</v>
          </cell>
          <cell r="CR182">
            <v>40662</v>
          </cell>
          <cell r="CS182" t="str">
            <v>2010-0.283.577-8</v>
          </cell>
          <cell r="CT182" t="str">
            <v>MARGARETE C. FERREIRA BEZERRA</v>
          </cell>
          <cell r="CU182">
            <v>10663988870</v>
          </cell>
          <cell r="CV182">
            <v>119871</v>
          </cell>
          <cell r="CW182">
            <v>6100.8219999999992</v>
          </cell>
          <cell r="CX182">
            <v>164.722194</v>
          </cell>
          <cell r="CY182">
            <v>30.504109999999997</v>
          </cell>
          <cell r="CZ182">
            <v>3660.4931999999994</v>
          </cell>
          <cell r="DA182">
            <v>317.99096999999983</v>
          </cell>
          <cell r="DD182">
            <v>317.99096999999983</v>
          </cell>
        </row>
        <row r="183">
          <cell r="C183" t="str">
            <v>1922/10</v>
          </cell>
          <cell r="D183" t="str">
            <v>01/01 A 31/01/11</v>
          </cell>
          <cell r="E183" t="str">
            <v>MARIA DO ROSARIO GONCALVES ALVES</v>
          </cell>
          <cell r="F183" t="str">
            <v>EMEI</v>
          </cell>
          <cell r="G183">
            <v>16</v>
          </cell>
          <cell r="H183">
            <v>16</v>
          </cell>
          <cell r="I183">
            <v>16</v>
          </cell>
          <cell r="J183">
            <v>90603</v>
          </cell>
          <cell r="K183">
            <v>38</v>
          </cell>
          <cell r="L183">
            <v>27</v>
          </cell>
          <cell r="M183">
            <v>0</v>
          </cell>
          <cell r="N183">
            <v>90603</v>
          </cell>
          <cell r="O183">
            <v>26</v>
          </cell>
          <cell r="P183">
            <v>27</v>
          </cell>
          <cell r="Q183">
            <v>0</v>
          </cell>
          <cell r="R183">
            <v>90603</v>
          </cell>
          <cell r="S183">
            <v>30</v>
          </cell>
          <cell r="T183">
            <v>27</v>
          </cell>
          <cell r="U183">
            <v>0</v>
          </cell>
          <cell r="W183">
            <v>1</v>
          </cell>
          <cell r="Y183">
            <v>1</v>
          </cell>
          <cell r="AA183">
            <v>1</v>
          </cell>
          <cell r="AB183">
            <v>0</v>
          </cell>
          <cell r="AE183">
            <v>1</v>
          </cell>
          <cell r="AG183">
            <v>1</v>
          </cell>
          <cell r="AI183">
            <v>1</v>
          </cell>
          <cell r="AJ183">
            <v>0</v>
          </cell>
          <cell r="AL183">
            <v>16</v>
          </cell>
          <cell r="AM183">
            <v>30</v>
          </cell>
          <cell r="AN183">
            <v>22</v>
          </cell>
          <cell r="AO183">
            <v>94</v>
          </cell>
          <cell r="AP183">
            <v>81</v>
          </cell>
          <cell r="AS183">
            <v>2007</v>
          </cell>
          <cell r="AT183">
            <v>29</v>
          </cell>
          <cell r="AU183">
            <v>27</v>
          </cell>
          <cell r="AV183">
            <v>94</v>
          </cell>
          <cell r="AW183">
            <v>0.25</v>
          </cell>
          <cell r="AX183">
            <v>1504</v>
          </cell>
          <cell r="AY183">
            <v>376</v>
          </cell>
          <cell r="AZ183">
            <v>36.880000000000003</v>
          </cell>
          <cell r="BA183">
            <v>27</v>
          </cell>
          <cell r="BB183">
            <v>730.22400000000005</v>
          </cell>
          <cell r="BC183">
            <v>36.880000000000003</v>
          </cell>
          <cell r="BD183">
            <v>27</v>
          </cell>
          <cell r="BE183">
            <v>730.22400000000005</v>
          </cell>
          <cell r="BF183">
            <v>36.880000000000003</v>
          </cell>
          <cell r="BG183">
            <v>27</v>
          </cell>
          <cell r="BH183">
            <v>730.22400000000005</v>
          </cell>
          <cell r="BI183">
            <v>0</v>
          </cell>
          <cell r="BJ183">
            <v>0</v>
          </cell>
          <cell r="BK183">
            <v>2190.672</v>
          </cell>
          <cell r="BL183">
            <v>3618.12</v>
          </cell>
          <cell r="BM183">
            <v>3618.12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Y183">
            <v>6184.7919999999995</v>
          </cell>
          <cell r="CP183" t="str">
            <v>2682/10</v>
          </cell>
          <cell r="CQ183">
            <v>40462</v>
          </cell>
          <cell r="CR183">
            <v>40641</v>
          </cell>
          <cell r="CS183" t="str">
            <v>2010-0.274.668-6</v>
          </cell>
          <cell r="CT183" t="str">
            <v>MARIA APARECIDA DA COSTA SERNA</v>
          </cell>
          <cell r="CU183">
            <v>16697054808</v>
          </cell>
          <cell r="CV183">
            <v>114105</v>
          </cell>
          <cell r="CW183">
            <v>4486.2233333333334</v>
          </cell>
          <cell r="CX183">
            <v>121.12803000000001</v>
          </cell>
          <cell r="CY183">
            <v>22.431116666666668</v>
          </cell>
          <cell r="CZ183">
            <v>2691.7339999999999</v>
          </cell>
          <cell r="DA183">
            <v>122.82009999999997</v>
          </cell>
          <cell r="DD183">
            <v>122.82009999999997</v>
          </cell>
        </row>
        <row r="184">
          <cell r="C184" t="str">
            <v>3035/10</v>
          </cell>
          <cell r="D184" t="str">
            <v>01/01 A 31/01/11</v>
          </cell>
          <cell r="E184" t="str">
            <v>MARIA SIRLEY FERNANDES DA SILVA</v>
          </cell>
          <cell r="F184" t="str">
            <v>EMEI</v>
          </cell>
          <cell r="G184">
            <v>15</v>
          </cell>
          <cell r="H184">
            <v>15</v>
          </cell>
          <cell r="I184">
            <v>16</v>
          </cell>
          <cell r="J184">
            <v>19682</v>
          </cell>
          <cell r="K184">
            <v>46</v>
          </cell>
          <cell r="L184">
            <v>17</v>
          </cell>
          <cell r="M184">
            <v>0</v>
          </cell>
          <cell r="N184">
            <v>19682</v>
          </cell>
          <cell r="O184">
            <v>40</v>
          </cell>
          <cell r="P184">
            <v>16</v>
          </cell>
          <cell r="Q184">
            <v>0</v>
          </cell>
          <cell r="R184">
            <v>19682</v>
          </cell>
          <cell r="S184">
            <v>84</v>
          </cell>
          <cell r="T184">
            <v>17</v>
          </cell>
          <cell r="U184">
            <v>0</v>
          </cell>
          <cell r="W184">
            <v>1</v>
          </cell>
          <cell r="Y184">
            <v>1</v>
          </cell>
          <cell r="AA184">
            <v>1</v>
          </cell>
          <cell r="AB184">
            <v>0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I184">
            <v>1</v>
          </cell>
          <cell r="AJ184">
            <v>0.66666666666666663</v>
          </cell>
          <cell r="AK184">
            <v>17</v>
          </cell>
          <cell r="AL184">
            <v>16</v>
          </cell>
          <cell r="AM184">
            <v>30</v>
          </cell>
          <cell r="AN184">
            <v>22</v>
          </cell>
          <cell r="AO184">
            <v>170</v>
          </cell>
          <cell r="AP184">
            <v>50</v>
          </cell>
          <cell r="AS184">
            <v>2009</v>
          </cell>
          <cell r="AT184">
            <v>19</v>
          </cell>
          <cell r="AU184">
            <v>17</v>
          </cell>
          <cell r="AV184">
            <v>170</v>
          </cell>
          <cell r="AW184">
            <v>0.25</v>
          </cell>
          <cell r="AX184">
            <v>2720</v>
          </cell>
          <cell r="AY184">
            <v>680</v>
          </cell>
          <cell r="AZ184">
            <v>36.880000000000003</v>
          </cell>
          <cell r="BA184">
            <v>17</v>
          </cell>
          <cell r="BB184">
            <v>459.77066666666667</v>
          </cell>
          <cell r="BC184">
            <v>36.880000000000003</v>
          </cell>
          <cell r="BD184">
            <v>16</v>
          </cell>
          <cell r="BE184">
            <v>432.72533333333337</v>
          </cell>
          <cell r="BF184">
            <v>36.880000000000003</v>
          </cell>
          <cell r="BG184">
            <v>17</v>
          </cell>
          <cell r="BH184">
            <v>459.77066666666667</v>
          </cell>
          <cell r="BI184">
            <v>0</v>
          </cell>
          <cell r="BJ184">
            <v>0</v>
          </cell>
          <cell r="BK184">
            <v>1352.2666666666669</v>
          </cell>
          <cell r="BL184">
            <v>2650.9</v>
          </cell>
          <cell r="BM184">
            <v>2650.9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11.5</v>
          </cell>
          <cell r="BS184">
            <v>10</v>
          </cell>
          <cell r="BT184">
            <v>0</v>
          </cell>
          <cell r="BU184">
            <v>21.5</v>
          </cell>
          <cell r="BY184">
            <v>4661.666666666667</v>
          </cell>
          <cell r="CP184" t="str">
            <v>2995/10</v>
          </cell>
          <cell r="CQ184">
            <v>40490</v>
          </cell>
          <cell r="CR184">
            <v>40669</v>
          </cell>
          <cell r="CS184" t="str">
            <v>2010-0.288.520-1</v>
          </cell>
          <cell r="CT184" t="str">
            <v>MARIA APARECIDA DE MORAIS</v>
          </cell>
          <cell r="CU184">
            <v>11597889873</v>
          </cell>
          <cell r="CV184">
            <v>122610</v>
          </cell>
          <cell r="CW184">
            <v>6389.6440000000002</v>
          </cell>
          <cell r="CX184">
            <v>172.52038800000003</v>
          </cell>
          <cell r="CY184">
            <v>31.948220000000006</v>
          </cell>
          <cell r="CZ184">
            <v>3833.7864</v>
          </cell>
          <cell r="DA184">
            <v>361.51125999999999</v>
          </cell>
          <cell r="DD184">
            <v>361.51125999999999</v>
          </cell>
        </row>
        <row r="185">
          <cell r="C185" t="str">
            <v>1783/10</v>
          </cell>
          <cell r="D185" t="str">
            <v>01/01 A 31/01/11</v>
          </cell>
          <cell r="E185" t="str">
            <v>MARIANA FRANCISCA DA SILVA</v>
          </cell>
          <cell r="F185" t="str">
            <v>EMEI</v>
          </cell>
          <cell r="G185">
            <v>16</v>
          </cell>
          <cell r="H185">
            <v>16</v>
          </cell>
          <cell r="I185">
            <v>16</v>
          </cell>
          <cell r="J185">
            <v>90638</v>
          </cell>
          <cell r="K185">
            <v>32</v>
          </cell>
          <cell r="L185">
            <v>23</v>
          </cell>
          <cell r="M185">
            <v>0</v>
          </cell>
          <cell r="N185">
            <v>90638</v>
          </cell>
          <cell r="O185">
            <v>20</v>
          </cell>
          <cell r="P185">
            <v>23</v>
          </cell>
          <cell r="Q185">
            <v>0</v>
          </cell>
          <cell r="R185">
            <v>90638</v>
          </cell>
          <cell r="S185">
            <v>22</v>
          </cell>
          <cell r="T185">
            <v>23</v>
          </cell>
          <cell r="U185">
            <v>0</v>
          </cell>
          <cell r="W185">
            <v>1</v>
          </cell>
          <cell r="Y185">
            <v>1</v>
          </cell>
          <cell r="AA185">
            <v>1</v>
          </cell>
          <cell r="AB185">
            <v>0</v>
          </cell>
          <cell r="AE185">
            <v>1</v>
          </cell>
          <cell r="AG185">
            <v>1</v>
          </cell>
          <cell r="AI185">
            <v>1</v>
          </cell>
          <cell r="AJ185">
            <v>0</v>
          </cell>
          <cell r="AL185">
            <v>16</v>
          </cell>
          <cell r="AM185">
            <v>30</v>
          </cell>
          <cell r="AN185">
            <v>22</v>
          </cell>
          <cell r="AO185">
            <v>74</v>
          </cell>
          <cell r="AP185">
            <v>69</v>
          </cell>
          <cell r="AS185">
            <v>2001</v>
          </cell>
          <cell r="AT185">
            <v>25</v>
          </cell>
          <cell r="AU185">
            <v>23</v>
          </cell>
          <cell r="AV185">
            <v>74</v>
          </cell>
          <cell r="AW185">
            <v>0.25</v>
          </cell>
          <cell r="AX185">
            <v>1184</v>
          </cell>
          <cell r="AY185">
            <v>296</v>
          </cell>
          <cell r="AZ185">
            <v>36.880000000000003</v>
          </cell>
          <cell r="BA185">
            <v>23</v>
          </cell>
          <cell r="BB185">
            <v>622.04266666666672</v>
          </cell>
          <cell r="BC185">
            <v>36.880000000000003</v>
          </cell>
          <cell r="BD185">
            <v>23</v>
          </cell>
          <cell r="BE185">
            <v>622.04266666666672</v>
          </cell>
          <cell r="BF185">
            <v>36.880000000000003</v>
          </cell>
          <cell r="BG185">
            <v>23</v>
          </cell>
          <cell r="BH185">
            <v>622.04266666666672</v>
          </cell>
          <cell r="BI185">
            <v>0</v>
          </cell>
          <cell r="BJ185">
            <v>0</v>
          </cell>
          <cell r="BK185">
            <v>1866.1280000000002</v>
          </cell>
          <cell r="BL185">
            <v>2964.26</v>
          </cell>
          <cell r="BM185">
            <v>2964.26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Y185">
            <v>5126.3880000000008</v>
          </cell>
          <cell r="CP185" t="str">
            <v>2316/10</v>
          </cell>
          <cell r="CQ185">
            <v>40448</v>
          </cell>
          <cell r="CR185">
            <v>40627</v>
          </cell>
          <cell r="CS185" t="str">
            <v>2010-0.245.457-0</v>
          </cell>
          <cell r="CT185" t="str">
            <v>MARIA DE FATIMA FERNANDES DA SILVA</v>
          </cell>
          <cell r="CU185">
            <v>14426045819</v>
          </cell>
          <cell r="CV185">
            <v>106414</v>
          </cell>
          <cell r="CW185">
            <v>5375.5226666666667</v>
          </cell>
          <cell r="CX185">
            <v>145.13911200000001</v>
          </cell>
          <cell r="CY185">
            <v>26.877613333333336</v>
          </cell>
          <cell r="CZ185">
            <v>3225.3136</v>
          </cell>
          <cell r="DA185">
            <v>220.07556</v>
          </cell>
          <cell r="DD185">
            <v>220.07556</v>
          </cell>
        </row>
        <row r="186">
          <cell r="C186" t="str">
            <v>2306/10</v>
          </cell>
          <cell r="D186" t="str">
            <v>01/01 A 31/01/11</v>
          </cell>
          <cell r="E186" t="str">
            <v>MARILENE JOSE DA SILVA</v>
          </cell>
          <cell r="F186" t="str">
            <v>EMEF</v>
          </cell>
          <cell r="G186">
            <v>16</v>
          </cell>
          <cell r="H186">
            <v>16</v>
          </cell>
          <cell r="I186">
            <v>16</v>
          </cell>
          <cell r="J186">
            <v>19436</v>
          </cell>
          <cell r="K186">
            <v>54</v>
          </cell>
          <cell r="L186">
            <v>23</v>
          </cell>
          <cell r="M186">
            <v>0</v>
          </cell>
          <cell r="N186">
            <v>19436</v>
          </cell>
          <cell r="O186">
            <v>91</v>
          </cell>
          <cell r="P186">
            <v>27</v>
          </cell>
          <cell r="Q186">
            <v>0</v>
          </cell>
          <cell r="R186">
            <v>19436</v>
          </cell>
          <cell r="S186">
            <v>26</v>
          </cell>
          <cell r="T186">
            <v>20</v>
          </cell>
          <cell r="U186">
            <v>0</v>
          </cell>
          <cell r="W186">
            <v>1</v>
          </cell>
          <cell r="Y186">
            <v>1</v>
          </cell>
          <cell r="AA186">
            <v>1</v>
          </cell>
          <cell r="AB186">
            <v>0</v>
          </cell>
          <cell r="AE186">
            <v>1</v>
          </cell>
          <cell r="AG186">
            <v>1</v>
          </cell>
          <cell r="AI186">
            <v>1</v>
          </cell>
          <cell r="AJ186">
            <v>0</v>
          </cell>
          <cell r="AL186">
            <v>16</v>
          </cell>
          <cell r="AM186">
            <v>30</v>
          </cell>
          <cell r="AN186">
            <v>22</v>
          </cell>
          <cell r="AO186">
            <v>171</v>
          </cell>
          <cell r="AP186">
            <v>70</v>
          </cell>
          <cell r="AS186">
            <v>2007</v>
          </cell>
          <cell r="AT186">
            <v>29</v>
          </cell>
          <cell r="AU186">
            <v>27</v>
          </cell>
          <cell r="AV186">
            <v>171</v>
          </cell>
          <cell r="AW186">
            <v>0.25</v>
          </cell>
          <cell r="AX186">
            <v>2736</v>
          </cell>
          <cell r="AY186">
            <v>684</v>
          </cell>
          <cell r="AZ186">
            <v>36.880000000000003</v>
          </cell>
          <cell r="BA186">
            <v>23</v>
          </cell>
          <cell r="BB186">
            <v>622.04266666666672</v>
          </cell>
          <cell r="BC186">
            <v>36.880000000000003</v>
          </cell>
          <cell r="BD186">
            <v>27</v>
          </cell>
          <cell r="BE186">
            <v>730.22400000000005</v>
          </cell>
          <cell r="BF186">
            <v>36.880000000000003</v>
          </cell>
          <cell r="BG186">
            <v>20</v>
          </cell>
          <cell r="BH186">
            <v>540.90666666666664</v>
          </cell>
          <cell r="BI186">
            <v>0</v>
          </cell>
          <cell r="BJ186">
            <v>0</v>
          </cell>
          <cell r="BK186">
            <v>1893.1733333333336</v>
          </cell>
          <cell r="BL186">
            <v>3618.12</v>
          </cell>
          <cell r="BM186">
            <v>3618.12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Y186">
            <v>6195.2933333333331</v>
          </cell>
          <cell r="CP186" t="str">
            <v>1922/10</v>
          </cell>
          <cell r="CQ186">
            <v>40441</v>
          </cell>
          <cell r="CR186">
            <v>40620</v>
          </cell>
          <cell r="CS186" t="str">
            <v>2010-0.230.684-8</v>
          </cell>
          <cell r="CT186" t="str">
            <v>MARIA DO ROSARIO GONCALVES ALVES</v>
          </cell>
          <cell r="CU186" t="str">
            <v>087.635.288-35</v>
          </cell>
          <cell r="CV186">
            <v>104987</v>
          </cell>
          <cell r="CW186">
            <v>6184.7919999999995</v>
          </cell>
          <cell r="CX186">
            <v>166.989384</v>
          </cell>
          <cell r="CY186">
            <v>30.923960000000001</v>
          </cell>
          <cell r="CZ186">
            <v>3710.8751999999995</v>
          </cell>
          <cell r="DA186">
            <v>329.32691999999986</v>
          </cell>
          <cell r="DD186">
            <v>329.32691999999986</v>
          </cell>
        </row>
        <row r="187">
          <cell r="C187" t="str">
            <v>2463/10</v>
          </cell>
          <cell r="D187" t="str">
            <v>01/01 A 31/01/11</v>
          </cell>
          <cell r="E187" t="str">
            <v>MARIO LUCIO ALVES</v>
          </cell>
          <cell r="F187" t="str">
            <v>EMEI</v>
          </cell>
          <cell r="G187">
            <v>16</v>
          </cell>
          <cell r="H187">
            <v>16</v>
          </cell>
          <cell r="I187">
            <v>16</v>
          </cell>
          <cell r="J187">
            <v>19197</v>
          </cell>
          <cell r="K187">
            <v>10</v>
          </cell>
          <cell r="L187">
            <v>16</v>
          </cell>
          <cell r="M187">
            <v>0</v>
          </cell>
          <cell r="N187">
            <v>19197</v>
          </cell>
          <cell r="O187">
            <v>13</v>
          </cell>
          <cell r="P187">
            <v>16</v>
          </cell>
          <cell r="Q187">
            <v>0</v>
          </cell>
          <cell r="R187">
            <v>19197</v>
          </cell>
          <cell r="S187">
            <v>10</v>
          </cell>
          <cell r="T187">
            <v>17</v>
          </cell>
          <cell r="U187">
            <v>0</v>
          </cell>
          <cell r="W187">
            <v>1</v>
          </cell>
          <cell r="Y187">
            <v>1</v>
          </cell>
          <cell r="AA187">
            <v>1</v>
          </cell>
          <cell r="AB187">
            <v>0</v>
          </cell>
          <cell r="AE187">
            <v>1</v>
          </cell>
          <cell r="AG187">
            <v>1</v>
          </cell>
          <cell r="AI187">
            <v>1</v>
          </cell>
          <cell r="AJ187">
            <v>0</v>
          </cell>
          <cell r="AL187">
            <v>16</v>
          </cell>
          <cell r="AM187">
            <v>30</v>
          </cell>
          <cell r="AN187">
            <v>22</v>
          </cell>
          <cell r="AO187">
            <v>33</v>
          </cell>
          <cell r="AP187">
            <v>49</v>
          </cell>
          <cell r="AS187">
            <v>2010</v>
          </cell>
          <cell r="AT187">
            <v>19</v>
          </cell>
          <cell r="AU187">
            <v>17</v>
          </cell>
          <cell r="AV187">
            <v>33</v>
          </cell>
          <cell r="AW187">
            <v>0.25</v>
          </cell>
          <cell r="AX187">
            <v>528</v>
          </cell>
          <cell r="AY187">
            <v>132</v>
          </cell>
          <cell r="AZ187">
            <v>36.880000000000003</v>
          </cell>
          <cell r="BA187">
            <v>16</v>
          </cell>
          <cell r="BB187">
            <v>432.72533333333337</v>
          </cell>
          <cell r="BC187">
            <v>36.880000000000003</v>
          </cell>
          <cell r="BD187">
            <v>16</v>
          </cell>
          <cell r="BE187">
            <v>432.72533333333337</v>
          </cell>
          <cell r="BF187">
            <v>36.880000000000003</v>
          </cell>
          <cell r="BG187">
            <v>17</v>
          </cell>
          <cell r="BH187">
            <v>459.77066666666667</v>
          </cell>
          <cell r="BI187">
            <v>0</v>
          </cell>
          <cell r="BJ187">
            <v>0</v>
          </cell>
          <cell r="BK187">
            <v>1325.2213333333334</v>
          </cell>
          <cell r="BL187">
            <v>2718.59</v>
          </cell>
          <cell r="BM187">
            <v>2718.59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Y187">
            <v>4175.8113333333331</v>
          </cell>
          <cell r="CP187" t="str">
            <v>3035/10</v>
          </cell>
          <cell r="CQ187">
            <v>40490</v>
          </cell>
          <cell r="CR187">
            <v>40669</v>
          </cell>
          <cell r="CS187" t="str">
            <v>2010-0.288.672-0</v>
          </cell>
          <cell r="CT187" t="str">
            <v>MARIA SIRLEY FERNANDES DA SILVA</v>
          </cell>
          <cell r="CU187" t="str">
            <v>166.477.438-63</v>
          </cell>
          <cell r="CV187">
            <v>122625</v>
          </cell>
          <cell r="CW187">
            <v>4661.666666666667</v>
          </cell>
          <cell r="CX187">
            <v>125.86500000000002</v>
          </cell>
          <cell r="CY187">
            <v>23.308333333333337</v>
          </cell>
          <cell r="CZ187">
            <v>2797</v>
          </cell>
          <cell r="DA187">
            <v>138.61000000000001</v>
          </cell>
          <cell r="DD187">
            <v>138.61000000000001</v>
          </cell>
        </row>
        <row r="188">
          <cell r="C188" t="str">
            <v>2183/10</v>
          </cell>
          <cell r="D188" t="str">
            <v>01/01 A 31/01/11</v>
          </cell>
          <cell r="E188" t="str">
            <v>MARTA FERREIRA DA SILVA</v>
          </cell>
          <cell r="F188" t="str">
            <v>EMEI</v>
          </cell>
          <cell r="G188">
            <v>15</v>
          </cell>
          <cell r="H188">
            <v>15</v>
          </cell>
          <cell r="I188">
            <v>16</v>
          </cell>
          <cell r="J188">
            <v>19451</v>
          </cell>
          <cell r="K188">
            <v>35</v>
          </cell>
          <cell r="L188">
            <v>24</v>
          </cell>
          <cell r="M188">
            <v>0</v>
          </cell>
          <cell r="N188">
            <v>19451</v>
          </cell>
          <cell r="O188">
            <v>32</v>
          </cell>
          <cell r="P188">
            <v>27</v>
          </cell>
          <cell r="Q188">
            <v>0</v>
          </cell>
          <cell r="R188">
            <v>1945</v>
          </cell>
          <cell r="S188">
            <v>50</v>
          </cell>
          <cell r="T188">
            <v>39</v>
          </cell>
          <cell r="U188">
            <v>0</v>
          </cell>
          <cell r="W188">
            <v>1</v>
          </cell>
          <cell r="Y188">
            <v>1</v>
          </cell>
          <cell r="AA188">
            <v>1</v>
          </cell>
          <cell r="AB188">
            <v>0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I188">
            <v>1</v>
          </cell>
          <cell r="AJ188">
            <v>0.66666666666666663</v>
          </cell>
          <cell r="AK188">
            <v>6</v>
          </cell>
          <cell r="AL188">
            <v>16</v>
          </cell>
          <cell r="AM188">
            <v>30</v>
          </cell>
          <cell r="AN188">
            <v>22</v>
          </cell>
          <cell r="AO188">
            <v>117</v>
          </cell>
          <cell r="AP188">
            <v>90</v>
          </cell>
          <cell r="AS188">
            <v>2007</v>
          </cell>
          <cell r="AT188">
            <v>29</v>
          </cell>
          <cell r="AU188">
            <v>27</v>
          </cell>
          <cell r="AV188">
            <v>117</v>
          </cell>
          <cell r="AW188">
            <v>0.25</v>
          </cell>
          <cell r="AX188">
            <v>1872</v>
          </cell>
          <cell r="AY188">
            <v>468</v>
          </cell>
          <cell r="AZ188">
            <v>36.880000000000003</v>
          </cell>
          <cell r="BA188">
            <v>24</v>
          </cell>
          <cell r="BB188">
            <v>649.08800000000008</v>
          </cell>
          <cell r="BC188">
            <v>36.880000000000003</v>
          </cell>
          <cell r="BD188">
            <v>27</v>
          </cell>
          <cell r="BE188">
            <v>730.22400000000005</v>
          </cell>
          <cell r="BF188">
            <v>36.880000000000003</v>
          </cell>
          <cell r="BG188">
            <v>39</v>
          </cell>
          <cell r="BH188">
            <v>1054.768</v>
          </cell>
          <cell r="BI188">
            <v>0</v>
          </cell>
          <cell r="BJ188">
            <v>0</v>
          </cell>
          <cell r="BK188">
            <v>2434.08</v>
          </cell>
          <cell r="BL188">
            <v>3618.12</v>
          </cell>
          <cell r="BM188">
            <v>3618.12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8.75</v>
          </cell>
          <cell r="BS188">
            <v>8</v>
          </cell>
          <cell r="BT188">
            <v>0</v>
          </cell>
          <cell r="BU188">
            <v>16.75</v>
          </cell>
          <cell r="BY188">
            <v>6503.45</v>
          </cell>
          <cell r="CP188" t="str">
            <v>1783/10</v>
          </cell>
          <cell r="CQ188">
            <v>40427</v>
          </cell>
          <cell r="CR188">
            <v>40606</v>
          </cell>
          <cell r="CS188" t="str">
            <v>2010-0.225.032-0</v>
          </cell>
          <cell r="CT188" t="str">
            <v>MARIANA FRANCISCA DA SILVA</v>
          </cell>
          <cell r="CU188" t="str">
            <v>039.853.048-31</v>
          </cell>
          <cell r="CV188">
            <v>98047</v>
          </cell>
          <cell r="CW188">
            <v>5126.3880000000008</v>
          </cell>
          <cell r="CX188">
            <v>138.41247600000003</v>
          </cell>
          <cell r="CY188">
            <v>25.631940000000004</v>
          </cell>
          <cell r="CZ188">
            <v>3075.8328000000006</v>
          </cell>
          <cell r="DA188">
            <v>186.44238000000018</v>
          </cell>
          <cell r="DD188">
            <v>186.44238000000018</v>
          </cell>
        </row>
        <row r="189">
          <cell r="C189" t="str">
            <v>2742/10</v>
          </cell>
          <cell r="D189" t="str">
            <v>01/01 A 31/01/11</v>
          </cell>
          <cell r="E189" t="str">
            <v>MAURICIO ARRUDA BARBOSA</v>
          </cell>
          <cell r="F189" t="str">
            <v>EMEF</v>
          </cell>
          <cell r="G189">
            <v>14</v>
          </cell>
          <cell r="H189">
            <v>14</v>
          </cell>
          <cell r="I189">
            <v>14</v>
          </cell>
          <cell r="J189">
            <v>93394</v>
          </cell>
          <cell r="K189">
            <v>35</v>
          </cell>
          <cell r="L189">
            <v>23</v>
          </cell>
          <cell r="M189">
            <v>0</v>
          </cell>
          <cell r="N189">
            <v>93394</v>
          </cell>
          <cell r="O189">
            <v>34</v>
          </cell>
          <cell r="P189">
            <v>23</v>
          </cell>
          <cell r="Q189">
            <v>0</v>
          </cell>
          <cell r="R189">
            <v>93394</v>
          </cell>
          <cell r="S189">
            <v>25</v>
          </cell>
          <cell r="T189">
            <v>23</v>
          </cell>
          <cell r="U189">
            <v>0</v>
          </cell>
          <cell r="W189">
            <v>1</v>
          </cell>
          <cell r="Y189">
            <v>1</v>
          </cell>
          <cell r="AA189">
            <v>1</v>
          </cell>
          <cell r="AB189">
            <v>0</v>
          </cell>
          <cell r="AD189">
            <v>2</v>
          </cell>
          <cell r="AE189">
            <v>1</v>
          </cell>
          <cell r="AF189">
            <v>2</v>
          </cell>
          <cell r="AG189">
            <v>1</v>
          </cell>
          <cell r="AH189">
            <v>2</v>
          </cell>
          <cell r="AI189">
            <v>1</v>
          </cell>
          <cell r="AJ189">
            <v>2</v>
          </cell>
          <cell r="AK189" t="str">
            <v>21 e 22</v>
          </cell>
          <cell r="AL189">
            <v>16</v>
          </cell>
          <cell r="AM189">
            <v>30</v>
          </cell>
          <cell r="AN189">
            <v>22</v>
          </cell>
          <cell r="AO189">
            <v>94</v>
          </cell>
          <cell r="AP189">
            <v>69</v>
          </cell>
          <cell r="AS189">
            <v>1998</v>
          </cell>
          <cell r="AT189">
            <v>25</v>
          </cell>
          <cell r="AU189">
            <v>23</v>
          </cell>
          <cell r="AV189">
            <v>94</v>
          </cell>
          <cell r="AW189">
            <v>0.25</v>
          </cell>
          <cell r="AX189">
            <v>1504</v>
          </cell>
          <cell r="AY189">
            <v>376</v>
          </cell>
          <cell r="AZ189">
            <v>36.880000000000003</v>
          </cell>
          <cell r="BA189">
            <v>23</v>
          </cell>
          <cell r="BB189">
            <v>622.04266666666672</v>
          </cell>
          <cell r="BC189">
            <v>36.880000000000003</v>
          </cell>
          <cell r="BD189">
            <v>23</v>
          </cell>
          <cell r="BE189">
            <v>622.04266666666672</v>
          </cell>
          <cell r="BF189">
            <v>36.880000000000003</v>
          </cell>
          <cell r="BG189">
            <v>23</v>
          </cell>
          <cell r="BH189">
            <v>622.04266666666672</v>
          </cell>
          <cell r="BI189">
            <v>0</v>
          </cell>
          <cell r="BJ189">
            <v>0</v>
          </cell>
          <cell r="BK189">
            <v>1866.1280000000002</v>
          </cell>
          <cell r="BL189">
            <v>2637.36</v>
          </cell>
          <cell r="BM189">
            <v>2637.36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17.5</v>
          </cell>
          <cell r="BS189">
            <v>17</v>
          </cell>
          <cell r="BT189">
            <v>12.5</v>
          </cell>
          <cell r="BU189">
            <v>47</v>
          </cell>
          <cell r="BY189">
            <v>4832.4880000000003</v>
          </cell>
          <cell r="CP189" t="str">
            <v>2306/10</v>
          </cell>
          <cell r="CQ189">
            <v>40448</v>
          </cell>
          <cell r="CR189">
            <v>40627</v>
          </cell>
          <cell r="CS189" t="str">
            <v>2010-0.245.437-5</v>
          </cell>
          <cell r="CT189" t="str">
            <v>MARILENE JOSE DA SILVA</v>
          </cell>
          <cell r="CU189" t="str">
            <v>132.424.868-89</v>
          </cell>
          <cell r="CV189">
            <v>106356</v>
          </cell>
          <cell r="CW189">
            <v>6195.2933333333331</v>
          </cell>
          <cell r="CX189">
            <v>167.27292000000003</v>
          </cell>
          <cell r="CY189">
            <v>30.976466666666671</v>
          </cell>
          <cell r="CZ189">
            <v>3717.1759999999995</v>
          </cell>
          <cell r="DA189">
            <v>330.74459999999988</v>
          </cell>
          <cell r="DD189">
            <v>330.74459999999988</v>
          </cell>
        </row>
        <row r="190">
          <cell r="C190" t="str">
            <v>2026/10</v>
          </cell>
          <cell r="D190" t="str">
            <v>01/01 A 31/01/11</v>
          </cell>
          <cell r="E190" t="str">
            <v>MAURICIO GOMES DA SILVA FILHO</v>
          </cell>
          <cell r="F190" t="str">
            <v>EMEI</v>
          </cell>
          <cell r="G190">
            <v>15</v>
          </cell>
          <cell r="H190">
            <v>15</v>
          </cell>
          <cell r="I190">
            <v>16</v>
          </cell>
          <cell r="J190">
            <v>19682</v>
          </cell>
          <cell r="K190">
            <v>38</v>
          </cell>
          <cell r="L190">
            <v>27</v>
          </cell>
          <cell r="M190">
            <v>0</v>
          </cell>
          <cell r="N190">
            <v>19682</v>
          </cell>
          <cell r="O190">
            <v>42</v>
          </cell>
          <cell r="P190">
            <v>26</v>
          </cell>
          <cell r="Q190">
            <v>0</v>
          </cell>
          <cell r="R190">
            <v>19682</v>
          </cell>
          <cell r="S190">
            <v>71</v>
          </cell>
          <cell r="T190">
            <v>27</v>
          </cell>
          <cell r="U190">
            <v>0</v>
          </cell>
          <cell r="W190">
            <v>1</v>
          </cell>
          <cell r="Y190">
            <v>1</v>
          </cell>
          <cell r="AA190">
            <v>1</v>
          </cell>
          <cell r="AB190">
            <v>0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I190">
            <v>1</v>
          </cell>
          <cell r="AJ190">
            <v>0.66666666666666663</v>
          </cell>
          <cell r="AK190">
            <v>17</v>
          </cell>
          <cell r="AL190">
            <v>16</v>
          </cell>
          <cell r="AM190">
            <v>30</v>
          </cell>
          <cell r="AN190">
            <v>22</v>
          </cell>
          <cell r="AO190">
            <v>151</v>
          </cell>
          <cell r="AP190">
            <v>80</v>
          </cell>
          <cell r="AS190">
            <v>2007</v>
          </cell>
          <cell r="AT190">
            <v>29</v>
          </cell>
          <cell r="AU190">
            <v>27</v>
          </cell>
          <cell r="AV190">
            <v>151</v>
          </cell>
          <cell r="AW190">
            <v>0.25</v>
          </cell>
          <cell r="AX190">
            <v>2416</v>
          </cell>
          <cell r="AY190">
            <v>604</v>
          </cell>
          <cell r="AZ190">
            <v>36.880000000000003</v>
          </cell>
          <cell r="BA190">
            <v>27</v>
          </cell>
          <cell r="BB190">
            <v>730.22400000000005</v>
          </cell>
          <cell r="BC190">
            <v>36.880000000000003</v>
          </cell>
          <cell r="BD190">
            <v>26</v>
          </cell>
          <cell r="BE190">
            <v>703.1786666666668</v>
          </cell>
          <cell r="BF190">
            <v>36.880000000000003</v>
          </cell>
          <cell r="BG190">
            <v>27</v>
          </cell>
          <cell r="BH190">
            <v>730.22400000000005</v>
          </cell>
          <cell r="BI190">
            <v>0</v>
          </cell>
          <cell r="BJ190">
            <v>0</v>
          </cell>
          <cell r="BK190">
            <v>2163.626666666667</v>
          </cell>
          <cell r="BL190">
            <v>3618.12</v>
          </cell>
          <cell r="BM190">
            <v>3618.12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9.5</v>
          </cell>
          <cell r="BS190">
            <v>10.5</v>
          </cell>
          <cell r="BT190">
            <v>0</v>
          </cell>
          <cell r="BU190">
            <v>20</v>
          </cell>
          <cell r="BY190">
            <v>6365.7466666666669</v>
          </cell>
          <cell r="CP190" t="str">
            <v>2463/10</v>
          </cell>
          <cell r="CQ190">
            <v>40455</v>
          </cell>
          <cell r="CR190">
            <v>40634</v>
          </cell>
          <cell r="CS190" t="str">
            <v>2010-0.267.283-6</v>
          </cell>
          <cell r="CT190" t="str">
            <v>MARIO LUCIO ALVES</v>
          </cell>
          <cell r="CU190" t="str">
            <v>043.507.998-00</v>
          </cell>
          <cell r="CV190">
            <v>115338</v>
          </cell>
          <cell r="CW190">
            <v>4175.8113333333331</v>
          </cell>
          <cell r="CX190">
            <v>112.74690600000001</v>
          </cell>
          <cell r="CY190">
            <v>20.879056666666671</v>
          </cell>
          <cell r="CZ190">
            <v>2505.4867999999997</v>
          </cell>
          <cell r="DA190">
            <v>94.883019999999931</v>
          </cell>
          <cell r="DD190">
            <v>94.883019999999931</v>
          </cell>
        </row>
        <row r="191">
          <cell r="C191" t="str">
            <v>1667/10</v>
          </cell>
          <cell r="D191" t="str">
            <v>01/01 A 31/01/11</v>
          </cell>
          <cell r="E191" t="str">
            <v>MAURO CESAR ZILLIG BARBOSA</v>
          </cell>
          <cell r="F191" t="str">
            <v>EMEF</v>
          </cell>
          <cell r="G191">
            <v>16</v>
          </cell>
          <cell r="H191">
            <v>16</v>
          </cell>
          <cell r="I191">
            <v>16</v>
          </cell>
          <cell r="J191">
            <v>19305</v>
          </cell>
          <cell r="K191">
            <v>34</v>
          </cell>
          <cell r="L191">
            <v>29</v>
          </cell>
          <cell r="M191">
            <v>0</v>
          </cell>
          <cell r="N191">
            <v>19305</v>
          </cell>
          <cell r="O191">
            <v>30</v>
          </cell>
          <cell r="P191">
            <v>29</v>
          </cell>
          <cell r="Q191">
            <v>0</v>
          </cell>
          <cell r="R191">
            <v>18546</v>
          </cell>
          <cell r="S191">
            <v>23</v>
          </cell>
          <cell r="T191">
            <v>29</v>
          </cell>
          <cell r="U191">
            <v>0</v>
          </cell>
          <cell r="W191">
            <v>1</v>
          </cell>
          <cell r="Y191">
            <v>1</v>
          </cell>
          <cell r="AA191">
            <v>1</v>
          </cell>
          <cell r="AB191">
            <v>0</v>
          </cell>
          <cell r="AE191">
            <v>1</v>
          </cell>
          <cell r="AG191">
            <v>1</v>
          </cell>
          <cell r="AI191">
            <v>1</v>
          </cell>
          <cell r="AJ191">
            <v>0</v>
          </cell>
          <cell r="AL191">
            <v>16</v>
          </cell>
          <cell r="AM191">
            <v>30</v>
          </cell>
          <cell r="AN191">
            <v>22</v>
          </cell>
          <cell r="AO191">
            <v>87</v>
          </cell>
          <cell r="AP191">
            <v>87</v>
          </cell>
          <cell r="AS191">
            <v>2002</v>
          </cell>
          <cell r="AT191">
            <v>31</v>
          </cell>
          <cell r="AU191">
            <v>29</v>
          </cell>
          <cell r="AV191">
            <v>87</v>
          </cell>
          <cell r="AW191">
            <v>0.25</v>
          </cell>
          <cell r="AX191">
            <v>1392</v>
          </cell>
          <cell r="AY191">
            <v>348</v>
          </cell>
          <cell r="AZ191">
            <v>36.880000000000003</v>
          </cell>
          <cell r="BA191">
            <v>29</v>
          </cell>
          <cell r="BB191">
            <v>784.31466666666665</v>
          </cell>
          <cell r="BC191">
            <v>36.880000000000003</v>
          </cell>
          <cell r="BD191">
            <v>29</v>
          </cell>
          <cell r="BE191">
            <v>784.31466666666665</v>
          </cell>
          <cell r="BF191">
            <v>36.880000000000003</v>
          </cell>
          <cell r="BG191">
            <v>29</v>
          </cell>
          <cell r="BH191">
            <v>784.31466666666665</v>
          </cell>
          <cell r="BI191">
            <v>0</v>
          </cell>
          <cell r="BJ191">
            <v>0</v>
          </cell>
          <cell r="BK191">
            <v>2352.944</v>
          </cell>
          <cell r="BL191">
            <v>3073.24</v>
          </cell>
          <cell r="BM191">
            <v>3073.24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Y191">
            <v>5774.1839999999993</v>
          </cell>
          <cell r="CP191" t="str">
            <v>2183/10</v>
          </cell>
          <cell r="CQ191">
            <v>40448</v>
          </cell>
          <cell r="CR191">
            <v>40627</v>
          </cell>
          <cell r="CS191" t="str">
            <v>2010-0.241.214-1</v>
          </cell>
          <cell r="CT191" t="str">
            <v>MARTA FERREIRA DA SILVA</v>
          </cell>
          <cell r="CU191">
            <v>10317070851</v>
          </cell>
          <cell r="CV191">
            <v>106204</v>
          </cell>
          <cell r="CW191">
            <v>6503.45</v>
          </cell>
          <cell r="CX191">
            <v>175.59315000000001</v>
          </cell>
          <cell r="CY191">
            <v>32.517250000000004</v>
          </cell>
          <cell r="CZ191">
            <v>3902.0699999999997</v>
          </cell>
          <cell r="DA191">
            <v>380.28925000000004</v>
          </cell>
          <cell r="DD191">
            <v>380.28925000000004</v>
          </cell>
        </row>
        <row r="192">
          <cell r="C192" t="str">
            <v>1924/10</v>
          </cell>
          <cell r="D192" t="str">
            <v>01/01 A 31/01/11</v>
          </cell>
          <cell r="E192" t="str">
            <v>MIGUEL TITARA DOS SANTOS</v>
          </cell>
          <cell r="F192" t="str">
            <v>EMEI</v>
          </cell>
          <cell r="G192">
            <v>16</v>
          </cell>
          <cell r="H192">
            <v>16</v>
          </cell>
          <cell r="I192">
            <v>16</v>
          </cell>
          <cell r="J192">
            <v>19197</v>
          </cell>
          <cell r="K192">
            <v>39</v>
          </cell>
          <cell r="L192">
            <v>17</v>
          </cell>
          <cell r="M192">
            <v>0</v>
          </cell>
          <cell r="N192">
            <v>19197</v>
          </cell>
          <cell r="O192">
            <v>24</v>
          </cell>
          <cell r="P192">
            <v>17</v>
          </cell>
          <cell r="Q192">
            <v>0</v>
          </cell>
          <cell r="R192">
            <v>19197</v>
          </cell>
          <cell r="S192">
            <v>28</v>
          </cell>
          <cell r="T192">
            <v>17</v>
          </cell>
          <cell r="U192">
            <v>0</v>
          </cell>
          <cell r="W192">
            <v>1</v>
          </cell>
          <cell r="Y192">
            <v>1</v>
          </cell>
          <cell r="AA192">
            <v>1</v>
          </cell>
          <cell r="AB192">
            <v>0</v>
          </cell>
          <cell r="AE192">
            <v>1</v>
          </cell>
          <cell r="AG192">
            <v>1</v>
          </cell>
          <cell r="AI192">
            <v>1</v>
          </cell>
          <cell r="AJ192">
            <v>0</v>
          </cell>
          <cell r="AL192">
            <v>16</v>
          </cell>
          <cell r="AM192">
            <v>30</v>
          </cell>
          <cell r="AN192">
            <v>22</v>
          </cell>
          <cell r="AO192">
            <v>91</v>
          </cell>
          <cell r="AP192">
            <v>51</v>
          </cell>
          <cell r="AS192">
            <v>2008</v>
          </cell>
          <cell r="AT192">
            <v>19</v>
          </cell>
          <cell r="AU192">
            <v>17</v>
          </cell>
          <cell r="AV192">
            <v>91</v>
          </cell>
          <cell r="AW192">
            <v>0.25</v>
          </cell>
          <cell r="AX192">
            <v>1456</v>
          </cell>
          <cell r="AY192">
            <v>364</v>
          </cell>
          <cell r="AZ192">
            <v>36.880000000000003</v>
          </cell>
          <cell r="BA192">
            <v>17</v>
          </cell>
          <cell r="BB192">
            <v>459.77066666666667</v>
          </cell>
          <cell r="BC192">
            <v>36.880000000000003</v>
          </cell>
          <cell r="BD192">
            <v>17</v>
          </cell>
          <cell r="BE192">
            <v>459.77066666666667</v>
          </cell>
          <cell r="BF192">
            <v>36.880000000000003</v>
          </cell>
          <cell r="BG192">
            <v>17</v>
          </cell>
          <cell r="BH192">
            <v>459.77066666666667</v>
          </cell>
          <cell r="BI192">
            <v>0</v>
          </cell>
          <cell r="BJ192">
            <v>0</v>
          </cell>
          <cell r="BK192">
            <v>1379.3119999999999</v>
          </cell>
          <cell r="BL192">
            <v>2583.21</v>
          </cell>
          <cell r="BM192">
            <v>2583.21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Y192">
            <v>4326.5219999999999</v>
          </cell>
          <cell r="CP192" t="str">
            <v>2742/10</v>
          </cell>
          <cell r="CQ192">
            <v>40469</v>
          </cell>
          <cell r="CR192">
            <v>40648</v>
          </cell>
          <cell r="CS192" t="str">
            <v>2010-0.277.648-8</v>
          </cell>
          <cell r="CT192" t="str">
            <v>MAURICIO ARRUDA BARBOSA</v>
          </cell>
          <cell r="CU192">
            <v>10081705859</v>
          </cell>
          <cell r="CV192">
            <v>115340</v>
          </cell>
          <cell r="CW192">
            <v>4832.4880000000003</v>
          </cell>
          <cell r="CX192">
            <v>130.47717600000004</v>
          </cell>
          <cell r="CY192">
            <v>24.162440000000004</v>
          </cell>
          <cell r="CZ192">
            <v>2899.4928</v>
          </cell>
          <cell r="DA192">
            <v>153.98392000000001</v>
          </cell>
          <cell r="DD192">
            <v>153.98392000000001</v>
          </cell>
        </row>
        <row r="193">
          <cell r="C193" t="str">
            <v>2464/10</v>
          </cell>
          <cell r="D193" t="str">
            <v>01/01 A 31/01/11</v>
          </cell>
          <cell r="E193" t="str">
            <v>MILTON PEREIRA DE CARVALHO</v>
          </cell>
          <cell r="F193" t="str">
            <v>EMEI</v>
          </cell>
          <cell r="G193">
            <v>16</v>
          </cell>
          <cell r="H193">
            <v>16</v>
          </cell>
          <cell r="I193">
            <v>16</v>
          </cell>
          <cell r="J193">
            <v>493</v>
          </cell>
          <cell r="K193">
            <v>44</v>
          </cell>
          <cell r="L193">
            <v>26</v>
          </cell>
          <cell r="M193">
            <v>0</v>
          </cell>
          <cell r="N193">
            <v>493</v>
          </cell>
          <cell r="O193">
            <v>48</v>
          </cell>
          <cell r="P193">
            <v>27</v>
          </cell>
          <cell r="Q193">
            <v>0</v>
          </cell>
          <cell r="R193">
            <v>493</v>
          </cell>
          <cell r="S193">
            <v>45</v>
          </cell>
          <cell r="T193">
            <v>26</v>
          </cell>
          <cell r="U193">
            <v>0</v>
          </cell>
          <cell r="W193">
            <v>1</v>
          </cell>
          <cell r="Y193">
            <v>1</v>
          </cell>
          <cell r="AA193">
            <v>1</v>
          </cell>
          <cell r="AB193">
            <v>0</v>
          </cell>
          <cell r="AE193">
            <v>1</v>
          </cell>
          <cell r="AG193">
            <v>1</v>
          </cell>
          <cell r="AI193">
            <v>1</v>
          </cell>
          <cell r="AJ193">
            <v>0</v>
          </cell>
          <cell r="AL193">
            <v>16</v>
          </cell>
          <cell r="AM193">
            <v>30</v>
          </cell>
          <cell r="AN193">
            <v>22</v>
          </cell>
          <cell r="AO193">
            <v>137</v>
          </cell>
          <cell r="AP193">
            <v>79</v>
          </cell>
          <cell r="AS193">
            <v>2007</v>
          </cell>
          <cell r="AT193">
            <v>29</v>
          </cell>
          <cell r="AU193">
            <v>27</v>
          </cell>
          <cell r="AV193">
            <v>137</v>
          </cell>
          <cell r="AW193">
            <v>0.25</v>
          </cell>
          <cell r="AX193">
            <v>2192</v>
          </cell>
          <cell r="AY193">
            <v>548</v>
          </cell>
          <cell r="AZ193">
            <v>36.880000000000003</v>
          </cell>
          <cell r="BA193">
            <v>26</v>
          </cell>
          <cell r="BB193">
            <v>703.1786666666668</v>
          </cell>
          <cell r="BC193">
            <v>36.880000000000003</v>
          </cell>
          <cell r="BD193">
            <v>27</v>
          </cell>
          <cell r="BE193">
            <v>730.22400000000005</v>
          </cell>
          <cell r="BF193">
            <v>36.880000000000003</v>
          </cell>
          <cell r="BG193">
            <v>26</v>
          </cell>
          <cell r="BH193">
            <v>703.1786666666668</v>
          </cell>
          <cell r="BI193">
            <v>0</v>
          </cell>
          <cell r="BJ193">
            <v>0</v>
          </cell>
          <cell r="BK193">
            <v>2136.5813333333335</v>
          </cell>
          <cell r="BL193">
            <v>3618.12</v>
          </cell>
          <cell r="BM193">
            <v>3618.12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Y193">
            <v>6302.7013333333334</v>
          </cell>
          <cell r="CP193" t="str">
            <v>2026/10</v>
          </cell>
          <cell r="CQ193">
            <v>40441</v>
          </cell>
          <cell r="CR193">
            <v>40620</v>
          </cell>
          <cell r="CS193" t="str">
            <v>2010-0.234.979-2</v>
          </cell>
          <cell r="CT193" t="str">
            <v>MAURICIO GOMES DA SILVA FILHO</v>
          </cell>
          <cell r="CU193" t="str">
            <v>088.869.508-02</v>
          </cell>
          <cell r="CV193">
            <v>105007</v>
          </cell>
          <cell r="CW193">
            <v>6365.7466666666669</v>
          </cell>
          <cell r="CX193">
            <v>171.87516000000002</v>
          </cell>
          <cell r="CY193">
            <v>31.828733333333339</v>
          </cell>
          <cell r="CZ193">
            <v>3819.4479999999999</v>
          </cell>
          <cell r="DA193">
            <v>357.56820000000016</v>
          </cell>
          <cell r="DD193">
            <v>357.56820000000016</v>
          </cell>
        </row>
        <row r="194">
          <cell r="C194" t="str">
            <v>2149/10</v>
          </cell>
          <cell r="D194" t="str">
            <v>01/01 A 31/01/11</v>
          </cell>
          <cell r="E194" t="str">
            <v>MIRALDA DUTRA FAGUNDES DA SILVA</v>
          </cell>
          <cell r="F194" t="str">
            <v>EMEF</v>
          </cell>
          <cell r="G194">
            <v>16</v>
          </cell>
          <cell r="H194">
            <v>16</v>
          </cell>
          <cell r="I194">
            <v>16</v>
          </cell>
          <cell r="J194">
            <v>93319</v>
          </cell>
          <cell r="K194">
            <v>20</v>
          </cell>
          <cell r="L194">
            <v>27</v>
          </cell>
          <cell r="M194">
            <v>0</v>
          </cell>
          <cell r="N194">
            <v>93319</v>
          </cell>
          <cell r="O194">
            <v>40</v>
          </cell>
          <cell r="P194">
            <v>27</v>
          </cell>
          <cell r="Q194">
            <v>0</v>
          </cell>
          <cell r="R194">
            <v>93319</v>
          </cell>
          <cell r="S194">
            <v>27</v>
          </cell>
          <cell r="T194">
            <v>27</v>
          </cell>
          <cell r="U194">
            <v>0</v>
          </cell>
          <cell r="W194">
            <v>1</v>
          </cell>
          <cell r="Y194">
            <v>1</v>
          </cell>
          <cell r="AA194">
            <v>1</v>
          </cell>
          <cell r="AB194">
            <v>0</v>
          </cell>
          <cell r="AE194">
            <v>1</v>
          </cell>
          <cell r="AG194">
            <v>1</v>
          </cell>
          <cell r="AI194">
            <v>1</v>
          </cell>
          <cell r="AJ194">
            <v>0</v>
          </cell>
          <cell r="AL194">
            <v>16</v>
          </cell>
          <cell r="AM194">
            <v>30</v>
          </cell>
          <cell r="AN194">
            <v>22</v>
          </cell>
          <cell r="AO194">
            <v>87</v>
          </cell>
          <cell r="AP194">
            <v>81</v>
          </cell>
          <cell r="AS194">
            <v>2007</v>
          </cell>
          <cell r="AT194">
            <v>29</v>
          </cell>
          <cell r="AU194">
            <v>27</v>
          </cell>
          <cell r="AV194">
            <v>87</v>
          </cell>
          <cell r="AW194">
            <v>0.25</v>
          </cell>
          <cell r="AX194">
            <v>1392</v>
          </cell>
          <cell r="AY194">
            <v>348</v>
          </cell>
          <cell r="AZ194">
            <v>36.880000000000003</v>
          </cell>
          <cell r="BA194">
            <v>27</v>
          </cell>
          <cell r="BB194">
            <v>730.22400000000005</v>
          </cell>
          <cell r="BC194">
            <v>36.880000000000003</v>
          </cell>
          <cell r="BD194">
            <v>27</v>
          </cell>
          <cell r="BE194">
            <v>730.22400000000005</v>
          </cell>
          <cell r="BF194">
            <v>36.880000000000003</v>
          </cell>
          <cell r="BG194">
            <v>27</v>
          </cell>
          <cell r="BH194">
            <v>730.22400000000005</v>
          </cell>
          <cell r="BI194">
            <v>0</v>
          </cell>
          <cell r="BJ194">
            <v>0</v>
          </cell>
          <cell r="BK194">
            <v>2190.672</v>
          </cell>
          <cell r="BL194">
            <v>3618.12</v>
          </cell>
          <cell r="BM194">
            <v>3618.12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Y194">
            <v>6156.7919999999995</v>
          </cell>
          <cell r="CP194" t="str">
            <v>1667/10</v>
          </cell>
          <cell r="CQ194">
            <v>40420</v>
          </cell>
          <cell r="CR194">
            <v>40599</v>
          </cell>
          <cell r="CS194" t="str">
            <v>2010-0.189.299-9</v>
          </cell>
          <cell r="CT194" t="str">
            <v>MAURO CESAR ZILLIG BARBOSA</v>
          </cell>
          <cell r="CU194">
            <v>16698186830</v>
          </cell>
          <cell r="CV194">
            <v>91464</v>
          </cell>
          <cell r="CW194">
            <v>5774.1839999999993</v>
          </cell>
          <cell r="CX194">
            <v>155.90296799999999</v>
          </cell>
          <cell r="CY194">
            <v>28.870919999999998</v>
          </cell>
          <cell r="CZ194">
            <v>3464.5103999999997</v>
          </cell>
          <cell r="DA194">
            <v>273.89483999999993</v>
          </cell>
          <cell r="DD194">
            <v>273.89483999999993</v>
          </cell>
        </row>
        <row r="195">
          <cell r="C195" t="str">
            <v>1838/10</v>
          </cell>
          <cell r="D195" t="str">
            <v>01/01 A 31/01/11</v>
          </cell>
          <cell r="E195" t="str">
            <v>MIRIAM TEIXEIRA DA SILVA GARCIA</v>
          </cell>
          <cell r="F195" t="str">
            <v>EMEF/EMEI</v>
          </cell>
          <cell r="G195">
            <v>16</v>
          </cell>
          <cell r="H195">
            <v>16</v>
          </cell>
          <cell r="I195">
            <v>16</v>
          </cell>
          <cell r="J195">
            <v>19336</v>
          </cell>
          <cell r="K195">
            <v>47</v>
          </cell>
          <cell r="L195">
            <v>5</v>
          </cell>
          <cell r="M195">
            <v>4</v>
          </cell>
          <cell r="N195">
            <v>19331</v>
          </cell>
          <cell r="O195">
            <v>33</v>
          </cell>
          <cell r="P195">
            <v>4</v>
          </cell>
          <cell r="Q195">
            <v>0</v>
          </cell>
          <cell r="R195">
            <v>493</v>
          </cell>
          <cell r="S195">
            <v>10</v>
          </cell>
          <cell r="T195">
            <v>0</v>
          </cell>
          <cell r="U195">
            <v>2</v>
          </cell>
          <cell r="W195">
            <v>1</v>
          </cell>
          <cell r="Y195">
            <v>1</v>
          </cell>
          <cell r="AA195">
            <v>1</v>
          </cell>
          <cell r="AB195">
            <v>0</v>
          </cell>
          <cell r="AE195">
            <v>1</v>
          </cell>
          <cell r="AG195">
            <v>1</v>
          </cell>
          <cell r="AI195">
            <v>1</v>
          </cell>
          <cell r="AJ195">
            <v>0</v>
          </cell>
          <cell r="AL195">
            <v>16</v>
          </cell>
          <cell r="AM195">
            <v>30</v>
          </cell>
          <cell r="AN195">
            <v>22</v>
          </cell>
          <cell r="AO195">
            <v>90</v>
          </cell>
          <cell r="AP195">
            <v>15</v>
          </cell>
          <cell r="AS195">
            <v>2007</v>
          </cell>
          <cell r="AT195">
            <v>11</v>
          </cell>
          <cell r="AU195">
            <v>10</v>
          </cell>
          <cell r="AV195">
            <v>90</v>
          </cell>
          <cell r="AW195">
            <v>0.25</v>
          </cell>
          <cell r="AX195">
            <v>1440</v>
          </cell>
          <cell r="AY195">
            <v>360</v>
          </cell>
          <cell r="AZ195">
            <v>36.880000000000003</v>
          </cell>
          <cell r="BA195">
            <v>10</v>
          </cell>
          <cell r="BB195">
            <v>270.45333333333332</v>
          </cell>
          <cell r="BC195">
            <v>2290.25</v>
          </cell>
          <cell r="BD195">
            <v>5</v>
          </cell>
          <cell r="BE195">
            <v>1679.5166666666667</v>
          </cell>
          <cell r="BF195">
            <v>0</v>
          </cell>
          <cell r="BG195">
            <v>0</v>
          </cell>
          <cell r="BH195">
            <v>0</v>
          </cell>
          <cell r="BI195">
            <v>6</v>
          </cell>
          <cell r="BJ195">
            <v>0</v>
          </cell>
          <cell r="BK195">
            <v>1949.97</v>
          </cell>
          <cell r="BL195">
            <v>3618.12</v>
          </cell>
          <cell r="BM195">
            <v>3618.12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Y195">
            <v>5928.09</v>
          </cell>
          <cell r="CP195" t="str">
            <v>1924/10</v>
          </cell>
          <cell r="CQ195">
            <v>40441</v>
          </cell>
          <cell r="CR195">
            <v>40620</v>
          </cell>
          <cell r="CS195" t="str">
            <v>2010-0.230.687-2</v>
          </cell>
          <cell r="CT195" t="str">
            <v>MIGUEL TITARA DOS SANTOS</v>
          </cell>
          <cell r="CU195">
            <v>43473660434</v>
          </cell>
          <cell r="CV195">
            <v>105012</v>
          </cell>
          <cell r="CW195">
            <v>4326.5219999999999</v>
          </cell>
          <cell r="CX195">
            <v>116.81609400000001</v>
          </cell>
          <cell r="CY195">
            <v>21.63261</v>
          </cell>
          <cell r="CZ195">
            <v>2595.9132</v>
          </cell>
          <cell r="DA195">
            <v>108.44698</v>
          </cell>
          <cell r="DD195">
            <v>108.44698</v>
          </cell>
        </row>
        <row r="196">
          <cell r="C196" t="str">
            <v>2150/10</v>
          </cell>
          <cell r="D196" t="str">
            <v>01/01 A 31/01/11</v>
          </cell>
          <cell r="E196" t="str">
            <v>MIRLENE DE FATIMA SOUZA PIRES</v>
          </cell>
          <cell r="F196" t="str">
            <v>EMEI</v>
          </cell>
          <cell r="G196">
            <v>16</v>
          </cell>
          <cell r="H196">
            <v>16</v>
          </cell>
          <cell r="I196">
            <v>16</v>
          </cell>
          <cell r="J196">
            <v>90573</v>
          </cell>
          <cell r="K196">
            <v>41</v>
          </cell>
          <cell r="L196">
            <v>27</v>
          </cell>
          <cell r="M196">
            <v>0</v>
          </cell>
          <cell r="N196">
            <v>90573</v>
          </cell>
          <cell r="O196">
            <v>14</v>
          </cell>
          <cell r="P196">
            <v>27</v>
          </cell>
          <cell r="Q196">
            <v>0</v>
          </cell>
          <cell r="R196">
            <v>0</v>
          </cell>
          <cell r="U196">
            <v>0</v>
          </cell>
          <cell r="W196">
            <v>1</v>
          </cell>
          <cell r="Y196">
            <v>1</v>
          </cell>
          <cell r="AA196">
            <v>0</v>
          </cell>
          <cell r="AB196">
            <v>0</v>
          </cell>
          <cell r="AE196">
            <v>1</v>
          </cell>
          <cell r="AG196">
            <v>1</v>
          </cell>
          <cell r="AI196">
            <v>0</v>
          </cell>
          <cell r="AJ196">
            <v>0</v>
          </cell>
          <cell r="AL196">
            <v>16</v>
          </cell>
          <cell r="AM196">
            <v>30</v>
          </cell>
          <cell r="AN196">
            <v>22</v>
          </cell>
          <cell r="AO196">
            <v>55</v>
          </cell>
          <cell r="AP196">
            <v>54</v>
          </cell>
          <cell r="AS196">
            <v>2007</v>
          </cell>
          <cell r="AT196">
            <v>29</v>
          </cell>
          <cell r="AU196">
            <v>27</v>
          </cell>
          <cell r="AV196">
            <v>55</v>
          </cell>
          <cell r="AW196">
            <v>0.25</v>
          </cell>
          <cell r="AX196">
            <v>880</v>
          </cell>
          <cell r="AY196">
            <v>220</v>
          </cell>
          <cell r="AZ196">
            <v>36.880000000000003</v>
          </cell>
          <cell r="BA196">
            <v>27</v>
          </cell>
          <cell r="BB196">
            <v>730.22400000000005</v>
          </cell>
          <cell r="BC196">
            <v>36.880000000000003</v>
          </cell>
          <cell r="BD196">
            <v>27</v>
          </cell>
          <cell r="BE196">
            <v>730.22400000000005</v>
          </cell>
          <cell r="BF196">
            <v>36.880000000000003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1460.4480000000001</v>
          </cell>
          <cell r="BL196">
            <v>3618.12</v>
          </cell>
          <cell r="BM196">
            <v>3618.12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Y196">
            <v>5298.5680000000002</v>
          </cell>
          <cell r="CP196" t="str">
            <v>2464/10</v>
          </cell>
          <cell r="CQ196">
            <v>40455</v>
          </cell>
          <cell r="CR196">
            <v>40634</v>
          </cell>
          <cell r="CS196" t="str">
            <v>2010-0.267.285-2</v>
          </cell>
          <cell r="CT196" t="str">
            <v>MILTON PEREIRA DE CARVALHO</v>
          </cell>
          <cell r="CU196">
            <v>76711455800</v>
          </cell>
          <cell r="CV196">
            <v>115347</v>
          </cell>
          <cell r="CW196">
            <v>6302.7013333333334</v>
          </cell>
          <cell r="CX196">
            <v>170.17293600000005</v>
          </cell>
          <cell r="CY196">
            <v>31.513506666666672</v>
          </cell>
          <cell r="CZ196">
            <v>3781.6207999999997</v>
          </cell>
          <cell r="DA196">
            <v>347.16571999999996</v>
          </cell>
          <cell r="DD196">
            <v>347.16571999999996</v>
          </cell>
        </row>
        <row r="197">
          <cell r="C197" t="str">
            <v>2447/10</v>
          </cell>
          <cell r="D197" t="str">
            <v>01/01 A 31/01/11</v>
          </cell>
          <cell r="E197" t="str">
            <v>NATANAEL CARLOS DA PAZ</v>
          </cell>
          <cell r="F197" t="str">
            <v>EMEF</v>
          </cell>
          <cell r="G197">
            <v>15</v>
          </cell>
          <cell r="H197">
            <v>15</v>
          </cell>
          <cell r="I197">
            <v>16</v>
          </cell>
          <cell r="J197">
            <v>99791</v>
          </cell>
          <cell r="K197">
            <v>8</v>
          </cell>
          <cell r="L197">
            <v>11</v>
          </cell>
          <cell r="M197">
            <v>0</v>
          </cell>
          <cell r="N197">
            <v>99791</v>
          </cell>
          <cell r="O197">
            <v>20</v>
          </cell>
          <cell r="P197">
            <v>11</v>
          </cell>
          <cell r="Q197">
            <v>0</v>
          </cell>
          <cell r="R197">
            <v>0</v>
          </cell>
          <cell r="U197">
            <v>0</v>
          </cell>
          <cell r="W197">
            <v>1</v>
          </cell>
          <cell r="Y197">
            <v>1</v>
          </cell>
          <cell r="AA197">
            <v>0</v>
          </cell>
          <cell r="AB197">
            <v>0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I197">
            <v>0</v>
          </cell>
          <cell r="AJ197">
            <v>1</v>
          </cell>
          <cell r="AK197">
            <v>8</v>
          </cell>
          <cell r="AL197">
            <v>16</v>
          </cell>
          <cell r="AM197">
            <v>30</v>
          </cell>
          <cell r="AN197">
            <v>22</v>
          </cell>
          <cell r="AO197">
            <v>28</v>
          </cell>
          <cell r="AP197">
            <v>22</v>
          </cell>
          <cell r="AS197">
            <v>1997</v>
          </cell>
          <cell r="AT197">
            <v>13</v>
          </cell>
          <cell r="AU197">
            <v>11</v>
          </cell>
          <cell r="AV197">
            <v>28</v>
          </cell>
          <cell r="AW197">
            <v>0.25</v>
          </cell>
          <cell r="AX197">
            <v>448</v>
          </cell>
          <cell r="AY197">
            <v>112</v>
          </cell>
          <cell r="AZ197">
            <v>36.880000000000003</v>
          </cell>
          <cell r="BA197">
            <v>11</v>
          </cell>
          <cell r="BB197">
            <v>297.49866666666668</v>
          </cell>
          <cell r="BC197">
            <v>36.880000000000003</v>
          </cell>
          <cell r="BD197">
            <v>11</v>
          </cell>
          <cell r="BE197">
            <v>297.49866666666668</v>
          </cell>
          <cell r="BF197">
            <v>36.880000000000003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594.99733333333336</v>
          </cell>
          <cell r="BL197">
            <v>1838.58</v>
          </cell>
          <cell r="BM197">
            <v>1838.58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2</v>
          </cell>
          <cell r="BS197">
            <v>5</v>
          </cell>
          <cell r="BT197">
            <v>0</v>
          </cell>
          <cell r="BU197">
            <v>7</v>
          </cell>
          <cell r="BY197">
            <v>2538.5773333333332</v>
          </cell>
          <cell r="CP197" t="str">
            <v>2149/10</v>
          </cell>
          <cell r="CQ197">
            <v>40448</v>
          </cell>
          <cell r="CR197">
            <v>40627</v>
          </cell>
          <cell r="CS197" t="str">
            <v>2010-0.239.411-9</v>
          </cell>
          <cell r="CT197" t="str">
            <v>MIRALDA DUTRA FAGUNDES DA SILVA</v>
          </cell>
          <cell r="CU197" t="str">
            <v>075.210.248-69</v>
          </cell>
          <cell r="CV197">
            <v>106110</v>
          </cell>
          <cell r="CW197">
            <v>6156.7919999999995</v>
          </cell>
          <cell r="CX197">
            <v>166.23338400000003</v>
          </cell>
          <cell r="CY197">
            <v>30.783960000000004</v>
          </cell>
          <cell r="CZ197">
            <v>3694.0751999999993</v>
          </cell>
          <cell r="DA197">
            <v>325.54691999999989</v>
          </cell>
          <cell r="DD197">
            <v>325.54691999999989</v>
          </cell>
        </row>
        <row r="198">
          <cell r="C198" t="str">
            <v>2465/10</v>
          </cell>
          <cell r="D198" t="str">
            <v>01/01 A 31/01/11</v>
          </cell>
          <cell r="E198" t="str">
            <v>NEIDMAR GOMES FERREIRA</v>
          </cell>
          <cell r="F198" t="str">
            <v>EMEI</v>
          </cell>
          <cell r="G198">
            <v>16</v>
          </cell>
          <cell r="H198">
            <v>16</v>
          </cell>
          <cell r="I198">
            <v>16</v>
          </cell>
          <cell r="J198">
            <v>90590</v>
          </cell>
          <cell r="K198">
            <v>23</v>
          </cell>
          <cell r="L198">
            <v>27</v>
          </cell>
          <cell r="M198">
            <v>0</v>
          </cell>
          <cell r="N198">
            <v>90590</v>
          </cell>
          <cell r="O198">
            <v>55</v>
          </cell>
          <cell r="P198">
            <v>25</v>
          </cell>
          <cell r="Q198">
            <v>0</v>
          </cell>
          <cell r="R198">
            <v>90590</v>
          </cell>
          <cell r="S198">
            <v>33</v>
          </cell>
          <cell r="T198">
            <v>27</v>
          </cell>
          <cell r="U198">
            <v>0</v>
          </cell>
          <cell r="W198">
            <v>1</v>
          </cell>
          <cell r="Y198">
            <v>1</v>
          </cell>
          <cell r="AA198">
            <v>1</v>
          </cell>
          <cell r="AB198">
            <v>0</v>
          </cell>
          <cell r="AE198">
            <v>1</v>
          </cell>
          <cell r="AG198">
            <v>1</v>
          </cell>
          <cell r="AI198">
            <v>1</v>
          </cell>
          <cell r="AJ198">
            <v>0</v>
          </cell>
          <cell r="AL198">
            <v>16</v>
          </cell>
          <cell r="AM198">
            <v>30</v>
          </cell>
          <cell r="AN198">
            <v>22</v>
          </cell>
          <cell r="AO198">
            <v>111</v>
          </cell>
          <cell r="AP198">
            <v>79</v>
          </cell>
          <cell r="AS198">
            <v>2007</v>
          </cell>
          <cell r="AT198">
            <v>29</v>
          </cell>
          <cell r="AU198">
            <v>27</v>
          </cell>
          <cell r="AV198">
            <v>111</v>
          </cell>
          <cell r="AW198">
            <v>0.25</v>
          </cell>
          <cell r="AX198">
            <v>1776</v>
          </cell>
          <cell r="AY198">
            <v>444</v>
          </cell>
          <cell r="AZ198">
            <v>36.880000000000003</v>
          </cell>
          <cell r="BA198">
            <v>27</v>
          </cell>
          <cell r="BB198">
            <v>730.22400000000005</v>
          </cell>
          <cell r="BC198">
            <v>36.880000000000003</v>
          </cell>
          <cell r="BD198">
            <v>25</v>
          </cell>
          <cell r="BE198">
            <v>676.13333333333344</v>
          </cell>
          <cell r="BF198">
            <v>36.880000000000003</v>
          </cell>
          <cell r="BG198">
            <v>27</v>
          </cell>
          <cell r="BH198">
            <v>730.22400000000005</v>
          </cell>
          <cell r="BI198">
            <v>0</v>
          </cell>
          <cell r="BJ198">
            <v>0</v>
          </cell>
          <cell r="BK198">
            <v>2136.5813333333335</v>
          </cell>
          <cell r="BL198">
            <v>3618.12</v>
          </cell>
          <cell r="BM198">
            <v>3618.12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Y198">
            <v>6198.7013333333334</v>
          </cell>
          <cell r="CP198" t="str">
            <v>1838/10</v>
          </cell>
          <cell r="CQ198">
            <v>40434</v>
          </cell>
          <cell r="CR198">
            <v>40613</v>
          </cell>
          <cell r="CS198" t="str">
            <v>2010-0.225.980-7</v>
          </cell>
          <cell r="CT198" t="str">
            <v>MIRIAM TEIXEIRA DA SILVA GARCIA</v>
          </cell>
          <cell r="CU198" t="str">
            <v>077.970.378-25</v>
          </cell>
          <cell r="CV198">
            <v>98054</v>
          </cell>
          <cell r="CW198">
            <v>5928.09</v>
          </cell>
          <cell r="CX198">
            <v>160.05843000000004</v>
          </cell>
          <cell r="CY198">
            <v>29.640450000000005</v>
          </cell>
          <cell r="CZ198">
            <v>3556.8539999999998</v>
          </cell>
          <cell r="DA198">
            <v>294.67214999999999</v>
          </cell>
          <cell r="DD198">
            <v>294.67214999999999</v>
          </cell>
        </row>
        <row r="199">
          <cell r="C199" t="str">
            <v>2075/10</v>
          </cell>
          <cell r="D199" t="str">
            <v>01/01 A 31/01/11</v>
          </cell>
          <cell r="E199" t="str">
            <v>NELSON DIAS DE OLIVEIRA</v>
          </cell>
          <cell r="F199" t="str">
            <v>EMEF</v>
          </cell>
          <cell r="G199">
            <v>16</v>
          </cell>
          <cell r="H199">
            <v>16</v>
          </cell>
          <cell r="I199">
            <v>16</v>
          </cell>
          <cell r="J199">
            <v>19291</v>
          </cell>
          <cell r="K199">
            <v>41</v>
          </cell>
          <cell r="L199">
            <v>27</v>
          </cell>
          <cell r="M199">
            <v>0</v>
          </cell>
          <cell r="N199">
            <v>19291</v>
          </cell>
          <cell r="O199">
            <v>42</v>
          </cell>
          <cell r="P199">
            <v>27</v>
          </cell>
          <cell r="Q199">
            <v>0</v>
          </cell>
          <cell r="R199">
            <v>19291</v>
          </cell>
          <cell r="S199">
            <v>44</v>
          </cell>
          <cell r="T199">
            <v>27</v>
          </cell>
          <cell r="U199">
            <v>0</v>
          </cell>
          <cell r="W199">
            <v>1</v>
          </cell>
          <cell r="Y199">
            <v>1</v>
          </cell>
          <cell r="AA199">
            <v>1</v>
          </cell>
          <cell r="AB199">
            <v>0</v>
          </cell>
          <cell r="AE199">
            <v>1</v>
          </cell>
          <cell r="AG199">
            <v>1</v>
          </cell>
          <cell r="AI199">
            <v>1</v>
          </cell>
          <cell r="AJ199">
            <v>0</v>
          </cell>
          <cell r="AL199">
            <v>16</v>
          </cell>
          <cell r="AM199">
            <v>30</v>
          </cell>
          <cell r="AN199">
            <v>22</v>
          </cell>
          <cell r="AO199">
            <v>127</v>
          </cell>
          <cell r="AP199">
            <v>81</v>
          </cell>
          <cell r="AS199">
            <v>2007</v>
          </cell>
          <cell r="AT199">
            <v>29</v>
          </cell>
          <cell r="AU199">
            <v>27</v>
          </cell>
          <cell r="AV199">
            <v>127</v>
          </cell>
          <cell r="AW199">
            <v>0.25</v>
          </cell>
          <cell r="AX199">
            <v>2032</v>
          </cell>
          <cell r="AY199">
            <v>508</v>
          </cell>
          <cell r="AZ199">
            <v>36.880000000000003</v>
          </cell>
          <cell r="BA199">
            <v>27</v>
          </cell>
          <cell r="BB199">
            <v>730.22400000000005</v>
          </cell>
          <cell r="BC199">
            <v>36.880000000000003</v>
          </cell>
          <cell r="BD199">
            <v>27</v>
          </cell>
          <cell r="BE199">
            <v>730.22400000000005</v>
          </cell>
          <cell r="BF199">
            <v>36.880000000000003</v>
          </cell>
          <cell r="BG199">
            <v>27</v>
          </cell>
          <cell r="BH199">
            <v>730.22400000000005</v>
          </cell>
          <cell r="BI199">
            <v>0</v>
          </cell>
          <cell r="BJ199">
            <v>0</v>
          </cell>
          <cell r="BK199">
            <v>2190.672</v>
          </cell>
          <cell r="BL199">
            <v>3618.12</v>
          </cell>
          <cell r="BM199">
            <v>3618.12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Y199">
            <v>6316.7919999999995</v>
          </cell>
          <cell r="CP199" t="str">
            <v>2150/10</v>
          </cell>
          <cell r="CQ199">
            <v>40448</v>
          </cell>
          <cell r="CR199">
            <v>40627</v>
          </cell>
          <cell r="CS199" t="str">
            <v>2010-0.239.414-3</v>
          </cell>
          <cell r="CT199" t="str">
            <v>MIRLENE DE FATIMA SOUZA PIRES</v>
          </cell>
          <cell r="CU199" t="str">
            <v>064.149.798-99</v>
          </cell>
          <cell r="CV199">
            <v>106116</v>
          </cell>
          <cell r="CW199">
            <v>5298.5680000000002</v>
          </cell>
          <cell r="CX199">
            <v>143.06133600000001</v>
          </cell>
          <cell r="CY199">
            <v>26.492840000000001</v>
          </cell>
          <cell r="CZ199">
            <v>3179.1408000000001</v>
          </cell>
          <cell r="DA199">
            <v>209.68668000000002</v>
          </cell>
          <cell r="DD199">
            <v>209.68668000000002</v>
          </cell>
        </row>
        <row r="200">
          <cell r="C200" t="str">
            <v>3034/10</v>
          </cell>
          <cell r="D200" t="str">
            <v>01/01 A 31/01/11</v>
          </cell>
          <cell r="E200" t="str">
            <v>NELSON RIBEIRO DE SOUZA</v>
          </cell>
          <cell r="F200" t="str">
            <v>EMEI</v>
          </cell>
          <cell r="G200">
            <v>16</v>
          </cell>
          <cell r="H200">
            <v>16</v>
          </cell>
          <cell r="I200">
            <v>16</v>
          </cell>
          <cell r="J200">
            <v>90557</v>
          </cell>
          <cell r="K200">
            <v>56</v>
          </cell>
          <cell r="L200">
            <v>13</v>
          </cell>
          <cell r="M200">
            <v>0</v>
          </cell>
          <cell r="N200">
            <v>90557</v>
          </cell>
          <cell r="O200">
            <v>29</v>
          </cell>
          <cell r="P200">
            <v>14</v>
          </cell>
          <cell r="Q200">
            <v>0</v>
          </cell>
          <cell r="R200">
            <v>90557</v>
          </cell>
          <cell r="S200">
            <v>27</v>
          </cell>
          <cell r="T200">
            <v>13</v>
          </cell>
          <cell r="U200">
            <v>0</v>
          </cell>
          <cell r="W200">
            <v>1</v>
          </cell>
          <cell r="Y200">
            <v>1</v>
          </cell>
          <cell r="AA200">
            <v>1</v>
          </cell>
          <cell r="AB200">
            <v>0</v>
          </cell>
          <cell r="AE200">
            <v>1</v>
          </cell>
          <cell r="AG200">
            <v>1</v>
          </cell>
          <cell r="AI200">
            <v>1</v>
          </cell>
          <cell r="AJ200">
            <v>0</v>
          </cell>
          <cell r="AL200">
            <v>16</v>
          </cell>
          <cell r="AM200">
            <v>30</v>
          </cell>
          <cell r="AN200">
            <v>22</v>
          </cell>
          <cell r="AO200">
            <v>112</v>
          </cell>
          <cell r="AP200">
            <v>40</v>
          </cell>
          <cell r="AS200">
            <v>2003</v>
          </cell>
          <cell r="AT200">
            <v>15</v>
          </cell>
          <cell r="AU200">
            <v>13</v>
          </cell>
          <cell r="AV200">
            <v>112</v>
          </cell>
          <cell r="AW200">
            <v>0.25</v>
          </cell>
          <cell r="AX200">
            <v>1792</v>
          </cell>
          <cell r="AY200">
            <v>448</v>
          </cell>
          <cell r="AZ200">
            <v>36.880000000000003</v>
          </cell>
          <cell r="BA200">
            <v>13</v>
          </cell>
          <cell r="BB200">
            <v>351.5893333333334</v>
          </cell>
          <cell r="BC200">
            <v>36.880000000000003</v>
          </cell>
          <cell r="BD200">
            <v>14</v>
          </cell>
          <cell r="BE200">
            <v>378.6346666666667</v>
          </cell>
          <cell r="BF200">
            <v>36.880000000000003</v>
          </cell>
          <cell r="BG200">
            <v>13</v>
          </cell>
          <cell r="BH200">
            <v>351.5893333333334</v>
          </cell>
          <cell r="BI200">
            <v>0</v>
          </cell>
          <cell r="BJ200">
            <v>0</v>
          </cell>
          <cell r="BK200">
            <v>1081.8133333333335</v>
          </cell>
          <cell r="BL200">
            <v>2244.75</v>
          </cell>
          <cell r="BM200">
            <v>2244.75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Y200">
            <v>3774.5633333333335</v>
          </cell>
          <cell r="CP200" t="str">
            <v>2447/10</v>
          </cell>
          <cell r="CQ200">
            <v>40455</v>
          </cell>
          <cell r="CR200">
            <v>40634</v>
          </cell>
          <cell r="CS200" t="str">
            <v>2010-0.267.234-8</v>
          </cell>
          <cell r="CT200" t="str">
            <v>NATANAEL CARLOS DA PAZ</v>
          </cell>
          <cell r="CU200" t="str">
            <v>063.792.078-30</v>
          </cell>
          <cell r="CV200">
            <v>115351</v>
          </cell>
          <cell r="CW200">
            <v>2538.5773333333332</v>
          </cell>
          <cell r="CX200">
            <v>68.541588000000004</v>
          </cell>
          <cell r="CY200">
            <v>12.692886666666666</v>
          </cell>
          <cell r="CZ200">
            <v>1523.1463999999999</v>
          </cell>
          <cell r="DA200">
            <v>1.8059799999999768</v>
          </cell>
          <cell r="DD200">
            <v>-52.46804000000003</v>
          </cell>
        </row>
        <row r="201">
          <cell r="C201" t="str">
            <v>1926/10</v>
          </cell>
          <cell r="D201" t="str">
            <v>01/01 A 31/01/11</v>
          </cell>
          <cell r="E201" t="str">
            <v>NILTON CESAR SOARES DE OLIVEIRA</v>
          </cell>
          <cell r="F201" t="str">
            <v>EMEF / EMEI</v>
          </cell>
          <cell r="G201">
            <v>16</v>
          </cell>
          <cell r="H201">
            <v>16</v>
          </cell>
          <cell r="I201">
            <v>15</v>
          </cell>
          <cell r="J201">
            <v>93386</v>
          </cell>
          <cell r="K201">
            <v>15</v>
          </cell>
          <cell r="L201">
            <v>17</v>
          </cell>
          <cell r="M201">
            <v>0</v>
          </cell>
          <cell r="N201">
            <v>93386</v>
          </cell>
          <cell r="O201">
            <v>17</v>
          </cell>
          <cell r="P201">
            <v>17</v>
          </cell>
          <cell r="Q201">
            <v>0</v>
          </cell>
          <cell r="R201">
            <v>19451</v>
          </cell>
          <cell r="S201">
            <v>23</v>
          </cell>
          <cell r="T201">
            <v>17</v>
          </cell>
          <cell r="U201">
            <v>0</v>
          </cell>
          <cell r="W201">
            <v>1</v>
          </cell>
          <cell r="Y201">
            <v>1</v>
          </cell>
          <cell r="AA201">
            <v>1</v>
          </cell>
          <cell r="AB201">
            <v>0</v>
          </cell>
          <cell r="AE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0.33333333333333331</v>
          </cell>
          <cell r="AK201">
            <v>6</v>
          </cell>
          <cell r="AL201">
            <v>16</v>
          </cell>
          <cell r="AM201">
            <v>30</v>
          </cell>
          <cell r="AN201">
            <v>22</v>
          </cell>
          <cell r="AO201">
            <v>55</v>
          </cell>
          <cell r="AP201">
            <v>51</v>
          </cell>
          <cell r="AS201">
            <v>1998</v>
          </cell>
          <cell r="AT201">
            <v>20</v>
          </cell>
          <cell r="AU201">
            <v>18</v>
          </cell>
          <cell r="AV201">
            <v>55</v>
          </cell>
          <cell r="AW201">
            <v>0.25</v>
          </cell>
          <cell r="AX201">
            <v>880</v>
          </cell>
          <cell r="AY201">
            <v>220</v>
          </cell>
          <cell r="AZ201">
            <v>36.880000000000003</v>
          </cell>
          <cell r="BA201">
            <v>17</v>
          </cell>
          <cell r="BB201">
            <v>459.77066666666667</v>
          </cell>
          <cell r="BC201">
            <v>36.880000000000003</v>
          </cell>
          <cell r="BD201">
            <v>17</v>
          </cell>
          <cell r="BE201">
            <v>459.77066666666667</v>
          </cell>
          <cell r="BF201">
            <v>36.880000000000003</v>
          </cell>
          <cell r="BG201">
            <v>17</v>
          </cell>
          <cell r="BH201">
            <v>459.77066666666667</v>
          </cell>
          <cell r="BI201">
            <v>0</v>
          </cell>
          <cell r="BJ201">
            <v>0</v>
          </cell>
          <cell r="BK201">
            <v>1379.3119999999999</v>
          </cell>
          <cell r="BL201">
            <v>1906.28</v>
          </cell>
          <cell r="BM201">
            <v>1906.28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5.75</v>
          </cell>
          <cell r="BU201">
            <v>5.75</v>
          </cell>
          <cell r="BY201">
            <v>3499.8419999999996</v>
          </cell>
          <cell r="CP201" t="str">
            <v>2465/10</v>
          </cell>
          <cell r="CQ201">
            <v>40455</v>
          </cell>
          <cell r="CR201">
            <v>40634</v>
          </cell>
          <cell r="CS201" t="str">
            <v>2010-0.267.293-3</v>
          </cell>
          <cell r="CT201" t="str">
            <v>NEIDMAR GOMES FERREIRA</v>
          </cell>
          <cell r="CU201" t="str">
            <v>051.516.018-06</v>
          </cell>
          <cell r="CV201">
            <v>115354</v>
          </cell>
          <cell r="CW201">
            <v>6198.7013333333334</v>
          </cell>
          <cell r="CX201">
            <v>167.364936</v>
          </cell>
          <cell r="CY201">
            <v>30.993506666666669</v>
          </cell>
          <cell r="CZ201">
            <v>3719.2208000000001</v>
          </cell>
          <cell r="DA201">
            <v>331.20468000000005</v>
          </cell>
          <cell r="DD201">
            <v>331.20468000000005</v>
          </cell>
        </row>
        <row r="202">
          <cell r="C202" t="str">
            <v>1565/10</v>
          </cell>
          <cell r="D202" t="str">
            <v>01/01 A 31/01/11</v>
          </cell>
          <cell r="E202" t="str">
            <v>NILTON CEZAR DORNELLAS</v>
          </cell>
          <cell r="F202" t="str">
            <v>EMEF</v>
          </cell>
          <cell r="G202">
            <v>9</v>
          </cell>
          <cell r="H202">
            <v>9</v>
          </cell>
          <cell r="I202">
            <v>9</v>
          </cell>
          <cell r="J202">
            <v>93378</v>
          </cell>
          <cell r="K202">
            <v>18</v>
          </cell>
          <cell r="L202">
            <v>13</v>
          </cell>
          <cell r="M202">
            <v>0</v>
          </cell>
          <cell r="N202">
            <v>93378</v>
          </cell>
          <cell r="O202">
            <v>18</v>
          </cell>
          <cell r="P202">
            <v>13</v>
          </cell>
          <cell r="Q202">
            <v>0</v>
          </cell>
          <cell r="R202">
            <v>93378</v>
          </cell>
          <cell r="S202">
            <v>20</v>
          </cell>
          <cell r="T202">
            <v>13</v>
          </cell>
          <cell r="U202">
            <v>0</v>
          </cell>
          <cell r="W202">
            <v>1</v>
          </cell>
          <cell r="Y202">
            <v>1</v>
          </cell>
          <cell r="AA202">
            <v>1</v>
          </cell>
          <cell r="AB202">
            <v>0</v>
          </cell>
          <cell r="AE202">
            <v>1</v>
          </cell>
          <cell r="AG202">
            <v>1</v>
          </cell>
          <cell r="AI202">
            <v>1</v>
          </cell>
          <cell r="AJ202">
            <v>0</v>
          </cell>
          <cell r="AL202">
            <v>9</v>
          </cell>
          <cell r="AM202">
            <v>13</v>
          </cell>
          <cell r="AN202">
            <v>13</v>
          </cell>
          <cell r="AO202">
            <v>56</v>
          </cell>
          <cell r="AP202">
            <v>39</v>
          </cell>
          <cell r="AS202">
            <v>2004</v>
          </cell>
          <cell r="AT202">
            <v>15</v>
          </cell>
          <cell r="AU202">
            <v>13</v>
          </cell>
          <cell r="AV202">
            <v>56</v>
          </cell>
          <cell r="AW202">
            <v>0.65</v>
          </cell>
          <cell r="AX202">
            <v>504</v>
          </cell>
          <cell r="AY202">
            <v>327.60000000000002</v>
          </cell>
          <cell r="AZ202">
            <v>48.26</v>
          </cell>
          <cell r="BA202">
            <v>13</v>
          </cell>
          <cell r="BB202">
            <v>271.86466666666666</v>
          </cell>
          <cell r="BC202">
            <v>48.26</v>
          </cell>
          <cell r="BD202">
            <v>13</v>
          </cell>
          <cell r="BE202">
            <v>271.86466666666666</v>
          </cell>
          <cell r="BF202">
            <v>48.26</v>
          </cell>
          <cell r="BG202">
            <v>13</v>
          </cell>
          <cell r="BH202">
            <v>271.86466666666666</v>
          </cell>
          <cell r="BI202">
            <v>0</v>
          </cell>
          <cell r="BJ202">
            <v>0</v>
          </cell>
          <cell r="BK202">
            <v>815.59400000000005</v>
          </cell>
          <cell r="BL202">
            <v>1957</v>
          </cell>
          <cell r="BM202">
            <v>848.0333333333333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Y202">
            <v>1991.2273333333333</v>
          </cell>
          <cell r="CP202" t="str">
            <v>2075/10</v>
          </cell>
          <cell r="CQ202">
            <v>40441</v>
          </cell>
          <cell r="CR202">
            <v>40620</v>
          </cell>
          <cell r="CS202" t="str">
            <v>2010-0.235.531-8</v>
          </cell>
          <cell r="CT202" t="str">
            <v>NELSON DIAS DE OLIVEIRA</v>
          </cell>
          <cell r="CU202">
            <v>12872720880</v>
          </cell>
          <cell r="CV202">
            <v>105016</v>
          </cell>
          <cell r="CW202">
            <v>6316.7919999999995</v>
          </cell>
          <cell r="CX202">
            <v>170.55338400000002</v>
          </cell>
          <cell r="CY202">
            <v>31.583960000000005</v>
          </cell>
          <cell r="CZ202">
            <v>3790.0751999999993</v>
          </cell>
          <cell r="DA202">
            <v>349.49067999999988</v>
          </cell>
          <cell r="DD202">
            <v>349.49067999999988</v>
          </cell>
        </row>
        <row r="203">
          <cell r="C203" t="str">
            <v>3155/10</v>
          </cell>
          <cell r="D203" t="str">
            <v>01/01 A 31/01/11</v>
          </cell>
          <cell r="E203" t="str">
            <v>NILTON CEZAR DORNELLAS</v>
          </cell>
          <cell r="G203">
            <v>6</v>
          </cell>
          <cell r="H203">
            <v>6</v>
          </cell>
          <cell r="I203">
            <v>6</v>
          </cell>
          <cell r="J203">
            <v>93378</v>
          </cell>
          <cell r="K203">
            <v>18</v>
          </cell>
          <cell r="L203">
            <v>13</v>
          </cell>
          <cell r="M203">
            <v>0</v>
          </cell>
          <cell r="N203">
            <v>93378</v>
          </cell>
          <cell r="O203">
            <v>18</v>
          </cell>
          <cell r="P203">
            <v>13</v>
          </cell>
          <cell r="Q203">
            <v>0</v>
          </cell>
          <cell r="R203">
            <v>93378</v>
          </cell>
          <cell r="S203">
            <v>20</v>
          </cell>
          <cell r="T203">
            <v>13</v>
          </cell>
          <cell r="U203">
            <v>0</v>
          </cell>
          <cell r="W203">
            <v>1</v>
          </cell>
          <cell r="Y203">
            <v>1</v>
          </cell>
          <cell r="AA203">
            <v>1</v>
          </cell>
          <cell r="AB203">
            <v>0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22</v>
          </cell>
          <cell r="AL203">
            <v>7</v>
          </cell>
          <cell r="AM203">
            <v>17</v>
          </cell>
          <cell r="AN203">
            <v>9</v>
          </cell>
          <cell r="AO203">
            <v>56</v>
          </cell>
          <cell r="AP203">
            <v>39</v>
          </cell>
          <cell r="AS203">
            <v>2004</v>
          </cell>
          <cell r="AT203">
            <v>15</v>
          </cell>
          <cell r="AU203">
            <v>13</v>
          </cell>
          <cell r="AV203">
            <v>56</v>
          </cell>
          <cell r="AW203">
            <v>0.65</v>
          </cell>
          <cell r="AX203">
            <v>392</v>
          </cell>
          <cell r="AY203">
            <v>254.8</v>
          </cell>
          <cell r="AZ203">
            <v>48.26</v>
          </cell>
          <cell r="BA203">
            <v>13</v>
          </cell>
          <cell r="BB203">
            <v>188.214</v>
          </cell>
          <cell r="BC203">
            <v>48.26</v>
          </cell>
          <cell r="BD203">
            <v>13</v>
          </cell>
          <cell r="BE203">
            <v>188.214</v>
          </cell>
          <cell r="BF203">
            <v>48.26</v>
          </cell>
          <cell r="BG203">
            <v>13</v>
          </cell>
          <cell r="BH203">
            <v>188.214</v>
          </cell>
          <cell r="BI203">
            <v>0</v>
          </cell>
          <cell r="BJ203">
            <v>0</v>
          </cell>
          <cell r="BK203">
            <v>564.64200000000005</v>
          </cell>
          <cell r="BL203">
            <v>1957</v>
          </cell>
          <cell r="BM203">
            <v>1108.9666666666667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11.700000000000001</v>
          </cell>
          <cell r="BS203">
            <v>11.700000000000001</v>
          </cell>
          <cell r="BT203">
            <v>13</v>
          </cell>
          <cell r="BU203">
            <v>36.400000000000006</v>
          </cell>
          <cell r="BY203">
            <v>1892.0086666666666</v>
          </cell>
          <cell r="CP203" t="str">
            <v>3034/10</v>
          </cell>
          <cell r="CQ203">
            <v>40490</v>
          </cell>
          <cell r="CR203">
            <v>40669</v>
          </cell>
          <cell r="CS203" t="str">
            <v>2010-0.288.667-4</v>
          </cell>
          <cell r="CT203" t="str">
            <v>NELSON RIBEIRO DE SOUZA</v>
          </cell>
          <cell r="CU203" t="str">
            <v>094.971.998-64</v>
          </cell>
          <cell r="CV203">
            <v>122636</v>
          </cell>
          <cell r="CW203">
            <v>3774.5633333333335</v>
          </cell>
          <cell r="CX203">
            <v>101.91321000000002</v>
          </cell>
          <cell r="CY203">
            <v>18.872816666666669</v>
          </cell>
          <cell r="CZ203">
            <v>2264.7379999999998</v>
          </cell>
          <cell r="DA203">
            <v>58.770699999999977</v>
          </cell>
          <cell r="DD203">
            <v>58.770699999999977</v>
          </cell>
        </row>
        <row r="204">
          <cell r="C204" t="str">
            <v>2090/10</v>
          </cell>
          <cell r="D204" t="str">
            <v>01/01 A 31/01/11</v>
          </cell>
          <cell r="E204" t="str">
            <v>ODUVALDO BATISTA PIERETTO</v>
          </cell>
          <cell r="F204" t="str">
            <v>EMEI</v>
          </cell>
          <cell r="G204">
            <v>16</v>
          </cell>
          <cell r="H204">
            <v>16</v>
          </cell>
          <cell r="I204">
            <v>16</v>
          </cell>
          <cell r="J204">
            <v>11568</v>
          </cell>
          <cell r="K204">
            <v>49</v>
          </cell>
          <cell r="L204">
            <v>18</v>
          </cell>
          <cell r="M204">
            <v>0</v>
          </cell>
          <cell r="N204">
            <v>19441</v>
          </cell>
          <cell r="O204">
            <v>40</v>
          </cell>
          <cell r="P204">
            <v>23</v>
          </cell>
          <cell r="Q204">
            <v>0</v>
          </cell>
          <cell r="R204">
            <v>19448</v>
          </cell>
          <cell r="S204">
            <v>136</v>
          </cell>
          <cell r="T204">
            <v>73</v>
          </cell>
          <cell r="U204">
            <v>0</v>
          </cell>
          <cell r="W204">
            <v>1</v>
          </cell>
          <cell r="Y204">
            <v>1</v>
          </cell>
          <cell r="AA204">
            <v>1</v>
          </cell>
          <cell r="AB204">
            <v>0</v>
          </cell>
          <cell r="AE204">
            <v>1</v>
          </cell>
          <cell r="AG204">
            <v>1</v>
          </cell>
          <cell r="AI204">
            <v>1</v>
          </cell>
          <cell r="AJ204">
            <v>0</v>
          </cell>
          <cell r="AL204">
            <v>16</v>
          </cell>
          <cell r="AM204">
            <v>30</v>
          </cell>
          <cell r="AN204">
            <v>22</v>
          </cell>
          <cell r="AO204">
            <v>225</v>
          </cell>
          <cell r="AP204">
            <v>114</v>
          </cell>
          <cell r="AS204">
            <v>2007</v>
          </cell>
          <cell r="AT204">
            <v>31</v>
          </cell>
          <cell r="AU204">
            <v>29</v>
          </cell>
          <cell r="AV204">
            <v>225</v>
          </cell>
          <cell r="AW204">
            <v>0.25</v>
          </cell>
          <cell r="AX204">
            <v>3600</v>
          </cell>
          <cell r="AY204">
            <v>900</v>
          </cell>
          <cell r="AZ204">
            <v>36.880000000000003</v>
          </cell>
          <cell r="BA204">
            <v>18</v>
          </cell>
          <cell r="BB204">
            <v>486.81600000000003</v>
          </cell>
          <cell r="BC204">
            <v>36.880000000000003</v>
          </cell>
          <cell r="BD204">
            <v>23</v>
          </cell>
          <cell r="BE204">
            <v>622.04266666666672</v>
          </cell>
          <cell r="BF204">
            <v>36.880000000000003</v>
          </cell>
          <cell r="BG204">
            <v>73</v>
          </cell>
          <cell r="BH204">
            <v>1974.3093333333336</v>
          </cell>
          <cell r="BI204">
            <v>0</v>
          </cell>
          <cell r="BJ204">
            <v>0</v>
          </cell>
          <cell r="BK204">
            <v>3083.1680000000006</v>
          </cell>
          <cell r="BL204">
            <v>3618.12</v>
          </cell>
          <cell r="BM204">
            <v>3618.12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Y204">
            <v>7601.2880000000005</v>
          </cell>
          <cell r="CP204" t="str">
            <v>1926/10</v>
          </cell>
          <cell r="CQ204">
            <v>40441</v>
          </cell>
          <cell r="CR204">
            <v>40620</v>
          </cell>
          <cell r="CS204" t="str">
            <v>2010-0.230.698-8</v>
          </cell>
          <cell r="CT204" t="str">
            <v>NILTON CESAR SOARES DE OLIVEIRA</v>
          </cell>
          <cell r="CU204">
            <v>13462138871</v>
          </cell>
          <cell r="CV204">
            <v>105023</v>
          </cell>
          <cell r="CW204">
            <v>3499.8419999999996</v>
          </cell>
          <cell r="CX204">
            <v>94.495733999999999</v>
          </cell>
          <cell r="CY204">
            <v>17.499210000000001</v>
          </cell>
          <cell r="CZ204">
            <v>2099.9051999999997</v>
          </cell>
          <cell r="DA204">
            <v>45.062889999999953</v>
          </cell>
          <cell r="DD204">
            <v>34.045779999999922</v>
          </cell>
        </row>
        <row r="205">
          <cell r="C205" t="str">
            <v>2088/10</v>
          </cell>
          <cell r="D205" t="str">
            <v>01/01 A 31/01/11</v>
          </cell>
          <cell r="E205" t="str">
            <v>OSMAR DOS SANTOS SOUSA</v>
          </cell>
          <cell r="F205" t="str">
            <v>EMEF/EMEI</v>
          </cell>
          <cell r="G205">
            <v>15</v>
          </cell>
          <cell r="H205">
            <v>14</v>
          </cell>
          <cell r="I205">
            <v>16</v>
          </cell>
          <cell r="J205">
            <v>19228</v>
          </cell>
          <cell r="K205">
            <v>26</v>
          </cell>
          <cell r="L205">
            <v>24</v>
          </cell>
          <cell r="M205">
            <v>0</v>
          </cell>
          <cell r="N205">
            <v>19228</v>
          </cell>
          <cell r="O205">
            <v>27</v>
          </cell>
          <cell r="P205">
            <v>26</v>
          </cell>
          <cell r="Q205">
            <v>0</v>
          </cell>
          <cell r="R205">
            <v>90573</v>
          </cell>
          <cell r="S205">
            <v>44</v>
          </cell>
          <cell r="T205">
            <v>27</v>
          </cell>
          <cell r="U205">
            <v>0</v>
          </cell>
          <cell r="W205">
            <v>1</v>
          </cell>
          <cell r="X205">
            <v>1</v>
          </cell>
          <cell r="Y205">
            <v>1</v>
          </cell>
          <cell r="AA205">
            <v>1</v>
          </cell>
          <cell r="AB205">
            <v>0.33333333333333331</v>
          </cell>
          <cell r="AC205">
            <v>9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I205">
            <v>1</v>
          </cell>
          <cell r="AJ205">
            <v>0.66666666666666663</v>
          </cell>
          <cell r="AK205">
            <v>3</v>
          </cell>
          <cell r="AL205">
            <v>16</v>
          </cell>
          <cell r="AM205">
            <v>30</v>
          </cell>
          <cell r="AN205">
            <v>22</v>
          </cell>
          <cell r="AO205">
            <v>97</v>
          </cell>
          <cell r="AP205">
            <v>77</v>
          </cell>
          <cell r="AS205">
            <v>2007</v>
          </cell>
          <cell r="AT205">
            <v>29</v>
          </cell>
          <cell r="AU205">
            <v>27</v>
          </cell>
          <cell r="AV205">
            <v>97</v>
          </cell>
          <cell r="AW205">
            <v>0.25</v>
          </cell>
          <cell r="AX205">
            <v>1552</v>
          </cell>
          <cell r="AY205">
            <v>388</v>
          </cell>
          <cell r="AZ205">
            <v>36.880000000000003</v>
          </cell>
          <cell r="BA205">
            <v>24</v>
          </cell>
          <cell r="BB205">
            <v>649.08800000000008</v>
          </cell>
          <cell r="BC205">
            <v>36.880000000000003</v>
          </cell>
          <cell r="BD205">
            <v>26</v>
          </cell>
          <cell r="BE205">
            <v>703.1786666666668</v>
          </cell>
          <cell r="BF205">
            <v>36.880000000000003</v>
          </cell>
          <cell r="BG205">
            <v>27</v>
          </cell>
          <cell r="BH205">
            <v>730.22400000000005</v>
          </cell>
          <cell r="BI205">
            <v>0</v>
          </cell>
          <cell r="BJ205">
            <v>0</v>
          </cell>
          <cell r="BK205">
            <v>2082.490666666667</v>
          </cell>
          <cell r="BL205">
            <v>3618.12</v>
          </cell>
          <cell r="BM205">
            <v>3618.12</v>
          </cell>
          <cell r="BN205">
            <v>0</v>
          </cell>
          <cell r="BO205">
            <v>78.511986666666672</v>
          </cell>
          <cell r="BP205">
            <v>0</v>
          </cell>
          <cell r="BQ205">
            <v>78.511986666666672</v>
          </cell>
          <cell r="BR205">
            <v>6.5</v>
          </cell>
          <cell r="BS205">
            <v>6.75</v>
          </cell>
          <cell r="BT205">
            <v>0</v>
          </cell>
          <cell r="BU205">
            <v>13.25</v>
          </cell>
          <cell r="BY205">
            <v>5996.848680000001</v>
          </cell>
          <cell r="CP205" t="str">
            <v>1565/10</v>
          </cell>
          <cell r="CQ205">
            <v>40346</v>
          </cell>
          <cell r="CR205">
            <v>40525</v>
          </cell>
          <cell r="CS205" t="str">
            <v>2010-0.136.335-0</v>
          </cell>
          <cell r="CT205" t="str">
            <v>NILTON CEZAR DORNELLAS</v>
          </cell>
          <cell r="CU205">
            <v>27437980843</v>
          </cell>
          <cell r="CV205">
            <v>73921</v>
          </cell>
          <cell r="CW205">
            <v>1991.2273333333333</v>
          </cell>
          <cell r="CX205">
            <v>53.763138000000005</v>
          </cell>
          <cell r="CY205">
            <v>9.9561366666666675</v>
          </cell>
          <cell r="CZ205">
            <v>1194.7364</v>
          </cell>
          <cell r="DA205">
            <v>0</v>
          </cell>
          <cell r="DD205">
            <v>-101.72954000000001</v>
          </cell>
        </row>
        <row r="206">
          <cell r="C206" t="str">
            <v>3004/10</v>
          </cell>
          <cell r="D206" t="str">
            <v>01/01 A 31/01/11</v>
          </cell>
          <cell r="E206" t="str">
            <v>PATRICIA DESENZI RUY AFONSO</v>
          </cell>
          <cell r="F206" t="str">
            <v>EMEF</v>
          </cell>
          <cell r="G206">
            <v>13</v>
          </cell>
          <cell r="H206">
            <v>13</v>
          </cell>
          <cell r="I206">
            <v>16</v>
          </cell>
          <cell r="J206">
            <v>19243</v>
          </cell>
          <cell r="K206">
            <v>21</v>
          </cell>
          <cell r="L206">
            <v>23</v>
          </cell>
          <cell r="M206">
            <v>0</v>
          </cell>
          <cell r="N206">
            <v>19243</v>
          </cell>
          <cell r="O206">
            <v>19</v>
          </cell>
          <cell r="P206">
            <v>23</v>
          </cell>
          <cell r="Q206">
            <v>0</v>
          </cell>
          <cell r="R206">
            <v>0</v>
          </cell>
          <cell r="U206">
            <v>0</v>
          </cell>
          <cell r="W206">
            <v>1</v>
          </cell>
          <cell r="Y206">
            <v>1</v>
          </cell>
          <cell r="AA206">
            <v>0</v>
          </cell>
          <cell r="AB206">
            <v>0</v>
          </cell>
          <cell r="AD206">
            <v>3</v>
          </cell>
          <cell r="AE206">
            <v>1</v>
          </cell>
          <cell r="AF206">
            <v>3</v>
          </cell>
          <cell r="AG206">
            <v>1</v>
          </cell>
          <cell r="AI206">
            <v>0</v>
          </cell>
          <cell r="AJ206">
            <v>3</v>
          </cell>
          <cell r="AK206" t="str">
            <v>10, 15 e 16</v>
          </cell>
          <cell r="AL206">
            <v>16</v>
          </cell>
          <cell r="AM206">
            <v>30</v>
          </cell>
          <cell r="AN206">
            <v>22</v>
          </cell>
          <cell r="AO206">
            <v>40</v>
          </cell>
          <cell r="AP206">
            <v>46</v>
          </cell>
          <cell r="AS206">
            <v>2005</v>
          </cell>
          <cell r="AT206">
            <v>25</v>
          </cell>
          <cell r="AU206">
            <v>23</v>
          </cell>
          <cell r="AV206">
            <v>40</v>
          </cell>
          <cell r="AW206">
            <v>0.25</v>
          </cell>
          <cell r="AX206">
            <v>640</v>
          </cell>
          <cell r="AY206">
            <v>160</v>
          </cell>
          <cell r="AZ206">
            <v>36.880000000000003</v>
          </cell>
          <cell r="BA206">
            <v>23</v>
          </cell>
          <cell r="BB206">
            <v>622.04266666666672</v>
          </cell>
          <cell r="BC206">
            <v>36.880000000000003</v>
          </cell>
          <cell r="BD206">
            <v>23</v>
          </cell>
          <cell r="BE206">
            <v>622.04266666666672</v>
          </cell>
          <cell r="BF206">
            <v>36.880000000000003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1244.0853333333334</v>
          </cell>
          <cell r="BL206">
            <v>3400.17</v>
          </cell>
          <cell r="BM206">
            <v>3400.17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15.75</v>
          </cell>
          <cell r="BS206">
            <v>14.25</v>
          </cell>
          <cell r="BT206">
            <v>0</v>
          </cell>
          <cell r="BU206">
            <v>30</v>
          </cell>
          <cell r="BY206">
            <v>4774.2553333333335</v>
          </cell>
          <cell r="CP206" t="str">
            <v>3155/10</v>
          </cell>
          <cell r="CQ206">
            <v>40526</v>
          </cell>
          <cell r="CR206">
            <v>40705</v>
          </cell>
          <cell r="CS206" t="str">
            <v>2010-0.314.494-9</v>
          </cell>
          <cell r="CT206" t="str">
            <v>NILTON CEZAR DORNELLAS</v>
          </cell>
          <cell r="CU206">
            <v>27437980843</v>
          </cell>
          <cell r="CV206">
            <v>128569</v>
          </cell>
          <cell r="CW206">
            <v>1892.0086666666666</v>
          </cell>
          <cell r="CX206">
            <v>51.084234000000009</v>
          </cell>
          <cell r="CY206">
            <v>9.4600433333333349</v>
          </cell>
          <cell r="CZ206">
            <v>1135.2051999999999</v>
          </cell>
          <cell r="DA206">
            <v>0</v>
          </cell>
          <cell r="DD206">
            <v>-110.65922000000003</v>
          </cell>
        </row>
        <row r="207">
          <cell r="C207" t="str">
            <v>3049/10</v>
          </cell>
          <cell r="D207" t="str">
            <v>01/01 A 31/01/11</v>
          </cell>
          <cell r="E207" t="str">
            <v>PAULO WANDUILSON GOMES</v>
          </cell>
          <cell r="F207" t="str">
            <v>EMEI</v>
          </cell>
          <cell r="G207">
            <v>16</v>
          </cell>
          <cell r="H207">
            <v>16</v>
          </cell>
          <cell r="I207">
            <v>16</v>
          </cell>
          <cell r="J207">
            <v>11568</v>
          </cell>
          <cell r="K207">
            <v>102</v>
          </cell>
          <cell r="L207">
            <v>27</v>
          </cell>
          <cell r="M207">
            <v>0</v>
          </cell>
          <cell r="N207">
            <v>11568</v>
          </cell>
          <cell r="O207">
            <v>54</v>
          </cell>
          <cell r="P207">
            <v>27</v>
          </cell>
          <cell r="Q207">
            <v>0</v>
          </cell>
          <cell r="R207">
            <v>19441</v>
          </cell>
          <cell r="S207">
            <v>21</v>
          </cell>
          <cell r="T207">
            <v>15</v>
          </cell>
          <cell r="U207">
            <v>0</v>
          </cell>
          <cell r="W207">
            <v>1</v>
          </cell>
          <cell r="Y207">
            <v>1</v>
          </cell>
          <cell r="AA207">
            <v>1</v>
          </cell>
          <cell r="AB207">
            <v>0</v>
          </cell>
          <cell r="AE207">
            <v>1</v>
          </cell>
          <cell r="AG207">
            <v>1</v>
          </cell>
          <cell r="AI207">
            <v>1</v>
          </cell>
          <cell r="AJ207">
            <v>0</v>
          </cell>
          <cell r="AL207">
            <v>16</v>
          </cell>
          <cell r="AM207">
            <v>30</v>
          </cell>
          <cell r="AN207">
            <v>22</v>
          </cell>
          <cell r="AO207">
            <v>177</v>
          </cell>
          <cell r="AP207">
            <v>69</v>
          </cell>
          <cell r="AS207">
            <v>2009</v>
          </cell>
          <cell r="AT207">
            <v>29</v>
          </cell>
          <cell r="AU207">
            <v>27</v>
          </cell>
          <cell r="AV207">
            <v>177</v>
          </cell>
          <cell r="AW207">
            <v>0.65</v>
          </cell>
          <cell r="AX207">
            <v>2832</v>
          </cell>
          <cell r="AY207">
            <v>1840.8</v>
          </cell>
          <cell r="AZ207">
            <v>48.26</v>
          </cell>
          <cell r="BA207">
            <v>27</v>
          </cell>
          <cell r="BB207">
            <v>955.548</v>
          </cell>
          <cell r="BC207">
            <v>48.26</v>
          </cell>
          <cell r="BD207">
            <v>27</v>
          </cell>
          <cell r="BE207">
            <v>955.548</v>
          </cell>
          <cell r="BF207">
            <v>48.26</v>
          </cell>
          <cell r="BG207">
            <v>15</v>
          </cell>
          <cell r="BH207">
            <v>530.86</v>
          </cell>
          <cell r="BI207">
            <v>0</v>
          </cell>
          <cell r="BJ207">
            <v>0</v>
          </cell>
          <cell r="BK207">
            <v>2441.9560000000001</v>
          </cell>
          <cell r="BL207">
            <v>2886</v>
          </cell>
          <cell r="BM207">
            <v>2886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Y207">
            <v>7168.7560000000003</v>
          </cell>
          <cell r="CP207" t="str">
            <v>2090/10</v>
          </cell>
          <cell r="CQ207">
            <v>40443</v>
          </cell>
          <cell r="CR207">
            <v>40622</v>
          </cell>
          <cell r="CS207" t="str">
            <v>2010-0.236.611-5</v>
          </cell>
          <cell r="CT207" t="str">
            <v>ODUVALDO BATISTA PIERETTO</v>
          </cell>
          <cell r="CU207" t="str">
            <v>088.865.468-58</v>
          </cell>
          <cell r="CV207">
            <v>105032</v>
          </cell>
          <cell r="CW207">
            <v>7601.2880000000005</v>
          </cell>
          <cell r="CX207">
            <v>205.23477600000004</v>
          </cell>
          <cell r="CY207">
            <v>38.006440000000005</v>
          </cell>
          <cell r="CZ207">
            <v>4560.7727999999997</v>
          </cell>
          <cell r="DA207">
            <v>561.43252000000007</v>
          </cell>
          <cell r="DD207">
            <v>561.43252000000007</v>
          </cell>
        </row>
        <row r="208">
          <cell r="C208" t="str">
            <v>1704/10</v>
          </cell>
          <cell r="D208" t="str">
            <v>01/01 A 31/01/11</v>
          </cell>
          <cell r="E208" t="str">
            <v>RAFAEL BORINI</v>
          </cell>
          <cell r="F208" t="str">
            <v>EMEF</v>
          </cell>
          <cell r="G208">
            <v>15</v>
          </cell>
          <cell r="H208">
            <v>15</v>
          </cell>
          <cell r="I208">
            <v>16</v>
          </cell>
          <cell r="J208">
            <v>19228</v>
          </cell>
          <cell r="K208">
            <v>12</v>
          </cell>
          <cell r="L208">
            <v>0</v>
          </cell>
          <cell r="M208">
            <v>1</v>
          </cell>
          <cell r="N208">
            <v>19228</v>
          </cell>
          <cell r="O208">
            <v>15</v>
          </cell>
          <cell r="P208">
            <v>3</v>
          </cell>
          <cell r="Q208">
            <v>6</v>
          </cell>
          <cell r="R208">
            <v>19674</v>
          </cell>
          <cell r="S208">
            <v>58</v>
          </cell>
          <cell r="T208">
            <v>1</v>
          </cell>
          <cell r="U208">
            <v>2</v>
          </cell>
          <cell r="W208">
            <v>1</v>
          </cell>
          <cell r="Y208">
            <v>1</v>
          </cell>
          <cell r="AA208">
            <v>1</v>
          </cell>
          <cell r="AB208">
            <v>0</v>
          </cell>
          <cell r="AD208">
            <v>1</v>
          </cell>
          <cell r="AE208">
            <v>1</v>
          </cell>
          <cell r="AF208">
            <v>1</v>
          </cell>
          <cell r="AG208">
            <v>1</v>
          </cell>
          <cell r="AI208">
            <v>1</v>
          </cell>
          <cell r="AJ208">
            <v>0.66666666666666663</v>
          </cell>
          <cell r="AK208">
            <v>3</v>
          </cell>
          <cell r="AL208">
            <v>16</v>
          </cell>
          <cell r="AM208">
            <v>30</v>
          </cell>
          <cell r="AN208">
            <v>22</v>
          </cell>
          <cell r="AO208">
            <v>85</v>
          </cell>
          <cell r="AP208">
            <v>13</v>
          </cell>
          <cell r="AS208">
            <v>2010</v>
          </cell>
          <cell r="AT208">
            <v>10</v>
          </cell>
          <cell r="AU208">
            <v>9</v>
          </cell>
          <cell r="AV208">
            <v>85</v>
          </cell>
          <cell r="AW208">
            <v>0.25</v>
          </cell>
          <cell r="AX208">
            <v>1360</v>
          </cell>
          <cell r="AY208">
            <v>340</v>
          </cell>
          <cell r="AZ208">
            <v>36.880000000000003</v>
          </cell>
          <cell r="BA208">
            <v>8</v>
          </cell>
          <cell r="BB208">
            <v>216.36266666666668</v>
          </cell>
          <cell r="BC208">
            <v>2290.25</v>
          </cell>
          <cell r="BD208">
            <v>5</v>
          </cell>
          <cell r="BE208">
            <v>1679.5166666666667</v>
          </cell>
          <cell r="BF208">
            <v>0</v>
          </cell>
          <cell r="BG208">
            <v>1</v>
          </cell>
          <cell r="BH208">
            <v>0</v>
          </cell>
          <cell r="BI208">
            <v>9</v>
          </cell>
          <cell r="BJ208">
            <v>0</v>
          </cell>
          <cell r="BK208">
            <v>1895.8793333333333</v>
          </cell>
          <cell r="BL208">
            <v>3945.03</v>
          </cell>
          <cell r="BM208">
            <v>3945.03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3</v>
          </cell>
          <cell r="BS208">
            <v>3.75</v>
          </cell>
          <cell r="BT208">
            <v>0</v>
          </cell>
          <cell r="BU208">
            <v>6.75</v>
          </cell>
          <cell r="BY208">
            <v>6174.159333333334</v>
          </cell>
          <cell r="CP208" t="str">
            <v>2088/10</v>
          </cell>
          <cell r="CQ208">
            <v>40442</v>
          </cell>
          <cell r="CR208">
            <v>40621</v>
          </cell>
          <cell r="CS208" t="str">
            <v>2010-0.236.606-9</v>
          </cell>
          <cell r="CT208" t="str">
            <v>OSMAR DOS SANTOS SOUSA</v>
          </cell>
          <cell r="CU208">
            <v>14893327828</v>
          </cell>
          <cell r="CV208">
            <v>105039</v>
          </cell>
          <cell r="CW208">
            <v>5996.848680000001</v>
          </cell>
          <cell r="CX208">
            <v>161.91491436000007</v>
          </cell>
          <cell r="CY208">
            <v>29.984243400000011</v>
          </cell>
          <cell r="CZ208">
            <v>3598.1092080000003</v>
          </cell>
          <cell r="DA208">
            <v>303.95457180000005</v>
          </cell>
          <cell r="DD208">
            <v>303.95457180000005</v>
          </cell>
        </row>
        <row r="209">
          <cell r="C209" t="str">
            <v>2511/10</v>
          </cell>
          <cell r="D209" t="str">
            <v>01/01 A 31/01/11</v>
          </cell>
          <cell r="E209" t="str">
            <v>RAIMUNDO LOIOLA DOS SANTOS</v>
          </cell>
          <cell r="F209" t="str">
            <v>EMEI</v>
          </cell>
          <cell r="G209">
            <v>16</v>
          </cell>
          <cell r="H209">
            <v>16</v>
          </cell>
          <cell r="I209">
            <v>16</v>
          </cell>
          <cell r="J209">
            <v>493</v>
          </cell>
          <cell r="K209">
            <v>36</v>
          </cell>
          <cell r="L209">
            <v>25</v>
          </cell>
          <cell r="M209">
            <v>0</v>
          </cell>
          <cell r="N209">
            <v>493</v>
          </cell>
          <cell r="O209">
            <v>33</v>
          </cell>
          <cell r="P209">
            <v>25</v>
          </cell>
          <cell r="Q209">
            <v>0</v>
          </cell>
          <cell r="R209">
            <v>493</v>
          </cell>
          <cell r="S209">
            <v>31</v>
          </cell>
          <cell r="T209">
            <v>24</v>
          </cell>
          <cell r="U209">
            <v>0</v>
          </cell>
          <cell r="W209">
            <v>1</v>
          </cell>
          <cell r="Y209">
            <v>1</v>
          </cell>
          <cell r="AA209">
            <v>1</v>
          </cell>
          <cell r="AB209">
            <v>0</v>
          </cell>
          <cell r="AE209">
            <v>1</v>
          </cell>
          <cell r="AG209">
            <v>1</v>
          </cell>
          <cell r="AI209">
            <v>1</v>
          </cell>
          <cell r="AJ209">
            <v>0</v>
          </cell>
          <cell r="AL209">
            <v>16</v>
          </cell>
          <cell r="AM209">
            <v>30</v>
          </cell>
          <cell r="AN209">
            <v>22</v>
          </cell>
          <cell r="AO209">
            <v>100</v>
          </cell>
          <cell r="AP209">
            <v>74</v>
          </cell>
          <cell r="AS209">
            <v>2009</v>
          </cell>
          <cell r="AT209">
            <v>27</v>
          </cell>
          <cell r="AU209">
            <v>25</v>
          </cell>
          <cell r="AV209">
            <v>100</v>
          </cell>
          <cell r="AW209">
            <v>0.25</v>
          </cell>
          <cell r="AX209">
            <v>1600</v>
          </cell>
          <cell r="AY209">
            <v>400</v>
          </cell>
          <cell r="AZ209">
            <v>36.880000000000003</v>
          </cell>
          <cell r="BA209">
            <v>25</v>
          </cell>
          <cell r="BB209">
            <v>676.13333333333344</v>
          </cell>
          <cell r="BC209">
            <v>36.880000000000003</v>
          </cell>
          <cell r="BD209">
            <v>25</v>
          </cell>
          <cell r="BE209">
            <v>676.13333333333344</v>
          </cell>
          <cell r="BF209">
            <v>36.880000000000003</v>
          </cell>
          <cell r="BG209">
            <v>24</v>
          </cell>
          <cell r="BH209">
            <v>649.08800000000008</v>
          </cell>
          <cell r="BI209">
            <v>0</v>
          </cell>
          <cell r="BJ209">
            <v>0</v>
          </cell>
          <cell r="BK209">
            <v>2001.3546666666671</v>
          </cell>
          <cell r="BL209">
            <v>3836.07</v>
          </cell>
          <cell r="BM209">
            <v>3836.07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Y209">
            <v>6237.4246666666668</v>
          </cell>
          <cell r="CP209" t="str">
            <v>3004/10</v>
          </cell>
          <cell r="CQ209">
            <v>40490</v>
          </cell>
          <cell r="CR209">
            <v>40669</v>
          </cell>
          <cell r="CS209" t="str">
            <v>2010-0.288.565-1</v>
          </cell>
          <cell r="CT209" t="str">
            <v>PATRICIA DESENZI RUY AFONSO</v>
          </cell>
          <cell r="CU209" t="str">
            <v>075.446.358-30</v>
          </cell>
          <cell r="CV209">
            <v>122644</v>
          </cell>
          <cell r="CW209">
            <v>4774.2553333333335</v>
          </cell>
          <cell r="CX209">
            <v>128.90489400000001</v>
          </cell>
          <cell r="CY209">
            <v>23.87127666666667</v>
          </cell>
          <cell r="CZ209">
            <v>2864.5531999999998</v>
          </cell>
          <cell r="DA209">
            <v>148.74297999999999</v>
          </cell>
          <cell r="DD209">
            <v>148.74297999999999</v>
          </cell>
        </row>
        <row r="210">
          <cell r="C210" t="str">
            <v>2519/10</v>
          </cell>
          <cell r="D210" t="str">
            <v>01/01 A 31/01/11</v>
          </cell>
          <cell r="E210" t="str">
            <v>RAIMUNDO MENDES DE SOUZA</v>
          </cell>
          <cell r="F210" t="str">
            <v>EMEF</v>
          </cell>
          <cell r="G210">
            <v>16</v>
          </cell>
          <cell r="H210">
            <v>16</v>
          </cell>
          <cell r="I210">
            <v>16</v>
          </cell>
          <cell r="J210">
            <v>18546</v>
          </cell>
          <cell r="K210">
            <v>17</v>
          </cell>
          <cell r="L210">
            <v>23</v>
          </cell>
          <cell r="M210">
            <v>0</v>
          </cell>
          <cell r="N210">
            <v>18546</v>
          </cell>
          <cell r="O210">
            <v>19</v>
          </cell>
          <cell r="P210">
            <v>23</v>
          </cell>
          <cell r="Q210">
            <v>0</v>
          </cell>
          <cell r="R210">
            <v>18546</v>
          </cell>
          <cell r="S210">
            <v>18</v>
          </cell>
          <cell r="T210">
            <v>23</v>
          </cell>
          <cell r="U210">
            <v>0</v>
          </cell>
          <cell r="W210">
            <v>1</v>
          </cell>
          <cell r="Y210">
            <v>1</v>
          </cell>
          <cell r="AA210">
            <v>1</v>
          </cell>
          <cell r="AB210">
            <v>0</v>
          </cell>
          <cell r="AE210">
            <v>1</v>
          </cell>
          <cell r="AG210">
            <v>1</v>
          </cell>
          <cell r="AI210">
            <v>1</v>
          </cell>
          <cell r="AJ210">
            <v>0</v>
          </cell>
          <cell r="AL210">
            <v>16</v>
          </cell>
          <cell r="AM210">
            <v>30</v>
          </cell>
          <cell r="AN210">
            <v>22</v>
          </cell>
          <cell r="AO210">
            <v>54</v>
          </cell>
          <cell r="AP210">
            <v>69</v>
          </cell>
          <cell r="AS210">
            <v>2007</v>
          </cell>
          <cell r="AT210">
            <v>25</v>
          </cell>
          <cell r="AU210">
            <v>23</v>
          </cell>
          <cell r="AV210">
            <v>54</v>
          </cell>
          <cell r="AW210">
            <v>0.25</v>
          </cell>
          <cell r="AX210">
            <v>864</v>
          </cell>
          <cell r="AY210">
            <v>216</v>
          </cell>
          <cell r="AZ210">
            <v>36.880000000000003</v>
          </cell>
          <cell r="BA210">
            <v>23</v>
          </cell>
          <cell r="BB210">
            <v>622.04266666666672</v>
          </cell>
          <cell r="BC210">
            <v>36.880000000000003</v>
          </cell>
          <cell r="BD210">
            <v>23</v>
          </cell>
          <cell r="BE210">
            <v>622.04266666666672</v>
          </cell>
          <cell r="BF210">
            <v>36.880000000000003</v>
          </cell>
          <cell r="BG210">
            <v>23</v>
          </cell>
          <cell r="BH210">
            <v>622.04266666666672</v>
          </cell>
          <cell r="BI210">
            <v>0</v>
          </cell>
          <cell r="BJ210">
            <v>0</v>
          </cell>
          <cell r="BK210">
            <v>1866.1280000000002</v>
          </cell>
          <cell r="BL210">
            <v>3618.12</v>
          </cell>
          <cell r="BM210">
            <v>3618.12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Y210">
            <v>5700.2479999999996</v>
          </cell>
          <cell r="CP210" t="str">
            <v>3049/10</v>
          </cell>
          <cell r="CQ210">
            <v>40498</v>
          </cell>
          <cell r="CR210">
            <v>40677</v>
          </cell>
          <cell r="CS210" t="str">
            <v>2010-0.288-003-0</v>
          </cell>
          <cell r="CT210" t="str">
            <v>PAULO WANDUILSON GOMES</v>
          </cell>
          <cell r="CU210">
            <v>27103972850</v>
          </cell>
          <cell r="CV210">
            <v>122650</v>
          </cell>
          <cell r="CW210">
            <v>7168.7560000000003</v>
          </cell>
          <cell r="CX210">
            <v>193.55641200000002</v>
          </cell>
          <cell r="CY210">
            <v>35.843780000000002</v>
          </cell>
          <cell r="CZ210">
            <v>4301.2536</v>
          </cell>
          <cell r="DA210">
            <v>490.06474000000003</v>
          </cell>
          <cell r="DD210">
            <v>490.06474000000003</v>
          </cell>
        </row>
        <row r="211">
          <cell r="C211" t="str">
            <v>2559/10</v>
          </cell>
          <cell r="D211" t="str">
            <v>01/01 A 31/01/11</v>
          </cell>
          <cell r="E211" t="str">
            <v>REGINALDO SOARES DA SILVA MELO</v>
          </cell>
          <cell r="F211" t="str">
            <v>EMEF</v>
          </cell>
          <cell r="G211">
            <v>15</v>
          </cell>
          <cell r="H211">
            <v>15</v>
          </cell>
          <cell r="I211">
            <v>16</v>
          </cell>
          <cell r="J211">
            <v>19496</v>
          </cell>
          <cell r="K211">
            <v>24</v>
          </cell>
          <cell r="L211">
            <v>27</v>
          </cell>
          <cell r="M211">
            <v>0</v>
          </cell>
          <cell r="N211">
            <v>19496</v>
          </cell>
          <cell r="O211">
            <v>43</v>
          </cell>
          <cell r="P211">
            <v>27</v>
          </cell>
          <cell r="Q211">
            <v>0</v>
          </cell>
          <cell r="R211">
            <v>19496</v>
          </cell>
          <cell r="S211">
            <v>43</v>
          </cell>
          <cell r="T211">
            <v>27</v>
          </cell>
          <cell r="U211">
            <v>0</v>
          </cell>
          <cell r="W211">
            <v>1</v>
          </cell>
          <cell r="Y211">
            <v>1</v>
          </cell>
          <cell r="AA211">
            <v>1</v>
          </cell>
          <cell r="AB211">
            <v>0</v>
          </cell>
          <cell r="AD211">
            <v>1</v>
          </cell>
          <cell r="AE211">
            <v>1</v>
          </cell>
          <cell r="AF211">
            <v>1</v>
          </cell>
          <cell r="AG211">
            <v>1</v>
          </cell>
          <cell r="AI211">
            <v>1</v>
          </cell>
          <cell r="AJ211">
            <v>0.66666666666666663</v>
          </cell>
          <cell r="AK211">
            <v>10</v>
          </cell>
          <cell r="AL211">
            <v>16</v>
          </cell>
          <cell r="AM211">
            <v>30</v>
          </cell>
          <cell r="AN211">
            <v>22</v>
          </cell>
          <cell r="AO211">
            <v>110</v>
          </cell>
          <cell r="AP211">
            <v>81</v>
          </cell>
          <cell r="AS211">
            <v>2007</v>
          </cell>
          <cell r="AT211">
            <v>29</v>
          </cell>
          <cell r="AU211">
            <v>27</v>
          </cell>
          <cell r="AV211">
            <v>110</v>
          </cell>
          <cell r="AW211">
            <v>0.25</v>
          </cell>
          <cell r="AX211">
            <v>1760</v>
          </cell>
          <cell r="AY211">
            <v>440</v>
          </cell>
          <cell r="AZ211">
            <v>36.880000000000003</v>
          </cell>
          <cell r="BA211">
            <v>27</v>
          </cell>
          <cell r="BB211">
            <v>730.22400000000005</v>
          </cell>
          <cell r="BC211">
            <v>36.880000000000003</v>
          </cell>
          <cell r="BD211">
            <v>27</v>
          </cell>
          <cell r="BE211">
            <v>730.22400000000005</v>
          </cell>
          <cell r="BF211">
            <v>36.880000000000003</v>
          </cell>
          <cell r="BG211">
            <v>27</v>
          </cell>
          <cell r="BH211">
            <v>730.22400000000005</v>
          </cell>
          <cell r="BI211">
            <v>0</v>
          </cell>
          <cell r="BJ211">
            <v>0</v>
          </cell>
          <cell r="BK211">
            <v>2190.672</v>
          </cell>
          <cell r="BL211">
            <v>3618.12</v>
          </cell>
          <cell r="BM211">
            <v>3618.12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6</v>
          </cell>
          <cell r="BS211">
            <v>10.75</v>
          </cell>
          <cell r="BT211">
            <v>0</v>
          </cell>
          <cell r="BU211">
            <v>16.75</v>
          </cell>
          <cell r="BY211">
            <v>6232.0419999999995</v>
          </cell>
          <cell r="CP211" t="str">
            <v>1704/10</v>
          </cell>
          <cell r="CQ211">
            <v>40387</v>
          </cell>
          <cell r="CR211">
            <v>40566</v>
          </cell>
          <cell r="CS211" t="str">
            <v>2010-0.205.392-3</v>
          </cell>
          <cell r="CT211" t="str">
            <v>RAFAEL BORINI</v>
          </cell>
          <cell r="CU211" t="str">
            <v>313.996.758-69</v>
          </cell>
          <cell r="CV211">
            <v>89570</v>
          </cell>
          <cell r="CW211">
            <v>6174.159333333334</v>
          </cell>
          <cell r="CX211">
            <v>166.70230200000003</v>
          </cell>
          <cell r="CY211">
            <v>30.870796666666674</v>
          </cell>
          <cell r="CZ211">
            <v>3704.4956000000002</v>
          </cell>
          <cell r="DA211">
            <v>327.89151000000004</v>
          </cell>
          <cell r="DD211">
            <v>327.89151000000004</v>
          </cell>
        </row>
        <row r="212">
          <cell r="C212" t="str">
            <v>2504/10</v>
          </cell>
          <cell r="D212" t="str">
            <v>01/01 A 31/01/11</v>
          </cell>
          <cell r="E212" t="str">
            <v>REGNER BARBIONI BERNI</v>
          </cell>
          <cell r="F212" t="str">
            <v>EMEI</v>
          </cell>
          <cell r="G212">
            <v>15</v>
          </cell>
          <cell r="H212">
            <v>15</v>
          </cell>
          <cell r="I212">
            <v>16</v>
          </cell>
          <cell r="J212">
            <v>19682</v>
          </cell>
          <cell r="K212">
            <v>85</v>
          </cell>
          <cell r="L212">
            <v>21</v>
          </cell>
          <cell r="M212">
            <v>0</v>
          </cell>
          <cell r="N212">
            <v>19682</v>
          </cell>
          <cell r="O212">
            <v>68</v>
          </cell>
          <cell r="P212">
            <v>23</v>
          </cell>
          <cell r="Q212">
            <v>0</v>
          </cell>
          <cell r="R212">
            <v>19682</v>
          </cell>
          <cell r="S212">
            <v>90</v>
          </cell>
          <cell r="T212">
            <v>21</v>
          </cell>
          <cell r="U212">
            <v>0</v>
          </cell>
          <cell r="W212">
            <v>1</v>
          </cell>
          <cell r="Y212">
            <v>1</v>
          </cell>
          <cell r="AA212">
            <v>1</v>
          </cell>
          <cell r="AB212">
            <v>0</v>
          </cell>
          <cell r="AD212">
            <v>1</v>
          </cell>
          <cell r="AE212">
            <v>1</v>
          </cell>
          <cell r="AF212">
            <v>1</v>
          </cell>
          <cell r="AG212">
            <v>1</v>
          </cell>
          <cell r="AI212">
            <v>1</v>
          </cell>
          <cell r="AJ212">
            <v>0.66666666666666663</v>
          </cell>
          <cell r="AK212">
            <v>17</v>
          </cell>
          <cell r="AL212">
            <v>16</v>
          </cell>
          <cell r="AM212">
            <v>30</v>
          </cell>
          <cell r="AN212">
            <v>22</v>
          </cell>
          <cell r="AO212">
            <v>243</v>
          </cell>
          <cell r="AP212">
            <v>65</v>
          </cell>
          <cell r="AS212">
            <v>2003</v>
          </cell>
          <cell r="AT212">
            <v>25</v>
          </cell>
          <cell r="AU212">
            <v>23</v>
          </cell>
          <cell r="AV212">
            <v>243</v>
          </cell>
          <cell r="AW212">
            <v>0.25</v>
          </cell>
          <cell r="AX212">
            <v>3888</v>
          </cell>
          <cell r="AY212">
            <v>972</v>
          </cell>
          <cell r="AZ212">
            <v>36.880000000000003</v>
          </cell>
          <cell r="BA212">
            <v>21</v>
          </cell>
          <cell r="BB212">
            <v>567.952</v>
          </cell>
          <cell r="BC212">
            <v>36.880000000000003</v>
          </cell>
          <cell r="BD212">
            <v>23</v>
          </cell>
          <cell r="BE212">
            <v>622.04266666666672</v>
          </cell>
          <cell r="BF212">
            <v>36.880000000000003</v>
          </cell>
          <cell r="BG212">
            <v>21</v>
          </cell>
          <cell r="BH212">
            <v>567.952</v>
          </cell>
          <cell r="BI212">
            <v>0</v>
          </cell>
          <cell r="BJ212">
            <v>0</v>
          </cell>
          <cell r="BK212">
            <v>1757.9466666666667</v>
          </cell>
          <cell r="BL212">
            <v>3182.21</v>
          </cell>
          <cell r="BM212">
            <v>3182.21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21.25</v>
          </cell>
          <cell r="BS212">
            <v>17</v>
          </cell>
          <cell r="BT212">
            <v>0</v>
          </cell>
          <cell r="BU212">
            <v>38.25</v>
          </cell>
          <cell r="BY212">
            <v>5873.9066666666668</v>
          </cell>
          <cell r="CP212" t="str">
            <v>2511/10</v>
          </cell>
          <cell r="CQ212">
            <v>40455</v>
          </cell>
          <cell r="CR212">
            <v>40634</v>
          </cell>
          <cell r="CS212" t="str">
            <v>2010-0.268.539-3</v>
          </cell>
          <cell r="CT212" t="str">
            <v>RAIMUNDO LOIOLA DOS SANTOS</v>
          </cell>
          <cell r="CU212" t="str">
            <v>011.772.848-98</v>
          </cell>
          <cell r="CV212">
            <v>115357</v>
          </cell>
          <cell r="CW212">
            <v>6237.4246666666668</v>
          </cell>
          <cell r="CX212">
            <v>168.41046600000001</v>
          </cell>
          <cell r="CY212">
            <v>31.187123333333336</v>
          </cell>
          <cell r="CZ212">
            <v>3742.4548</v>
          </cell>
          <cell r="DA212">
            <v>336.43232999999998</v>
          </cell>
          <cell r="DD212">
            <v>336.43232999999998</v>
          </cell>
        </row>
        <row r="213">
          <cell r="C213" t="str">
            <v>3106/10</v>
          </cell>
          <cell r="D213" t="str">
            <v>01/01 A 31/01/11</v>
          </cell>
          <cell r="E213" t="str">
            <v>RENATO BEZERRA DA SILVA</v>
          </cell>
          <cell r="F213" t="str">
            <v>EMEI</v>
          </cell>
          <cell r="G213">
            <v>16</v>
          </cell>
          <cell r="H213">
            <v>16</v>
          </cell>
          <cell r="I213">
            <v>16</v>
          </cell>
          <cell r="J213">
            <v>19441</v>
          </cell>
          <cell r="K213">
            <v>60</v>
          </cell>
          <cell r="L213">
            <v>14</v>
          </cell>
          <cell r="M213">
            <v>0</v>
          </cell>
          <cell r="N213">
            <v>19441</v>
          </cell>
          <cell r="O213">
            <v>20</v>
          </cell>
          <cell r="P213">
            <v>16</v>
          </cell>
          <cell r="Q213">
            <v>0</v>
          </cell>
          <cell r="R213">
            <v>19441</v>
          </cell>
          <cell r="S213">
            <v>67</v>
          </cell>
          <cell r="T213">
            <v>16</v>
          </cell>
          <cell r="U213">
            <v>0</v>
          </cell>
          <cell r="W213">
            <v>1</v>
          </cell>
          <cell r="Y213">
            <v>1</v>
          </cell>
          <cell r="AA213">
            <v>1</v>
          </cell>
          <cell r="AB213">
            <v>0</v>
          </cell>
          <cell r="AE213">
            <v>1</v>
          </cell>
          <cell r="AG213">
            <v>1</v>
          </cell>
          <cell r="AI213">
            <v>1</v>
          </cell>
          <cell r="AJ213">
            <v>0</v>
          </cell>
          <cell r="AL213">
            <v>16</v>
          </cell>
          <cell r="AM213">
            <v>30</v>
          </cell>
          <cell r="AN213">
            <v>22</v>
          </cell>
          <cell r="AO213">
            <v>147</v>
          </cell>
          <cell r="AP213">
            <v>46</v>
          </cell>
          <cell r="AS213">
            <v>2009</v>
          </cell>
          <cell r="AT213">
            <v>19</v>
          </cell>
          <cell r="AU213">
            <v>17</v>
          </cell>
          <cell r="AV213">
            <v>147</v>
          </cell>
          <cell r="AW213">
            <v>0.25</v>
          </cell>
          <cell r="AX213">
            <v>2352</v>
          </cell>
          <cell r="AY213">
            <v>588</v>
          </cell>
          <cell r="AZ213">
            <v>36.880000000000003</v>
          </cell>
          <cell r="BA213">
            <v>14</v>
          </cell>
          <cell r="BB213">
            <v>378.6346666666667</v>
          </cell>
          <cell r="BC213">
            <v>36.880000000000003</v>
          </cell>
          <cell r="BD213">
            <v>16</v>
          </cell>
          <cell r="BE213">
            <v>432.72533333333337</v>
          </cell>
          <cell r="BF213">
            <v>36.880000000000003</v>
          </cell>
          <cell r="BG213">
            <v>16</v>
          </cell>
          <cell r="BH213">
            <v>432.72533333333337</v>
          </cell>
          <cell r="BI213">
            <v>0</v>
          </cell>
          <cell r="BJ213">
            <v>0</v>
          </cell>
          <cell r="BK213">
            <v>1244.0853333333334</v>
          </cell>
          <cell r="BL213">
            <v>2650.9</v>
          </cell>
          <cell r="BM213">
            <v>2650.9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Y213">
            <v>4482.985333333334</v>
          </cell>
          <cell r="CP213" t="str">
            <v>2519/10</v>
          </cell>
          <cell r="CQ213">
            <v>40455</v>
          </cell>
          <cell r="CR213">
            <v>40634</v>
          </cell>
          <cell r="CS213" t="str">
            <v>2010-0.268.556-3</v>
          </cell>
          <cell r="CT213" t="str">
            <v>RAIMUNDO MENDES DE SOUZA</v>
          </cell>
          <cell r="CU213">
            <v>52250024634</v>
          </cell>
          <cell r="CV213">
            <v>115358</v>
          </cell>
          <cell r="CW213">
            <v>5700.2479999999996</v>
          </cell>
          <cell r="CX213">
            <v>153.90669600000001</v>
          </cell>
          <cell r="CY213">
            <v>28.501240000000003</v>
          </cell>
          <cell r="CZ213">
            <v>3420.1487999999995</v>
          </cell>
          <cell r="DA213">
            <v>263.91347999999994</v>
          </cell>
          <cell r="DD213">
            <v>263.91347999999994</v>
          </cell>
        </row>
        <row r="214">
          <cell r="C214" t="str">
            <v>2252/10</v>
          </cell>
          <cell r="D214" t="str">
            <v>01/01 A 31/01/11</v>
          </cell>
          <cell r="E214" t="str">
            <v>RENATO DE OLIVEIRA SOUSA</v>
          </cell>
          <cell r="F214" t="str">
            <v>EMEI</v>
          </cell>
          <cell r="G214">
            <v>14</v>
          </cell>
          <cell r="H214">
            <v>14</v>
          </cell>
          <cell r="I214">
            <v>14</v>
          </cell>
          <cell r="J214">
            <v>90620</v>
          </cell>
          <cell r="K214">
            <v>32</v>
          </cell>
          <cell r="L214">
            <v>27</v>
          </cell>
          <cell r="M214">
            <v>0</v>
          </cell>
          <cell r="N214">
            <v>90620</v>
          </cell>
          <cell r="O214">
            <v>33</v>
          </cell>
          <cell r="P214">
            <v>27</v>
          </cell>
          <cell r="Q214">
            <v>0</v>
          </cell>
          <cell r="R214">
            <v>90620</v>
          </cell>
          <cell r="S214">
            <v>35</v>
          </cell>
          <cell r="T214">
            <v>25</v>
          </cell>
          <cell r="U214">
            <v>0</v>
          </cell>
          <cell r="W214">
            <v>1</v>
          </cell>
          <cell r="Y214">
            <v>1</v>
          </cell>
          <cell r="AA214">
            <v>1</v>
          </cell>
          <cell r="AB214">
            <v>0</v>
          </cell>
          <cell r="AD214">
            <v>2</v>
          </cell>
          <cell r="AE214">
            <v>1</v>
          </cell>
          <cell r="AF214">
            <v>2</v>
          </cell>
          <cell r="AG214">
            <v>1</v>
          </cell>
          <cell r="AH214">
            <v>2</v>
          </cell>
          <cell r="AI214">
            <v>1</v>
          </cell>
          <cell r="AJ214">
            <v>2</v>
          </cell>
          <cell r="AK214" t="str">
            <v>3 e 22</v>
          </cell>
          <cell r="AL214">
            <v>16</v>
          </cell>
          <cell r="AM214">
            <v>30</v>
          </cell>
          <cell r="AN214">
            <v>22</v>
          </cell>
          <cell r="AO214">
            <v>100</v>
          </cell>
          <cell r="AP214">
            <v>79</v>
          </cell>
          <cell r="AS214">
            <v>2007</v>
          </cell>
          <cell r="AT214">
            <v>29</v>
          </cell>
          <cell r="AU214">
            <v>27</v>
          </cell>
          <cell r="AV214">
            <v>100</v>
          </cell>
          <cell r="AW214">
            <v>0.25</v>
          </cell>
          <cell r="AX214">
            <v>1600</v>
          </cell>
          <cell r="AY214">
            <v>400</v>
          </cell>
          <cell r="AZ214">
            <v>36.880000000000003</v>
          </cell>
          <cell r="BA214">
            <v>27</v>
          </cell>
          <cell r="BB214">
            <v>730.22400000000005</v>
          </cell>
          <cell r="BC214">
            <v>36.880000000000003</v>
          </cell>
          <cell r="BD214">
            <v>27</v>
          </cell>
          <cell r="BE214">
            <v>730.22400000000005</v>
          </cell>
          <cell r="BF214">
            <v>36.880000000000003</v>
          </cell>
          <cell r="BG214">
            <v>25</v>
          </cell>
          <cell r="BH214">
            <v>676.13333333333344</v>
          </cell>
          <cell r="BI214">
            <v>0</v>
          </cell>
          <cell r="BJ214">
            <v>0</v>
          </cell>
          <cell r="BK214">
            <v>2136.5813333333335</v>
          </cell>
          <cell r="BL214">
            <v>3618.12</v>
          </cell>
          <cell r="BM214">
            <v>3618.12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16</v>
          </cell>
          <cell r="BS214">
            <v>16.5</v>
          </cell>
          <cell r="BT214">
            <v>17.5</v>
          </cell>
          <cell r="BU214">
            <v>50</v>
          </cell>
          <cell r="BY214">
            <v>6104.7013333333334</v>
          </cell>
          <cell r="CP214" t="str">
            <v>2559/10</v>
          </cell>
          <cell r="CQ214">
            <v>40462</v>
          </cell>
          <cell r="CR214">
            <v>40641</v>
          </cell>
          <cell r="CS214" t="str">
            <v>2010-0.268.710-8</v>
          </cell>
          <cell r="CT214" t="str">
            <v>REGINALDO SOARES DA SILVA MELO</v>
          </cell>
          <cell r="CU214">
            <v>25372003812</v>
          </cell>
          <cell r="CV214">
            <v>115362</v>
          </cell>
          <cell r="CW214">
            <v>6232.0419999999995</v>
          </cell>
          <cell r="CX214">
            <v>168.26513400000002</v>
          </cell>
          <cell r="CY214">
            <v>31.160210000000003</v>
          </cell>
          <cell r="CZ214">
            <v>3739.2251999999994</v>
          </cell>
          <cell r="DA214">
            <v>335.70566999999983</v>
          </cell>
          <cell r="DD214">
            <v>335.70566999999983</v>
          </cell>
        </row>
        <row r="215">
          <cell r="C215" t="str">
            <v>2317/10</v>
          </cell>
          <cell r="D215" t="str">
            <v>01/01 A 31/01/11</v>
          </cell>
          <cell r="E215" t="str">
            <v>RICARDO BEZERRA DA SILVA</v>
          </cell>
          <cell r="F215" t="str">
            <v>EMEI</v>
          </cell>
          <cell r="G215">
            <v>15</v>
          </cell>
          <cell r="H215">
            <v>15</v>
          </cell>
          <cell r="I215">
            <v>15</v>
          </cell>
          <cell r="J215">
            <v>19323</v>
          </cell>
          <cell r="K215">
            <v>34</v>
          </cell>
          <cell r="L215">
            <v>29</v>
          </cell>
          <cell r="M215">
            <v>0</v>
          </cell>
          <cell r="N215">
            <v>19323</v>
          </cell>
          <cell r="O215">
            <v>41</v>
          </cell>
          <cell r="P215">
            <v>29</v>
          </cell>
          <cell r="Q215">
            <v>0</v>
          </cell>
          <cell r="R215">
            <v>19323</v>
          </cell>
          <cell r="S215">
            <v>44</v>
          </cell>
          <cell r="T215">
            <v>29</v>
          </cell>
          <cell r="U215">
            <v>0</v>
          </cell>
          <cell r="W215">
            <v>1</v>
          </cell>
          <cell r="Y215">
            <v>1</v>
          </cell>
          <cell r="AA215">
            <v>1</v>
          </cell>
          <cell r="AB215">
            <v>0</v>
          </cell>
          <cell r="AD215">
            <v>1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17</v>
          </cell>
          <cell r="AL215">
            <v>16</v>
          </cell>
          <cell r="AM215">
            <v>30</v>
          </cell>
          <cell r="AN215">
            <v>22</v>
          </cell>
          <cell r="AO215">
            <v>119</v>
          </cell>
          <cell r="AP215">
            <v>87</v>
          </cell>
          <cell r="AS215">
            <v>2007</v>
          </cell>
          <cell r="AT215">
            <v>30</v>
          </cell>
          <cell r="AU215">
            <v>29</v>
          </cell>
          <cell r="AV215">
            <v>119</v>
          </cell>
          <cell r="AW215">
            <v>0.25</v>
          </cell>
          <cell r="AX215">
            <v>1904</v>
          </cell>
          <cell r="AY215">
            <v>476</v>
          </cell>
          <cell r="AZ215">
            <v>36.880000000000003</v>
          </cell>
          <cell r="BA215">
            <v>29</v>
          </cell>
          <cell r="BB215">
            <v>784.31466666666665</v>
          </cell>
          <cell r="BC215">
            <v>36.880000000000003</v>
          </cell>
          <cell r="BD215">
            <v>29</v>
          </cell>
          <cell r="BE215">
            <v>784.31466666666665</v>
          </cell>
          <cell r="BF215">
            <v>36.880000000000003</v>
          </cell>
          <cell r="BG215">
            <v>29</v>
          </cell>
          <cell r="BH215">
            <v>784.31466666666665</v>
          </cell>
          <cell r="BI215">
            <v>0</v>
          </cell>
          <cell r="BJ215">
            <v>0</v>
          </cell>
          <cell r="BK215">
            <v>2352.944</v>
          </cell>
          <cell r="BL215">
            <v>3618.12</v>
          </cell>
          <cell r="BM215">
            <v>3618.12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8.5</v>
          </cell>
          <cell r="BS215">
            <v>10.25</v>
          </cell>
          <cell r="BT215">
            <v>11</v>
          </cell>
          <cell r="BU215">
            <v>29.75</v>
          </cell>
          <cell r="BY215">
            <v>6417.3140000000003</v>
          </cell>
          <cell r="CP215" t="str">
            <v>2504/10</v>
          </cell>
          <cell r="CQ215">
            <v>40455</v>
          </cell>
          <cell r="CR215">
            <v>40634</v>
          </cell>
          <cell r="CS215" t="str">
            <v>2010-0.267.421-9</v>
          </cell>
          <cell r="CT215" t="str">
            <v>REGNER BARBIONI BERNI</v>
          </cell>
          <cell r="CU215">
            <v>28015413893</v>
          </cell>
          <cell r="CV215">
            <v>115369</v>
          </cell>
          <cell r="CW215">
            <v>5873.9066666666668</v>
          </cell>
          <cell r="CX215">
            <v>158.59548000000001</v>
          </cell>
          <cell r="CY215">
            <v>29.369533333333337</v>
          </cell>
          <cell r="CZ215">
            <v>3524.3440000000001</v>
          </cell>
          <cell r="DA215">
            <v>287.35739999999998</v>
          </cell>
          <cell r="DD215">
            <v>287.35739999999998</v>
          </cell>
        </row>
        <row r="216">
          <cell r="C216" t="str">
            <v>2212/10</v>
          </cell>
          <cell r="D216" t="str">
            <v>01/01 A 31/01/11</v>
          </cell>
          <cell r="E216" t="str">
            <v>RICARDO GUIMARAES PAIVA</v>
          </cell>
          <cell r="F216" t="str">
            <v>EMEF</v>
          </cell>
          <cell r="G216">
            <v>15</v>
          </cell>
          <cell r="H216">
            <v>15</v>
          </cell>
          <cell r="I216">
            <v>15</v>
          </cell>
          <cell r="J216">
            <v>93378</v>
          </cell>
          <cell r="K216">
            <v>30</v>
          </cell>
          <cell r="L216">
            <v>27</v>
          </cell>
          <cell r="M216">
            <v>0</v>
          </cell>
          <cell r="N216">
            <v>93378</v>
          </cell>
          <cell r="O216">
            <v>30</v>
          </cell>
          <cell r="P216">
            <v>27</v>
          </cell>
          <cell r="Q216">
            <v>0</v>
          </cell>
          <cell r="R216">
            <v>93378</v>
          </cell>
          <cell r="S216">
            <v>34</v>
          </cell>
          <cell r="T216">
            <v>27</v>
          </cell>
          <cell r="U216">
            <v>0</v>
          </cell>
          <cell r="W216">
            <v>1</v>
          </cell>
          <cell r="Y216">
            <v>1</v>
          </cell>
          <cell r="AA216">
            <v>1</v>
          </cell>
          <cell r="AB216">
            <v>0</v>
          </cell>
          <cell r="AD216">
            <v>1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1</v>
          </cell>
          <cell r="AJ216">
            <v>1</v>
          </cell>
          <cell r="AK216">
            <v>22</v>
          </cell>
          <cell r="AL216">
            <v>16</v>
          </cell>
          <cell r="AM216">
            <v>30</v>
          </cell>
          <cell r="AN216">
            <v>22</v>
          </cell>
          <cell r="AO216">
            <v>94</v>
          </cell>
          <cell r="AP216">
            <v>81</v>
          </cell>
          <cell r="AS216">
            <v>2007</v>
          </cell>
          <cell r="AT216">
            <v>29</v>
          </cell>
          <cell r="AU216">
            <v>27</v>
          </cell>
          <cell r="AV216">
            <v>94</v>
          </cell>
          <cell r="AW216">
            <v>0.25</v>
          </cell>
          <cell r="AX216">
            <v>1504</v>
          </cell>
          <cell r="AY216">
            <v>376</v>
          </cell>
          <cell r="AZ216">
            <v>36.880000000000003</v>
          </cell>
          <cell r="BA216">
            <v>27</v>
          </cell>
          <cell r="BB216">
            <v>730.22400000000005</v>
          </cell>
          <cell r="BC216">
            <v>36.880000000000003</v>
          </cell>
          <cell r="BD216">
            <v>27</v>
          </cell>
          <cell r="BE216">
            <v>730.22400000000005</v>
          </cell>
          <cell r="BF216">
            <v>36.880000000000003</v>
          </cell>
          <cell r="BG216">
            <v>27</v>
          </cell>
          <cell r="BH216">
            <v>730.22400000000005</v>
          </cell>
          <cell r="BI216">
            <v>0</v>
          </cell>
          <cell r="BJ216">
            <v>0</v>
          </cell>
          <cell r="BK216">
            <v>2190.672</v>
          </cell>
          <cell r="BL216">
            <v>3618.12</v>
          </cell>
          <cell r="BM216">
            <v>3618.12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7.5</v>
          </cell>
          <cell r="BS216">
            <v>7.5</v>
          </cell>
          <cell r="BT216">
            <v>8.5</v>
          </cell>
          <cell r="BU216">
            <v>23.5</v>
          </cell>
          <cell r="BY216">
            <v>6161.2919999999995</v>
          </cell>
          <cell r="CP216" t="str">
            <v>3106/10</v>
          </cell>
          <cell r="CQ216">
            <v>40506</v>
          </cell>
          <cell r="CR216">
            <v>40685</v>
          </cell>
          <cell r="CS216" t="str">
            <v>2010-0.292.659-5</v>
          </cell>
          <cell r="CT216" t="str">
            <v>RENATO BEZERRA DA SILVA</v>
          </cell>
          <cell r="CU216" t="str">
            <v>317.171.898-73</v>
          </cell>
          <cell r="CV216">
            <v>124652</v>
          </cell>
          <cell r="CW216">
            <v>4482.985333333334</v>
          </cell>
          <cell r="CX216">
            <v>121.04060400000003</v>
          </cell>
          <cell r="CY216">
            <v>22.414926666666673</v>
          </cell>
          <cell r="CZ216">
            <v>2689.7912000000001</v>
          </cell>
          <cell r="DA216">
            <v>122.52868000000001</v>
          </cell>
          <cell r="DD216">
            <v>122.52868000000001</v>
          </cell>
        </row>
        <row r="217">
          <cell r="C217" t="str">
            <v>2318/10</v>
          </cell>
          <cell r="D217" t="str">
            <v>01/01 A 31/01/11</v>
          </cell>
          <cell r="E217" t="str">
            <v>RICARDO JESUS DA SILVA</v>
          </cell>
          <cell r="F217" t="str">
            <v>EMEF</v>
          </cell>
          <cell r="G217">
            <v>16</v>
          </cell>
          <cell r="H217">
            <v>16</v>
          </cell>
          <cell r="I217">
            <v>16</v>
          </cell>
          <cell r="J217">
            <v>18546</v>
          </cell>
          <cell r="K217">
            <v>33</v>
          </cell>
          <cell r="L217">
            <v>23</v>
          </cell>
          <cell r="M217">
            <v>0</v>
          </cell>
          <cell r="N217">
            <v>18546</v>
          </cell>
          <cell r="O217">
            <v>21</v>
          </cell>
          <cell r="P217">
            <v>23</v>
          </cell>
          <cell r="Q217">
            <v>0</v>
          </cell>
          <cell r="R217">
            <v>18546</v>
          </cell>
          <cell r="S217">
            <v>26</v>
          </cell>
          <cell r="T217">
            <v>23</v>
          </cell>
          <cell r="U217">
            <v>0</v>
          </cell>
          <cell r="W217">
            <v>1</v>
          </cell>
          <cell r="Y217">
            <v>1</v>
          </cell>
          <cell r="AA217">
            <v>1</v>
          </cell>
          <cell r="AB217">
            <v>0</v>
          </cell>
          <cell r="AE217">
            <v>1</v>
          </cell>
          <cell r="AG217">
            <v>1</v>
          </cell>
          <cell r="AI217">
            <v>1</v>
          </cell>
          <cell r="AJ217">
            <v>0</v>
          </cell>
          <cell r="AL217">
            <v>16</v>
          </cell>
          <cell r="AM217">
            <v>30</v>
          </cell>
          <cell r="AN217">
            <v>22</v>
          </cell>
          <cell r="AO217">
            <v>80</v>
          </cell>
          <cell r="AP217">
            <v>69</v>
          </cell>
          <cell r="AS217">
            <v>2006</v>
          </cell>
          <cell r="AT217">
            <v>25</v>
          </cell>
          <cell r="AU217">
            <v>23</v>
          </cell>
          <cell r="AV217">
            <v>80</v>
          </cell>
          <cell r="AW217">
            <v>0.25</v>
          </cell>
          <cell r="AX217">
            <v>1280</v>
          </cell>
          <cell r="AY217">
            <v>320</v>
          </cell>
          <cell r="AZ217">
            <v>36.880000000000003</v>
          </cell>
          <cell r="BA217">
            <v>23</v>
          </cell>
          <cell r="BB217">
            <v>622.04266666666672</v>
          </cell>
          <cell r="BC217">
            <v>36.880000000000003</v>
          </cell>
          <cell r="BD217">
            <v>23</v>
          </cell>
          <cell r="BE217">
            <v>622.04266666666672</v>
          </cell>
          <cell r="BF217">
            <v>36.880000000000003</v>
          </cell>
          <cell r="BG217">
            <v>23</v>
          </cell>
          <cell r="BH217">
            <v>622.04266666666672</v>
          </cell>
          <cell r="BI217">
            <v>0</v>
          </cell>
          <cell r="BJ217">
            <v>0</v>
          </cell>
          <cell r="BK217">
            <v>1866.1280000000002</v>
          </cell>
          <cell r="BL217">
            <v>3509.14</v>
          </cell>
          <cell r="BM217">
            <v>3509.14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Y217">
            <v>5695.268</v>
          </cell>
          <cell r="CP217" t="str">
            <v>2252/10</v>
          </cell>
          <cell r="CQ217">
            <v>40448</v>
          </cell>
          <cell r="CR217">
            <v>40627</v>
          </cell>
          <cell r="CS217" t="str">
            <v>2010-0.243.846-9</v>
          </cell>
          <cell r="CT217" t="str">
            <v>RENATO DE OLIVEIRA SOUSA</v>
          </cell>
          <cell r="CU217">
            <v>28302463817</v>
          </cell>
          <cell r="CV217">
            <v>106275</v>
          </cell>
          <cell r="CW217">
            <v>6104.7013333333334</v>
          </cell>
          <cell r="CX217">
            <v>164.82693600000002</v>
          </cell>
          <cell r="CY217">
            <v>30.52350666666667</v>
          </cell>
          <cell r="CZ217">
            <v>3662.8208</v>
          </cell>
          <cell r="DA217">
            <v>318.51468</v>
          </cell>
          <cell r="DD217">
            <v>318.51468</v>
          </cell>
        </row>
        <row r="218">
          <cell r="C218" t="str">
            <v>2236/10</v>
          </cell>
          <cell r="D218" t="str">
            <v>01/01 A 31/01/11</v>
          </cell>
          <cell r="E218" t="str">
            <v>ROBERTO CARLOS DA GAMA</v>
          </cell>
          <cell r="F218" t="str">
            <v>EMEF</v>
          </cell>
          <cell r="G218">
            <v>16</v>
          </cell>
          <cell r="H218">
            <v>16</v>
          </cell>
          <cell r="I218">
            <v>16</v>
          </cell>
          <cell r="J218">
            <v>16501</v>
          </cell>
          <cell r="K218">
            <v>20</v>
          </cell>
          <cell r="L218">
            <v>17</v>
          </cell>
          <cell r="M218">
            <v>0</v>
          </cell>
          <cell r="N218">
            <v>16501</v>
          </cell>
          <cell r="O218">
            <v>9</v>
          </cell>
          <cell r="P218">
            <v>10</v>
          </cell>
          <cell r="Q218">
            <v>0</v>
          </cell>
          <cell r="R218">
            <v>16501</v>
          </cell>
          <cell r="S218">
            <v>25</v>
          </cell>
          <cell r="T218">
            <v>22</v>
          </cell>
          <cell r="U218">
            <v>0</v>
          </cell>
          <cell r="W218">
            <v>1</v>
          </cell>
          <cell r="Y218">
            <v>1</v>
          </cell>
          <cell r="AA218">
            <v>1</v>
          </cell>
          <cell r="AB218">
            <v>0</v>
          </cell>
          <cell r="AE218">
            <v>1</v>
          </cell>
          <cell r="AG218">
            <v>1</v>
          </cell>
          <cell r="AI218">
            <v>1</v>
          </cell>
          <cell r="AJ218">
            <v>0</v>
          </cell>
          <cell r="AL218">
            <v>16</v>
          </cell>
          <cell r="AM218">
            <v>30</v>
          </cell>
          <cell r="AN218">
            <v>22</v>
          </cell>
          <cell r="AO218">
            <v>54</v>
          </cell>
          <cell r="AP218">
            <v>49</v>
          </cell>
          <cell r="AS218">
            <v>2002</v>
          </cell>
          <cell r="AT218">
            <v>25</v>
          </cell>
          <cell r="AU218">
            <v>23</v>
          </cell>
          <cell r="AV218">
            <v>54</v>
          </cell>
          <cell r="AW218">
            <v>0.25</v>
          </cell>
          <cell r="AX218">
            <v>864</v>
          </cell>
          <cell r="AY218">
            <v>216</v>
          </cell>
          <cell r="AZ218">
            <v>36.880000000000003</v>
          </cell>
          <cell r="BA218">
            <v>17</v>
          </cell>
          <cell r="BB218">
            <v>459.77066666666667</v>
          </cell>
          <cell r="BC218">
            <v>36.880000000000003</v>
          </cell>
          <cell r="BD218">
            <v>10</v>
          </cell>
          <cell r="BE218">
            <v>270.45333333333332</v>
          </cell>
          <cell r="BF218">
            <v>36.880000000000003</v>
          </cell>
          <cell r="BG218">
            <v>22</v>
          </cell>
          <cell r="BH218">
            <v>594.99733333333336</v>
          </cell>
          <cell r="BI218">
            <v>0</v>
          </cell>
          <cell r="BJ218">
            <v>0</v>
          </cell>
          <cell r="BK218">
            <v>1325.2213333333334</v>
          </cell>
          <cell r="BL218">
            <v>3073.24</v>
          </cell>
          <cell r="BM218">
            <v>3073.24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Y218">
            <v>4614.4613333333327</v>
          </cell>
          <cell r="CP218" t="str">
            <v>2317/10</v>
          </cell>
          <cell r="CQ218">
            <v>40448</v>
          </cell>
          <cell r="CR218">
            <v>40627</v>
          </cell>
          <cell r="CS218" t="str">
            <v>2010-0.245.459-6</v>
          </cell>
          <cell r="CT218" t="str">
            <v>RICARDO BEZERRA DA SILVA</v>
          </cell>
          <cell r="CU218">
            <v>27284756870</v>
          </cell>
          <cell r="CV218">
            <v>106424</v>
          </cell>
          <cell r="CW218">
            <v>6417.3140000000003</v>
          </cell>
          <cell r="CX218">
            <v>173.26747800000004</v>
          </cell>
          <cell r="CY218">
            <v>32.086570000000009</v>
          </cell>
          <cell r="CZ218">
            <v>3850.3883999999998</v>
          </cell>
          <cell r="DA218">
            <v>366.07681000000002</v>
          </cell>
          <cell r="DD218">
            <v>366.07681000000002</v>
          </cell>
        </row>
        <row r="219">
          <cell r="C219" t="str">
            <v>2655/10</v>
          </cell>
          <cell r="D219" t="str">
            <v>01/01 A 31/01/11</v>
          </cell>
          <cell r="E219" t="str">
            <v>ROBERTO GONCALVES DA SILVA</v>
          </cell>
          <cell r="F219" t="str">
            <v>EMEI / EMEF</v>
          </cell>
          <cell r="G219">
            <v>16</v>
          </cell>
          <cell r="H219">
            <v>16</v>
          </cell>
          <cell r="I219">
            <v>16</v>
          </cell>
          <cell r="J219">
            <v>93319</v>
          </cell>
          <cell r="K219">
            <v>14</v>
          </cell>
          <cell r="L219">
            <v>27</v>
          </cell>
          <cell r="M219">
            <v>0</v>
          </cell>
          <cell r="N219">
            <v>93319</v>
          </cell>
          <cell r="O219">
            <v>20</v>
          </cell>
          <cell r="P219">
            <v>24</v>
          </cell>
          <cell r="Q219">
            <v>0</v>
          </cell>
          <cell r="R219">
            <v>90557</v>
          </cell>
          <cell r="S219">
            <v>35</v>
          </cell>
          <cell r="T219">
            <v>26</v>
          </cell>
          <cell r="U219">
            <v>0</v>
          </cell>
          <cell r="W219">
            <v>1</v>
          </cell>
          <cell r="Y219">
            <v>1</v>
          </cell>
          <cell r="AA219">
            <v>1</v>
          </cell>
          <cell r="AB219">
            <v>0</v>
          </cell>
          <cell r="AE219">
            <v>1</v>
          </cell>
          <cell r="AG219">
            <v>1</v>
          </cell>
          <cell r="AI219">
            <v>1</v>
          </cell>
          <cell r="AJ219">
            <v>0</v>
          </cell>
          <cell r="AL219">
            <v>16</v>
          </cell>
          <cell r="AM219">
            <v>30</v>
          </cell>
          <cell r="AN219">
            <v>22</v>
          </cell>
          <cell r="AO219">
            <v>69</v>
          </cell>
          <cell r="AP219">
            <v>77</v>
          </cell>
          <cell r="AS219">
            <v>2007</v>
          </cell>
          <cell r="AT219">
            <v>29</v>
          </cell>
          <cell r="AU219">
            <v>27</v>
          </cell>
          <cell r="AV219">
            <v>69</v>
          </cell>
          <cell r="AW219">
            <v>0.25</v>
          </cell>
          <cell r="AX219">
            <v>1104</v>
          </cell>
          <cell r="AY219">
            <v>276</v>
          </cell>
          <cell r="AZ219">
            <v>36.880000000000003</v>
          </cell>
          <cell r="BA219">
            <v>27</v>
          </cell>
          <cell r="BB219">
            <v>730.22400000000005</v>
          </cell>
          <cell r="BC219">
            <v>36.880000000000003</v>
          </cell>
          <cell r="BD219">
            <v>24</v>
          </cell>
          <cell r="BE219">
            <v>649.08800000000008</v>
          </cell>
          <cell r="BF219">
            <v>36.880000000000003</v>
          </cell>
          <cell r="BG219">
            <v>26</v>
          </cell>
          <cell r="BH219">
            <v>703.1786666666668</v>
          </cell>
          <cell r="BI219">
            <v>0</v>
          </cell>
          <cell r="BJ219">
            <v>0</v>
          </cell>
          <cell r="BK219">
            <v>2082.490666666667</v>
          </cell>
          <cell r="BL219">
            <v>3618.12</v>
          </cell>
          <cell r="BM219">
            <v>3618.12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Y219">
            <v>5976.6106666666674</v>
          </cell>
          <cell r="CP219" t="str">
            <v>2212/10</v>
          </cell>
          <cell r="CQ219">
            <v>40448</v>
          </cell>
          <cell r="CR219">
            <v>40627</v>
          </cell>
          <cell r="CS219" t="str">
            <v>2010-0.243.261-4</v>
          </cell>
          <cell r="CT219" t="str">
            <v>RICARDO GUIMARAES PAIVA</v>
          </cell>
          <cell r="CU219">
            <v>28193039866</v>
          </cell>
          <cell r="CV219">
            <v>106218</v>
          </cell>
          <cell r="CW219">
            <v>6161.2919999999995</v>
          </cell>
          <cell r="CX219">
            <v>166.354884</v>
          </cell>
          <cell r="CY219">
            <v>30.806460000000001</v>
          </cell>
          <cell r="CZ219">
            <v>3696.7751999999996</v>
          </cell>
          <cell r="DA219">
            <v>326.15441999999996</v>
          </cell>
          <cell r="DD219">
            <v>326.15441999999996</v>
          </cell>
        </row>
        <row r="220">
          <cell r="C220" t="str">
            <v>1614/10</v>
          </cell>
          <cell r="D220" t="str">
            <v>01/01 A 31/01/11</v>
          </cell>
          <cell r="E220" t="str">
            <v>ROGERIO DOS REIS</v>
          </cell>
          <cell r="F220" t="str">
            <v>EMEI</v>
          </cell>
          <cell r="G220">
            <v>16</v>
          </cell>
          <cell r="H220">
            <v>16</v>
          </cell>
          <cell r="I220">
            <v>16</v>
          </cell>
          <cell r="J220">
            <v>19448</v>
          </cell>
          <cell r="K220">
            <v>37</v>
          </cell>
          <cell r="L220">
            <v>25</v>
          </cell>
          <cell r="M220">
            <v>0</v>
          </cell>
          <cell r="N220">
            <v>19448</v>
          </cell>
          <cell r="O220">
            <v>77</v>
          </cell>
          <cell r="P220">
            <v>42</v>
          </cell>
          <cell r="Q220">
            <v>0</v>
          </cell>
          <cell r="R220">
            <v>19441</v>
          </cell>
          <cell r="S220">
            <v>39</v>
          </cell>
          <cell r="T220">
            <v>33</v>
          </cell>
          <cell r="U220">
            <v>0</v>
          </cell>
          <cell r="W220">
            <v>1</v>
          </cell>
          <cell r="Y220">
            <v>1</v>
          </cell>
          <cell r="AA220">
            <v>1</v>
          </cell>
          <cell r="AB220">
            <v>0</v>
          </cell>
          <cell r="AE220">
            <v>1</v>
          </cell>
          <cell r="AG220">
            <v>1</v>
          </cell>
          <cell r="AI220">
            <v>1</v>
          </cell>
          <cell r="AJ220">
            <v>0</v>
          </cell>
          <cell r="AL220">
            <v>16</v>
          </cell>
          <cell r="AM220">
            <v>30</v>
          </cell>
          <cell r="AN220">
            <v>22</v>
          </cell>
          <cell r="AO220">
            <v>153</v>
          </cell>
          <cell r="AP220">
            <v>100</v>
          </cell>
          <cell r="AS220">
            <v>2007</v>
          </cell>
          <cell r="AT220">
            <v>29</v>
          </cell>
          <cell r="AU220">
            <v>27</v>
          </cell>
          <cell r="AV220">
            <v>153</v>
          </cell>
          <cell r="AW220">
            <v>0.25</v>
          </cell>
          <cell r="AX220">
            <v>2448</v>
          </cell>
          <cell r="AY220">
            <v>612</v>
          </cell>
          <cell r="AZ220">
            <v>36.880000000000003</v>
          </cell>
          <cell r="BA220">
            <v>25</v>
          </cell>
          <cell r="BB220">
            <v>676.13333333333344</v>
          </cell>
          <cell r="BC220">
            <v>36.880000000000003</v>
          </cell>
          <cell r="BD220">
            <v>42</v>
          </cell>
          <cell r="BE220">
            <v>1135.904</v>
          </cell>
          <cell r="BF220">
            <v>36.880000000000003</v>
          </cell>
          <cell r="BG220">
            <v>33</v>
          </cell>
          <cell r="BH220">
            <v>892.49600000000009</v>
          </cell>
          <cell r="BI220">
            <v>0</v>
          </cell>
          <cell r="BJ220">
            <v>0</v>
          </cell>
          <cell r="BK220">
            <v>2704.5333333333338</v>
          </cell>
          <cell r="BL220">
            <v>3618.12</v>
          </cell>
          <cell r="BM220">
            <v>3618.12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Y220">
            <v>6934.6533333333336</v>
          </cell>
          <cell r="CP220" t="str">
            <v>2318/10</v>
          </cell>
          <cell r="CQ220">
            <v>40448</v>
          </cell>
          <cell r="CR220">
            <v>40627</v>
          </cell>
          <cell r="CS220" t="str">
            <v>2010-0.245.460-0</v>
          </cell>
          <cell r="CT220" t="str">
            <v>RICARDO JESUS DA SILVA</v>
          </cell>
          <cell r="CU220">
            <v>24970943818</v>
          </cell>
          <cell r="CV220">
            <v>106429</v>
          </cell>
          <cell r="CW220">
            <v>5695.268</v>
          </cell>
          <cell r="CX220">
            <v>153.77223599999999</v>
          </cell>
          <cell r="CY220">
            <v>28.47634</v>
          </cell>
          <cell r="CZ220">
            <v>3417.1608000000001</v>
          </cell>
          <cell r="DA220">
            <v>263.24117999999999</v>
          </cell>
          <cell r="DD220">
            <v>263.24117999999999</v>
          </cell>
        </row>
        <row r="221">
          <cell r="C221" t="str">
            <v>2743/10</v>
          </cell>
          <cell r="D221" t="str">
            <v>01/01 A 31/01/11</v>
          </cell>
          <cell r="E221" t="str">
            <v>ROGERIO FRANCISCO DA SILVA</v>
          </cell>
          <cell r="F221" t="str">
            <v>EMEI</v>
          </cell>
          <cell r="G221">
            <v>16</v>
          </cell>
          <cell r="H221">
            <v>16</v>
          </cell>
          <cell r="I221">
            <v>16</v>
          </cell>
          <cell r="J221">
            <v>19151</v>
          </cell>
          <cell r="K221">
            <v>18</v>
          </cell>
          <cell r="L221">
            <v>27</v>
          </cell>
          <cell r="M221">
            <v>0</v>
          </cell>
          <cell r="N221">
            <v>19151</v>
          </cell>
          <cell r="O221">
            <v>22</v>
          </cell>
          <cell r="P221">
            <v>26</v>
          </cell>
          <cell r="Q221">
            <v>0</v>
          </cell>
          <cell r="R221">
            <v>19151</v>
          </cell>
          <cell r="S221">
            <v>18</v>
          </cell>
          <cell r="T221">
            <v>27</v>
          </cell>
          <cell r="U221">
            <v>0</v>
          </cell>
          <cell r="W221">
            <v>1</v>
          </cell>
          <cell r="Y221">
            <v>1</v>
          </cell>
          <cell r="AA221">
            <v>1</v>
          </cell>
          <cell r="AB221">
            <v>0</v>
          </cell>
          <cell r="AE221">
            <v>1</v>
          </cell>
          <cell r="AG221">
            <v>1</v>
          </cell>
          <cell r="AI221">
            <v>1</v>
          </cell>
          <cell r="AJ221">
            <v>0</v>
          </cell>
          <cell r="AL221">
            <v>16</v>
          </cell>
          <cell r="AM221">
            <v>30</v>
          </cell>
          <cell r="AN221">
            <v>22</v>
          </cell>
          <cell r="AO221">
            <v>58</v>
          </cell>
          <cell r="AP221">
            <v>80</v>
          </cell>
          <cell r="AS221">
            <v>2007</v>
          </cell>
          <cell r="AT221">
            <v>29</v>
          </cell>
          <cell r="AU221">
            <v>27</v>
          </cell>
          <cell r="AV221">
            <v>58</v>
          </cell>
          <cell r="AW221">
            <v>0.25</v>
          </cell>
          <cell r="AX221">
            <v>928</v>
          </cell>
          <cell r="AY221">
            <v>232</v>
          </cell>
          <cell r="AZ221">
            <v>36.880000000000003</v>
          </cell>
          <cell r="BA221">
            <v>27</v>
          </cell>
          <cell r="BB221">
            <v>730.22400000000005</v>
          </cell>
          <cell r="BC221">
            <v>36.880000000000003</v>
          </cell>
          <cell r="BD221">
            <v>26</v>
          </cell>
          <cell r="BE221">
            <v>703.1786666666668</v>
          </cell>
          <cell r="BF221">
            <v>36.880000000000003</v>
          </cell>
          <cell r="BG221">
            <v>27</v>
          </cell>
          <cell r="BH221">
            <v>730.22400000000005</v>
          </cell>
          <cell r="BI221">
            <v>0</v>
          </cell>
          <cell r="BJ221">
            <v>0</v>
          </cell>
          <cell r="BK221">
            <v>2163.626666666667</v>
          </cell>
          <cell r="BL221">
            <v>3618.12</v>
          </cell>
          <cell r="BM221">
            <v>3618.12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Y221">
            <v>6013.7466666666669</v>
          </cell>
          <cell r="CP221" t="str">
            <v>2236/10</v>
          </cell>
          <cell r="CQ221">
            <v>40448</v>
          </cell>
          <cell r="CR221">
            <v>40627</v>
          </cell>
          <cell r="CS221" t="str">
            <v>2010-0.243.839-6</v>
          </cell>
          <cell r="CT221" t="str">
            <v>ROBERTO CARLOS DA GAMA</v>
          </cell>
          <cell r="CU221" t="str">
            <v>048.693.508-66</v>
          </cell>
          <cell r="CV221">
            <v>106245</v>
          </cell>
          <cell r="CW221">
            <v>4614.4613333333327</v>
          </cell>
          <cell r="CX221">
            <v>124.590456</v>
          </cell>
          <cell r="CY221">
            <v>23.072306666666666</v>
          </cell>
          <cell r="CZ221">
            <v>2768.6767999999997</v>
          </cell>
          <cell r="DA221">
            <v>134.36151999999993</v>
          </cell>
          <cell r="DD221">
            <v>134.36151999999993</v>
          </cell>
        </row>
        <row r="222">
          <cell r="C222" t="str">
            <v>2547/10</v>
          </cell>
          <cell r="D222" t="str">
            <v>01/01 A 31/01/11</v>
          </cell>
          <cell r="E222" t="str">
            <v>ROGERIO SOARES DA SILVA</v>
          </cell>
          <cell r="F222" t="str">
            <v>EMEF</v>
          </cell>
          <cell r="G222">
            <v>16</v>
          </cell>
          <cell r="H222">
            <v>16</v>
          </cell>
          <cell r="I222">
            <v>16</v>
          </cell>
          <cell r="J222">
            <v>18546</v>
          </cell>
          <cell r="K222">
            <v>12</v>
          </cell>
          <cell r="L222">
            <v>17</v>
          </cell>
          <cell r="M222">
            <v>0</v>
          </cell>
          <cell r="N222">
            <v>18546</v>
          </cell>
          <cell r="O222">
            <v>13</v>
          </cell>
          <cell r="P222">
            <v>17</v>
          </cell>
          <cell r="Q222">
            <v>0</v>
          </cell>
          <cell r="R222">
            <v>18546</v>
          </cell>
          <cell r="S222">
            <v>13</v>
          </cell>
          <cell r="T222">
            <v>17</v>
          </cell>
          <cell r="U222">
            <v>0</v>
          </cell>
          <cell r="W222">
            <v>1</v>
          </cell>
          <cell r="Y222">
            <v>1</v>
          </cell>
          <cell r="AA222">
            <v>1</v>
          </cell>
          <cell r="AB222">
            <v>0</v>
          </cell>
          <cell r="AE222">
            <v>1</v>
          </cell>
          <cell r="AG222">
            <v>1</v>
          </cell>
          <cell r="AI222">
            <v>1</v>
          </cell>
          <cell r="AJ222">
            <v>0</v>
          </cell>
          <cell r="AL222">
            <v>16</v>
          </cell>
          <cell r="AM222">
            <v>30</v>
          </cell>
          <cell r="AN222">
            <v>22</v>
          </cell>
          <cell r="AO222">
            <v>38</v>
          </cell>
          <cell r="AP222">
            <v>51</v>
          </cell>
          <cell r="AS222">
            <v>2009</v>
          </cell>
          <cell r="AT222">
            <v>19</v>
          </cell>
          <cell r="AU222">
            <v>17</v>
          </cell>
          <cell r="AV222">
            <v>38</v>
          </cell>
          <cell r="AW222">
            <v>0.25</v>
          </cell>
          <cell r="AX222">
            <v>608</v>
          </cell>
          <cell r="AY222">
            <v>152</v>
          </cell>
          <cell r="AZ222">
            <v>36.880000000000003</v>
          </cell>
          <cell r="BA222">
            <v>17</v>
          </cell>
          <cell r="BB222">
            <v>459.77066666666667</v>
          </cell>
          <cell r="BC222">
            <v>36.880000000000003</v>
          </cell>
          <cell r="BD222">
            <v>17</v>
          </cell>
          <cell r="BE222">
            <v>459.77066666666667</v>
          </cell>
          <cell r="BF222">
            <v>36.880000000000003</v>
          </cell>
          <cell r="BG222">
            <v>17</v>
          </cell>
          <cell r="BH222">
            <v>459.77066666666667</v>
          </cell>
          <cell r="BI222">
            <v>0</v>
          </cell>
          <cell r="BJ222">
            <v>0</v>
          </cell>
          <cell r="BK222">
            <v>1379.3119999999999</v>
          </cell>
          <cell r="BL222">
            <v>2650.9</v>
          </cell>
          <cell r="BM222">
            <v>2650.9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Y222">
            <v>4182.2119999999995</v>
          </cell>
          <cell r="CP222" t="str">
            <v>2655/10</v>
          </cell>
          <cell r="CQ222">
            <v>40462</v>
          </cell>
          <cell r="CR222">
            <v>40641</v>
          </cell>
          <cell r="CS222" t="str">
            <v>2010-0.270.646-3</v>
          </cell>
          <cell r="CT222" t="str">
            <v>ROBERTO GONCALVES DA SILVA</v>
          </cell>
          <cell r="CU222" t="str">
            <v>022.375.588-50</v>
          </cell>
          <cell r="CV222">
            <v>114107</v>
          </cell>
          <cell r="CW222">
            <v>5976.6106666666674</v>
          </cell>
          <cell r="CX222">
            <v>161.36848800000004</v>
          </cell>
          <cell r="CY222">
            <v>29.88305333333334</v>
          </cell>
          <cell r="CZ222">
            <v>3585.9664000000002</v>
          </cell>
          <cell r="DA222">
            <v>301.22244000000012</v>
          </cell>
          <cell r="DD222">
            <v>301.22244000000012</v>
          </cell>
        </row>
        <row r="223">
          <cell r="C223" t="str">
            <v>1561/10</v>
          </cell>
          <cell r="D223" t="str">
            <v>01/01 A 31/01/11</v>
          </cell>
          <cell r="E223" t="str">
            <v>RONALDO FRANCISCO MARIANO</v>
          </cell>
          <cell r="F223" t="str">
            <v>EMEF</v>
          </cell>
          <cell r="G223">
            <v>3</v>
          </cell>
          <cell r="H223">
            <v>3</v>
          </cell>
          <cell r="I223">
            <v>3</v>
          </cell>
          <cell r="J223">
            <v>93408</v>
          </cell>
          <cell r="K223">
            <v>30</v>
          </cell>
          <cell r="L223">
            <v>17</v>
          </cell>
          <cell r="M223">
            <v>0</v>
          </cell>
          <cell r="N223">
            <v>93408</v>
          </cell>
          <cell r="O223">
            <v>33</v>
          </cell>
          <cell r="P223">
            <v>17</v>
          </cell>
          <cell r="Q223">
            <v>0</v>
          </cell>
          <cell r="R223">
            <v>93408</v>
          </cell>
          <cell r="S223">
            <v>28</v>
          </cell>
          <cell r="T223">
            <v>17</v>
          </cell>
          <cell r="U223">
            <v>0</v>
          </cell>
          <cell r="W223">
            <v>1</v>
          </cell>
          <cell r="Y223">
            <v>1</v>
          </cell>
          <cell r="AA223">
            <v>1</v>
          </cell>
          <cell r="AB223">
            <v>0</v>
          </cell>
          <cell r="AE223">
            <v>1</v>
          </cell>
          <cell r="AG223">
            <v>1</v>
          </cell>
          <cell r="AI223">
            <v>1</v>
          </cell>
          <cell r="AJ223">
            <v>0</v>
          </cell>
          <cell r="AL223">
            <v>3</v>
          </cell>
          <cell r="AM223">
            <v>4</v>
          </cell>
          <cell r="AN223">
            <v>4</v>
          </cell>
          <cell r="AO223">
            <v>91</v>
          </cell>
          <cell r="AP223">
            <v>51</v>
          </cell>
          <cell r="AS223">
            <v>2007</v>
          </cell>
          <cell r="AT223">
            <v>19</v>
          </cell>
          <cell r="AU223">
            <v>17</v>
          </cell>
          <cell r="AV223">
            <v>91</v>
          </cell>
          <cell r="AW223">
            <v>0.65</v>
          </cell>
          <cell r="AX223">
            <v>273</v>
          </cell>
          <cell r="AY223">
            <v>177.45000000000002</v>
          </cell>
          <cell r="AZ223">
            <v>48.26</v>
          </cell>
          <cell r="BA223">
            <v>17</v>
          </cell>
          <cell r="BB223">
            <v>109.38933333333333</v>
          </cell>
          <cell r="BC223">
            <v>48.26</v>
          </cell>
          <cell r="BD223">
            <v>17</v>
          </cell>
          <cell r="BE223">
            <v>109.38933333333333</v>
          </cell>
          <cell r="BF223">
            <v>48.26</v>
          </cell>
          <cell r="BG223">
            <v>17</v>
          </cell>
          <cell r="BH223">
            <v>109.38933333333333</v>
          </cell>
          <cell r="BI223">
            <v>0</v>
          </cell>
          <cell r="BJ223">
            <v>0</v>
          </cell>
          <cell r="BK223">
            <v>328.16800000000001</v>
          </cell>
          <cell r="BL223">
            <v>2483</v>
          </cell>
          <cell r="BM223">
            <v>331.06666666666666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Y223">
            <v>836.68466666666666</v>
          </cell>
          <cell r="CP223" t="str">
            <v>1614/10</v>
          </cell>
          <cell r="CQ223">
            <v>40392</v>
          </cell>
          <cell r="CR223">
            <v>40571</v>
          </cell>
          <cell r="CS223" t="str">
            <v>2010-0.184.622-9</v>
          </cell>
          <cell r="CT223" t="str">
            <v>ROGERIO DOS REIS</v>
          </cell>
          <cell r="CU223">
            <v>25931154833</v>
          </cell>
          <cell r="CV223">
            <v>86027</v>
          </cell>
          <cell r="CW223">
            <v>6934.6533333333336</v>
          </cell>
          <cell r="CX223">
            <v>187.23564000000005</v>
          </cell>
          <cell r="CY223">
            <v>34.67326666666667</v>
          </cell>
          <cell r="CZ223">
            <v>4160.7920000000004</v>
          </cell>
          <cell r="DA223">
            <v>451.43780000000015</v>
          </cell>
          <cell r="DD223">
            <v>451.43780000000015</v>
          </cell>
        </row>
        <row r="224">
          <cell r="C224" t="str">
            <v>3150/10</v>
          </cell>
          <cell r="D224" t="str">
            <v>01/01 A 31/01/11</v>
          </cell>
          <cell r="E224" t="str">
            <v>RONALDO FRANCISCO MARIANO</v>
          </cell>
          <cell r="F224" t="str">
            <v>EMEF</v>
          </cell>
          <cell r="G224">
            <v>13</v>
          </cell>
          <cell r="H224">
            <v>13</v>
          </cell>
          <cell r="I224">
            <v>13</v>
          </cell>
          <cell r="J224">
            <v>93408</v>
          </cell>
          <cell r="K224">
            <v>30</v>
          </cell>
          <cell r="L224">
            <v>17</v>
          </cell>
          <cell r="M224">
            <v>0</v>
          </cell>
          <cell r="N224">
            <v>93408</v>
          </cell>
          <cell r="O224">
            <v>33</v>
          </cell>
          <cell r="P224">
            <v>17</v>
          </cell>
          <cell r="Q224">
            <v>0</v>
          </cell>
          <cell r="R224">
            <v>93408</v>
          </cell>
          <cell r="S224">
            <v>28</v>
          </cell>
          <cell r="T224">
            <v>17</v>
          </cell>
          <cell r="U224">
            <v>0</v>
          </cell>
          <cell r="W224">
            <v>1</v>
          </cell>
          <cell r="Y224">
            <v>1</v>
          </cell>
          <cell r="AA224">
            <v>1</v>
          </cell>
          <cell r="AB224">
            <v>0</v>
          </cell>
          <cell r="AE224">
            <v>1</v>
          </cell>
          <cell r="AG224">
            <v>1</v>
          </cell>
          <cell r="AI224">
            <v>1</v>
          </cell>
          <cell r="AJ224">
            <v>0</v>
          </cell>
          <cell r="AL224">
            <v>13</v>
          </cell>
          <cell r="AM224">
            <v>25</v>
          </cell>
          <cell r="AN224">
            <v>17</v>
          </cell>
          <cell r="AO224">
            <v>91</v>
          </cell>
          <cell r="AP224">
            <v>51</v>
          </cell>
          <cell r="AS224">
            <v>2007</v>
          </cell>
          <cell r="AT224">
            <v>19</v>
          </cell>
          <cell r="AU224">
            <v>17</v>
          </cell>
          <cell r="AV224">
            <v>91</v>
          </cell>
          <cell r="AW224">
            <v>0.65</v>
          </cell>
          <cell r="AX224">
            <v>1183</v>
          </cell>
          <cell r="AY224">
            <v>768.95</v>
          </cell>
          <cell r="AZ224">
            <v>48.26</v>
          </cell>
          <cell r="BA224">
            <v>17</v>
          </cell>
          <cell r="BB224">
            <v>464.90466666666663</v>
          </cell>
          <cell r="BC224">
            <v>48.26</v>
          </cell>
          <cell r="BD224">
            <v>17</v>
          </cell>
          <cell r="BE224">
            <v>464.90466666666663</v>
          </cell>
          <cell r="BF224">
            <v>48.26</v>
          </cell>
          <cell r="BG224">
            <v>17</v>
          </cell>
          <cell r="BH224">
            <v>464.90466666666663</v>
          </cell>
          <cell r="BI224">
            <v>0</v>
          </cell>
          <cell r="BJ224">
            <v>0</v>
          </cell>
          <cell r="BK224">
            <v>1394.7139999999999</v>
          </cell>
          <cell r="BL224">
            <v>2483</v>
          </cell>
          <cell r="BM224">
            <v>2069.1666666666665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Y224">
            <v>4232.8306666666667</v>
          </cell>
          <cell r="CP224" t="str">
            <v>2743/10</v>
          </cell>
          <cell r="CQ224">
            <v>40469</v>
          </cell>
          <cell r="CR224">
            <v>40648</v>
          </cell>
          <cell r="CS224" t="str">
            <v>2010-0.277.649-6</v>
          </cell>
          <cell r="CT224" t="str">
            <v>ROGERIO FRANCISCO DA SILVA</v>
          </cell>
          <cell r="CU224">
            <v>18470496808</v>
          </cell>
          <cell r="CV224">
            <v>115373</v>
          </cell>
          <cell r="CW224">
            <v>6013.7466666666669</v>
          </cell>
          <cell r="CX224">
            <v>162.37116000000003</v>
          </cell>
          <cell r="CY224">
            <v>30.068733333333338</v>
          </cell>
          <cell r="CZ224">
            <v>3608.248</v>
          </cell>
          <cell r="DA224">
            <v>306.23580000000004</v>
          </cell>
          <cell r="DD224">
            <v>306.23580000000004</v>
          </cell>
        </row>
        <row r="225">
          <cell r="C225" t="str">
            <v>2153/10</v>
          </cell>
          <cell r="D225" t="str">
            <v>01/01 A 31/01/11</v>
          </cell>
          <cell r="E225" t="str">
            <v>RONALDO GUIMARAES DOS SANTOS</v>
          </cell>
          <cell r="F225" t="str">
            <v>EMEF</v>
          </cell>
          <cell r="G225">
            <v>16</v>
          </cell>
          <cell r="H225">
            <v>16</v>
          </cell>
          <cell r="I225">
            <v>16</v>
          </cell>
          <cell r="J225">
            <v>19313</v>
          </cell>
          <cell r="K225">
            <v>42</v>
          </cell>
          <cell r="L225">
            <v>27</v>
          </cell>
          <cell r="M225">
            <v>0</v>
          </cell>
          <cell r="N225">
            <v>19313</v>
          </cell>
          <cell r="O225">
            <v>34</v>
          </cell>
          <cell r="P225">
            <v>27</v>
          </cell>
          <cell r="Q225">
            <v>0</v>
          </cell>
          <cell r="R225">
            <v>19313</v>
          </cell>
          <cell r="S225">
            <v>44</v>
          </cell>
          <cell r="T225">
            <v>27</v>
          </cell>
          <cell r="U225">
            <v>0</v>
          </cell>
          <cell r="W225">
            <v>1</v>
          </cell>
          <cell r="Y225">
            <v>1</v>
          </cell>
          <cell r="AA225">
            <v>1</v>
          </cell>
          <cell r="AB225">
            <v>0</v>
          </cell>
          <cell r="AE225">
            <v>1</v>
          </cell>
          <cell r="AG225">
            <v>1</v>
          </cell>
          <cell r="AI225">
            <v>1</v>
          </cell>
          <cell r="AJ225">
            <v>0</v>
          </cell>
          <cell r="AL225">
            <v>16</v>
          </cell>
          <cell r="AM225">
            <v>30</v>
          </cell>
          <cell r="AN225">
            <v>22</v>
          </cell>
          <cell r="AO225">
            <v>120</v>
          </cell>
          <cell r="AP225">
            <v>81</v>
          </cell>
          <cell r="AS225">
            <v>2007</v>
          </cell>
          <cell r="AT225">
            <v>29</v>
          </cell>
          <cell r="AU225">
            <v>27</v>
          </cell>
          <cell r="AV225">
            <v>120</v>
          </cell>
          <cell r="AW225">
            <v>0.25</v>
          </cell>
          <cell r="AX225">
            <v>1920</v>
          </cell>
          <cell r="AY225">
            <v>480</v>
          </cell>
          <cell r="AZ225">
            <v>36.880000000000003</v>
          </cell>
          <cell r="BA225">
            <v>27</v>
          </cell>
          <cell r="BB225">
            <v>730.22400000000005</v>
          </cell>
          <cell r="BC225">
            <v>36.880000000000003</v>
          </cell>
          <cell r="BD225">
            <v>27</v>
          </cell>
          <cell r="BE225">
            <v>730.22400000000005</v>
          </cell>
          <cell r="BF225">
            <v>36.880000000000003</v>
          </cell>
          <cell r="BG225">
            <v>27</v>
          </cell>
          <cell r="BH225">
            <v>730.22400000000005</v>
          </cell>
          <cell r="BI225">
            <v>0</v>
          </cell>
          <cell r="BJ225">
            <v>0</v>
          </cell>
          <cell r="BK225">
            <v>2190.672</v>
          </cell>
          <cell r="BL225">
            <v>3618.12</v>
          </cell>
          <cell r="BM225">
            <v>3618.12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Y225">
            <v>6288.7919999999995</v>
          </cell>
          <cell r="CP225" t="str">
            <v>2547/10</v>
          </cell>
          <cell r="CQ225">
            <v>40455</v>
          </cell>
          <cell r="CR225">
            <v>40634</v>
          </cell>
          <cell r="CS225" t="str">
            <v>2010-0.268.646-2</v>
          </cell>
          <cell r="CT225" t="str">
            <v>ROGERIO SOARES DA SILVA</v>
          </cell>
          <cell r="CU225">
            <v>30399520805</v>
          </cell>
          <cell r="CV225">
            <v>115376</v>
          </cell>
          <cell r="CW225">
            <v>4182.2119999999995</v>
          </cell>
          <cell r="CX225">
            <v>112.91972399999999</v>
          </cell>
          <cell r="CY225">
            <v>20.911059999999999</v>
          </cell>
          <cell r="CZ225">
            <v>2509.3271999999997</v>
          </cell>
          <cell r="DA225">
            <v>95.459079999999972</v>
          </cell>
          <cell r="DD225">
            <v>95.459079999999972</v>
          </cell>
        </row>
        <row r="226">
          <cell r="C226" t="str">
            <v>2319/10</v>
          </cell>
          <cell r="D226" t="str">
            <v>01/01 A 31/01/11</v>
          </cell>
          <cell r="E226" t="str">
            <v>RONALDO PEREIRA MACHADO</v>
          </cell>
          <cell r="F226" t="str">
            <v>EMEI</v>
          </cell>
          <cell r="G226">
            <v>15</v>
          </cell>
          <cell r="H226">
            <v>15</v>
          </cell>
          <cell r="I226">
            <v>15</v>
          </cell>
          <cell r="J226">
            <v>90565</v>
          </cell>
          <cell r="K226">
            <v>34</v>
          </cell>
          <cell r="L226">
            <v>27</v>
          </cell>
          <cell r="M226">
            <v>0</v>
          </cell>
          <cell r="N226">
            <v>90565</v>
          </cell>
          <cell r="O226">
            <v>33</v>
          </cell>
          <cell r="P226">
            <v>27</v>
          </cell>
          <cell r="Q226">
            <v>0</v>
          </cell>
          <cell r="R226">
            <v>90565</v>
          </cell>
          <cell r="S226">
            <v>33</v>
          </cell>
          <cell r="T226">
            <v>27</v>
          </cell>
          <cell r="U226">
            <v>0</v>
          </cell>
          <cell r="W226">
            <v>1</v>
          </cell>
          <cell r="Y226">
            <v>1</v>
          </cell>
          <cell r="AA226">
            <v>1</v>
          </cell>
          <cell r="AB226">
            <v>0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9</v>
          </cell>
          <cell r="AL226">
            <v>16</v>
          </cell>
          <cell r="AM226">
            <v>30</v>
          </cell>
          <cell r="AN226">
            <v>22</v>
          </cell>
          <cell r="AO226">
            <v>100</v>
          </cell>
          <cell r="AP226">
            <v>81</v>
          </cell>
          <cell r="AS226">
            <v>2007</v>
          </cell>
          <cell r="AT226">
            <v>29</v>
          </cell>
          <cell r="AU226">
            <v>27</v>
          </cell>
          <cell r="AV226">
            <v>100</v>
          </cell>
          <cell r="AW226">
            <v>0.25</v>
          </cell>
          <cell r="AX226">
            <v>1600</v>
          </cell>
          <cell r="AY226">
            <v>400</v>
          </cell>
          <cell r="AZ226">
            <v>36.880000000000003</v>
          </cell>
          <cell r="BA226">
            <v>27</v>
          </cell>
          <cell r="BB226">
            <v>730.22400000000005</v>
          </cell>
          <cell r="BC226">
            <v>36.880000000000003</v>
          </cell>
          <cell r="BD226">
            <v>27</v>
          </cell>
          <cell r="BE226">
            <v>730.22400000000005</v>
          </cell>
          <cell r="BF226">
            <v>36.880000000000003</v>
          </cell>
          <cell r="BG226">
            <v>27</v>
          </cell>
          <cell r="BH226">
            <v>730.22400000000005</v>
          </cell>
          <cell r="BI226">
            <v>0</v>
          </cell>
          <cell r="BJ226">
            <v>0</v>
          </cell>
          <cell r="BK226">
            <v>2190.672</v>
          </cell>
          <cell r="BL226">
            <v>3618.12</v>
          </cell>
          <cell r="BM226">
            <v>3618.12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8.5</v>
          </cell>
          <cell r="BS226">
            <v>8.25</v>
          </cell>
          <cell r="BT226">
            <v>8.25</v>
          </cell>
          <cell r="BU226">
            <v>25</v>
          </cell>
          <cell r="BY226">
            <v>6183.7919999999995</v>
          </cell>
          <cell r="CP226" t="str">
            <v>1561/10</v>
          </cell>
          <cell r="CQ226">
            <v>40337</v>
          </cell>
          <cell r="CR226">
            <v>40516</v>
          </cell>
          <cell r="CS226" t="str">
            <v>2010-0.136.314-7</v>
          </cell>
          <cell r="CT226" t="str">
            <v>RONALDO FRANCISCO MARIANO</v>
          </cell>
          <cell r="CU226">
            <v>12735984826</v>
          </cell>
          <cell r="CV226">
            <v>74844</v>
          </cell>
          <cell r="CW226">
            <v>836.68466666666666</v>
          </cell>
          <cell r="CX226">
            <v>22.590486000000002</v>
          </cell>
          <cell r="CY226">
            <v>4.1834233333333337</v>
          </cell>
          <cell r="CZ226">
            <v>502.01079999999996</v>
          </cell>
          <cell r="DA226">
            <v>0</v>
          </cell>
          <cell r="DD226">
            <v>-205.63838000000001</v>
          </cell>
        </row>
        <row r="227">
          <cell r="C227" t="str">
            <v>2296/10</v>
          </cell>
          <cell r="D227" t="str">
            <v>01/01 A 31/01/11</v>
          </cell>
          <cell r="E227" t="str">
            <v>ROSEMARY CRISTINA SANTOS</v>
          </cell>
          <cell r="F227" t="str">
            <v>EMEF</v>
          </cell>
          <cell r="G227">
            <v>16</v>
          </cell>
          <cell r="H227">
            <v>16</v>
          </cell>
          <cell r="I227">
            <v>16</v>
          </cell>
          <cell r="J227">
            <v>16501</v>
          </cell>
          <cell r="K227">
            <v>30</v>
          </cell>
          <cell r="L227">
            <v>19</v>
          </cell>
          <cell r="M227">
            <v>0</v>
          </cell>
          <cell r="N227">
            <v>16501</v>
          </cell>
          <cell r="O227">
            <v>22</v>
          </cell>
          <cell r="P227">
            <v>21</v>
          </cell>
          <cell r="Q227">
            <v>0</v>
          </cell>
          <cell r="R227">
            <v>16501</v>
          </cell>
          <cell r="S227">
            <v>11</v>
          </cell>
          <cell r="T227">
            <v>21</v>
          </cell>
          <cell r="U227">
            <v>0</v>
          </cell>
          <cell r="W227">
            <v>1</v>
          </cell>
          <cell r="Y227">
            <v>1</v>
          </cell>
          <cell r="AA227">
            <v>1</v>
          </cell>
          <cell r="AB227">
            <v>0</v>
          </cell>
          <cell r="AE227">
            <v>1</v>
          </cell>
          <cell r="AG227">
            <v>1</v>
          </cell>
          <cell r="AI227">
            <v>1</v>
          </cell>
          <cell r="AJ227">
            <v>0</v>
          </cell>
          <cell r="AL227">
            <v>16</v>
          </cell>
          <cell r="AM227">
            <v>30</v>
          </cell>
          <cell r="AN227">
            <v>22</v>
          </cell>
          <cell r="AO227">
            <v>63</v>
          </cell>
          <cell r="AP227">
            <v>61</v>
          </cell>
          <cell r="AS227">
            <v>2006</v>
          </cell>
          <cell r="AT227">
            <v>23</v>
          </cell>
          <cell r="AU227">
            <v>21</v>
          </cell>
          <cell r="AV227">
            <v>63</v>
          </cell>
          <cell r="AW227">
            <v>0.25</v>
          </cell>
          <cell r="AX227">
            <v>1008</v>
          </cell>
          <cell r="AY227">
            <v>252</v>
          </cell>
          <cell r="AZ227">
            <v>36.880000000000003</v>
          </cell>
          <cell r="BA227">
            <v>19</v>
          </cell>
          <cell r="BB227">
            <v>513.86133333333328</v>
          </cell>
          <cell r="BC227">
            <v>36.880000000000003</v>
          </cell>
          <cell r="BD227">
            <v>21</v>
          </cell>
          <cell r="BE227">
            <v>567.952</v>
          </cell>
          <cell r="BF227">
            <v>36.880000000000003</v>
          </cell>
          <cell r="BG227">
            <v>21</v>
          </cell>
          <cell r="BH227">
            <v>567.952</v>
          </cell>
          <cell r="BI227">
            <v>0</v>
          </cell>
          <cell r="BJ227">
            <v>0</v>
          </cell>
          <cell r="BK227">
            <v>1649.7653333333333</v>
          </cell>
          <cell r="BL227">
            <v>2447.83</v>
          </cell>
          <cell r="BM227">
            <v>2447.83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Y227">
            <v>4349.5953333333327</v>
          </cell>
          <cell r="CP227" t="str">
            <v>3150/10</v>
          </cell>
          <cell r="CQ227">
            <v>40518</v>
          </cell>
          <cell r="CR227">
            <v>40697</v>
          </cell>
          <cell r="CS227" t="str">
            <v>2010-0.314.473-6</v>
          </cell>
          <cell r="CT227" t="str">
            <v>RONALDO FRANCISCO MARIANO</v>
          </cell>
          <cell r="CU227">
            <v>12735984826</v>
          </cell>
          <cell r="CV227">
            <v>126176</v>
          </cell>
          <cell r="CW227">
            <v>4232.8306666666667</v>
          </cell>
          <cell r="CX227">
            <v>114.28642800000002</v>
          </cell>
          <cell r="CY227">
            <v>21.164153333333335</v>
          </cell>
          <cell r="CZ227">
            <v>2539.6983999999998</v>
          </cell>
          <cell r="DA227">
            <v>100.01475999999997</v>
          </cell>
          <cell r="DD227">
            <v>100.01475999999997</v>
          </cell>
        </row>
        <row r="228">
          <cell r="C228" t="str">
            <v>1894/10</v>
          </cell>
          <cell r="D228" t="str">
            <v>01/01 A 31/01/11</v>
          </cell>
          <cell r="E228" t="str">
            <v>ROSENILDA DA SILVA FALCAO</v>
          </cell>
          <cell r="F228" t="str">
            <v>EMEF</v>
          </cell>
          <cell r="G228">
            <v>14</v>
          </cell>
          <cell r="H228">
            <v>14</v>
          </cell>
          <cell r="I228">
            <v>14</v>
          </cell>
          <cell r="J228">
            <v>93394</v>
          </cell>
          <cell r="K228">
            <v>29</v>
          </cell>
          <cell r="L228">
            <v>27</v>
          </cell>
          <cell r="M228">
            <v>0</v>
          </cell>
          <cell r="N228">
            <v>93394</v>
          </cell>
          <cell r="O228">
            <v>36</v>
          </cell>
          <cell r="P228">
            <v>27</v>
          </cell>
          <cell r="Q228">
            <v>0</v>
          </cell>
          <cell r="R228">
            <v>93394</v>
          </cell>
          <cell r="S228">
            <v>35</v>
          </cell>
          <cell r="T228">
            <v>27</v>
          </cell>
          <cell r="U228">
            <v>0</v>
          </cell>
          <cell r="W228">
            <v>1</v>
          </cell>
          <cell r="Y228">
            <v>1</v>
          </cell>
          <cell r="AA228">
            <v>1</v>
          </cell>
          <cell r="AB228">
            <v>0</v>
          </cell>
          <cell r="AD228">
            <v>2</v>
          </cell>
          <cell r="AE228">
            <v>1</v>
          </cell>
          <cell r="AF228">
            <v>2</v>
          </cell>
          <cell r="AG228">
            <v>1</v>
          </cell>
          <cell r="AH228">
            <v>2</v>
          </cell>
          <cell r="AI228">
            <v>1</v>
          </cell>
          <cell r="AJ228">
            <v>2</v>
          </cell>
          <cell r="AK228" t="str">
            <v>21 e 22</v>
          </cell>
          <cell r="AL228">
            <v>16</v>
          </cell>
          <cell r="AM228">
            <v>30</v>
          </cell>
          <cell r="AN228">
            <v>22</v>
          </cell>
          <cell r="AO228">
            <v>100</v>
          </cell>
          <cell r="AP228">
            <v>81</v>
          </cell>
          <cell r="AS228">
            <v>2007</v>
          </cell>
          <cell r="AT228">
            <v>29</v>
          </cell>
          <cell r="AU228">
            <v>27</v>
          </cell>
          <cell r="AV228">
            <v>100</v>
          </cell>
          <cell r="AW228">
            <v>0.25</v>
          </cell>
          <cell r="AX228">
            <v>1600</v>
          </cell>
          <cell r="AY228">
            <v>400</v>
          </cell>
          <cell r="AZ228">
            <v>36.880000000000003</v>
          </cell>
          <cell r="BA228">
            <v>27</v>
          </cell>
          <cell r="BB228">
            <v>730.22400000000005</v>
          </cell>
          <cell r="BC228">
            <v>36.880000000000003</v>
          </cell>
          <cell r="BD228">
            <v>27</v>
          </cell>
          <cell r="BE228">
            <v>730.22400000000005</v>
          </cell>
          <cell r="BF228">
            <v>36.880000000000003</v>
          </cell>
          <cell r="BG228">
            <v>27</v>
          </cell>
          <cell r="BH228">
            <v>730.22400000000005</v>
          </cell>
          <cell r="BI228">
            <v>0</v>
          </cell>
          <cell r="BJ228">
            <v>0</v>
          </cell>
          <cell r="BK228">
            <v>2190.672</v>
          </cell>
          <cell r="BL228">
            <v>3618.12</v>
          </cell>
          <cell r="BM228">
            <v>3618.12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14.5</v>
          </cell>
          <cell r="BS228">
            <v>18</v>
          </cell>
          <cell r="BT228">
            <v>17.5</v>
          </cell>
          <cell r="BU228">
            <v>50</v>
          </cell>
          <cell r="BY228">
            <v>6158.7919999999995</v>
          </cell>
          <cell r="CP228" t="str">
            <v>2153/10</v>
          </cell>
          <cell r="CQ228">
            <v>40448</v>
          </cell>
          <cell r="CR228">
            <v>40627</v>
          </cell>
          <cell r="CS228" t="str">
            <v>2010-0.239.419-4</v>
          </cell>
          <cell r="CT228" t="str">
            <v>RONALDO GUIMARAES DOS SANTOS</v>
          </cell>
          <cell r="CU228">
            <v>11853404837</v>
          </cell>
          <cell r="CV228">
            <v>106121</v>
          </cell>
          <cell r="CW228">
            <v>6288.7919999999995</v>
          </cell>
          <cell r="CX228">
            <v>169.79738399999999</v>
          </cell>
          <cell r="CY228">
            <v>31.443960000000001</v>
          </cell>
          <cell r="CZ228">
            <v>3773.2751999999996</v>
          </cell>
          <cell r="DA228">
            <v>344.87067999999999</v>
          </cell>
          <cell r="DD228">
            <v>344.87067999999999</v>
          </cell>
        </row>
        <row r="229">
          <cell r="C229" t="str">
            <v>2666/10</v>
          </cell>
          <cell r="D229" t="str">
            <v>01/01 A 31/01/11</v>
          </cell>
          <cell r="E229" t="str">
            <v>SATURNINO JOSE DE MIRANDA</v>
          </cell>
          <cell r="F229" t="str">
            <v>EMEI</v>
          </cell>
          <cell r="G229">
            <v>14</v>
          </cell>
          <cell r="H229">
            <v>14</v>
          </cell>
          <cell r="I229">
            <v>14</v>
          </cell>
          <cell r="J229">
            <v>19213</v>
          </cell>
          <cell r="K229">
            <v>58</v>
          </cell>
          <cell r="L229">
            <v>27</v>
          </cell>
          <cell r="M229">
            <v>0</v>
          </cell>
          <cell r="N229">
            <v>19213</v>
          </cell>
          <cell r="O229">
            <v>48</v>
          </cell>
          <cell r="P229">
            <v>27</v>
          </cell>
          <cell r="Q229">
            <v>0</v>
          </cell>
          <cell r="R229">
            <v>19213</v>
          </cell>
          <cell r="S229">
            <v>39</v>
          </cell>
          <cell r="T229">
            <v>27</v>
          </cell>
          <cell r="U229">
            <v>0</v>
          </cell>
          <cell r="W229">
            <v>1</v>
          </cell>
          <cell r="Y229">
            <v>1</v>
          </cell>
          <cell r="AA229">
            <v>1</v>
          </cell>
          <cell r="AB229">
            <v>0</v>
          </cell>
          <cell r="AD229">
            <v>2</v>
          </cell>
          <cell r="AE229">
            <v>1</v>
          </cell>
          <cell r="AF229">
            <v>2</v>
          </cell>
          <cell r="AG229">
            <v>1</v>
          </cell>
          <cell r="AH229">
            <v>2</v>
          </cell>
          <cell r="AI229">
            <v>1</v>
          </cell>
          <cell r="AJ229">
            <v>2</v>
          </cell>
          <cell r="AK229" t="str">
            <v>1, 9, 10 e 13</v>
          </cell>
          <cell r="AL229">
            <v>16</v>
          </cell>
          <cell r="AM229">
            <v>30</v>
          </cell>
          <cell r="AN229">
            <v>22</v>
          </cell>
          <cell r="AO229">
            <v>145</v>
          </cell>
          <cell r="AP229">
            <v>81</v>
          </cell>
          <cell r="AS229">
            <v>2008</v>
          </cell>
          <cell r="AT229">
            <v>29</v>
          </cell>
          <cell r="AU229">
            <v>27</v>
          </cell>
          <cell r="AV229">
            <v>145</v>
          </cell>
          <cell r="AW229">
            <v>0.25</v>
          </cell>
          <cell r="AX229">
            <v>2320</v>
          </cell>
          <cell r="AY229">
            <v>580</v>
          </cell>
          <cell r="AZ229">
            <v>36.880000000000003</v>
          </cell>
          <cell r="BA229">
            <v>27</v>
          </cell>
          <cell r="BB229">
            <v>730.22400000000005</v>
          </cell>
          <cell r="BC229">
            <v>36.880000000000003</v>
          </cell>
          <cell r="BD229">
            <v>27</v>
          </cell>
          <cell r="BE229">
            <v>730.22400000000005</v>
          </cell>
          <cell r="BF229">
            <v>36.880000000000003</v>
          </cell>
          <cell r="BG229">
            <v>27</v>
          </cell>
          <cell r="BH229">
            <v>730.22400000000005</v>
          </cell>
          <cell r="BI229">
            <v>0</v>
          </cell>
          <cell r="BJ229">
            <v>0</v>
          </cell>
          <cell r="BK229">
            <v>2190.672</v>
          </cell>
          <cell r="BL229">
            <v>3727.1</v>
          </cell>
          <cell r="BM229">
            <v>3727.1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29</v>
          </cell>
          <cell r="BS229">
            <v>24</v>
          </cell>
          <cell r="BT229">
            <v>19.5</v>
          </cell>
          <cell r="BU229">
            <v>72.5</v>
          </cell>
          <cell r="BY229">
            <v>6425.2720000000008</v>
          </cell>
          <cell r="CP229" t="str">
            <v>2319/10</v>
          </cell>
          <cell r="CQ229">
            <v>40448</v>
          </cell>
          <cell r="CR229">
            <v>40627</v>
          </cell>
          <cell r="CS229" t="str">
            <v>2010-0.245.463-4</v>
          </cell>
          <cell r="CT229" t="str">
            <v>RONALDO PEREIRA MACHADO</v>
          </cell>
          <cell r="CU229">
            <v>13517858854</v>
          </cell>
          <cell r="CV229">
            <v>106434</v>
          </cell>
          <cell r="CW229">
            <v>6183.7919999999995</v>
          </cell>
          <cell r="CX229">
            <v>166.96238400000001</v>
          </cell>
          <cell r="CY229">
            <v>30.918959999999998</v>
          </cell>
          <cell r="CZ229">
            <v>3710.2751999999996</v>
          </cell>
          <cell r="DA229">
            <v>329.19191999999987</v>
          </cell>
          <cell r="DD229">
            <v>329.19191999999987</v>
          </cell>
        </row>
        <row r="230">
          <cell r="C230" t="str">
            <v>3031/10</v>
          </cell>
          <cell r="D230" t="str">
            <v>01/01 A 31/01/11</v>
          </cell>
          <cell r="E230" t="str">
            <v xml:space="preserve">SELMA GOMES DE OLIVEIRA </v>
          </cell>
          <cell r="F230" t="str">
            <v>EMEI</v>
          </cell>
          <cell r="G230">
            <v>16</v>
          </cell>
          <cell r="H230">
            <v>16</v>
          </cell>
          <cell r="I230">
            <v>16</v>
          </cell>
          <cell r="J230">
            <v>19448</v>
          </cell>
          <cell r="K230">
            <v>63</v>
          </cell>
          <cell r="L230">
            <v>31</v>
          </cell>
          <cell r="M230">
            <v>0</v>
          </cell>
          <cell r="N230">
            <v>19441</v>
          </cell>
          <cell r="O230">
            <v>57</v>
          </cell>
          <cell r="P230">
            <v>31</v>
          </cell>
          <cell r="Q230">
            <v>0</v>
          </cell>
          <cell r="R230">
            <v>11568</v>
          </cell>
          <cell r="S230">
            <v>23</v>
          </cell>
          <cell r="T230">
            <v>6</v>
          </cell>
          <cell r="U230">
            <v>0</v>
          </cell>
          <cell r="W230">
            <v>1</v>
          </cell>
          <cell r="Y230">
            <v>1</v>
          </cell>
          <cell r="AA230">
            <v>1</v>
          </cell>
          <cell r="AB230">
            <v>0</v>
          </cell>
          <cell r="AE230">
            <v>1</v>
          </cell>
          <cell r="AG230">
            <v>1</v>
          </cell>
          <cell r="AI230">
            <v>1</v>
          </cell>
          <cell r="AJ230">
            <v>0</v>
          </cell>
          <cell r="AL230">
            <v>16</v>
          </cell>
          <cell r="AM230">
            <v>30</v>
          </cell>
          <cell r="AN230">
            <v>22</v>
          </cell>
          <cell r="AO230">
            <v>143</v>
          </cell>
          <cell r="AP230">
            <v>68</v>
          </cell>
          <cell r="AS230">
            <v>2009</v>
          </cell>
          <cell r="AT230">
            <v>19</v>
          </cell>
          <cell r="AU230">
            <v>17</v>
          </cell>
          <cell r="AV230">
            <v>143</v>
          </cell>
          <cell r="AW230">
            <v>0.65</v>
          </cell>
          <cell r="AX230">
            <v>2288</v>
          </cell>
          <cell r="AY230">
            <v>1487.2</v>
          </cell>
          <cell r="AZ230">
            <v>48.26</v>
          </cell>
          <cell r="BA230">
            <v>31</v>
          </cell>
          <cell r="BB230">
            <v>1097.1106666666665</v>
          </cell>
          <cell r="BC230">
            <v>48.26</v>
          </cell>
          <cell r="BD230">
            <v>31</v>
          </cell>
          <cell r="BE230">
            <v>1097.1106666666665</v>
          </cell>
          <cell r="BF230">
            <v>48.26</v>
          </cell>
          <cell r="BG230">
            <v>6</v>
          </cell>
          <cell r="BH230">
            <v>212.34399999999999</v>
          </cell>
          <cell r="BI230">
            <v>0</v>
          </cell>
          <cell r="BJ230">
            <v>0</v>
          </cell>
          <cell r="BK230">
            <v>2406.565333333333</v>
          </cell>
          <cell r="BL230">
            <v>2886</v>
          </cell>
          <cell r="BM230">
            <v>2886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Y230">
            <v>6779.7653333333328</v>
          </cell>
          <cell r="CP230" t="str">
            <v>2296/10</v>
          </cell>
          <cell r="CQ230">
            <v>40448</v>
          </cell>
          <cell r="CR230">
            <v>40627</v>
          </cell>
          <cell r="CS230" t="str">
            <v>2010-0.245.415-4</v>
          </cell>
          <cell r="CT230" t="str">
            <v>ROSEMARY CRISTINA SANTOS</v>
          </cell>
          <cell r="CU230">
            <v>18474248809</v>
          </cell>
          <cell r="CV230">
            <v>106349</v>
          </cell>
          <cell r="CW230">
            <v>4349.5953333333327</v>
          </cell>
          <cell r="CX230">
            <v>117.43907400000001</v>
          </cell>
          <cell r="CY230">
            <v>21.747976666666666</v>
          </cell>
          <cell r="CZ230">
            <v>2609.7571999999996</v>
          </cell>
          <cell r="DA230">
            <v>110.52357999999992</v>
          </cell>
          <cell r="DD230">
            <v>110.52357999999992</v>
          </cell>
        </row>
        <row r="231">
          <cell r="C231" t="str">
            <v>2997/10</v>
          </cell>
          <cell r="D231" t="str">
            <v>01/01 A 31/01/11</v>
          </cell>
          <cell r="E231" t="str">
            <v>SERGIO FELICIANO DA SILVA</v>
          </cell>
          <cell r="F231" t="str">
            <v>EMEF</v>
          </cell>
          <cell r="G231">
            <v>16</v>
          </cell>
          <cell r="H231">
            <v>16</v>
          </cell>
          <cell r="I231">
            <v>16</v>
          </cell>
          <cell r="J231">
            <v>19313</v>
          </cell>
          <cell r="K231">
            <v>53</v>
          </cell>
          <cell r="L231">
            <v>23</v>
          </cell>
          <cell r="M231">
            <v>0</v>
          </cell>
          <cell r="N231">
            <v>19313</v>
          </cell>
          <cell r="O231">
            <v>47</v>
          </cell>
          <cell r="P231">
            <v>23</v>
          </cell>
          <cell r="Q231">
            <v>0</v>
          </cell>
          <cell r="R231">
            <v>19313</v>
          </cell>
          <cell r="S231">
            <v>52</v>
          </cell>
          <cell r="T231">
            <v>23</v>
          </cell>
          <cell r="U231">
            <v>0</v>
          </cell>
          <cell r="W231">
            <v>1</v>
          </cell>
          <cell r="Y231">
            <v>1</v>
          </cell>
          <cell r="AA231">
            <v>1</v>
          </cell>
          <cell r="AB231">
            <v>0</v>
          </cell>
          <cell r="AE231">
            <v>1</v>
          </cell>
          <cell r="AG231">
            <v>1</v>
          </cell>
          <cell r="AI231">
            <v>1</v>
          </cell>
          <cell r="AJ231">
            <v>0</v>
          </cell>
          <cell r="AL231">
            <v>16</v>
          </cell>
          <cell r="AM231">
            <v>30</v>
          </cell>
          <cell r="AN231">
            <v>22</v>
          </cell>
          <cell r="AO231">
            <v>152</v>
          </cell>
          <cell r="AP231">
            <v>69</v>
          </cell>
          <cell r="AS231">
            <v>2003</v>
          </cell>
          <cell r="AT231">
            <v>25</v>
          </cell>
          <cell r="AU231">
            <v>23</v>
          </cell>
          <cell r="AV231">
            <v>152</v>
          </cell>
          <cell r="AW231">
            <v>0.65</v>
          </cell>
          <cell r="AX231">
            <v>2432</v>
          </cell>
          <cell r="AY231">
            <v>1580.8</v>
          </cell>
          <cell r="AZ231">
            <v>48.26</v>
          </cell>
          <cell r="BA231">
            <v>23</v>
          </cell>
          <cell r="BB231">
            <v>813.9853333333333</v>
          </cell>
          <cell r="BC231">
            <v>48.26</v>
          </cell>
          <cell r="BD231">
            <v>23</v>
          </cell>
          <cell r="BE231">
            <v>813.9853333333333</v>
          </cell>
          <cell r="BF231">
            <v>48.26</v>
          </cell>
          <cell r="BG231">
            <v>23</v>
          </cell>
          <cell r="BH231">
            <v>813.9853333333333</v>
          </cell>
          <cell r="BI231">
            <v>0</v>
          </cell>
          <cell r="BJ231">
            <v>0</v>
          </cell>
          <cell r="BK231">
            <v>2441.9560000000001</v>
          </cell>
          <cell r="BL231">
            <v>1803</v>
          </cell>
          <cell r="BM231">
            <v>1803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Y231">
            <v>5825.7560000000003</v>
          </cell>
          <cell r="CP231" t="str">
            <v>1894/10</v>
          </cell>
          <cell r="CQ231">
            <v>40441</v>
          </cell>
          <cell r="CR231">
            <v>40620</v>
          </cell>
          <cell r="CS231" t="str">
            <v>2010-0.230.626-0</v>
          </cell>
          <cell r="CT231" t="str">
            <v>ROSENILDA DA SILVA FALCAO</v>
          </cell>
          <cell r="CU231">
            <v>14427469809</v>
          </cell>
          <cell r="CV231">
            <v>105042</v>
          </cell>
          <cell r="CW231">
            <v>6158.7919999999995</v>
          </cell>
          <cell r="CX231">
            <v>166.287384</v>
          </cell>
          <cell r="CY231">
            <v>30.793959999999998</v>
          </cell>
          <cell r="CZ231">
            <v>3695.2751999999996</v>
          </cell>
          <cell r="DA231">
            <v>325.81691999999987</v>
          </cell>
          <cell r="DD231">
            <v>325.81691999999987</v>
          </cell>
        </row>
        <row r="232">
          <cell r="C232" t="str">
            <v>2683/10</v>
          </cell>
          <cell r="D232" t="str">
            <v>01/01 A 31/01/11</v>
          </cell>
          <cell r="E232" t="str">
            <v>SERGIO JOSE DA SILVA</v>
          </cell>
          <cell r="F232" t="str">
            <v>EMEI</v>
          </cell>
          <cell r="G232">
            <v>16</v>
          </cell>
          <cell r="H232">
            <v>16</v>
          </cell>
          <cell r="I232">
            <v>16</v>
          </cell>
          <cell r="J232">
            <v>19210</v>
          </cell>
          <cell r="K232">
            <v>24</v>
          </cell>
          <cell r="L232">
            <v>23</v>
          </cell>
          <cell r="M232">
            <v>0</v>
          </cell>
          <cell r="N232">
            <v>19210</v>
          </cell>
          <cell r="O232">
            <v>27</v>
          </cell>
          <cell r="P232">
            <v>23</v>
          </cell>
          <cell r="Q232">
            <v>0</v>
          </cell>
          <cell r="R232">
            <v>19210</v>
          </cell>
          <cell r="S232">
            <v>38</v>
          </cell>
          <cell r="T232">
            <v>24</v>
          </cell>
          <cell r="U232">
            <v>0</v>
          </cell>
          <cell r="W232">
            <v>1</v>
          </cell>
          <cell r="Y232">
            <v>1</v>
          </cell>
          <cell r="AA232">
            <v>1</v>
          </cell>
          <cell r="AB232">
            <v>0</v>
          </cell>
          <cell r="AE232">
            <v>1</v>
          </cell>
          <cell r="AG232">
            <v>1</v>
          </cell>
          <cell r="AI232">
            <v>1</v>
          </cell>
          <cell r="AJ232">
            <v>0</v>
          </cell>
          <cell r="AL232">
            <v>16</v>
          </cell>
          <cell r="AM232">
            <v>30</v>
          </cell>
          <cell r="AN232">
            <v>22</v>
          </cell>
          <cell r="AO232">
            <v>89</v>
          </cell>
          <cell r="AP232">
            <v>70</v>
          </cell>
          <cell r="AS232">
            <v>2010</v>
          </cell>
          <cell r="AT232">
            <v>27</v>
          </cell>
          <cell r="AU232">
            <v>25</v>
          </cell>
          <cell r="AV232">
            <v>89</v>
          </cell>
          <cell r="AW232">
            <v>0.25</v>
          </cell>
          <cell r="AX232">
            <v>1424</v>
          </cell>
          <cell r="AY232">
            <v>356</v>
          </cell>
          <cell r="AZ232">
            <v>36.880000000000003</v>
          </cell>
          <cell r="BA232">
            <v>23</v>
          </cell>
          <cell r="BB232">
            <v>622.04266666666672</v>
          </cell>
          <cell r="BC232">
            <v>36.880000000000003</v>
          </cell>
          <cell r="BD232">
            <v>23</v>
          </cell>
          <cell r="BE232">
            <v>622.04266666666672</v>
          </cell>
          <cell r="BF232">
            <v>36.880000000000003</v>
          </cell>
          <cell r="BG232">
            <v>24</v>
          </cell>
          <cell r="BH232">
            <v>649.08800000000008</v>
          </cell>
          <cell r="BI232">
            <v>0</v>
          </cell>
          <cell r="BJ232">
            <v>0</v>
          </cell>
          <cell r="BK232">
            <v>1893.1733333333336</v>
          </cell>
          <cell r="BL232">
            <v>3945.03</v>
          </cell>
          <cell r="BM232">
            <v>3945.03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Y232">
            <v>6194.2033333333347</v>
          </cell>
          <cell r="CP232" t="str">
            <v>2666/10</v>
          </cell>
          <cell r="CQ232">
            <v>40462</v>
          </cell>
          <cell r="CR232">
            <v>40641</v>
          </cell>
          <cell r="CS232" t="str">
            <v>2010-0.270.702-8</v>
          </cell>
          <cell r="CT232" t="str">
            <v>SATURNINO JOSE DE MIRANDA</v>
          </cell>
          <cell r="CU232" t="str">
            <v>010.765.978-66</v>
          </cell>
          <cell r="CV232">
            <v>114109</v>
          </cell>
          <cell r="CW232">
            <v>6425.2720000000008</v>
          </cell>
          <cell r="CX232">
            <v>173.48234400000004</v>
          </cell>
          <cell r="CY232">
            <v>32.126360000000005</v>
          </cell>
          <cell r="CZ232">
            <v>3855.1632000000004</v>
          </cell>
          <cell r="DA232">
            <v>367.38988000000018</v>
          </cell>
          <cell r="DD232">
            <v>367.38988000000018</v>
          </cell>
        </row>
        <row r="233">
          <cell r="C233" t="str">
            <v>1795/10</v>
          </cell>
          <cell r="D233" t="str">
            <v>01/01 A 31/01/11</v>
          </cell>
          <cell r="E233" t="str">
            <v>SERGIO LIMA DA SILVA</v>
          </cell>
          <cell r="F233" t="str">
            <v>EMEF</v>
          </cell>
          <cell r="G233">
            <v>13</v>
          </cell>
          <cell r="H233">
            <v>13</v>
          </cell>
          <cell r="I233">
            <v>16</v>
          </cell>
          <cell r="J233">
            <v>19243</v>
          </cell>
          <cell r="K233">
            <v>24</v>
          </cell>
          <cell r="L233">
            <v>16</v>
          </cell>
          <cell r="M233">
            <v>0</v>
          </cell>
          <cell r="N233">
            <v>19243</v>
          </cell>
          <cell r="O233">
            <v>28</v>
          </cell>
          <cell r="P233">
            <v>16</v>
          </cell>
          <cell r="Q233">
            <v>0</v>
          </cell>
          <cell r="R233">
            <v>0</v>
          </cell>
          <cell r="U233">
            <v>0</v>
          </cell>
          <cell r="W233">
            <v>1</v>
          </cell>
          <cell r="Y233">
            <v>1</v>
          </cell>
          <cell r="AA233">
            <v>0</v>
          </cell>
          <cell r="AB233">
            <v>0</v>
          </cell>
          <cell r="AD233">
            <v>3</v>
          </cell>
          <cell r="AE233">
            <v>1</v>
          </cell>
          <cell r="AF233">
            <v>3</v>
          </cell>
          <cell r="AG233">
            <v>1</v>
          </cell>
          <cell r="AI233">
            <v>0</v>
          </cell>
          <cell r="AJ233">
            <v>3</v>
          </cell>
          <cell r="AK233" t="str">
            <v>10, 15 e 16</v>
          </cell>
          <cell r="AL233">
            <v>16</v>
          </cell>
          <cell r="AM233">
            <v>30</v>
          </cell>
          <cell r="AN233">
            <v>22</v>
          </cell>
          <cell r="AO233">
            <v>52</v>
          </cell>
          <cell r="AP233">
            <v>32</v>
          </cell>
          <cell r="AS233">
            <v>1996</v>
          </cell>
          <cell r="AT233">
            <v>18</v>
          </cell>
          <cell r="AU233">
            <v>16</v>
          </cell>
          <cell r="AV233">
            <v>52</v>
          </cell>
          <cell r="AW233">
            <v>0.25</v>
          </cell>
          <cell r="AX233">
            <v>832</v>
          </cell>
          <cell r="AY233">
            <v>208</v>
          </cell>
          <cell r="AZ233">
            <v>36.880000000000003</v>
          </cell>
          <cell r="BA233">
            <v>16</v>
          </cell>
          <cell r="BB233">
            <v>432.72533333333337</v>
          </cell>
          <cell r="BC233">
            <v>36.880000000000003</v>
          </cell>
          <cell r="BD233">
            <v>16</v>
          </cell>
          <cell r="BE233">
            <v>432.72533333333337</v>
          </cell>
          <cell r="BF233">
            <v>36.880000000000003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865.45066666666673</v>
          </cell>
          <cell r="BL233">
            <v>1770.89</v>
          </cell>
          <cell r="BM233">
            <v>1770.89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18</v>
          </cell>
          <cell r="BS233">
            <v>21</v>
          </cell>
          <cell r="BT233">
            <v>0</v>
          </cell>
          <cell r="BU233">
            <v>39</v>
          </cell>
          <cell r="BY233">
            <v>2805.3406666666669</v>
          </cell>
          <cell r="CP233" t="str">
            <v>3031/10</v>
          </cell>
          <cell r="CQ233">
            <v>40490</v>
          </cell>
          <cell r="CR233">
            <v>40669</v>
          </cell>
          <cell r="CS233" t="str">
            <v>2010-0.288.659-3</v>
          </cell>
          <cell r="CT233" t="str">
            <v xml:space="preserve">SELMA GOMES DE OLIVEIRA </v>
          </cell>
          <cell r="CU233">
            <v>27440565886</v>
          </cell>
          <cell r="CV233">
            <v>122679</v>
          </cell>
          <cell r="CW233">
            <v>6779.7653333333328</v>
          </cell>
          <cell r="CX233">
            <v>183.05366400000003</v>
          </cell>
          <cell r="CY233">
            <v>33.898826666666672</v>
          </cell>
          <cell r="CZ233">
            <v>4067.8591999999994</v>
          </cell>
          <cell r="DA233">
            <v>425.88128000000006</v>
          </cell>
          <cell r="DD233">
            <v>425.88128000000006</v>
          </cell>
        </row>
        <row r="234">
          <cell r="C234" t="str">
            <v>1896/10</v>
          </cell>
          <cell r="D234" t="str">
            <v>01/01 A 31/01/11</v>
          </cell>
          <cell r="E234" t="str">
            <v>SEVERINO AVELINO BATISTA FILHO</v>
          </cell>
          <cell r="F234" t="str">
            <v>EMEF/EMEI</v>
          </cell>
          <cell r="G234">
            <v>16</v>
          </cell>
          <cell r="H234">
            <v>16</v>
          </cell>
          <cell r="I234">
            <v>15</v>
          </cell>
          <cell r="J234">
            <v>19194</v>
          </cell>
          <cell r="K234">
            <v>60</v>
          </cell>
          <cell r="L234">
            <v>26</v>
          </cell>
          <cell r="M234">
            <v>0</v>
          </cell>
          <cell r="N234">
            <v>19194</v>
          </cell>
          <cell r="O234">
            <v>21</v>
          </cell>
          <cell r="P234">
            <v>24</v>
          </cell>
          <cell r="Q234">
            <v>0</v>
          </cell>
          <cell r="R234">
            <v>19682</v>
          </cell>
          <cell r="S234">
            <v>89</v>
          </cell>
          <cell r="T234">
            <v>27</v>
          </cell>
          <cell r="U234">
            <v>0</v>
          </cell>
          <cell r="W234">
            <v>1</v>
          </cell>
          <cell r="Y234">
            <v>1</v>
          </cell>
          <cell r="AA234">
            <v>1</v>
          </cell>
          <cell r="AB234">
            <v>0</v>
          </cell>
          <cell r="AE234">
            <v>1</v>
          </cell>
          <cell r="AG234">
            <v>1</v>
          </cell>
          <cell r="AH234">
            <v>1</v>
          </cell>
          <cell r="AI234">
            <v>1</v>
          </cell>
          <cell r="AJ234">
            <v>0.33333333333333331</v>
          </cell>
          <cell r="AK234">
            <v>17</v>
          </cell>
          <cell r="AL234">
            <v>16</v>
          </cell>
          <cell r="AM234">
            <v>30</v>
          </cell>
          <cell r="AN234">
            <v>22</v>
          </cell>
          <cell r="AO234">
            <v>170</v>
          </cell>
          <cell r="AP234">
            <v>77</v>
          </cell>
          <cell r="AS234">
            <v>2007</v>
          </cell>
          <cell r="AT234">
            <v>29</v>
          </cell>
          <cell r="AU234">
            <v>27</v>
          </cell>
          <cell r="AV234">
            <v>170</v>
          </cell>
          <cell r="AW234">
            <v>0.25</v>
          </cell>
          <cell r="AX234">
            <v>2720</v>
          </cell>
          <cell r="AY234">
            <v>680</v>
          </cell>
          <cell r="AZ234">
            <v>36.880000000000003</v>
          </cell>
          <cell r="BA234">
            <v>26</v>
          </cell>
          <cell r="BB234">
            <v>703.1786666666668</v>
          </cell>
          <cell r="BC234">
            <v>36.880000000000003</v>
          </cell>
          <cell r="BD234">
            <v>24</v>
          </cell>
          <cell r="BE234">
            <v>649.08800000000008</v>
          </cell>
          <cell r="BF234">
            <v>36.880000000000003</v>
          </cell>
          <cell r="BG234">
            <v>27</v>
          </cell>
          <cell r="BH234">
            <v>730.22400000000005</v>
          </cell>
          <cell r="BI234">
            <v>0</v>
          </cell>
          <cell r="BJ234">
            <v>0</v>
          </cell>
          <cell r="BK234">
            <v>2082.490666666667</v>
          </cell>
          <cell r="BL234">
            <v>3618.12</v>
          </cell>
          <cell r="BM234">
            <v>3618.12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22.25</v>
          </cell>
          <cell r="BU234">
            <v>22.25</v>
          </cell>
          <cell r="BY234">
            <v>6358.3606666666674</v>
          </cell>
          <cell r="CP234" t="str">
            <v>2997/10</v>
          </cell>
          <cell r="CQ234">
            <v>40490</v>
          </cell>
          <cell r="CR234">
            <v>40669</v>
          </cell>
          <cell r="CS234" t="str">
            <v>2010-0.288.523-6</v>
          </cell>
          <cell r="CT234" t="str">
            <v>SERGIO FELICIANO DA SILVA</v>
          </cell>
          <cell r="CU234">
            <v>27349604866</v>
          </cell>
          <cell r="CV234">
            <v>122680</v>
          </cell>
          <cell r="CW234">
            <v>5825.7560000000003</v>
          </cell>
          <cell r="CX234">
            <v>157.295412</v>
          </cell>
          <cell r="CY234">
            <v>29.128780000000003</v>
          </cell>
          <cell r="CZ234">
            <v>3495.4536000000003</v>
          </cell>
          <cell r="DA234">
            <v>280.85706000000005</v>
          </cell>
          <cell r="DD234">
            <v>280.85706000000005</v>
          </cell>
        </row>
        <row r="235">
          <cell r="C235" t="str">
            <v>2253/10</v>
          </cell>
          <cell r="D235" t="str">
            <v>01/01 A 31/01/11</v>
          </cell>
          <cell r="E235" t="str">
            <v>SIDNEI ROBERSON GALVAO</v>
          </cell>
          <cell r="F235" t="str">
            <v>EMEI</v>
          </cell>
          <cell r="G235">
            <v>16</v>
          </cell>
          <cell r="H235">
            <v>16</v>
          </cell>
          <cell r="I235">
            <v>16</v>
          </cell>
          <cell r="J235">
            <v>19210</v>
          </cell>
          <cell r="K235">
            <v>36</v>
          </cell>
          <cell r="L235">
            <v>18</v>
          </cell>
          <cell r="M235">
            <v>0</v>
          </cell>
          <cell r="N235">
            <v>19210</v>
          </cell>
          <cell r="O235">
            <v>36</v>
          </cell>
          <cell r="P235">
            <v>18</v>
          </cell>
          <cell r="Q235">
            <v>0</v>
          </cell>
          <cell r="R235">
            <v>19210</v>
          </cell>
          <cell r="S235">
            <v>35</v>
          </cell>
          <cell r="T235">
            <v>18</v>
          </cell>
          <cell r="U235">
            <v>0</v>
          </cell>
          <cell r="W235">
            <v>1</v>
          </cell>
          <cell r="Y235">
            <v>1</v>
          </cell>
          <cell r="AA235">
            <v>1</v>
          </cell>
          <cell r="AB235">
            <v>0</v>
          </cell>
          <cell r="AE235">
            <v>1</v>
          </cell>
          <cell r="AG235">
            <v>1</v>
          </cell>
          <cell r="AI235">
            <v>1</v>
          </cell>
          <cell r="AJ235">
            <v>0</v>
          </cell>
          <cell r="AL235">
            <v>16</v>
          </cell>
          <cell r="AM235">
            <v>30</v>
          </cell>
          <cell r="AN235">
            <v>22</v>
          </cell>
          <cell r="AO235">
            <v>107</v>
          </cell>
          <cell r="AP235">
            <v>54</v>
          </cell>
          <cell r="AS235">
            <v>1997</v>
          </cell>
          <cell r="AT235">
            <v>20</v>
          </cell>
          <cell r="AU235">
            <v>18</v>
          </cell>
          <cell r="AV235">
            <v>107</v>
          </cell>
          <cell r="AW235">
            <v>0.25</v>
          </cell>
          <cell r="AX235">
            <v>1712</v>
          </cell>
          <cell r="AY235">
            <v>428</v>
          </cell>
          <cell r="AZ235">
            <v>36.880000000000003</v>
          </cell>
          <cell r="BA235">
            <v>18</v>
          </cell>
          <cell r="BB235">
            <v>486.81600000000003</v>
          </cell>
          <cell r="BC235">
            <v>36.880000000000003</v>
          </cell>
          <cell r="BD235">
            <v>18</v>
          </cell>
          <cell r="BE235">
            <v>486.81600000000003</v>
          </cell>
          <cell r="BF235">
            <v>36.880000000000003</v>
          </cell>
          <cell r="BG235">
            <v>18</v>
          </cell>
          <cell r="BH235">
            <v>486.81600000000003</v>
          </cell>
          <cell r="BI235">
            <v>0</v>
          </cell>
          <cell r="BJ235">
            <v>0</v>
          </cell>
          <cell r="BK235">
            <v>1460.4480000000001</v>
          </cell>
          <cell r="BL235">
            <v>1838.58</v>
          </cell>
          <cell r="BM235">
            <v>1838.58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Y235">
            <v>3727.0280000000002</v>
          </cell>
          <cell r="CP235" t="str">
            <v>2683/10</v>
          </cell>
          <cell r="CQ235">
            <v>40462</v>
          </cell>
          <cell r="CR235">
            <v>40641</v>
          </cell>
          <cell r="CS235" t="str">
            <v>2010-0.274.669-4</v>
          </cell>
          <cell r="CT235" t="str">
            <v>SERGIO JOSE DA SILVA</v>
          </cell>
          <cell r="CU235">
            <v>13026387851</v>
          </cell>
          <cell r="CV235">
            <v>114110</v>
          </cell>
          <cell r="CW235">
            <v>6194.2033333333347</v>
          </cell>
          <cell r="CX235">
            <v>167.24349000000004</v>
          </cell>
          <cell r="CY235">
            <v>30.971016666666674</v>
          </cell>
          <cell r="CZ235">
            <v>3716.5220000000008</v>
          </cell>
          <cell r="DA235">
            <v>330.59745000000021</v>
          </cell>
          <cell r="DD235">
            <v>330.59745000000021</v>
          </cell>
        </row>
        <row r="236">
          <cell r="C236" t="str">
            <v>1898/10</v>
          </cell>
          <cell r="D236" t="str">
            <v>01/01 A 31/01/11</v>
          </cell>
          <cell r="E236" t="str">
            <v>SILVIA DE MARCHE ALCANTARA</v>
          </cell>
          <cell r="F236" t="str">
            <v>EMEI</v>
          </cell>
          <cell r="G236">
            <v>16</v>
          </cell>
          <cell r="H236">
            <v>16</v>
          </cell>
          <cell r="I236">
            <v>16</v>
          </cell>
          <cell r="J236">
            <v>90638</v>
          </cell>
          <cell r="K236">
            <v>38</v>
          </cell>
          <cell r="L236">
            <v>20</v>
          </cell>
          <cell r="M236">
            <v>0</v>
          </cell>
          <cell r="N236">
            <v>90638</v>
          </cell>
          <cell r="O236">
            <v>25</v>
          </cell>
          <cell r="P236">
            <v>22</v>
          </cell>
          <cell r="Q236">
            <v>0</v>
          </cell>
          <cell r="R236">
            <v>90638</v>
          </cell>
          <cell r="S236">
            <v>26</v>
          </cell>
          <cell r="T236">
            <v>21</v>
          </cell>
          <cell r="U236">
            <v>0</v>
          </cell>
          <cell r="W236">
            <v>1</v>
          </cell>
          <cell r="Y236">
            <v>1</v>
          </cell>
          <cell r="AA236">
            <v>1</v>
          </cell>
          <cell r="AB236">
            <v>0</v>
          </cell>
          <cell r="AE236">
            <v>1</v>
          </cell>
          <cell r="AG236">
            <v>1</v>
          </cell>
          <cell r="AI236">
            <v>1</v>
          </cell>
          <cell r="AJ236">
            <v>0</v>
          </cell>
          <cell r="AL236">
            <v>16</v>
          </cell>
          <cell r="AM236">
            <v>30</v>
          </cell>
          <cell r="AN236">
            <v>22</v>
          </cell>
          <cell r="AO236">
            <v>89</v>
          </cell>
          <cell r="AP236">
            <v>63</v>
          </cell>
          <cell r="AS236">
            <v>2008</v>
          </cell>
          <cell r="AT236">
            <v>25</v>
          </cell>
          <cell r="AU236">
            <v>23</v>
          </cell>
          <cell r="AV236">
            <v>89</v>
          </cell>
          <cell r="AW236">
            <v>0.25</v>
          </cell>
          <cell r="AX236">
            <v>1424</v>
          </cell>
          <cell r="AY236">
            <v>356</v>
          </cell>
          <cell r="AZ236">
            <v>36.880000000000003</v>
          </cell>
          <cell r="BA236">
            <v>20</v>
          </cell>
          <cell r="BB236">
            <v>540.90666666666664</v>
          </cell>
          <cell r="BC236">
            <v>36.880000000000003</v>
          </cell>
          <cell r="BD236">
            <v>22</v>
          </cell>
          <cell r="BE236">
            <v>594.99733333333336</v>
          </cell>
          <cell r="BF236">
            <v>36.880000000000003</v>
          </cell>
          <cell r="BG236">
            <v>21</v>
          </cell>
          <cell r="BH236">
            <v>567.952</v>
          </cell>
          <cell r="BI236">
            <v>0</v>
          </cell>
          <cell r="BJ236">
            <v>0</v>
          </cell>
          <cell r="BK236">
            <v>1703.856</v>
          </cell>
          <cell r="BL236">
            <v>3727.1</v>
          </cell>
          <cell r="BM236">
            <v>3727.1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Y236">
            <v>5786.9560000000001</v>
          </cell>
          <cell r="CP236" t="str">
            <v>1795/10</v>
          </cell>
          <cell r="CQ236">
            <v>40434</v>
          </cell>
          <cell r="CR236">
            <v>40613</v>
          </cell>
          <cell r="CS236" t="str">
            <v>2010-0.225.062-1</v>
          </cell>
          <cell r="CT236" t="str">
            <v>SERGIO LIMA DA SILVA</v>
          </cell>
          <cell r="CU236" t="str">
            <v>282.878.738-94</v>
          </cell>
          <cell r="CV236">
            <v>98122</v>
          </cell>
          <cell r="CW236">
            <v>2805.3406666666669</v>
          </cell>
          <cell r="CX236">
            <v>75.744198000000026</v>
          </cell>
          <cell r="CY236">
            <v>14.026703333333337</v>
          </cell>
          <cell r="CZ236">
            <v>1683.2044000000001</v>
          </cell>
          <cell r="DA236">
            <v>13.810329999999993</v>
          </cell>
          <cell r="DD236">
            <v>-28.459339999999997</v>
          </cell>
        </row>
        <row r="237">
          <cell r="C237" t="str">
            <v>2803/10</v>
          </cell>
          <cell r="D237" t="str">
            <v>01/01 A 31/01/11</v>
          </cell>
          <cell r="E237" t="str">
            <v>SIMONE GOMES DE OLIVEIRA</v>
          </cell>
          <cell r="F237" t="str">
            <v>EMEF</v>
          </cell>
          <cell r="G237">
            <v>16</v>
          </cell>
          <cell r="H237">
            <v>16</v>
          </cell>
          <cell r="I237">
            <v>16</v>
          </cell>
          <cell r="J237">
            <v>19313</v>
          </cell>
          <cell r="K237">
            <v>35</v>
          </cell>
          <cell r="L237">
            <v>17</v>
          </cell>
          <cell r="M237">
            <v>0</v>
          </cell>
          <cell r="N237">
            <v>19313</v>
          </cell>
          <cell r="O237">
            <v>48</v>
          </cell>
          <cell r="P237">
            <v>17</v>
          </cell>
          <cell r="Q237">
            <v>0</v>
          </cell>
          <cell r="R237">
            <v>19313</v>
          </cell>
          <cell r="S237">
            <v>20</v>
          </cell>
          <cell r="T237">
            <v>17</v>
          </cell>
          <cell r="U237">
            <v>0</v>
          </cell>
          <cell r="W237">
            <v>1</v>
          </cell>
          <cell r="Y237">
            <v>1</v>
          </cell>
          <cell r="AA237">
            <v>1</v>
          </cell>
          <cell r="AB237">
            <v>0</v>
          </cell>
          <cell r="AE237">
            <v>1</v>
          </cell>
          <cell r="AG237">
            <v>1</v>
          </cell>
          <cell r="AI237">
            <v>1</v>
          </cell>
          <cell r="AJ237">
            <v>0</v>
          </cell>
          <cell r="AL237">
            <v>16</v>
          </cell>
          <cell r="AM237">
            <v>30</v>
          </cell>
          <cell r="AN237">
            <v>22</v>
          </cell>
          <cell r="AO237">
            <v>103</v>
          </cell>
          <cell r="AP237">
            <v>51</v>
          </cell>
          <cell r="AS237">
            <v>2009</v>
          </cell>
          <cell r="AT237">
            <v>19</v>
          </cell>
          <cell r="AU237">
            <v>17</v>
          </cell>
          <cell r="AV237">
            <v>103</v>
          </cell>
          <cell r="AW237">
            <v>0.25</v>
          </cell>
          <cell r="AX237">
            <v>1648</v>
          </cell>
          <cell r="AY237">
            <v>412</v>
          </cell>
          <cell r="AZ237">
            <v>36.880000000000003</v>
          </cell>
          <cell r="BA237">
            <v>17</v>
          </cell>
          <cell r="BB237">
            <v>459.77066666666667</v>
          </cell>
          <cell r="BC237">
            <v>36.880000000000003</v>
          </cell>
          <cell r="BD237">
            <v>17</v>
          </cell>
          <cell r="BE237">
            <v>459.77066666666667</v>
          </cell>
          <cell r="BF237">
            <v>36.880000000000003</v>
          </cell>
          <cell r="BG237">
            <v>17</v>
          </cell>
          <cell r="BH237">
            <v>459.77066666666667</v>
          </cell>
          <cell r="BI237">
            <v>0</v>
          </cell>
          <cell r="BJ237">
            <v>0</v>
          </cell>
          <cell r="BK237">
            <v>1379.3119999999999</v>
          </cell>
          <cell r="BL237">
            <v>2650.9</v>
          </cell>
          <cell r="BM237">
            <v>2650.9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Y237">
            <v>4442.2119999999995</v>
          </cell>
          <cell r="CP237" t="str">
            <v>1896/10</v>
          </cell>
          <cell r="CQ237">
            <v>40441</v>
          </cell>
          <cell r="CR237">
            <v>40620</v>
          </cell>
          <cell r="CS237" t="str">
            <v>2010-0.230.629-5</v>
          </cell>
          <cell r="CT237" t="str">
            <v>SEVERINO AVELINO BATISTA FILHO</v>
          </cell>
          <cell r="CU237" t="str">
            <v>026.970.634-80</v>
          </cell>
          <cell r="CV237">
            <v>105046</v>
          </cell>
          <cell r="CW237">
            <v>6358.3606666666674</v>
          </cell>
          <cell r="CX237">
            <v>171.67573800000002</v>
          </cell>
          <cell r="CY237">
            <v>31.791803333333338</v>
          </cell>
          <cell r="CZ237">
            <v>3815.0164000000004</v>
          </cell>
          <cell r="DA237">
            <v>356.34951000000024</v>
          </cell>
          <cell r="DD237">
            <v>356.34951000000024</v>
          </cell>
        </row>
        <row r="238">
          <cell r="C238" t="str">
            <v>2541/10</v>
          </cell>
          <cell r="D238" t="str">
            <v>01/01 A 31/01/11</v>
          </cell>
          <cell r="E238" t="str">
            <v>SIMONI BOSCACHI NASCIMENTO</v>
          </cell>
          <cell r="F238" t="str">
            <v>CONVENIADA</v>
          </cell>
          <cell r="G238">
            <v>16</v>
          </cell>
          <cell r="H238">
            <v>16</v>
          </cell>
          <cell r="I238">
            <v>16</v>
          </cell>
          <cell r="J238">
            <v>0</v>
          </cell>
          <cell r="K238">
            <v>55</v>
          </cell>
          <cell r="L238">
            <v>9</v>
          </cell>
          <cell r="M238">
            <v>0</v>
          </cell>
          <cell r="N238">
            <v>0</v>
          </cell>
          <cell r="O238">
            <v>56</v>
          </cell>
          <cell r="P238">
            <v>5</v>
          </cell>
          <cell r="Q238">
            <v>0</v>
          </cell>
          <cell r="R238">
            <v>0</v>
          </cell>
          <cell r="U238">
            <v>0</v>
          </cell>
          <cell r="W238">
            <v>1</v>
          </cell>
          <cell r="Y238">
            <v>1</v>
          </cell>
          <cell r="AA238">
            <v>0</v>
          </cell>
          <cell r="AB238">
            <v>0</v>
          </cell>
          <cell r="AE238">
            <v>1</v>
          </cell>
          <cell r="AG238">
            <v>1</v>
          </cell>
          <cell r="AI238">
            <v>0</v>
          </cell>
          <cell r="AJ238">
            <v>0</v>
          </cell>
          <cell r="AL238">
            <v>16</v>
          </cell>
          <cell r="AM238">
            <v>30</v>
          </cell>
          <cell r="AN238">
            <v>22</v>
          </cell>
          <cell r="AO238">
            <v>111</v>
          </cell>
          <cell r="AP238">
            <v>14</v>
          </cell>
          <cell r="AS238">
            <v>2007</v>
          </cell>
          <cell r="AT238">
            <v>29</v>
          </cell>
          <cell r="AU238">
            <v>27</v>
          </cell>
          <cell r="AV238">
            <v>111</v>
          </cell>
          <cell r="AW238">
            <v>0.25</v>
          </cell>
          <cell r="AX238">
            <v>1776</v>
          </cell>
          <cell r="AY238">
            <v>444</v>
          </cell>
          <cell r="AZ238">
            <v>2544.7199999999998</v>
          </cell>
          <cell r="BA238">
            <v>9</v>
          </cell>
          <cell r="BB238">
            <v>1866.1279999999999</v>
          </cell>
          <cell r="BC238">
            <v>0</v>
          </cell>
          <cell r="BD238">
            <v>5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1866.1279999999999</v>
          </cell>
          <cell r="BL238">
            <v>3618.12</v>
          </cell>
          <cell r="BM238">
            <v>3618.12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Y238">
            <v>5928.2479999999996</v>
          </cell>
          <cell r="CP238" t="str">
            <v>2253/10</v>
          </cell>
          <cell r="CQ238">
            <v>40448</v>
          </cell>
          <cell r="CR238">
            <v>40627</v>
          </cell>
          <cell r="CS238" t="str">
            <v>2010-0.243.850-7</v>
          </cell>
          <cell r="CT238" t="str">
            <v>SIDNEI ROBERSON GALVAO</v>
          </cell>
          <cell r="CU238" t="str">
            <v>040.834.038-02</v>
          </cell>
          <cell r="CV238">
            <v>106334</v>
          </cell>
          <cell r="CW238">
            <v>3727.0280000000002</v>
          </cell>
          <cell r="CX238">
            <v>100.62975600000001</v>
          </cell>
          <cell r="CY238">
            <v>18.635140000000003</v>
          </cell>
          <cell r="CZ238">
            <v>2236.2168000000001</v>
          </cell>
          <cell r="DA238">
            <v>55.286259999999999</v>
          </cell>
          <cell r="DD238">
            <v>54.492520000000013</v>
          </cell>
        </row>
        <row r="239">
          <cell r="C239" t="str">
            <v>2466/10</v>
          </cell>
          <cell r="D239" t="str">
            <v>01/01 A 31/01/11</v>
          </cell>
          <cell r="E239" t="str">
            <v>VAGNER CRISTIANO SPIGARIOL</v>
          </cell>
          <cell r="F239" t="str">
            <v>EMEF</v>
          </cell>
          <cell r="G239">
            <v>16</v>
          </cell>
          <cell r="H239">
            <v>16</v>
          </cell>
          <cell r="I239">
            <v>16</v>
          </cell>
          <cell r="J239">
            <v>12688</v>
          </cell>
          <cell r="K239">
            <v>37</v>
          </cell>
          <cell r="L239">
            <v>27</v>
          </cell>
          <cell r="M239">
            <v>0</v>
          </cell>
          <cell r="N239">
            <v>12688</v>
          </cell>
          <cell r="O239">
            <v>29</v>
          </cell>
          <cell r="P239">
            <v>27</v>
          </cell>
          <cell r="Q239">
            <v>0</v>
          </cell>
          <cell r="R239">
            <v>12688</v>
          </cell>
          <cell r="S239">
            <v>39</v>
          </cell>
          <cell r="T239">
            <v>27</v>
          </cell>
          <cell r="U239">
            <v>0</v>
          </cell>
          <cell r="W239">
            <v>1</v>
          </cell>
          <cell r="Y239">
            <v>1</v>
          </cell>
          <cell r="AA239">
            <v>1</v>
          </cell>
          <cell r="AB239">
            <v>0</v>
          </cell>
          <cell r="AE239">
            <v>1</v>
          </cell>
          <cell r="AG239">
            <v>1</v>
          </cell>
          <cell r="AI239">
            <v>1</v>
          </cell>
          <cell r="AJ239">
            <v>0</v>
          </cell>
          <cell r="AL239">
            <v>16</v>
          </cell>
          <cell r="AM239">
            <v>30</v>
          </cell>
          <cell r="AN239">
            <v>22</v>
          </cell>
          <cell r="AO239">
            <v>105</v>
          </cell>
          <cell r="AP239">
            <v>81</v>
          </cell>
          <cell r="AS239">
            <v>2007</v>
          </cell>
          <cell r="AT239">
            <v>29</v>
          </cell>
          <cell r="AU239">
            <v>27</v>
          </cell>
          <cell r="AV239">
            <v>105</v>
          </cell>
          <cell r="AW239">
            <v>0.25</v>
          </cell>
          <cell r="AX239">
            <v>1680</v>
          </cell>
          <cell r="AY239">
            <v>420</v>
          </cell>
          <cell r="AZ239">
            <v>36.880000000000003</v>
          </cell>
          <cell r="BA239">
            <v>27</v>
          </cell>
          <cell r="BB239">
            <v>730.22400000000005</v>
          </cell>
          <cell r="BC239">
            <v>36.880000000000003</v>
          </cell>
          <cell r="BD239">
            <v>27</v>
          </cell>
          <cell r="BE239">
            <v>730.22400000000005</v>
          </cell>
          <cell r="BF239">
            <v>36.880000000000003</v>
          </cell>
          <cell r="BG239">
            <v>27</v>
          </cell>
          <cell r="BH239">
            <v>730.22400000000005</v>
          </cell>
          <cell r="BI239">
            <v>0</v>
          </cell>
          <cell r="BJ239">
            <v>0</v>
          </cell>
          <cell r="BK239">
            <v>2190.672</v>
          </cell>
          <cell r="BL239">
            <v>3618.12</v>
          </cell>
          <cell r="BM239">
            <v>3618.12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Y239">
            <v>6228.7919999999995</v>
          </cell>
          <cell r="CP239" t="str">
            <v>1898/10</v>
          </cell>
          <cell r="CQ239">
            <v>40441</v>
          </cell>
          <cell r="CR239">
            <v>40620</v>
          </cell>
          <cell r="CS239" t="str">
            <v>2010-0.230.632-5</v>
          </cell>
          <cell r="CT239" t="str">
            <v>SILVIA DE MARCHE ALCANTARA</v>
          </cell>
          <cell r="CU239" t="str">
            <v>053.317.588-78</v>
          </cell>
          <cell r="CV239">
            <v>105050</v>
          </cell>
          <cell r="CW239">
            <v>5786.9560000000001</v>
          </cell>
          <cell r="CX239">
            <v>156.24781200000001</v>
          </cell>
          <cell r="CY239">
            <v>28.934780000000003</v>
          </cell>
          <cell r="CZ239">
            <v>3472.1736000000001</v>
          </cell>
          <cell r="DA239">
            <v>275.61905999999999</v>
          </cell>
          <cell r="DD239">
            <v>275.61905999999999</v>
          </cell>
        </row>
        <row r="240">
          <cell r="C240" t="str">
            <v>1936/10</v>
          </cell>
          <cell r="D240" t="str">
            <v>01/01 A 31/01/11</v>
          </cell>
          <cell r="E240" t="str">
            <v>VALDECI PEDRO ALVES</v>
          </cell>
          <cell r="F240" t="str">
            <v>EMEF</v>
          </cell>
          <cell r="G240">
            <v>15</v>
          </cell>
          <cell r="H240">
            <v>15</v>
          </cell>
          <cell r="I240">
            <v>16</v>
          </cell>
          <cell r="J240">
            <v>93360</v>
          </cell>
          <cell r="K240">
            <v>50</v>
          </cell>
          <cell r="L240">
            <v>28</v>
          </cell>
          <cell r="M240">
            <v>0</v>
          </cell>
          <cell r="N240">
            <v>93360</v>
          </cell>
          <cell r="O240">
            <v>20</v>
          </cell>
          <cell r="P240">
            <v>14</v>
          </cell>
          <cell r="Q240">
            <v>0</v>
          </cell>
          <cell r="R240">
            <v>93360</v>
          </cell>
          <cell r="S240">
            <v>40</v>
          </cell>
          <cell r="T240">
            <v>28</v>
          </cell>
          <cell r="U240">
            <v>0</v>
          </cell>
          <cell r="W240">
            <v>1</v>
          </cell>
          <cell r="Y240">
            <v>1</v>
          </cell>
          <cell r="AA240">
            <v>1</v>
          </cell>
          <cell r="AB240">
            <v>0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I240">
            <v>1</v>
          </cell>
          <cell r="AJ240">
            <v>0.66666666666666663</v>
          </cell>
          <cell r="AK240">
            <v>6</v>
          </cell>
          <cell r="AL240">
            <v>16</v>
          </cell>
          <cell r="AM240">
            <v>30</v>
          </cell>
          <cell r="AN240">
            <v>22</v>
          </cell>
          <cell r="AO240">
            <v>110</v>
          </cell>
          <cell r="AP240">
            <v>70</v>
          </cell>
          <cell r="AS240">
            <v>2007</v>
          </cell>
          <cell r="AT240">
            <v>30</v>
          </cell>
          <cell r="AU240">
            <v>28</v>
          </cell>
          <cell r="AV240">
            <v>110</v>
          </cell>
          <cell r="AW240">
            <v>0.25</v>
          </cell>
          <cell r="AX240">
            <v>1760</v>
          </cell>
          <cell r="AY240">
            <v>440</v>
          </cell>
          <cell r="AZ240">
            <v>36.880000000000003</v>
          </cell>
          <cell r="BA240">
            <v>28</v>
          </cell>
          <cell r="BB240">
            <v>757.26933333333341</v>
          </cell>
          <cell r="BC240">
            <v>36.880000000000003</v>
          </cell>
          <cell r="BD240">
            <v>14</v>
          </cell>
          <cell r="BE240">
            <v>378.6346666666667</v>
          </cell>
          <cell r="BF240">
            <v>36.880000000000003</v>
          </cell>
          <cell r="BG240">
            <v>28</v>
          </cell>
          <cell r="BH240">
            <v>757.26933333333341</v>
          </cell>
          <cell r="BI240">
            <v>0</v>
          </cell>
          <cell r="BJ240">
            <v>0</v>
          </cell>
          <cell r="BK240">
            <v>1893.1733333333334</v>
          </cell>
          <cell r="BL240">
            <v>3618.12</v>
          </cell>
          <cell r="BM240">
            <v>3618.12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12.5</v>
          </cell>
          <cell r="BS240">
            <v>5</v>
          </cell>
          <cell r="BT240">
            <v>0</v>
          </cell>
          <cell r="BU240">
            <v>17.5</v>
          </cell>
          <cell r="BY240">
            <v>5933.7933333333331</v>
          </cell>
          <cell r="CP240" t="str">
            <v>2803/10</v>
          </cell>
          <cell r="CQ240">
            <v>40470</v>
          </cell>
          <cell r="CR240">
            <v>40649</v>
          </cell>
          <cell r="CS240" t="str">
            <v>2010-0.277.983-5</v>
          </cell>
          <cell r="CT240" t="str">
            <v>SIMONE GOMES DE OLIVEIRA</v>
          </cell>
          <cell r="CU240" t="str">
            <v>153.956.438-00</v>
          </cell>
          <cell r="CV240">
            <v>115377</v>
          </cell>
          <cell r="CW240">
            <v>4442.2119999999995</v>
          </cell>
          <cell r="CX240">
            <v>119.939724</v>
          </cell>
          <cell r="CY240">
            <v>22.21106</v>
          </cell>
          <cell r="CZ240">
            <v>2665.3271999999997</v>
          </cell>
          <cell r="DA240">
            <v>118.85907999999995</v>
          </cell>
          <cell r="DD240">
            <v>118.85907999999995</v>
          </cell>
        </row>
        <row r="241">
          <cell r="C241" t="str">
            <v>2083/10</v>
          </cell>
          <cell r="D241" t="str">
            <v>01/01 A 31/01/11</v>
          </cell>
          <cell r="E241" t="str">
            <v>VALDEMIR SANTIAGO FARIAS</v>
          </cell>
          <cell r="F241" t="str">
            <v>EMEF</v>
          </cell>
          <cell r="G241">
            <v>16</v>
          </cell>
          <cell r="H241">
            <v>16</v>
          </cell>
          <cell r="I241">
            <v>16</v>
          </cell>
          <cell r="J241">
            <v>19194</v>
          </cell>
          <cell r="K241">
            <v>56</v>
          </cell>
          <cell r="L241">
            <v>26</v>
          </cell>
          <cell r="M241">
            <v>0</v>
          </cell>
          <cell r="N241">
            <v>19194</v>
          </cell>
          <cell r="O241">
            <v>58</v>
          </cell>
          <cell r="P241">
            <v>27</v>
          </cell>
          <cell r="Q241">
            <v>0</v>
          </cell>
          <cell r="R241">
            <v>19194</v>
          </cell>
          <cell r="S241">
            <v>22</v>
          </cell>
          <cell r="T241">
            <v>19</v>
          </cell>
          <cell r="U241">
            <v>0</v>
          </cell>
          <cell r="W241">
            <v>1</v>
          </cell>
          <cell r="Y241">
            <v>1</v>
          </cell>
          <cell r="AA241">
            <v>1</v>
          </cell>
          <cell r="AB241">
            <v>0</v>
          </cell>
          <cell r="AE241">
            <v>1</v>
          </cell>
          <cell r="AG241">
            <v>1</v>
          </cell>
          <cell r="AI241">
            <v>1</v>
          </cell>
          <cell r="AJ241">
            <v>0</v>
          </cell>
          <cell r="AL241">
            <v>16</v>
          </cell>
          <cell r="AM241">
            <v>30</v>
          </cell>
          <cell r="AN241">
            <v>22</v>
          </cell>
          <cell r="AO241">
            <v>136</v>
          </cell>
          <cell r="AP241">
            <v>72</v>
          </cell>
          <cell r="AS241">
            <v>2008</v>
          </cell>
          <cell r="AT241">
            <v>29</v>
          </cell>
          <cell r="AU241">
            <v>27</v>
          </cell>
          <cell r="AV241">
            <v>136</v>
          </cell>
          <cell r="AW241">
            <v>0.25</v>
          </cell>
          <cell r="AX241">
            <v>2176</v>
          </cell>
          <cell r="AY241">
            <v>544</v>
          </cell>
          <cell r="AZ241">
            <v>36.880000000000003</v>
          </cell>
          <cell r="BA241">
            <v>26</v>
          </cell>
          <cell r="BB241">
            <v>703.1786666666668</v>
          </cell>
          <cell r="BC241">
            <v>36.880000000000003</v>
          </cell>
          <cell r="BD241">
            <v>27</v>
          </cell>
          <cell r="BE241">
            <v>730.22400000000005</v>
          </cell>
          <cell r="BF241">
            <v>36.880000000000003</v>
          </cell>
          <cell r="BG241">
            <v>19</v>
          </cell>
          <cell r="BH241">
            <v>513.86133333333328</v>
          </cell>
          <cell r="BI241">
            <v>0</v>
          </cell>
          <cell r="BJ241">
            <v>0</v>
          </cell>
          <cell r="BK241">
            <v>1947.2640000000001</v>
          </cell>
          <cell r="BL241">
            <v>3727.1</v>
          </cell>
          <cell r="BM241">
            <v>3727.1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Y241">
            <v>6218.3640000000005</v>
          </cell>
          <cell r="CP241" t="str">
            <v>2541/10</v>
          </cell>
          <cell r="CQ241">
            <v>40455</v>
          </cell>
          <cell r="CR241">
            <v>40634</v>
          </cell>
          <cell r="CS241" t="str">
            <v>2010-0.268.632-2</v>
          </cell>
          <cell r="CT241" t="str">
            <v>SIMONI BOSCACHI NASCIMENTO</v>
          </cell>
          <cell r="CU241" t="str">
            <v>065.492.798-79</v>
          </cell>
          <cell r="CV241">
            <v>111486</v>
          </cell>
          <cell r="CW241">
            <v>5928.2479999999996</v>
          </cell>
          <cell r="CX241">
            <v>160.06269600000002</v>
          </cell>
          <cell r="CY241">
            <v>29.64124</v>
          </cell>
          <cell r="CZ241">
            <v>3556.9487999999997</v>
          </cell>
          <cell r="DA241">
            <v>294.69347999999991</v>
          </cell>
          <cell r="DD241">
            <v>294.69347999999991</v>
          </cell>
        </row>
        <row r="242">
          <cell r="C242" t="str">
            <v>2191/10</v>
          </cell>
          <cell r="D242" t="str">
            <v>01/01 A 31/01/11</v>
          </cell>
          <cell r="E242" t="str">
            <v xml:space="preserve">VALDETE FRANCISCA DE OLIVEIRA GUERRA </v>
          </cell>
          <cell r="F242" t="str">
            <v>EMEF</v>
          </cell>
          <cell r="G242">
            <v>15</v>
          </cell>
          <cell r="H242">
            <v>15</v>
          </cell>
          <cell r="I242">
            <v>16</v>
          </cell>
          <cell r="J242">
            <v>99791</v>
          </cell>
          <cell r="K242">
            <v>42</v>
          </cell>
          <cell r="L242">
            <v>27</v>
          </cell>
          <cell r="M242">
            <v>0</v>
          </cell>
          <cell r="N242">
            <v>99791</v>
          </cell>
          <cell r="O242">
            <v>38</v>
          </cell>
          <cell r="P242">
            <v>27</v>
          </cell>
          <cell r="Q242">
            <v>0</v>
          </cell>
          <cell r="R242">
            <v>99791</v>
          </cell>
          <cell r="S242">
            <v>11</v>
          </cell>
          <cell r="T242">
            <v>11</v>
          </cell>
          <cell r="U242">
            <v>0</v>
          </cell>
          <cell r="W242">
            <v>1</v>
          </cell>
          <cell r="Y242">
            <v>1</v>
          </cell>
          <cell r="AA242">
            <v>1</v>
          </cell>
          <cell r="AB242">
            <v>0</v>
          </cell>
          <cell r="AD242">
            <v>1</v>
          </cell>
          <cell r="AE242">
            <v>1</v>
          </cell>
          <cell r="AF242">
            <v>1</v>
          </cell>
          <cell r="AG242">
            <v>1</v>
          </cell>
          <cell r="AI242">
            <v>1</v>
          </cell>
          <cell r="AJ242">
            <v>0.66666666666666663</v>
          </cell>
          <cell r="AK242">
            <v>8</v>
          </cell>
          <cell r="AL242">
            <v>16</v>
          </cell>
          <cell r="AM242">
            <v>30</v>
          </cell>
          <cell r="AN242">
            <v>22</v>
          </cell>
          <cell r="AO242">
            <v>91</v>
          </cell>
          <cell r="AP242">
            <v>65</v>
          </cell>
          <cell r="AS242">
            <v>2007</v>
          </cell>
          <cell r="AT242">
            <v>29</v>
          </cell>
          <cell r="AU242">
            <v>27</v>
          </cell>
          <cell r="AV242">
            <v>91</v>
          </cell>
          <cell r="AW242">
            <v>0.25</v>
          </cell>
          <cell r="AX242">
            <v>1456</v>
          </cell>
          <cell r="AY242">
            <v>364</v>
          </cell>
          <cell r="AZ242">
            <v>36.880000000000003</v>
          </cell>
          <cell r="BA242">
            <v>27</v>
          </cell>
          <cell r="BB242">
            <v>730.22400000000005</v>
          </cell>
          <cell r="BC242">
            <v>36.880000000000003</v>
          </cell>
          <cell r="BD242">
            <v>27</v>
          </cell>
          <cell r="BE242">
            <v>730.22400000000005</v>
          </cell>
          <cell r="BF242">
            <v>36.880000000000003</v>
          </cell>
          <cell r="BG242">
            <v>11</v>
          </cell>
          <cell r="BH242">
            <v>297.49866666666668</v>
          </cell>
          <cell r="BI242">
            <v>0</v>
          </cell>
          <cell r="BJ242">
            <v>0</v>
          </cell>
          <cell r="BK242">
            <v>1757.9466666666667</v>
          </cell>
          <cell r="BL242">
            <v>3618.12</v>
          </cell>
          <cell r="BM242">
            <v>3618.12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10.5</v>
          </cell>
          <cell r="BS242">
            <v>9.5</v>
          </cell>
          <cell r="BT242">
            <v>0</v>
          </cell>
          <cell r="BU242">
            <v>20</v>
          </cell>
          <cell r="BY242">
            <v>5720.0666666666666</v>
          </cell>
          <cell r="CP242" t="str">
            <v>2466/10</v>
          </cell>
          <cell r="CQ242">
            <v>40455</v>
          </cell>
          <cell r="CR242">
            <v>40634</v>
          </cell>
          <cell r="CS242" t="str">
            <v>2010-0.267.295-0</v>
          </cell>
          <cell r="CT242" t="str">
            <v>VAGNER CRISTIANO SPIGARIOL</v>
          </cell>
          <cell r="CU242">
            <v>29097919800</v>
          </cell>
          <cell r="CV242">
            <v>115383</v>
          </cell>
          <cell r="CW242">
            <v>6228.7919999999995</v>
          </cell>
          <cell r="CX242">
            <v>168.17738399999999</v>
          </cell>
          <cell r="CY242">
            <v>31.14396</v>
          </cell>
          <cell r="CZ242">
            <v>3737.2751999999996</v>
          </cell>
          <cell r="DA242">
            <v>335.26691999999991</v>
          </cell>
          <cell r="DD242">
            <v>335.26691999999991</v>
          </cell>
        </row>
        <row r="243">
          <cell r="C243" t="str">
            <v>1937/10</v>
          </cell>
          <cell r="D243" t="str">
            <v>01/01 A 31/01/11</v>
          </cell>
          <cell r="E243" t="str">
            <v>VALDIR LEITE PEREIRA</v>
          </cell>
          <cell r="F243" t="str">
            <v>EMEF</v>
          </cell>
          <cell r="G243">
            <v>15</v>
          </cell>
          <cell r="H243">
            <v>15</v>
          </cell>
          <cell r="I243">
            <v>16</v>
          </cell>
          <cell r="J243">
            <v>93360</v>
          </cell>
          <cell r="K243">
            <v>49</v>
          </cell>
          <cell r="L243">
            <v>23</v>
          </cell>
          <cell r="M243">
            <v>0</v>
          </cell>
          <cell r="N243">
            <v>93360</v>
          </cell>
          <cell r="O243">
            <v>27</v>
          </cell>
          <cell r="P243">
            <v>11</v>
          </cell>
          <cell r="Q243">
            <v>0</v>
          </cell>
          <cell r="R243">
            <v>93360</v>
          </cell>
          <cell r="S243">
            <v>50</v>
          </cell>
          <cell r="T243">
            <v>22</v>
          </cell>
          <cell r="U243">
            <v>0</v>
          </cell>
          <cell r="W243">
            <v>1</v>
          </cell>
          <cell r="Y243">
            <v>1</v>
          </cell>
          <cell r="AA243">
            <v>1</v>
          </cell>
          <cell r="AB243">
            <v>0</v>
          </cell>
          <cell r="AD243">
            <v>1</v>
          </cell>
          <cell r="AE243">
            <v>1</v>
          </cell>
          <cell r="AF243">
            <v>1</v>
          </cell>
          <cell r="AG243">
            <v>1</v>
          </cell>
          <cell r="AI243">
            <v>1</v>
          </cell>
          <cell r="AJ243">
            <v>0.66666666666666663</v>
          </cell>
          <cell r="AK243">
            <v>6</v>
          </cell>
          <cell r="AL243">
            <v>16</v>
          </cell>
          <cell r="AM243">
            <v>30</v>
          </cell>
          <cell r="AN243">
            <v>22</v>
          </cell>
          <cell r="AO243">
            <v>126</v>
          </cell>
          <cell r="AP243">
            <v>56</v>
          </cell>
          <cell r="AS243">
            <v>2006</v>
          </cell>
          <cell r="AT243">
            <v>25</v>
          </cell>
          <cell r="AU243">
            <v>23</v>
          </cell>
          <cell r="AV243">
            <v>126</v>
          </cell>
          <cell r="AW243">
            <v>0.25</v>
          </cell>
          <cell r="AX243">
            <v>2016</v>
          </cell>
          <cell r="AY243">
            <v>504</v>
          </cell>
          <cell r="AZ243">
            <v>36.880000000000003</v>
          </cell>
          <cell r="BA243">
            <v>23</v>
          </cell>
          <cell r="BB243">
            <v>622.04266666666672</v>
          </cell>
          <cell r="BC243">
            <v>36.880000000000003</v>
          </cell>
          <cell r="BD243">
            <v>11</v>
          </cell>
          <cell r="BE243">
            <v>297.49866666666668</v>
          </cell>
          <cell r="BF243">
            <v>36.880000000000003</v>
          </cell>
          <cell r="BG243">
            <v>22</v>
          </cell>
          <cell r="BH243">
            <v>594.99733333333336</v>
          </cell>
          <cell r="BI243">
            <v>0</v>
          </cell>
          <cell r="BJ243">
            <v>0</v>
          </cell>
          <cell r="BK243">
            <v>1514.5386666666668</v>
          </cell>
          <cell r="BL243">
            <v>3509.14</v>
          </cell>
          <cell r="BM243">
            <v>3509.14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12.25</v>
          </cell>
          <cell r="BS243">
            <v>6.75</v>
          </cell>
          <cell r="BT243">
            <v>0</v>
          </cell>
          <cell r="BU243">
            <v>19</v>
          </cell>
          <cell r="BY243">
            <v>5508.6786666666667</v>
          </cell>
          <cell r="CP243" t="str">
            <v>1936/10</v>
          </cell>
          <cell r="CQ243">
            <v>40441</v>
          </cell>
          <cell r="CR243">
            <v>40620</v>
          </cell>
          <cell r="CS243" t="str">
            <v>2010-0.230.738-0</v>
          </cell>
          <cell r="CT243" t="str">
            <v>VALDECI PEDRO ALVES</v>
          </cell>
          <cell r="CU243">
            <v>88281094915</v>
          </cell>
          <cell r="CV243">
            <v>105053</v>
          </cell>
          <cell r="CW243">
            <v>5933.7933333333331</v>
          </cell>
          <cell r="CX243">
            <v>160.21242000000001</v>
          </cell>
          <cell r="CY243">
            <v>29.668966666666666</v>
          </cell>
          <cell r="CZ243">
            <v>3560.2759999999998</v>
          </cell>
          <cell r="DA243">
            <v>295.44209999999998</v>
          </cell>
          <cell r="DD243">
            <v>295.44209999999998</v>
          </cell>
        </row>
        <row r="244">
          <cell r="C244" t="str">
            <v>2773/10</v>
          </cell>
          <cell r="D244" t="str">
            <v>01/01 A 31/01/11</v>
          </cell>
          <cell r="E244" t="str">
            <v>VALDIRENE DA SILVA</v>
          </cell>
          <cell r="F244" t="str">
            <v>EMEI</v>
          </cell>
          <cell r="G244">
            <v>16</v>
          </cell>
          <cell r="H244">
            <v>16</v>
          </cell>
          <cell r="I244">
            <v>16</v>
          </cell>
          <cell r="J244">
            <v>19448</v>
          </cell>
          <cell r="K244">
            <v>39</v>
          </cell>
          <cell r="L244">
            <v>13</v>
          </cell>
          <cell r="M244">
            <v>0</v>
          </cell>
          <cell r="N244">
            <v>19448</v>
          </cell>
          <cell r="O244">
            <v>69</v>
          </cell>
          <cell r="P244">
            <v>28</v>
          </cell>
          <cell r="Q244">
            <v>0</v>
          </cell>
          <cell r="R244">
            <v>19441</v>
          </cell>
          <cell r="S244">
            <v>21</v>
          </cell>
          <cell r="T244">
            <v>10</v>
          </cell>
          <cell r="U244">
            <v>0</v>
          </cell>
          <cell r="W244">
            <v>1</v>
          </cell>
          <cell r="Y244">
            <v>1</v>
          </cell>
          <cell r="AA244">
            <v>1</v>
          </cell>
          <cell r="AB244">
            <v>0</v>
          </cell>
          <cell r="AE244">
            <v>1</v>
          </cell>
          <cell r="AG244">
            <v>1</v>
          </cell>
          <cell r="AI244">
            <v>1</v>
          </cell>
          <cell r="AJ244">
            <v>0</v>
          </cell>
          <cell r="AL244">
            <v>16</v>
          </cell>
          <cell r="AM244">
            <v>30</v>
          </cell>
          <cell r="AN244">
            <v>22</v>
          </cell>
          <cell r="AO244">
            <v>129</v>
          </cell>
          <cell r="AP244">
            <v>51</v>
          </cell>
          <cell r="AS244">
            <v>2008</v>
          </cell>
          <cell r="AT244">
            <v>15</v>
          </cell>
          <cell r="AU244">
            <v>14</v>
          </cell>
          <cell r="AV244">
            <v>129</v>
          </cell>
          <cell r="AW244">
            <v>0.25</v>
          </cell>
          <cell r="AX244">
            <v>2064</v>
          </cell>
          <cell r="AY244">
            <v>516</v>
          </cell>
          <cell r="AZ244">
            <v>36.880000000000003</v>
          </cell>
          <cell r="BA244">
            <v>13</v>
          </cell>
          <cell r="BB244">
            <v>351.5893333333334</v>
          </cell>
          <cell r="BC244">
            <v>36.880000000000003</v>
          </cell>
          <cell r="BD244">
            <v>28</v>
          </cell>
          <cell r="BE244">
            <v>757.26933333333341</v>
          </cell>
          <cell r="BF244">
            <v>36.880000000000003</v>
          </cell>
          <cell r="BG244">
            <v>10</v>
          </cell>
          <cell r="BH244">
            <v>270.45333333333332</v>
          </cell>
          <cell r="BI244">
            <v>0</v>
          </cell>
          <cell r="BJ244">
            <v>0</v>
          </cell>
          <cell r="BK244">
            <v>1379.3120000000001</v>
          </cell>
          <cell r="BL244">
            <v>2583.21</v>
          </cell>
          <cell r="BM244">
            <v>2583.21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Y244">
            <v>4478.5219999999999</v>
          </cell>
          <cell r="CP244" t="str">
            <v>2083/10</v>
          </cell>
          <cell r="CQ244">
            <v>40441</v>
          </cell>
          <cell r="CR244">
            <v>40620</v>
          </cell>
          <cell r="CS244" t="str">
            <v>2010-0.235.148-7</v>
          </cell>
          <cell r="CT244" t="str">
            <v>VALDEMIR SANTIAGO FARIAS</v>
          </cell>
          <cell r="CU244" t="str">
            <v>038.635.778-17</v>
          </cell>
          <cell r="CV244">
            <v>105057</v>
          </cell>
          <cell r="CW244">
            <v>6218.3640000000005</v>
          </cell>
          <cell r="CX244">
            <v>167.89582800000005</v>
          </cell>
          <cell r="CY244">
            <v>31.091820000000009</v>
          </cell>
          <cell r="CZ244">
            <v>3731.0183999999999</v>
          </cell>
          <cell r="DA244">
            <v>333.85914000000002</v>
          </cell>
          <cell r="DD244">
            <v>333.85914000000002</v>
          </cell>
        </row>
        <row r="245">
          <cell r="C245" t="str">
            <v>2401/10</v>
          </cell>
          <cell r="D245" t="str">
            <v>01/01 A 31/01/11</v>
          </cell>
          <cell r="E245" t="str">
            <v>VALERIA ALVES BARAUNA</v>
          </cell>
          <cell r="F245" t="str">
            <v>EMEF</v>
          </cell>
          <cell r="G245">
            <v>13</v>
          </cell>
          <cell r="H245">
            <v>13</v>
          </cell>
          <cell r="I245">
            <v>16</v>
          </cell>
          <cell r="J245">
            <v>19243</v>
          </cell>
          <cell r="K245">
            <v>28</v>
          </cell>
          <cell r="L245">
            <v>27</v>
          </cell>
          <cell r="M245">
            <v>0</v>
          </cell>
          <cell r="N245">
            <v>19243</v>
          </cell>
          <cell r="O245">
            <v>36</v>
          </cell>
          <cell r="P245">
            <v>27</v>
          </cell>
          <cell r="Q245">
            <v>0</v>
          </cell>
          <cell r="R245">
            <v>0</v>
          </cell>
          <cell r="U245">
            <v>0</v>
          </cell>
          <cell r="W245">
            <v>1</v>
          </cell>
          <cell r="Y245">
            <v>1</v>
          </cell>
          <cell r="AA245">
            <v>0</v>
          </cell>
          <cell r="AB245">
            <v>0</v>
          </cell>
          <cell r="AD245">
            <v>3</v>
          </cell>
          <cell r="AE245">
            <v>1</v>
          </cell>
          <cell r="AF245">
            <v>3</v>
          </cell>
          <cell r="AG245">
            <v>1</v>
          </cell>
          <cell r="AI245">
            <v>0</v>
          </cell>
          <cell r="AJ245">
            <v>3</v>
          </cell>
          <cell r="AK245" t="str">
            <v>10, 15 e 16</v>
          </cell>
          <cell r="AL245">
            <v>16</v>
          </cell>
          <cell r="AM245">
            <v>30</v>
          </cell>
          <cell r="AN245">
            <v>22</v>
          </cell>
          <cell r="AO245">
            <v>64</v>
          </cell>
          <cell r="AP245">
            <v>54</v>
          </cell>
          <cell r="AS245">
            <v>2008</v>
          </cell>
          <cell r="AT245">
            <v>29</v>
          </cell>
          <cell r="AU245">
            <v>27</v>
          </cell>
          <cell r="AV245">
            <v>64</v>
          </cell>
          <cell r="AW245">
            <v>0.25</v>
          </cell>
          <cell r="AX245">
            <v>1024</v>
          </cell>
          <cell r="AY245">
            <v>256</v>
          </cell>
          <cell r="AZ245">
            <v>36.880000000000003</v>
          </cell>
          <cell r="BA245">
            <v>27</v>
          </cell>
          <cell r="BB245">
            <v>730.22400000000005</v>
          </cell>
          <cell r="BC245">
            <v>36.880000000000003</v>
          </cell>
          <cell r="BD245">
            <v>27</v>
          </cell>
          <cell r="BE245">
            <v>730.22400000000005</v>
          </cell>
          <cell r="BF245">
            <v>36.880000000000003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1460.4480000000001</v>
          </cell>
          <cell r="BL245">
            <v>3727.1</v>
          </cell>
          <cell r="BM245">
            <v>3727.1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21</v>
          </cell>
          <cell r="BS245">
            <v>27</v>
          </cell>
          <cell r="BT245">
            <v>0</v>
          </cell>
          <cell r="BU245">
            <v>48</v>
          </cell>
          <cell r="BY245">
            <v>5395.5479999999998</v>
          </cell>
          <cell r="CP245" t="str">
            <v>2191/10</v>
          </cell>
          <cell r="CQ245">
            <v>40448</v>
          </cell>
          <cell r="CR245">
            <v>40627</v>
          </cell>
          <cell r="CS245" t="str">
            <v>2010-0.242.346-1</v>
          </cell>
          <cell r="CT245" t="str">
            <v xml:space="preserve">VALDETE FRANCISCA DE OLIVEIRA GUERRA </v>
          </cell>
          <cell r="CU245" t="str">
            <v>076.949.448-03</v>
          </cell>
          <cell r="CV245">
            <v>106209</v>
          </cell>
          <cell r="CW245">
            <v>5720.0666666666666</v>
          </cell>
          <cell r="CX245">
            <v>154.4418</v>
          </cell>
          <cell r="CY245">
            <v>28.600333333333335</v>
          </cell>
          <cell r="CZ245">
            <v>3432.04</v>
          </cell>
          <cell r="DA245">
            <v>266.58900000000006</v>
          </cell>
          <cell r="DD245">
            <v>266.58900000000006</v>
          </cell>
        </row>
        <row r="246">
          <cell r="C246" t="str">
            <v>2529/10</v>
          </cell>
          <cell r="D246" t="str">
            <v>01/01 A 31/01/11</v>
          </cell>
          <cell r="E246" t="str">
            <v>VALMIRO MACHADO OLIVEIRA</v>
          </cell>
          <cell r="F246" t="str">
            <v>EMEI</v>
          </cell>
          <cell r="G246">
            <v>16</v>
          </cell>
          <cell r="H246">
            <v>16</v>
          </cell>
          <cell r="I246">
            <v>16</v>
          </cell>
          <cell r="J246">
            <v>11568</v>
          </cell>
          <cell r="K246">
            <v>72</v>
          </cell>
          <cell r="L246">
            <v>37</v>
          </cell>
          <cell r="M246">
            <v>0</v>
          </cell>
          <cell r="N246">
            <v>11568</v>
          </cell>
          <cell r="O246">
            <v>74</v>
          </cell>
          <cell r="P246">
            <v>39</v>
          </cell>
          <cell r="Q246">
            <v>0</v>
          </cell>
          <cell r="R246">
            <v>19441</v>
          </cell>
          <cell r="S246">
            <v>77</v>
          </cell>
          <cell r="T246">
            <v>23</v>
          </cell>
          <cell r="U246">
            <v>0</v>
          </cell>
          <cell r="W246">
            <v>1</v>
          </cell>
          <cell r="Y246">
            <v>1</v>
          </cell>
          <cell r="AA246">
            <v>1</v>
          </cell>
          <cell r="AB246">
            <v>0</v>
          </cell>
          <cell r="AE246">
            <v>1</v>
          </cell>
          <cell r="AG246">
            <v>1</v>
          </cell>
          <cell r="AI246">
            <v>1</v>
          </cell>
          <cell r="AJ246">
            <v>0</v>
          </cell>
          <cell r="AL246">
            <v>16</v>
          </cell>
          <cell r="AM246">
            <v>30</v>
          </cell>
          <cell r="AN246">
            <v>22</v>
          </cell>
          <cell r="AO246">
            <v>223</v>
          </cell>
          <cell r="AP246">
            <v>99</v>
          </cell>
          <cell r="AS246">
            <v>2009</v>
          </cell>
          <cell r="AT246">
            <v>39</v>
          </cell>
          <cell r="AU246">
            <v>37</v>
          </cell>
          <cell r="AV246">
            <v>223</v>
          </cell>
          <cell r="AW246">
            <v>0.25</v>
          </cell>
          <cell r="AX246">
            <v>3568</v>
          </cell>
          <cell r="AY246">
            <v>892</v>
          </cell>
          <cell r="AZ246">
            <v>36.880000000000003</v>
          </cell>
          <cell r="BA246">
            <v>37</v>
          </cell>
          <cell r="BB246">
            <v>1000.6773333333334</v>
          </cell>
          <cell r="BC246">
            <v>36.880000000000003</v>
          </cell>
          <cell r="BD246">
            <v>39</v>
          </cell>
          <cell r="BE246">
            <v>1054.768</v>
          </cell>
          <cell r="BF246">
            <v>36.880000000000003</v>
          </cell>
          <cell r="BG246">
            <v>23</v>
          </cell>
          <cell r="BH246">
            <v>622.04266666666672</v>
          </cell>
          <cell r="BI246">
            <v>0</v>
          </cell>
          <cell r="BJ246">
            <v>0</v>
          </cell>
          <cell r="BK246">
            <v>2677.4880000000003</v>
          </cell>
          <cell r="BL246">
            <v>3836.07</v>
          </cell>
          <cell r="BM246">
            <v>3836.07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Y246">
            <v>7405.558</v>
          </cell>
          <cell r="CP246" t="str">
            <v>1937/10</v>
          </cell>
          <cell r="CQ246">
            <v>40441</v>
          </cell>
          <cell r="CR246">
            <v>40620</v>
          </cell>
          <cell r="CS246" t="str">
            <v>2010-0.230.739-9</v>
          </cell>
          <cell r="CT246" t="str">
            <v>VALDIR LEITE PEREIRA</v>
          </cell>
          <cell r="CU246">
            <v>50965115534</v>
          </cell>
          <cell r="CV246">
            <v>111207</v>
          </cell>
          <cell r="CW246">
            <v>5508.6786666666667</v>
          </cell>
          <cell r="CX246">
            <v>148.73432400000002</v>
          </cell>
          <cell r="CY246">
            <v>27.543393333333338</v>
          </cell>
          <cell r="CZ246">
            <v>3305.2071999999998</v>
          </cell>
          <cell r="DA246">
            <v>238.05161999999996</v>
          </cell>
          <cell r="DD246">
            <v>238.05161999999996</v>
          </cell>
        </row>
        <row r="247">
          <cell r="C247" t="str">
            <v>2254/10</v>
          </cell>
          <cell r="D247" t="str">
            <v>01/01 A 31/01/11</v>
          </cell>
          <cell r="E247" t="str">
            <v>VALTECIO SOUZA PEREIRA</v>
          </cell>
          <cell r="F247" t="str">
            <v>EMEF</v>
          </cell>
          <cell r="G247">
            <v>16</v>
          </cell>
          <cell r="H247">
            <v>16</v>
          </cell>
          <cell r="I247">
            <v>14</v>
          </cell>
          <cell r="J247">
            <v>93386</v>
          </cell>
          <cell r="K247">
            <v>33</v>
          </cell>
          <cell r="L247">
            <v>27</v>
          </cell>
          <cell r="M247">
            <v>0</v>
          </cell>
          <cell r="N247">
            <v>93386</v>
          </cell>
          <cell r="O247">
            <v>33</v>
          </cell>
          <cell r="P247">
            <v>26</v>
          </cell>
          <cell r="Q247">
            <v>0</v>
          </cell>
          <cell r="R247">
            <v>93394</v>
          </cell>
          <cell r="S247">
            <v>47</v>
          </cell>
          <cell r="T247">
            <v>27</v>
          </cell>
          <cell r="U247">
            <v>0</v>
          </cell>
          <cell r="W247">
            <v>1</v>
          </cell>
          <cell r="Y247">
            <v>1</v>
          </cell>
          <cell r="AA247">
            <v>1</v>
          </cell>
          <cell r="AB247">
            <v>0</v>
          </cell>
          <cell r="AE247">
            <v>1</v>
          </cell>
          <cell r="AG247">
            <v>1</v>
          </cell>
          <cell r="AH247">
            <v>2</v>
          </cell>
          <cell r="AI247">
            <v>1</v>
          </cell>
          <cell r="AJ247">
            <v>0.66666666666666663</v>
          </cell>
          <cell r="AK247" t="str">
            <v>21 e 22</v>
          </cell>
          <cell r="AL247">
            <v>16</v>
          </cell>
          <cell r="AM247">
            <v>30</v>
          </cell>
          <cell r="AN247">
            <v>22</v>
          </cell>
          <cell r="AO247">
            <v>113</v>
          </cell>
          <cell r="AP247">
            <v>80</v>
          </cell>
          <cell r="AS247">
            <v>2007</v>
          </cell>
          <cell r="AT247">
            <v>29</v>
          </cell>
          <cell r="AU247">
            <v>27</v>
          </cell>
          <cell r="AV247">
            <v>113</v>
          </cell>
          <cell r="AW247">
            <v>0.25</v>
          </cell>
          <cell r="AX247">
            <v>1808</v>
          </cell>
          <cell r="AY247">
            <v>452</v>
          </cell>
          <cell r="AZ247">
            <v>36.880000000000003</v>
          </cell>
          <cell r="BA247">
            <v>27</v>
          </cell>
          <cell r="BB247">
            <v>730.22400000000005</v>
          </cell>
          <cell r="BC247">
            <v>36.880000000000003</v>
          </cell>
          <cell r="BD247">
            <v>26</v>
          </cell>
          <cell r="BE247">
            <v>703.1786666666668</v>
          </cell>
          <cell r="BF247">
            <v>36.880000000000003</v>
          </cell>
          <cell r="BG247">
            <v>27</v>
          </cell>
          <cell r="BH247">
            <v>730.22400000000005</v>
          </cell>
          <cell r="BI247">
            <v>0</v>
          </cell>
          <cell r="BJ247">
            <v>0</v>
          </cell>
          <cell r="BK247">
            <v>2163.626666666667</v>
          </cell>
          <cell r="BL247">
            <v>3618.12</v>
          </cell>
          <cell r="BM247">
            <v>3618.12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23.5</v>
          </cell>
          <cell r="BU247">
            <v>23.5</v>
          </cell>
          <cell r="BY247">
            <v>6210.2466666666669</v>
          </cell>
          <cell r="CP247" t="str">
            <v>2773/10</v>
          </cell>
          <cell r="CQ247">
            <v>40469</v>
          </cell>
          <cell r="CR247">
            <v>40648</v>
          </cell>
          <cell r="CS247" t="str">
            <v>2010-0.277.847-2</v>
          </cell>
          <cell r="CT247" t="str">
            <v>VALDIRENE DA SILVA</v>
          </cell>
          <cell r="CU247">
            <v>11597928879</v>
          </cell>
          <cell r="CV247">
            <v>115388</v>
          </cell>
          <cell r="CW247">
            <v>4478.5219999999999</v>
          </cell>
          <cell r="CX247">
            <v>120.92009400000002</v>
          </cell>
          <cell r="CY247">
            <v>22.392610000000005</v>
          </cell>
          <cell r="CZ247">
            <v>2687.1131999999998</v>
          </cell>
          <cell r="DA247">
            <v>122.12697999999995</v>
          </cell>
          <cell r="DD247">
            <v>122.12697999999995</v>
          </cell>
        </row>
        <row r="248">
          <cell r="C248" t="str">
            <v>2895/10</v>
          </cell>
          <cell r="D248" t="str">
            <v>01/01 A 31/01/11</v>
          </cell>
          <cell r="E248" t="str">
            <v>VANDERLIN PEREIRA SANTIAGO</v>
          </cell>
          <cell r="F248" t="str">
            <v>EMEF</v>
          </cell>
          <cell r="G248">
            <v>15</v>
          </cell>
          <cell r="H248">
            <v>15</v>
          </cell>
          <cell r="I248">
            <v>16</v>
          </cell>
          <cell r="J248">
            <v>99791</v>
          </cell>
          <cell r="K248">
            <v>42</v>
          </cell>
          <cell r="L248">
            <v>23</v>
          </cell>
          <cell r="M248">
            <v>0</v>
          </cell>
          <cell r="N248">
            <v>99791</v>
          </cell>
          <cell r="O248">
            <v>35</v>
          </cell>
          <cell r="P248">
            <v>17</v>
          </cell>
          <cell r="Q248">
            <v>0</v>
          </cell>
          <cell r="R248">
            <v>18546</v>
          </cell>
          <cell r="S248">
            <v>24</v>
          </cell>
          <cell r="T248">
            <v>23</v>
          </cell>
          <cell r="U248">
            <v>0</v>
          </cell>
          <cell r="W248">
            <v>1</v>
          </cell>
          <cell r="Y248">
            <v>1</v>
          </cell>
          <cell r="AA248">
            <v>1</v>
          </cell>
          <cell r="AB248">
            <v>0</v>
          </cell>
          <cell r="AD248">
            <v>1</v>
          </cell>
          <cell r="AE248">
            <v>1</v>
          </cell>
          <cell r="AF248">
            <v>1</v>
          </cell>
          <cell r="AG248">
            <v>1</v>
          </cell>
          <cell r="AI248">
            <v>1</v>
          </cell>
          <cell r="AJ248">
            <v>0.66666666666666663</v>
          </cell>
          <cell r="AK248">
            <v>8</v>
          </cell>
          <cell r="AL248">
            <v>16</v>
          </cell>
          <cell r="AM248">
            <v>30</v>
          </cell>
          <cell r="AN248">
            <v>22</v>
          </cell>
          <cell r="AO248">
            <v>101</v>
          </cell>
          <cell r="AP248">
            <v>63</v>
          </cell>
          <cell r="AS248">
            <v>2003</v>
          </cell>
          <cell r="AT248">
            <v>25</v>
          </cell>
          <cell r="AU248">
            <v>23</v>
          </cell>
          <cell r="AV248">
            <v>101</v>
          </cell>
          <cell r="AW248">
            <v>0.25</v>
          </cell>
          <cell r="AX248">
            <v>1616</v>
          </cell>
          <cell r="AY248">
            <v>404</v>
          </cell>
          <cell r="AZ248">
            <v>36.880000000000003</v>
          </cell>
          <cell r="BA248">
            <v>23</v>
          </cell>
          <cell r="BB248">
            <v>622.04266666666672</v>
          </cell>
          <cell r="BC248">
            <v>36.880000000000003</v>
          </cell>
          <cell r="BD248">
            <v>17</v>
          </cell>
          <cell r="BE248">
            <v>459.77066666666667</v>
          </cell>
          <cell r="BF248">
            <v>36.880000000000003</v>
          </cell>
          <cell r="BG248">
            <v>23</v>
          </cell>
          <cell r="BH248">
            <v>622.04266666666672</v>
          </cell>
          <cell r="BI248">
            <v>0</v>
          </cell>
          <cell r="BJ248">
            <v>0</v>
          </cell>
          <cell r="BK248">
            <v>1703.8560000000002</v>
          </cell>
          <cell r="BL248">
            <v>3182.21</v>
          </cell>
          <cell r="BM248">
            <v>3182.21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10.5</v>
          </cell>
          <cell r="BS248">
            <v>8.75</v>
          </cell>
          <cell r="BT248">
            <v>0</v>
          </cell>
          <cell r="BU248">
            <v>19.25</v>
          </cell>
          <cell r="BY248">
            <v>5270.8160000000007</v>
          </cell>
          <cell r="CP248" t="str">
            <v>2401/10</v>
          </cell>
          <cell r="CQ248">
            <v>40431</v>
          </cell>
          <cell r="CR248">
            <v>40610</v>
          </cell>
          <cell r="CS248" t="str">
            <v>2010-0.251.032-1</v>
          </cell>
          <cell r="CT248" t="str">
            <v>VALERIA ALVES BARAUNA</v>
          </cell>
          <cell r="CU248" t="str">
            <v>081.997.808-60</v>
          </cell>
          <cell r="CV248">
            <v>111169</v>
          </cell>
          <cell r="CW248">
            <v>5395.5479999999998</v>
          </cell>
          <cell r="CX248">
            <v>145.67979600000001</v>
          </cell>
          <cell r="CY248">
            <v>26.977740000000001</v>
          </cell>
          <cell r="CZ248">
            <v>3237.3287999999998</v>
          </cell>
          <cell r="DA248">
            <v>222.77897999999993</v>
          </cell>
          <cell r="DD248">
            <v>222.77897999999993</v>
          </cell>
        </row>
        <row r="249">
          <cell r="C249" t="str">
            <v>3111/10</v>
          </cell>
          <cell r="D249" t="str">
            <v>01/01 A 31/01/11</v>
          </cell>
          <cell r="E249" t="str">
            <v>VANUSA MARTINS MINUTENTAG</v>
          </cell>
          <cell r="F249" t="str">
            <v>EMEI</v>
          </cell>
          <cell r="G249">
            <v>16</v>
          </cell>
          <cell r="H249">
            <v>16</v>
          </cell>
          <cell r="I249">
            <v>16</v>
          </cell>
          <cell r="J249">
            <v>90557</v>
          </cell>
          <cell r="K249">
            <v>57</v>
          </cell>
          <cell r="L249">
            <v>27</v>
          </cell>
          <cell r="M249">
            <v>0</v>
          </cell>
          <cell r="N249">
            <v>90557</v>
          </cell>
          <cell r="O249">
            <v>82</v>
          </cell>
          <cell r="P249">
            <v>26</v>
          </cell>
          <cell r="Q249">
            <v>0</v>
          </cell>
          <cell r="R249">
            <v>0</v>
          </cell>
          <cell r="U249">
            <v>0</v>
          </cell>
          <cell r="W249">
            <v>1</v>
          </cell>
          <cell r="Y249">
            <v>1</v>
          </cell>
          <cell r="AA249">
            <v>0</v>
          </cell>
          <cell r="AB249">
            <v>0</v>
          </cell>
          <cell r="AE249">
            <v>1</v>
          </cell>
          <cell r="AG249">
            <v>1</v>
          </cell>
          <cell r="AI249">
            <v>0</v>
          </cell>
          <cell r="AJ249">
            <v>0</v>
          </cell>
          <cell r="AL249">
            <v>16</v>
          </cell>
          <cell r="AM249">
            <v>30</v>
          </cell>
          <cell r="AN249">
            <v>22</v>
          </cell>
          <cell r="AO249">
            <v>139</v>
          </cell>
          <cell r="AP249">
            <v>53</v>
          </cell>
          <cell r="AS249">
            <v>2008</v>
          </cell>
          <cell r="AT249">
            <v>29</v>
          </cell>
          <cell r="AU249">
            <v>27</v>
          </cell>
          <cell r="AV249">
            <v>139</v>
          </cell>
          <cell r="AW249">
            <v>0.65</v>
          </cell>
          <cell r="AX249">
            <v>2224</v>
          </cell>
          <cell r="AY249">
            <v>1445.6000000000001</v>
          </cell>
          <cell r="AZ249">
            <v>48.26</v>
          </cell>
          <cell r="BA249">
            <v>27</v>
          </cell>
          <cell r="BB249">
            <v>955.548</v>
          </cell>
          <cell r="BC249">
            <v>48.26</v>
          </cell>
          <cell r="BD249">
            <v>26</v>
          </cell>
          <cell r="BE249">
            <v>920.15733333333333</v>
          </cell>
          <cell r="BF249">
            <v>48.26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1875.7053333333333</v>
          </cell>
          <cell r="BL249">
            <v>2679</v>
          </cell>
          <cell r="BM249">
            <v>2679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Y249">
            <v>6000.3053333333337</v>
          </cell>
          <cell r="CP249" t="str">
            <v>2529/10</v>
          </cell>
          <cell r="CQ249">
            <v>40455</v>
          </cell>
          <cell r="CR249">
            <v>40634</v>
          </cell>
          <cell r="CS249" t="str">
            <v>2010-0.268.576-8</v>
          </cell>
          <cell r="CT249" t="str">
            <v>VALMIRO MACHADO OLIVEIRA</v>
          </cell>
          <cell r="CU249" t="str">
            <v>260.731.208-69</v>
          </cell>
          <cell r="CV249">
            <v>114112</v>
          </cell>
          <cell r="CW249">
            <v>7405.558</v>
          </cell>
          <cell r="CX249">
            <v>199.95006600000005</v>
          </cell>
          <cell r="CY249">
            <v>37.027790000000003</v>
          </cell>
          <cell r="CZ249">
            <v>4443.3347999999996</v>
          </cell>
          <cell r="DA249">
            <v>529.13706999999999</v>
          </cell>
          <cell r="DD249">
            <v>529.13706999999999</v>
          </cell>
        </row>
        <row r="250">
          <cell r="C250" t="str">
            <v>1589/10</v>
          </cell>
          <cell r="D250" t="str">
            <v>01/01 A 31/01/11</v>
          </cell>
          <cell r="E250" t="str">
            <v>VENANCIO APARECIDO DOS ANJOS</v>
          </cell>
          <cell r="F250" t="str">
            <v>EMEF/EMEI</v>
          </cell>
          <cell r="G250">
            <v>16</v>
          </cell>
          <cell r="H250">
            <v>16</v>
          </cell>
          <cell r="I250">
            <v>16</v>
          </cell>
          <cell r="J250">
            <v>90638</v>
          </cell>
          <cell r="K250">
            <v>9</v>
          </cell>
          <cell r="L250">
            <v>1</v>
          </cell>
          <cell r="M250">
            <v>3</v>
          </cell>
          <cell r="N250">
            <v>93416</v>
          </cell>
          <cell r="O250">
            <v>27</v>
          </cell>
          <cell r="P250">
            <v>9</v>
          </cell>
          <cell r="Q250">
            <v>2</v>
          </cell>
          <cell r="R250">
            <v>19440</v>
          </cell>
          <cell r="S250">
            <v>32</v>
          </cell>
          <cell r="T250">
            <v>4</v>
          </cell>
          <cell r="U250">
            <v>1</v>
          </cell>
          <cell r="W250">
            <v>1</v>
          </cell>
          <cell r="Y250">
            <v>1</v>
          </cell>
          <cell r="AA250">
            <v>1</v>
          </cell>
          <cell r="AB250">
            <v>0</v>
          </cell>
          <cell r="AE250">
            <v>1</v>
          </cell>
          <cell r="AG250">
            <v>1</v>
          </cell>
          <cell r="AI250">
            <v>1</v>
          </cell>
          <cell r="AJ250">
            <v>0</v>
          </cell>
          <cell r="AL250">
            <v>16</v>
          </cell>
          <cell r="AM250">
            <v>24</v>
          </cell>
          <cell r="AN250">
            <v>22</v>
          </cell>
          <cell r="AO250">
            <v>68</v>
          </cell>
          <cell r="AP250">
            <v>20</v>
          </cell>
          <cell r="AS250">
            <v>2009</v>
          </cell>
          <cell r="AT250">
            <v>11</v>
          </cell>
          <cell r="AU250">
            <v>10</v>
          </cell>
          <cell r="AV250">
            <v>68</v>
          </cell>
          <cell r="AW250">
            <v>0.25</v>
          </cell>
          <cell r="AX250">
            <v>1088</v>
          </cell>
          <cell r="AY250">
            <v>272</v>
          </cell>
          <cell r="AZ250">
            <v>36.880000000000003</v>
          </cell>
          <cell r="BA250">
            <v>15</v>
          </cell>
          <cell r="BB250">
            <v>405.68</v>
          </cell>
          <cell r="BC250">
            <v>2290.25</v>
          </cell>
          <cell r="BD250">
            <v>5</v>
          </cell>
          <cell r="BE250">
            <v>1679.5166666666667</v>
          </cell>
          <cell r="BF250">
            <v>0</v>
          </cell>
          <cell r="BG250">
            <v>4</v>
          </cell>
          <cell r="BH250">
            <v>0</v>
          </cell>
          <cell r="BI250">
            <v>6</v>
          </cell>
          <cell r="BJ250">
            <v>0</v>
          </cell>
          <cell r="BK250">
            <v>2085.1966666666667</v>
          </cell>
          <cell r="BL250">
            <v>3836.07</v>
          </cell>
          <cell r="BM250">
            <v>3068.8559999999998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Y250">
            <v>5426.0526666666665</v>
          </cell>
          <cell r="CP250" t="str">
            <v>2254/10</v>
          </cell>
          <cell r="CQ250">
            <v>40448</v>
          </cell>
          <cell r="CR250">
            <v>40627</v>
          </cell>
          <cell r="CS250" t="str">
            <v>2010-0.243.852-3</v>
          </cell>
          <cell r="CT250" t="str">
            <v>VALTECIO SOUZA PEREIRA</v>
          </cell>
          <cell r="CU250">
            <v>56066988549</v>
          </cell>
          <cell r="CV250">
            <v>106343</v>
          </cell>
          <cell r="CW250">
            <v>6210.2466666666669</v>
          </cell>
          <cell r="CX250">
            <v>167.67666000000003</v>
          </cell>
          <cell r="CY250">
            <v>31.051233333333336</v>
          </cell>
          <cell r="CZ250">
            <v>3726.1480000000001</v>
          </cell>
          <cell r="DA250">
            <v>332.76330000000007</v>
          </cell>
          <cell r="DD250">
            <v>332.76330000000007</v>
          </cell>
        </row>
        <row r="251">
          <cell r="C251" t="str">
            <v>1602/10</v>
          </cell>
          <cell r="D251" t="str">
            <v>01/01 A 31/01/11</v>
          </cell>
          <cell r="E251" t="str">
            <v>WILLIAM DA SILVA GARCIA</v>
          </cell>
          <cell r="F251" t="str">
            <v>ADAPTADO</v>
          </cell>
          <cell r="G251">
            <v>15</v>
          </cell>
          <cell r="H251">
            <v>15</v>
          </cell>
          <cell r="I251">
            <v>15</v>
          </cell>
          <cell r="J251">
            <v>19254</v>
          </cell>
          <cell r="K251">
            <v>25</v>
          </cell>
          <cell r="L251">
            <v>7</v>
          </cell>
          <cell r="M251">
            <v>5</v>
          </cell>
          <cell r="N251">
            <v>531</v>
          </cell>
          <cell r="O251">
            <v>11</v>
          </cell>
          <cell r="P251">
            <v>4</v>
          </cell>
          <cell r="Q251">
            <v>1</v>
          </cell>
          <cell r="R251">
            <v>19406</v>
          </cell>
          <cell r="S251">
            <v>3</v>
          </cell>
          <cell r="T251">
            <v>0</v>
          </cell>
          <cell r="U251">
            <v>1</v>
          </cell>
          <cell r="W251">
            <v>1</v>
          </cell>
          <cell r="Y251">
            <v>1</v>
          </cell>
          <cell r="AA251">
            <v>1</v>
          </cell>
          <cell r="AB251">
            <v>0</v>
          </cell>
          <cell r="AD251">
            <v>1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1</v>
          </cell>
          <cell r="AJ251">
            <v>1</v>
          </cell>
          <cell r="AK251" t="str">
            <v>6, 10 e 13</v>
          </cell>
          <cell r="AL251">
            <v>16</v>
          </cell>
          <cell r="AM251">
            <v>30</v>
          </cell>
          <cell r="AN251">
            <v>22</v>
          </cell>
          <cell r="AO251">
            <v>39</v>
          </cell>
          <cell r="AP251">
            <v>18</v>
          </cell>
          <cell r="AS251">
            <v>2009</v>
          </cell>
          <cell r="AT251">
            <v>11</v>
          </cell>
          <cell r="AU251">
            <v>10</v>
          </cell>
          <cell r="AV251">
            <v>39</v>
          </cell>
          <cell r="AW251">
            <v>0.25</v>
          </cell>
          <cell r="AX251">
            <v>624</v>
          </cell>
          <cell r="AY251">
            <v>156</v>
          </cell>
          <cell r="AZ251">
            <v>36.880000000000003</v>
          </cell>
          <cell r="BA251">
            <v>13</v>
          </cell>
          <cell r="BB251">
            <v>351.5893333333334</v>
          </cell>
          <cell r="BC251">
            <v>2290.25</v>
          </cell>
          <cell r="BD251">
            <v>5</v>
          </cell>
          <cell r="BE251">
            <v>1679.5166666666667</v>
          </cell>
          <cell r="BF251">
            <v>0</v>
          </cell>
          <cell r="BG251">
            <v>0</v>
          </cell>
          <cell r="BH251">
            <v>0</v>
          </cell>
          <cell r="BI251">
            <v>7</v>
          </cell>
          <cell r="BJ251">
            <v>0</v>
          </cell>
          <cell r="BK251">
            <v>2031.106</v>
          </cell>
          <cell r="BL251">
            <v>3945.03</v>
          </cell>
          <cell r="BM251">
            <v>3945.03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6.25</v>
          </cell>
          <cell r="BS251">
            <v>2.75</v>
          </cell>
          <cell r="BT251">
            <v>0.75</v>
          </cell>
          <cell r="BU251">
            <v>9.75</v>
          </cell>
          <cell r="BY251">
            <v>6122.3860000000004</v>
          </cell>
          <cell r="CP251" t="str">
            <v>2895/10</v>
          </cell>
          <cell r="CQ251">
            <v>40483</v>
          </cell>
          <cell r="CR251">
            <v>40662</v>
          </cell>
          <cell r="CS251" t="str">
            <v>2010-0.282.216-1</v>
          </cell>
          <cell r="CT251" t="str">
            <v>VANDERLIN PEREIRA SANTIAGO</v>
          </cell>
          <cell r="CU251" t="str">
            <v>057.394.848-80</v>
          </cell>
          <cell r="CV251">
            <v>119860</v>
          </cell>
          <cell r="CW251">
            <v>5270.8160000000007</v>
          </cell>
          <cell r="CX251">
            <v>142.31203200000004</v>
          </cell>
          <cell r="CY251">
            <v>26.354080000000007</v>
          </cell>
          <cell r="CZ251">
            <v>3162.4896000000003</v>
          </cell>
          <cell r="DA251">
            <v>205.94016000000011</v>
          </cell>
          <cell r="DD251">
            <v>205.94016000000011</v>
          </cell>
        </row>
        <row r="252">
          <cell r="C252" t="str">
            <v>1900/10</v>
          </cell>
          <cell r="D252" t="str">
            <v>01/01 A 31/01/11</v>
          </cell>
          <cell r="E252" t="str">
            <v>WILSON SANCHES GARCIA</v>
          </cell>
          <cell r="F252" t="str">
            <v>EMEF</v>
          </cell>
          <cell r="G252">
            <v>16</v>
          </cell>
          <cell r="H252">
            <v>16</v>
          </cell>
          <cell r="I252">
            <v>16</v>
          </cell>
          <cell r="J252">
            <v>93351</v>
          </cell>
          <cell r="K252">
            <v>39</v>
          </cell>
          <cell r="L252">
            <v>27</v>
          </cell>
          <cell r="M252">
            <v>0</v>
          </cell>
          <cell r="N252">
            <v>93351</v>
          </cell>
          <cell r="O252">
            <v>42</v>
          </cell>
          <cell r="P252">
            <v>27</v>
          </cell>
          <cell r="Q252">
            <v>0</v>
          </cell>
          <cell r="R252">
            <v>0</v>
          </cell>
          <cell r="U252">
            <v>0</v>
          </cell>
          <cell r="W252">
            <v>1</v>
          </cell>
          <cell r="Y252">
            <v>1</v>
          </cell>
          <cell r="AA252">
            <v>0</v>
          </cell>
          <cell r="AB252">
            <v>0</v>
          </cell>
          <cell r="AE252">
            <v>1</v>
          </cell>
          <cell r="AG252">
            <v>1</v>
          </cell>
          <cell r="AI252">
            <v>0</v>
          </cell>
          <cell r="AJ252">
            <v>0</v>
          </cell>
          <cell r="AL252">
            <v>16</v>
          </cell>
          <cell r="AM252">
            <v>30</v>
          </cell>
          <cell r="AN252">
            <v>22</v>
          </cell>
          <cell r="AO252">
            <v>81</v>
          </cell>
          <cell r="AP252">
            <v>54</v>
          </cell>
          <cell r="AS252">
            <v>2007</v>
          </cell>
          <cell r="AT252">
            <v>29</v>
          </cell>
          <cell r="AU252">
            <v>27</v>
          </cell>
          <cell r="AV252">
            <v>81</v>
          </cell>
          <cell r="AW252">
            <v>0.25</v>
          </cell>
          <cell r="AX252">
            <v>1296</v>
          </cell>
          <cell r="AY252">
            <v>324</v>
          </cell>
          <cell r="AZ252">
            <v>36.880000000000003</v>
          </cell>
          <cell r="BA252">
            <v>27</v>
          </cell>
          <cell r="BB252">
            <v>730.22400000000005</v>
          </cell>
          <cell r="BC252">
            <v>36.880000000000003</v>
          </cell>
          <cell r="BD252">
            <v>27</v>
          </cell>
          <cell r="BE252">
            <v>730.22400000000005</v>
          </cell>
          <cell r="BF252">
            <v>36.880000000000003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1460.4480000000001</v>
          </cell>
          <cell r="BL252">
            <v>3618.12</v>
          </cell>
          <cell r="BM252">
            <v>3618.12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Y252">
            <v>5402.5680000000002</v>
          </cell>
          <cell r="CP252" t="str">
            <v>3111/10</v>
          </cell>
          <cell r="CQ252">
            <v>40511</v>
          </cell>
          <cell r="CR252">
            <v>40690</v>
          </cell>
          <cell r="CS252" t="str">
            <v>2010-0.292.671-4</v>
          </cell>
          <cell r="CT252" t="str">
            <v>VANUSA MARTINS MINUTENTAG</v>
          </cell>
          <cell r="CU252">
            <v>28690623892</v>
          </cell>
          <cell r="CV252">
            <v>124655</v>
          </cell>
          <cell r="CW252">
            <v>6000.3053333333337</v>
          </cell>
          <cell r="CX252">
            <v>162.00824400000005</v>
          </cell>
          <cell r="CY252">
            <v>30.001526666666674</v>
          </cell>
          <cell r="CZ252">
            <v>3600.1831999999999</v>
          </cell>
          <cell r="DA252">
            <v>304.42121999999995</v>
          </cell>
          <cell r="DD252">
            <v>304.42121999999995</v>
          </cell>
        </row>
        <row r="253">
          <cell r="CP253" t="str">
            <v>1589/10</v>
          </cell>
          <cell r="CQ253">
            <v>40357</v>
          </cell>
          <cell r="CR253">
            <v>40536</v>
          </cell>
          <cell r="CS253" t="str">
            <v>2010-0.180.640-5</v>
          </cell>
          <cell r="CT253" t="str">
            <v>VENANCIO APARECIDO DOS ANJOS</v>
          </cell>
          <cell r="CU253" t="str">
            <v>001.465.838-09</v>
          </cell>
          <cell r="CV253">
            <v>82624</v>
          </cell>
          <cell r="CW253">
            <v>5426.0526666666665</v>
          </cell>
          <cell r="CX253">
            <v>146.50342200000003</v>
          </cell>
          <cell r="CY253">
            <v>27.130263333333335</v>
          </cell>
          <cell r="CZ253">
            <v>3255.6315999999997</v>
          </cell>
          <cell r="DA253">
            <v>226.89711</v>
          </cell>
          <cell r="DD253">
            <v>226.89711</v>
          </cell>
        </row>
        <row r="254">
          <cell r="CP254" t="str">
            <v>1602/10</v>
          </cell>
          <cell r="CQ254">
            <v>40392</v>
          </cell>
          <cell r="CR254">
            <v>40571</v>
          </cell>
          <cell r="CS254" t="str">
            <v>2010-0.184.195-2</v>
          </cell>
          <cell r="CT254" t="str">
            <v>WILLIAM DA SILVA GARCIA</v>
          </cell>
          <cell r="CU254" t="str">
            <v>308.919.278-08</v>
          </cell>
          <cell r="CV254">
            <v>86042</v>
          </cell>
          <cell r="CW254">
            <v>6122.3860000000004</v>
          </cell>
          <cell r="CX254">
            <v>165.30442200000002</v>
          </cell>
          <cell r="CY254">
            <v>30.611930000000001</v>
          </cell>
          <cell r="CZ254">
            <v>3673.4316000000003</v>
          </cell>
          <cell r="DA254">
            <v>320.90211000000011</v>
          </cell>
          <cell r="DD254">
            <v>320.90211000000011</v>
          </cell>
        </row>
        <row r="255">
          <cell r="CP255" t="str">
            <v>1900/10</v>
          </cell>
          <cell r="CQ255">
            <v>40441</v>
          </cell>
          <cell r="CR255">
            <v>40620</v>
          </cell>
          <cell r="CS255" t="str">
            <v>2010-0.230.638-4</v>
          </cell>
          <cell r="CT255" t="str">
            <v>WILSON SANCHES GARCIA</v>
          </cell>
          <cell r="CU255" t="str">
            <v>064.889.208-55</v>
          </cell>
          <cell r="CV255">
            <v>105066</v>
          </cell>
          <cell r="CW255">
            <v>5402.5680000000002</v>
          </cell>
          <cell r="CX255">
            <v>145.869336</v>
          </cell>
          <cell r="CY255">
            <v>27.012840000000001</v>
          </cell>
          <cell r="CZ255">
            <v>3241.5408000000002</v>
          </cell>
          <cell r="DA255">
            <v>223.7266800000001</v>
          </cell>
          <cell r="DD255">
            <v>223.7266800000001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ber"/>
      <sheetName val="Plan1"/>
      <sheetName val="PAGTO NOV"/>
      <sheetName val="CREDENCIAMENTO_PF (2)"/>
      <sheetName val="CREDENCIAMENTO_PJ"/>
      <sheetName val="DADOS"/>
      <sheetName val="Dados1"/>
      <sheetName val="CREDENCIAMENTO_PFcleber"/>
      <sheetName val="DADOSATUALIZADOS"/>
      <sheetName val="CREDENCIAMENTO PF"/>
      <sheetName val="CREDENCIAMENTO PJ"/>
      <sheetName val="Plan2"/>
      <sheetName val="Plan3"/>
      <sheetName val="Plan4"/>
      <sheetName val="Plan5"/>
      <sheetName val="Plan7"/>
      <sheetName val="Plan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840">
          <cell r="B1840" t="str">
            <v>5218/16</v>
          </cell>
          <cell r="C1840" t="str">
            <v>2016-0.071.018-9</v>
          </cell>
          <cell r="D1840" t="str">
            <v/>
          </cell>
          <cell r="E1840" t="str">
            <v/>
          </cell>
          <cell r="F1840" t="str">
            <v>EVT TUR - SERVICOS DE TRANSPORTE LTDA - ME</v>
          </cell>
          <cell r="G1840" t="str">
            <v/>
          </cell>
          <cell r="H1840" t="str">
            <v/>
          </cell>
          <cell r="I1840" t="str">
            <v/>
          </cell>
          <cell r="J1840" t="str">
            <v>PESSOA JURÍDICA</v>
          </cell>
          <cell r="K1840" t="str">
            <v>17.479.979/0001-25</v>
          </cell>
          <cell r="L1840" t="str">
            <v>SA</v>
          </cell>
          <cell r="M1840" t="str">
            <v>VANESSA PRISCILA SILVA</v>
          </cell>
          <cell r="N1840" t="str">
            <v>DUO1362</v>
          </cell>
          <cell r="O1840" t="str">
            <v>2007</v>
          </cell>
          <cell r="P1840" t="str">
            <v>25</v>
          </cell>
          <cell r="Q1840" t="str">
            <v>23</v>
          </cell>
        </row>
        <row r="1841">
          <cell r="B1841" t="str">
            <v>5219/16</v>
          </cell>
          <cell r="C1841" t="str">
            <v>2016-0.071.020-0</v>
          </cell>
          <cell r="D1841" t="str">
            <v>28/03/2016</v>
          </cell>
          <cell r="E1841" t="str">
            <v>27 de abril de 2016</v>
          </cell>
          <cell r="F1841" t="str">
            <v>GRAHN TOUR TRANSPORTES LTDA - ME</v>
          </cell>
          <cell r="G1841" t="str">
            <v>27/04/2016</v>
          </cell>
          <cell r="H1841" t="str">
            <v>30/04/2016</v>
          </cell>
          <cell r="I1841" t="str">
            <v>42</v>
          </cell>
          <cell r="J1841" t="str">
            <v>PESSOA JURÍDICA</v>
          </cell>
          <cell r="K1841" t="str">
            <v>14.826.661/0001-85</v>
          </cell>
          <cell r="L1841" t="str">
            <v>SA</v>
          </cell>
          <cell r="M1841" t="str">
            <v>RAFAEL BISPO DOS SANTOS</v>
          </cell>
          <cell r="N1841" t="str">
            <v>DTD4564</v>
          </cell>
          <cell r="O1841" t="str">
            <v>2008</v>
          </cell>
          <cell r="P1841" t="str">
            <v>19</v>
          </cell>
          <cell r="Q1841" t="str">
            <v>18</v>
          </cell>
        </row>
        <row r="1842">
          <cell r="B1842" t="str">
            <v>5220/16</v>
          </cell>
          <cell r="C1842" t="str">
            <v>2016-0.071.021-9</v>
          </cell>
          <cell r="D1842" t="str">
            <v/>
          </cell>
          <cell r="E1842" t="str">
            <v/>
          </cell>
          <cell r="F1842" t="str">
            <v>IMMENSE BRINDES COMERCIO E SERVICOS LTDA - ME</v>
          </cell>
          <cell r="G1842" t="str">
            <v/>
          </cell>
          <cell r="H1842" t="str">
            <v/>
          </cell>
          <cell r="I1842" t="str">
            <v/>
          </cell>
          <cell r="J1842" t="str">
            <v>PESSOA JURÍDICA</v>
          </cell>
          <cell r="K1842" t="str">
            <v>16.707.662/0001-36</v>
          </cell>
          <cell r="L1842" t="str">
            <v>SA</v>
          </cell>
          <cell r="M1842" t="str">
            <v>LUIZ CARLOS PEREIRA</v>
          </cell>
          <cell r="N1842" t="str">
            <v>EFV8550</v>
          </cell>
          <cell r="O1842" t="str">
            <v>2010</v>
          </cell>
          <cell r="P1842" t="str">
            <v>10</v>
          </cell>
          <cell r="Q1842" t="str">
            <v>9</v>
          </cell>
        </row>
        <row r="1843">
          <cell r="B1843" t="str">
            <v>5221/16</v>
          </cell>
          <cell r="C1843" t="str">
            <v>2016-0.071.022-7</v>
          </cell>
          <cell r="D1843" t="str">
            <v/>
          </cell>
          <cell r="E1843" t="str">
            <v>31 de março de 2016</v>
          </cell>
          <cell r="F1843" t="str">
            <v>VTEC TRANSPORTADORA ESCOLAR LTDA - ME</v>
          </cell>
          <cell r="G1843" t="str">
            <v>31/03/2016</v>
          </cell>
          <cell r="H1843" t="str">
            <v>02/04/2016</v>
          </cell>
          <cell r="I1843" t="str">
            <v>44</v>
          </cell>
          <cell r="J1843" t="str">
            <v>PESSOA JURÍDICA</v>
          </cell>
          <cell r="K1843" t="str">
            <v>17.886.939/0001-06</v>
          </cell>
          <cell r="L1843" t="str">
            <v xml:space="preserve">SA </v>
          </cell>
          <cell r="M1843" t="str">
            <v>VALMIR MOREIRA DOS SANTOS</v>
          </cell>
          <cell r="N1843" t="str">
            <v>DVL0830</v>
          </cell>
          <cell r="O1843" t="str">
            <v>2011</v>
          </cell>
          <cell r="P1843" t="str">
            <v>27</v>
          </cell>
          <cell r="Q1843" t="str">
            <v>26</v>
          </cell>
        </row>
        <row r="1844">
          <cell r="B1844" t="str">
            <v>5222/16</v>
          </cell>
          <cell r="C1844" t="str">
            <v>2016-0.071.023-5</v>
          </cell>
          <cell r="D1844" t="str">
            <v/>
          </cell>
          <cell r="E1844" t="str">
            <v>14 de março de 2016</v>
          </cell>
          <cell r="F1844" t="str">
            <v>PL DE OLIVEIRA TRANSPORTES - ME</v>
          </cell>
          <cell r="G1844" t="str">
            <v>14/03/2016</v>
          </cell>
          <cell r="H1844" t="str">
            <v>02/04/2016</v>
          </cell>
          <cell r="I1844" t="str">
            <v>44</v>
          </cell>
          <cell r="J1844" t="str">
            <v>PESSOA JURÍDICA</v>
          </cell>
          <cell r="K1844" t="str">
            <v>16.866.101/0001-80</v>
          </cell>
          <cell r="L1844" t="str">
            <v>SA</v>
          </cell>
          <cell r="M1844" t="str">
            <v>MANOEL FRANCISCO VIANA</v>
          </cell>
          <cell r="N1844" t="str">
            <v>CZX6627</v>
          </cell>
          <cell r="O1844" t="str">
            <v>2002</v>
          </cell>
          <cell r="P1844" t="str">
            <v>25</v>
          </cell>
          <cell r="Q1844" t="str">
            <v>23</v>
          </cell>
        </row>
        <row r="1845">
          <cell r="B1845" t="str">
            <v>5223/16</v>
          </cell>
          <cell r="C1845" t="str">
            <v>2016-0.071.024-3</v>
          </cell>
          <cell r="D1845" t="str">
            <v/>
          </cell>
          <cell r="E1845" t="str">
            <v>01 de abril de 2016</v>
          </cell>
          <cell r="F1845" t="str">
            <v>STYLLUS CAR SERVICOS AUTOMOTIVOS E TRANSPORTES LTDA - ME</v>
          </cell>
          <cell r="G1845" t="str">
            <v>01/04/2016</v>
          </cell>
          <cell r="H1845" t="str">
            <v>02/04/2016</v>
          </cell>
          <cell r="I1845" t="str">
            <v>44</v>
          </cell>
          <cell r="J1845" t="str">
            <v>PESSOA JURÍDICA</v>
          </cell>
          <cell r="K1845" t="str">
            <v>14.799.569/0001-73</v>
          </cell>
          <cell r="L1845" t="str">
            <v>SA</v>
          </cell>
          <cell r="M1845" t="str">
            <v>CLEMILDA ELIAS SAMPAIO</v>
          </cell>
          <cell r="N1845" t="str">
            <v>EMU7158</v>
          </cell>
          <cell r="O1845" t="str">
            <v>2013</v>
          </cell>
          <cell r="P1845" t="str">
            <v>19</v>
          </cell>
          <cell r="Q1845" t="str">
            <v>18</v>
          </cell>
        </row>
        <row r="1846">
          <cell r="B1846" t="str">
            <v>5224/16</v>
          </cell>
          <cell r="C1846" t="str">
            <v>2016-0.071.025-1</v>
          </cell>
          <cell r="D1846" t="str">
            <v/>
          </cell>
          <cell r="E1846" t="str">
            <v>25 de abril de 2016</v>
          </cell>
          <cell r="F1846" t="str">
            <v>TIA MARIA &amp; TIA BETE TRANSPORTES LTDA - ME</v>
          </cell>
          <cell r="G1846" t="str">
            <v>25/04/2016</v>
          </cell>
          <cell r="H1846" t="str">
            <v>30/04/2016</v>
          </cell>
          <cell r="I1846" t="str">
            <v>42</v>
          </cell>
          <cell r="J1846" t="str">
            <v>PESSOA JURÍDICA</v>
          </cell>
          <cell r="K1846" t="str">
            <v>07.826.121/0001-36</v>
          </cell>
          <cell r="L1846" t="str">
            <v xml:space="preserve">SA </v>
          </cell>
          <cell r="M1846" t="str">
            <v>VALDIR ELOI DA SILVA</v>
          </cell>
          <cell r="N1846" t="str">
            <v>FDR0248</v>
          </cell>
          <cell r="O1846" t="str">
            <v>2013</v>
          </cell>
          <cell r="P1846" t="str">
            <v>19</v>
          </cell>
          <cell r="Q1846" t="str">
            <v>18</v>
          </cell>
        </row>
        <row r="1847">
          <cell r="B1847" t="str">
            <v>5224/16</v>
          </cell>
          <cell r="C1847" t="str">
            <v>2016-0.071.025-1</v>
          </cell>
          <cell r="D1847" t="str">
            <v>15/02/2016</v>
          </cell>
          <cell r="E1847" t="str">
            <v>25 de abril de 2016</v>
          </cell>
          <cell r="F1847" t="str">
            <v>TIA MARIA &amp; TIA BETE TRANSPORTES LTDA - ME</v>
          </cell>
          <cell r="G1847" t="str">
            <v>25/04/2016</v>
          </cell>
          <cell r="H1847" t="str">
            <v>30/04/2016</v>
          </cell>
          <cell r="I1847" t="str">
            <v>42</v>
          </cell>
          <cell r="J1847" t="str">
            <v>PESSOA JURÍDICA</v>
          </cell>
          <cell r="K1847" t="str">
            <v>07.826.121/0001-36</v>
          </cell>
          <cell r="L1847" t="str">
            <v>SA</v>
          </cell>
          <cell r="M1847" t="str">
            <v>MARIA APARECIDA LEAL PINHEIRO</v>
          </cell>
          <cell r="N1847" t="str">
            <v>FCB9408</v>
          </cell>
          <cell r="O1847" t="str">
            <v>2012</v>
          </cell>
          <cell r="P1847" t="str">
            <v>19</v>
          </cell>
          <cell r="Q1847" t="str">
            <v>18</v>
          </cell>
        </row>
        <row r="1848">
          <cell r="B1848" t="str">
            <v>5225/16</v>
          </cell>
          <cell r="C1848" t="str">
            <v>2016-0.071.026-0</v>
          </cell>
          <cell r="D1848" t="str">
            <v/>
          </cell>
          <cell r="E1848" t="str">
            <v>21 de março de 2016</v>
          </cell>
          <cell r="F1848" t="str">
            <v>SODRE TRANSPORTES LTDA - ME</v>
          </cell>
          <cell r="G1848" t="str">
            <v>21/03/2016</v>
          </cell>
          <cell r="H1848" t="str">
            <v>02/04/2016</v>
          </cell>
          <cell r="I1848" t="str">
            <v>44</v>
          </cell>
          <cell r="J1848" t="str">
            <v>PESSOA JURÍDICA</v>
          </cell>
          <cell r="K1848" t="str">
            <v>16.707.679/0001-93</v>
          </cell>
          <cell r="L1848" t="str">
            <v>SA</v>
          </cell>
          <cell r="M1848" t="str">
            <v>SERGIO FERREIRA SODRE</v>
          </cell>
          <cell r="N1848" t="str">
            <v>ECT2360</v>
          </cell>
          <cell r="O1848" t="str">
            <v>2008</v>
          </cell>
          <cell r="P1848" t="str">
            <v>29</v>
          </cell>
          <cell r="Q1848" t="str">
            <v>27</v>
          </cell>
        </row>
        <row r="1849">
          <cell r="B1849" t="str">
            <v>5226/16</v>
          </cell>
          <cell r="C1849" t="str">
            <v>2016-0.071.027-8</v>
          </cell>
          <cell r="D1849" t="str">
            <v/>
          </cell>
          <cell r="E1849" t="str">
            <v>21 de março de 2016</v>
          </cell>
          <cell r="F1849" t="str">
            <v>LOCAL SUL TRANSPORTES FEITOSA LTDA - EPP</v>
          </cell>
          <cell r="G1849" t="str">
            <v>21/03/2016</v>
          </cell>
          <cell r="H1849" t="str">
            <v>02/04/2016</v>
          </cell>
          <cell r="I1849" t="str">
            <v>44</v>
          </cell>
          <cell r="J1849" t="str">
            <v>PESSOA JURÍDICA</v>
          </cell>
          <cell r="K1849" t="str">
            <v>11.536.541/0001-55</v>
          </cell>
          <cell r="L1849" t="str">
            <v>CS</v>
          </cell>
          <cell r="M1849" t="str">
            <v>JOAO BATISTA PEREIRA FEITOSA</v>
          </cell>
          <cell r="N1849" t="str">
            <v>FZO4620</v>
          </cell>
          <cell r="O1849" t="str">
            <v>2015</v>
          </cell>
          <cell r="P1849" t="str">
            <v>15</v>
          </cell>
          <cell r="Q1849" t="str">
            <v>14</v>
          </cell>
        </row>
        <row r="1850">
          <cell r="B1850" t="str">
            <v>5227/16</v>
          </cell>
          <cell r="C1850" t="str">
            <v>2016-0.071.028-6</v>
          </cell>
          <cell r="D1850" t="str">
            <v/>
          </cell>
          <cell r="E1850" t="str">
            <v>30 de março de 2016</v>
          </cell>
          <cell r="F1850" t="str">
            <v>CASSIANO BRAS DE OLIVEIRA FILHO TRANSPORTES - ME</v>
          </cell>
          <cell r="G1850" t="str">
            <v>21/03/2016</v>
          </cell>
          <cell r="H1850" t="str">
            <v>31/03/2016</v>
          </cell>
          <cell r="I1850" t="str">
            <v>38</v>
          </cell>
          <cell r="J1850" t="str">
            <v>PESSOA JURÍDICA</v>
          </cell>
          <cell r="K1850" t="str">
            <v>15.838.081/0001-70</v>
          </cell>
          <cell r="L1850" t="str">
            <v>IP</v>
          </cell>
          <cell r="M1850" t="str">
            <v>CASSIANO BRAS DE OLIVEIRA FILHO</v>
          </cell>
          <cell r="N1850" t="str">
            <v>FGD3141</v>
          </cell>
          <cell r="O1850" t="str">
            <v>2012</v>
          </cell>
          <cell r="P1850" t="str">
            <v>19</v>
          </cell>
          <cell r="Q1850" t="str">
            <v>18</v>
          </cell>
        </row>
        <row r="1851">
          <cell r="B1851" t="str">
            <v>5227/16</v>
          </cell>
          <cell r="C1851" t="str">
            <v>2016-0.071.028-6</v>
          </cell>
          <cell r="D1851" t="str">
            <v/>
          </cell>
          <cell r="E1851" t="str">
            <v>21 de março de 2016</v>
          </cell>
          <cell r="F1851" t="str">
            <v>CASSIANO BRAS DE OLIVEIRA FILHO TRANSPORTES - ME</v>
          </cell>
          <cell r="G1851" t="str">
            <v>21/03/2016</v>
          </cell>
          <cell r="H1851" t="str">
            <v>31/03/2016</v>
          </cell>
          <cell r="I1851" t="str">
            <v>38</v>
          </cell>
          <cell r="J1851" t="str">
            <v>PESSOA JURÍDICA</v>
          </cell>
          <cell r="K1851" t="str">
            <v>15.838.081/0001-70</v>
          </cell>
          <cell r="L1851" t="str">
            <v>IP</v>
          </cell>
          <cell r="M1851" t="str">
            <v>ABDIAS PEREIRA DE ARAUJO</v>
          </cell>
          <cell r="N1851" t="str">
            <v>FAG5689</v>
          </cell>
          <cell r="O1851" t="str">
            <v>2013</v>
          </cell>
          <cell r="P1851" t="str">
            <v>19</v>
          </cell>
          <cell r="Q1851" t="str">
            <v>18</v>
          </cell>
        </row>
        <row r="1852">
          <cell r="B1852" t="str">
            <v>5228/16</v>
          </cell>
          <cell r="C1852" t="str">
            <v>2016-0.071.029-4</v>
          </cell>
          <cell r="D1852" t="str">
            <v>08/03/2016</v>
          </cell>
          <cell r="E1852" t="str">
            <v>29 de abril de 2016</v>
          </cell>
          <cell r="F1852" t="str">
            <v>AQUARELA TRANSPORTES ESCOLARES - ME</v>
          </cell>
          <cell r="G1852" t="str">
            <v>29/04/2016</v>
          </cell>
          <cell r="H1852" t="str">
            <v>30/04/2016</v>
          </cell>
          <cell r="I1852" t="str">
            <v>43</v>
          </cell>
          <cell r="J1852" t="str">
            <v>PESSOA JURÍDICA</v>
          </cell>
          <cell r="K1852" t="str">
            <v>13.183.580/0001-41</v>
          </cell>
          <cell r="L1852" t="str">
            <v>IP</v>
          </cell>
          <cell r="M1852" t="str">
            <v>RENATO MENDES DA SILVA</v>
          </cell>
          <cell r="N1852" t="str">
            <v>DTC3479</v>
          </cell>
          <cell r="O1852" t="str">
            <v>2007</v>
          </cell>
          <cell r="P1852" t="str">
            <v>29</v>
          </cell>
          <cell r="Q1852" t="str">
            <v>27</v>
          </cell>
        </row>
        <row r="1853">
          <cell r="B1853" t="str">
            <v>5228/16</v>
          </cell>
          <cell r="C1853" t="str">
            <v>2016-0.071.029-4</v>
          </cell>
          <cell r="D1853" t="str">
            <v>03/03/2016</v>
          </cell>
          <cell r="E1853" t="str">
            <v>29 de abril de 2016</v>
          </cell>
          <cell r="F1853" t="str">
            <v>AQUARELA TRANSPORTES ESCOLARES - ME</v>
          </cell>
          <cell r="G1853" t="str">
            <v>29/04/2016</v>
          </cell>
          <cell r="H1853" t="str">
            <v>30/04/2016</v>
          </cell>
          <cell r="I1853" t="str">
            <v>43</v>
          </cell>
          <cell r="J1853" t="str">
            <v>PESSOA JURÍDICA</v>
          </cell>
          <cell r="K1853" t="str">
            <v>13.183.580/0001-41</v>
          </cell>
          <cell r="L1853" t="str">
            <v>IP</v>
          </cell>
          <cell r="M1853" t="str">
            <v>MARCUS VINICIUS RODRIGUES MENDES</v>
          </cell>
          <cell r="N1853" t="str">
            <v>LVA4758</v>
          </cell>
          <cell r="O1853" t="str">
            <v>2005</v>
          </cell>
          <cell r="P1853" t="str">
            <v>15</v>
          </cell>
          <cell r="Q1853" t="str">
            <v>13</v>
          </cell>
        </row>
        <row r="1854">
          <cell r="B1854" t="str">
            <v>5229/16</v>
          </cell>
          <cell r="C1854" t="str">
            <v>2016-0.071.030-8</v>
          </cell>
          <cell r="D1854" t="str">
            <v/>
          </cell>
          <cell r="E1854" t="str">
            <v>21 de março de 2016</v>
          </cell>
          <cell r="F1854" t="str">
            <v>EL DE SANTANA TRANSPORTES - ME</v>
          </cell>
          <cell r="G1854" t="str">
            <v>21/03/2016</v>
          </cell>
          <cell r="H1854" t="str">
            <v>02/04/2016</v>
          </cell>
          <cell r="I1854" t="str">
            <v>44</v>
          </cell>
          <cell r="J1854" t="str">
            <v>PESSOA JURÍDICA</v>
          </cell>
          <cell r="K1854" t="str">
            <v>16.673.756/0001-31</v>
          </cell>
          <cell r="L1854" t="str">
            <v>IP</v>
          </cell>
          <cell r="M1854" t="str">
            <v>RAFAEL MOREIRA DA SILVA</v>
          </cell>
          <cell r="N1854" t="str">
            <v>EZL4965</v>
          </cell>
          <cell r="O1854" t="str">
            <v>2012</v>
          </cell>
          <cell r="P1854" t="str">
            <v>10</v>
          </cell>
          <cell r="Q1854" t="str">
            <v>9</v>
          </cell>
        </row>
        <row r="1855">
          <cell r="B1855" t="str">
            <v>5230/16</v>
          </cell>
          <cell r="C1855" t="str">
            <v>2016-0.071.031-6</v>
          </cell>
          <cell r="D1855" t="str">
            <v>01/03/2016</v>
          </cell>
          <cell r="E1855" t="str">
            <v>01 de abril de 2016</v>
          </cell>
          <cell r="F1855" t="str">
            <v>ARAUJO'S TRANSPORTE ESCOLARES E FRETAMENTO LTDA - ME</v>
          </cell>
          <cell r="G1855" t="str">
            <v>01/04/2016</v>
          </cell>
          <cell r="H1855" t="str">
            <v>02/04/2016</v>
          </cell>
          <cell r="I1855" t="str">
            <v>44</v>
          </cell>
          <cell r="J1855" t="str">
            <v>PESSOA JURÍDICA</v>
          </cell>
          <cell r="K1855" t="str">
            <v>13.039.990/0001-13</v>
          </cell>
          <cell r="L1855" t="str">
            <v>IP</v>
          </cell>
          <cell r="M1855" t="str">
            <v>ALBERTO PEREIRA DE ARAUJO</v>
          </cell>
          <cell r="N1855" t="str">
            <v>EFU3534</v>
          </cell>
          <cell r="O1855" t="str">
            <v>2010</v>
          </cell>
          <cell r="P1855" t="str">
            <v>19</v>
          </cell>
          <cell r="Q1855" t="str">
            <v>18</v>
          </cell>
        </row>
        <row r="1856">
          <cell r="B1856" t="str">
            <v>5231/16</v>
          </cell>
          <cell r="C1856" t="str">
            <v>2016-0.071.032-4</v>
          </cell>
          <cell r="D1856" t="str">
            <v>26/02/2016</v>
          </cell>
          <cell r="E1856" t="str">
            <v>29 de março de 2016</v>
          </cell>
          <cell r="F1856" t="str">
            <v>LUIZ LIMA FLOR TRANSPORTES - ME</v>
          </cell>
          <cell r="G1856" t="str">
            <v>29/03/2016</v>
          </cell>
          <cell r="H1856" t="str">
            <v>31/03/2016</v>
          </cell>
          <cell r="I1856" t="str">
            <v>38</v>
          </cell>
          <cell r="J1856" t="str">
            <v>PESSOA JURÍDICA</v>
          </cell>
          <cell r="K1856" t="str">
            <v>17.542.589/0001-52</v>
          </cell>
          <cell r="L1856" t="str">
            <v>IP</v>
          </cell>
          <cell r="M1856" t="str">
            <v>LUIZ LIMA FLOR</v>
          </cell>
          <cell r="N1856" t="str">
            <v>EFW3558</v>
          </cell>
          <cell r="O1856" t="str">
            <v>2010</v>
          </cell>
          <cell r="P1856" t="str">
            <v>10</v>
          </cell>
          <cell r="Q1856" t="str">
            <v>9</v>
          </cell>
        </row>
        <row r="1857">
          <cell r="B1857" t="str">
            <v>5232/16</v>
          </cell>
          <cell r="C1857" t="str">
            <v>2016-0.071.033-2</v>
          </cell>
          <cell r="D1857" t="str">
            <v>26/02/2016</v>
          </cell>
          <cell r="E1857" t="str">
            <v>07 de março de 2016</v>
          </cell>
          <cell r="F1857" t="str">
            <v>IBN TRANSPORTES LTDA - ME</v>
          </cell>
          <cell r="G1857" t="str">
            <v>07/03/2016</v>
          </cell>
          <cell r="H1857" t="str">
            <v>25/03/2016</v>
          </cell>
          <cell r="I1857" t="str">
            <v>40</v>
          </cell>
          <cell r="J1857" t="str">
            <v>PESSOA JURÍDICA</v>
          </cell>
          <cell r="K1857" t="str">
            <v>17.095.315/0001-62</v>
          </cell>
          <cell r="L1857" t="str">
            <v>IP</v>
          </cell>
          <cell r="M1857" t="str">
            <v>ILSON BORGES DE NOVAES</v>
          </cell>
          <cell r="N1857" t="str">
            <v>EFU2807</v>
          </cell>
          <cell r="O1857" t="str">
            <v>2010</v>
          </cell>
          <cell r="P1857" t="str">
            <v>10</v>
          </cell>
          <cell r="Q1857" t="str">
            <v>9</v>
          </cell>
        </row>
        <row r="1858">
          <cell r="B1858" t="str">
            <v>5233/16</v>
          </cell>
          <cell r="C1858" t="str">
            <v>2016-0.071.034-0</v>
          </cell>
          <cell r="D1858" t="str">
            <v>29/02/2016</v>
          </cell>
          <cell r="E1858" t="str">
            <v>29 de março de 2016</v>
          </cell>
          <cell r="F1858" t="str">
            <v>AMC TRANSPORTES ESCOLARES LTDA - ME</v>
          </cell>
          <cell r="G1858" t="str">
            <v>29/03/2016</v>
          </cell>
          <cell r="H1858" t="str">
            <v>31/03/2016</v>
          </cell>
          <cell r="I1858" t="str">
            <v>38</v>
          </cell>
          <cell r="J1858" t="str">
            <v>PESSOA JURÍDICA</v>
          </cell>
          <cell r="K1858" t="str">
            <v>10.879.094/0001-74</v>
          </cell>
          <cell r="L1858" t="str">
            <v>JT</v>
          </cell>
          <cell r="M1858" t="str">
            <v>CLEBER MANSO DA CONCEICAO</v>
          </cell>
          <cell r="N1858" t="str">
            <v>DTC5507</v>
          </cell>
          <cell r="O1858" t="str">
            <v>2008</v>
          </cell>
          <cell r="P1858" t="str">
            <v>30</v>
          </cell>
          <cell r="Q1858" t="str">
            <v>28</v>
          </cell>
        </row>
        <row r="1859">
          <cell r="B1859" t="str">
            <v>5234/16</v>
          </cell>
          <cell r="C1859" t="str">
            <v>2016-0.073.028-7</v>
          </cell>
          <cell r="D1859" t="str">
            <v/>
          </cell>
          <cell r="E1859" t="str">
            <v>21 de março de 2016</v>
          </cell>
          <cell r="F1859" t="str">
            <v>MARIZETE SANTOS DIAS - ME</v>
          </cell>
          <cell r="G1859" t="str">
            <v>21/03/2016</v>
          </cell>
          <cell r="H1859" t="str">
            <v>02/04/2016</v>
          </cell>
          <cell r="I1859" t="str">
            <v>44</v>
          </cell>
          <cell r="J1859" t="str">
            <v>PESSOA JURÍDICA</v>
          </cell>
          <cell r="K1859" t="str">
            <v>20.809.855/0001-75</v>
          </cell>
          <cell r="L1859" t="str">
            <v>PJ</v>
          </cell>
          <cell r="M1859" t="str">
            <v>MARIZETE SANTOS DIAS</v>
          </cell>
          <cell r="N1859" t="str">
            <v>CZZ0432</v>
          </cell>
          <cell r="O1859" t="str">
            <v>2002</v>
          </cell>
          <cell r="P1859" t="str">
            <v>25</v>
          </cell>
          <cell r="Q1859" t="str">
            <v>23</v>
          </cell>
        </row>
        <row r="1860">
          <cell r="B1860" t="str">
            <v>5236/16</v>
          </cell>
          <cell r="C1860" t="str">
            <v>2016-0.073.031-7</v>
          </cell>
          <cell r="D1860" t="str">
            <v>03/03/2016</v>
          </cell>
          <cell r="E1860" t="str">
            <v>19 de abril de 2016</v>
          </cell>
          <cell r="F1860" t="str">
            <v>VICENTE GOMES DA SILVA NETO TRANSPORTE - ME</v>
          </cell>
          <cell r="G1860" t="str">
            <v>19/04/2016</v>
          </cell>
          <cell r="H1860" t="str">
            <v>21/04/2016</v>
          </cell>
          <cell r="I1860" t="str">
            <v>97</v>
          </cell>
          <cell r="J1860" t="str">
            <v>PESSOA JURÍDICA</v>
          </cell>
          <cell r="K1860" t="str">
            <v>16.668.511/0001-16</v>
          </cell>
          <cell r="L1860" t="str">
            <v>PJ</v>
          </cell>
          <cell r="M1860" t="str">
            <v>VIVIANE DA SILVA</v>
          </cell>
          <cell r="N1860" t="str">
            <v>FPH2509</v>
          </cell>
          <cell r="O1860" t="str">
            <v>2014</v>
          </cell>
          <cell r="P1860" t="str">
            <v>19</v>
          </cell>
          <cell r="Q1860" t="str">
            <v>18</v>
          </cell>
        </row>
        <row r="1861">
          <cell r="B1861" t="str">
            <v>5236/16</v>
          </cell>
          <cell r="C1861" t="str">
            <v>2016-0.073.031-7</v>
          </cell>
          <cell r="D1861" t="str">
            <v>14/03/2016</v>
          </cell>
          <cell r="E1861" t="str">
            <v>19 de abril de 2016</v>
          </cell>
          <cell r="F1861" t="str">
            <v>VICENTE GOMES DA SILVA NETO TRANSPORTE - ME</v>
          </cell>
          <cell r="G1861" t="str">
            <v>19/04/2016</v>
          </cell>
          <cell r="H1861" t="str">
            <v>21/04/2016</v>
          </cell>
          <cell r="I1861" t="str">
            <v>97</v>
          </cell>
          <cell r="J1861" t="str">
            <v>PESSOA JURÍDICA</v>
          </cell>
          <cell r="K1861" t="str">
            <v>16.668.511/0001-16</v>
          </cell>
          <cell r="L1861" t="str">
            <v>PJ</v>
          </cell>
          <cell r="M1861" t="str">
            <v>ADRIANA MARTINS DEL RE</v>
          </cell>
          <cell r="N1861" t="str">
            <v>FFN7708</v>
          </cell>
          <cell r="O1861" t="str">
            <v>2012</v>
          </cell>
          <cell r="P1861" t="str">
            <v>19</v>
          </cell>
          <cell r="Q1861" t="str">
            <v>18</v>
          </cell>
        </row>
        <row r="1862">
          <cell r="B1862" t="str">
            <v>5237/16</v>
          </cell>
          <cell r="C1862" t="str">
            <v>2016-0.073.032-5</v>
          </cell>
          <cell r="D1862" t="str">
            <v>28/03/2016</v>
          </cell>
          <cell r="E1862" t="str">
            <v>20 de abril de 2016</v>
          </cell>
          <cell r="F1862" t="str">
            <v>SONIA MARIA DE GOUVEIA BONTEMPO - ME</v>
          </cell>
          <cell r="G1862" t="str">
            <v>20/04/2016</v>
          </cell>
          <cell r="H1862" t="str">
            <v>21/04/2016</v>
          </cell>
          <cell r="I1862" t="str">
            <v>97</v>
          </cell>
          <cell r="J1862" t="str">
            <v>PESSOA JURÍDICA</v>
          </cell>
          <cell r="K1862" t="str">
            <v>14.675.470/0001/60</v>
          </cell>
          <cell r="L1862" t="str">
            <v>PJ</v>
          </cell>
          <cell r="M1862" t="str">
            <v>SONIA MARIA DE GOUVEIA BONTEMPO</v>
          </cell>
          <cell r="N1862" t="str">
            <v>EUI4800</v>
          </cell>
          <cell r="O1862" t="str">
            <v>2010</v>
          </cell>
          <cell r="P1862" t="str">
            <v>19</v>
          </cell>
          <cell r="Q1862" t="str">
            <v>18</v>
          </cell>
        </row>
        <row r="1863">
          <cell r="B1863" t="str">
            <v>5239/16</v>
          </cell>
          <cell r="C1863" t="str">
            <v>2016-0.073.034-1</v>
          </cell>
          <cell r="D1863" t="str">
            <v>24/02/2016</v>
          </cell>
          <cell r="E1863" t="str">
            <v>31 de março de 2016</v>
          </cell>
          <cell r="F1863" t="str">
            <v>PIERRE TRANSPORTE ESCOLAR LTDA - ME</v>
          </cell>
          <cell r="G1863" t="str">
            <v>31/03/2016</v>
          </cell>
          <cell r="H1863" t="str">
            <v>02/04/2016</v>
          </cell>
          <cell r="I1863" t="str">
            <v>45</v>
          </cell>
          <cell r="J1863" t="str">
            <v>PESSOA JURÍDICA</v>
          </cell>
          <cell r="K1863" t="str">
            <v>17.416.044/0001-08</v>
          </cell>
          <cell r="L1863" t="str">
            <v>CS</v>
          </cell>
          <cell r="M1863" t="str">
            <v>DANILO MARIANO PIERRE</v>
          </cell>
          <cell r="N1863" t="str">
            <v>DTC3756</v>
          </cell>
          <cell r="O1863" t="str">
            <v>2008</v>
          </cell>
          <cell r="P1863" t="str">
            <v>44</v>
          </cell>
          <cell r="Q1863" t="str">
            <v>43</v>
          </cell>
        </row>
        <row r="1864">
          <cell r="B1864" t="str">
            <v>5239/16</v>
          </cell>
          <cell r="C1864" t="str">
            <v>2016-0.073.034-1</v>
          </cell>
          <cell r="D1864" t="str">
            <v>24/02/2016</v>
          </cell>
          <cell r="E1864" t="str">
            <v>31 de março de 2016</v>
          </cell>
          <cell r="F1864" t="str">
            <v>PIERRE TRANSPORTE ESCOLAR LTDA - ME</v>
          </cell>
          <cell r="G1864" t="str">
            <v>31/03/2016</v>
          </cell>
          <cell r="H1864" t="str">
            <v>02/04/2016</v>
          </cell>
          <cell r="I1864" t="str">
            <v>45</v>
          </cell>
          <cell r="J1864" t="str">
            <v>PESSOA JURÍDICA</v>
          </cell>
          <cell r="K1864" t="str">
            <v>17.416.044/0001-08</v>
          </cell>
          <cell r="L1864" t="str">
            <v>CS</v>
          </cell>
          <cell r="M1864" t="str">
            <v>DOUGLAS SABINO DE ANDRADE</v>
          </cell>
          <cell r="N1864" t="str">
            <v>JJB3546</v>
          </cell>
          <cell r="O1864" t="str">
            <v>2003</v>
          </cell>
          <cell r="P1864" t="str">
            <v>15</v>
          </cell>
          <cell r="Q1864" t="str">
            <v>13</v>
          </cell>
        </row>
        <row r="1865">
          <cell r="B1865" t="str">
            <v>5239/16</v>
          </cell>
          <cell r="C1865" t="str">
            <v>2016-0.073.034-1</v>
          </cell>
          <cell r="D1865" t="str">
            <v>24/02/2016</v>
          </cell>
          <cell r="E1865" t="str">
            <v>31 de março de 2016</v>
          </cell>
          <cell r="F1865" t="str">
            <v>PIERRE TRANSPORTE ESCOLAR LTDA - ME</v>
          </cell>
          <cell r="G1865" t="str">
            <v>31/03/2016</v>
          </cell>
          <cell r="H1865" t="str">
            <v>02/04/2016</v>
          </cell>
          <cell r="I1865" t="str">
            <v>45</v>
          </cell>
          <cell r="J1865" t="str">
            <v>PESSOA JURÍDICA</v>
          </cell>
          <cell r="K1865" t="str">
            <v>17.416.044/0001-08</v>
          </cell>
          <cell r="L1865" t="str">
            <v>CS</v>
          </cell>
          <cell r="M1865" t="str">
            <v>MICHAEL ROBERTO PIERRE</v>
          </cell>
          <cell r="N1865" t="str">
            <v>DJF8539</v>
          </cell>
          <cell r="O1865" t="str">
            <v>2006</v>
          </cell>
          <cell r="P1865" t="str">
            <v>44</v>
          </cell>
          <cell r="Q1865" t="str">
            <v>43</v>
          </cell>
        </row>
        <row r="1866">
          <cell r="B1866" t="str">
            <v>5240/16</v>
          </cell>
          <cell r="C1866" t="str">
            <v>2016-0.073.052-0</v>
          </cell>
          <cell r="D1866" t="str">
            <v>24/02/2016</v>
          </cell>
          <cell r="E1866" t="str">
            <v>11 de abril de 2016</v>
          </cell>
          <cell r="F1866" t="str">
            <v>M DA S BRAGA LOCACAO E TRANSPORTES - ME</v>
          </cell>
          <cell r="G1866" t="str">
            <v>11/04/2016</v>
          </cell>
          <cell r="H1866" t="str">
            <v>13/04/2016</v>
          </cell>
          <cell r="I1866" t="str">
            <v>52</v>
          </cell>
          <cell r="J1866" t="str">
            <v>PESSOA JURÍDICA</v>
          </cell>
          <cell r="K1866" t="str">
            <v>18.144.825/0001-45</v>
          </cell>
          <cell r="L1866" t="str">
            <v>CS</v>
          </cell>
          <cell r="M1866" t="str">
            <v>MARCELO SILVA BRAGA</v>
          </cell>
          <cell r="N1866" t="str">
            <v>FOU8930</v>
          </cell>
          <cell r="O1866" t="str">
            <v>2015</v>
          </cell>
          <cell r="P1866" t="str">
            <v>15</v>
          </cell>
          <cell r="Q1866" t="str">
            <v>14</v>
          </cell>
        </row>
        <row r="1867">
          <cell r="B1867" t="str">
            <v>5241/16</v>
          </cell>
          <cell r="C1867" t="str">
            <v>2016-0.073.053-8</v>
          </cell>
          <cell r="D1867" t="str">
            <v>25/02/2016</v>
          </cell>
          <cell r="E1867" t="str">
            <v>25 de abril de 2016</v>
          </cell>
          <cell r="F1867" t="str">
            <v>RUSH FAST TOUR LTDA - ME</v>
          </cell>
          <cell r="G1867" t="str">
            <v>25/04/2016</v>
          </cell>
          <cell r="H1867" t="str">
            <v>27/04/2016</v>
          </cell>
          <cell r="I1867" t="str">
            <v>55</v>
          </cell>
          <cell r="J1867" t="str">
            <v>PESSOA JURÍDICA</v>
          </cell>
          <cell r="K1867" t="str">
            <v>21.075.381/0001-48</v>
          </cell>
          <cell r="L1867" t="str">
            <v>CS</v>
          </cell>
          <cell r="M1867" t="str">
            <v>JOSE CARLOS FIGUEIREDO DE SOUZA</v>
          </cell>
          <cell r="N1867" t="str">
            <v>NNL5139</v>
          </cell>
          <cell r="O1867" t="str">
            <v>2008</v>
          </cell>
          <cell r="P1867" t="str">
            <v>15</v>
          </cell>
          <cell r="Q1867" t="str">
            <v>13</v>
          </cell>
        </row>
        <row r="1868">
          <cell r="B1868" t="str">
            <v>5241/16</v>
          </cell>
          <cell r="C1868" t="str">
            <v>2016-0.073.053-8</v>
          </cell>
          <cell r="D1868" t="str">
            <v>04/03/2016</v>
          </cell>
          <cell r="E1868" t="str">
            <v>25 de abril de 2016</v>
          </cell>
          <cell r="F1868" t="str">
            <v>RUSH FAST TOUR LTDA - ME</v>
          </cell>
          <cell r="G1868" t="str">
            <v>25/04/2016</v>
          </cell>
          <cell r="H1868" t="str">
            <v>27/04/2016</v>
          </cell>
          <cell r="I1868" t="str">
            <v>55</v>
          </cell>
          <cell r="J1868" t="str">
            <v>PESSOA JURÍDICA</v>
          </cell>
          <cell r="K1868" t="str">
            <v>21.075.381/0001-48</v>
          </cell>
          <cell r="L1868" t="str">
            <v>CS</v>
          </cell>
          <cell r="M1868" t="str">
            <v>JULIANA DE PAULA SILVA</v>
          </cell>
          <cell r="N1868" t="str">
            <v>CPN9803</v>
          </cell>
          <cell r="O1868" t="str">
            <v>2002</v>
          </cell>
          <cell r="P1868" t="str">
            <v>30</v>
          </cell>
          <cell r="Q1868" t="str">
            <v>28</v>
          </cell>
        </row>
        <row r="1869">
          <cell r="B1869" t="str">
            <v>5242/16</v>
          </cell>
          <cell r="C1869" t="str">
            <v>2016-0.073.054-6</v>
          </cell>
          <cell r="D1869" t="str">
            <v/>
          </cell>
          <cell r="E1869" t="str">
            <v/>
          </cell>
          <cell r="F1869" t="str">
            <v>MARCELO AMARO DA SILVA TRANSPORTES - ME</v>
          </cell>
          <cell r="G1869" t="str">
            <v/>
          </cell>
          <cell r="H1869" t="str">
            <v/>
          </cell>
          <cell r="I1869" t="str">
            <v/>
          </cell>
          <cell r="J1869" t="str">
            <v>PESSOA JURÍDICA</v>
          </cell>
          <cell r="K1869" t="str">
            <v>17.650.563/0001-28</v>
          </cell>
          <cell r="L1869" t="str">
            <v>PJ</v>
          </cell>
          <cell r="M1869" t="str">
            <v>MARCELO AMARO DA SILVA</v>
          </cell>
          <cell r="N1869" t="str">
            <v>CZZ1786</v>
          </cell>
          <cell r="O1869" t="str">
            <v>2002</v>
          </cell>
          <cell r="P1869" t="str">
            <v>25</v>
          </cell>
          <cell r="Q1869" t="str">
            <v>23</v>
          </cell>
        </row>
        <row r="1870">
          <cell r="B1870" t="str">
            <v>5243/16</v>
          </cell>
          <cell r="C1870" t="str">
            <v>2016-0.073.055-4</v>
          </cell>
          <cell r="D1870" t="str">
            <v/>
          </cell>
          <cell r="E1870" t="str">
            <v>31 de março de 2016</v>
          </cell>
          <cell r="F1870" t="str">
            <v>TRANSBEJA LOCADORA E TRANSPORTE ESCOLAR E RODOVIARIO LTDA - ME</v>
          </cell>
          <cell r="G1870" t="str">
            <v>31/03/2016</v>
          </cell>
          <cell r="H1870" t="str">
            <v>02/04/2016</v>
          </cell>
          <cell r="I1870" t="str">
            <v>45</v>
          </cell>
          <cell r="J1870" t="str">
            <v>PESSOA JURÍDICA</v>
          </cell>
          <cell r="K1870" t="str">
            <v>16.927.610/0001-75</v>
          </cell>
          <cell r="L1870" t="str">
            <v>PJ</v>
          </cell>
          <cell r="M1870" t="str">
            <v>RUBENS BEJA</v>
          </cell>
          <cell r="N1870" t="str">
            <v>ELQ5400</v>
          </cell>
          <cell r="O1870" t="str">
            <v>2011</v>
          </cell>
          <cell r="P1870" t="str">
            <v>19</v>
          </cell>
          <cell r="Q1870" t="str">
            <v>18</v>
          </cell>
        </row>
        <row r="1871">
          <cell r="B1871" t="str">
            <v>5244/16</v>
          </cell>
          <cell r="C1871" t="str">
            <v>2016-0.073.056-2</v>
          </cell>
          <cell r="D1871" t="str">
            <v/>
          </cell>
          <cell r="E1871" t="str">
            <v>21 de março de 2016</v>
          </cell>
          <cell r="F1871" t="str">
            <v>RESGATE TRANSPORTES MC LTDA - ME</v>
          </cell>
          <cell r="G1871" t="str">
            <v>21/03/2016</v>
          </cell>
          <cell r="H1871" t="str">
            <v>09/04/2016</v>
          </cell>
          <cell r="I1871" t="str">
            <v>35</v>
          </cell>
          <cell r="J1871" t="str">
            <v>PESSOA JURÍDICA</v>
          </cell>
          <cell r="K1871" t="str">
            <v>12.594.109/0001-83</v>
          </cell>
          <cell r="L1871" t="str">
            <v>PJ</v>
          </cell>
          <cell r="M1871" t="str">
            <v>MARIA DO SOCORRO NUNES FIM</v>
          </cell>
          <cell r="N1871" t="str">
            <v>DTC0588</v>
          </cell>
          <cell r="O1871" t="str">
            <v>2007</v>
          </cell>
          <cell r="P1871" t="str">
            <v>29</v>
          </cell>
          <cell r="Q1871" t="str">
            <v>27</v>
          </cell>
        </row>
        <row r="1872">
          <cell r="B1872" t="str">
            <v>5244/16</v>
          </cell>
          <cell r="C1872" t="str">
            <v>2016-0.073.056-2</v>
          </cell>
          <cell r="D1872" t="str">
            <v/>
          </cell>
          <cell r="E1872" t="str">
            <v/>
          </cell>
          <cell r="F1872" t="str">
            <v>RESGATE TRANSPORTES MC LTDA - ME</v>
          </cell>
          <cell r="G1872" t="str">
            <v>21/03/2016</v>
          </cell>
          <cell r="H1872" t="str">
            <v>09/04/2016</v>
          </cell>
          <cell r="I1872" t="str">
            <v>35</v>
          </cell>
          <cell r="J1872" t="str">
            <v>PESSOA JURÍDICA</v>
          </cell>
          <cell r="K1872" t="str">
            <v>12.594.109/0001-83</v>
          </cell>
          <cell r="L1872" t="str">
            <v>PJ</v>
          </cell>
          <cell r="M1872" t="str">
            <v>PAULO JOAO DA SILVA</v>
          </cell>
          <cell r="N1872" t="str">
            <v>DJF8321</v>
          </cell>
          <cell r="O1872" t="str">
            <v>2009</v>
          </cell>
          <cell r="P1872" t="str">
            <v>19</v>
          </cell>
          <cell r="Q1872" t="str">
            <v>18</v>
          </cell>
        </row>
        <row r="1873">
          <cell r="B1873" t="str">
            <v>5244/16</v>
          </cell>
          <cell r="C1873" t="str">
            <v>2016-0.073.056-2</v>
          </cell>
          <cell r="D1873" t="str">
            <v/>
          </cell>
          <cell r="E1873" t="str">
            <v>07 de abril de 2016</v>
          </cell>
          <cell r="F1873" t="str">
            <v>RESGATE TRANSPORTES MC LTDA - ME</v>
          </cell>
          <cell r="G1873" t="str">
            <v>21/03/2016</v>
          </cell>
          <cell r="H1873" t="str">
            <v>09/04/2016</v>
          </cell>
          <cell r="I1873" t="str">
            <v>35</v>
          </cell>
          <cell r="J1873" t="str">
            <v>PESSOA JURÍDICA</v>
          </cell>
          <cell r="K1873" t="str">
            <v>12.594.109/0001-83</v>
          </cell>
          <cell r="L1873" t="str">
            <v>PJ</v>
          </cell>
          <cell r="M1873" t="str">
            <v>ANDREY SANTANA VARGAS</v>
          </cell>
          <cell r="N1873" t="str">
            <v>FCB4675</v>
          </cell>
          <cell r="O1873" t="str">
            <v>2012</v>
          </cell>
          <cell r="P1873" t="str">
            <v>19</v>
          </cell>
          <cell r="Q1873" t="str">
            <v>18</v>
          </cell>
        </row>
        <row r="1874">
          <cell r="B1874" t="str">
            <v>5245/16</v>
          </cell>
          <cell r="C1874" t="str">
            <v>2016-0.073.057-0</v>
          </cell>
          <cell r="D1874" t="str">
            <v>18/02/2016</v>
          </cell>
          <cell r="E1874" t="str">
            <v>31 de março de 2016</v>
          </cell>
          <cell r="F1874" t="str">
            <v>COOPERUNIDAS - COOPERATIVA DE TRANSPORTES ALTERNATIVOS</v>
          </cell>
          <cell r="G1874" t="str">
            <v>31/03/2016</v>
          </cell>
          <cell r="H1874" t="str">
            <v>02/04/2016</v>
          </cell>
          <cell r="I1874" t="str">
            <v>45</v>
          </cell>
          <cell r="J1874" t="str">
            <v>PESSOA JURÍDICA</v>
          </cell>
          <cell r="K1874" t="str">
            <v>10.452.932/0001-29</v>
          </cell>
          <cell r="L1874" t="str">
            <v>PJ</v>
          </cell>
          <cell r="M1874" t="str">
            <v>GERALDO JOSE DA SILVA</v>
          </cell>
          <cell r="N1874" t="str">
            <v>DYC4952</v>
          </cell>
          <cell r="O1874" t="str">
            <v>2009</v>
          </cell>
          <cell r="P1874" t="str">
            <v>29</v>
          </cell>
          <cell r="Q1874" t="str">
            <v>28</v>
          </cell>
        </row>
        <row r="1875">
          <cell r="B1875" t="str">
            <v>5246/16</v>
          </cell>
          <cell r="C1875" t="str">
            <v>2016-0.073.058-9</v>
          </cell>
          <cell r="D1875" t="str">
            <v>02/03/2016</v>
          </cell>
          <cell r="E1875" t="str">
            <v>02 de março de 2016</v>
          </cell>
          <cell r="F1875" t="str">
            <v>TRANS-CHILDREN TRANSPORTE ESCOLAR E TURISMO LTDA - ME</v>
          </cell>
          <cell r="G1875" t="str">
            <v>30/03/2016</v>
          </cell>
          <cell r="H1875" t="str">
            <v>31/03/2016</v>
          </cell>
          <cell r="I1875" t="str">
            <v>38</v>
          </cell>
          <cell r="J1875" t="str">
            <v>PESSOA JURÍDICA</v>
          </cell>
          <cell r="K1875" t="str">
            <v>00.280.324/0001-20</v>
          </cell>
          <cell r="L1875" t="str">
            <v>MP</v>
          </cell>
          <cell r="M1875" t="str">
            <v>SERGIO APARECIDO POLI</v>
          </cell>
          <cell r="N1875" t="str">
            <v>CZX7123</v>
          </cell>
          <cell r="O1875" t="str">
            <v>2003</v>
          </cell>
          <cell r="P1875" t="str">
            <v>23</v>
          </cell>
          <cell r="Q1875" t="str">
            <v>21</v>
          </cell>
        </row>
        <row r="1876">
          <cell r="B1876" t="str">
            <v>5246/16</v>
          </cell>
          <cell r="C1876" t="str">
            <v>2016-0.073.058-9</v>
          </cell>
          <cell r="D1876" t="str">
            <v>24/02/2016</v>
          </cell>
          <cell r="E1876" t="str">
            <v>24 de fevereiro de 2016</v>
          </cell>
          <cell r="F1876" t="str">
            <v>TRANS-CHILDREN TRANSPORTE ESCOLAR E TURISMO LTDA - ME</v>
          </cell>
          <cell r="G1876" t="str">
            <v>30/03/2016</v>
          </cell>
          <cell r="H1876" t="str">
            <v>31/03/2016</v>
          </cell>
          <cell r="I1876" t="str">
            <v>38</v>
          </cell>
          <cell r="J1876" t="str">
            <v>PESSOA JURÍDICA</v>
          </cell>
          <cell r="K1876" t="str">
            <v>00.280.324/0001-20</v>
          </cell>
          <cell r="L1876" t="str">
            <v>MP</v>
          </cell>
          <cell r="M1876" t="str">
            <v>ALEXANDRE DA CRUZ SANTOS</v>
          </cell>
          <cell r="N1876" t="str">
            <v>EZK4890</v>
          </cell>
          <cell r="O1876" t="str">
            <v>2011</v>
          </cell>
          <cell r="P1876" t="str">
            <v>24</v>
          </cell>
          <cell r="Q1876" t="str">
            <v>23</v>
          </cell>
        </row>
        <row r="1877">
          <cell r="B1877" t="str">
            <v>5247/16</v>
          </cell>
          <cell r="C1877" t="str">
            <v>2016-0.073.059-7</v>
          </cell>
          <cell r="D1877" t="str">
            <v>14/03/2016</v>
          </cell>
          <cell r="E1877" t="str">
            <v>15 de abril de 2016</v>
          </cell>
          <cell r="F1877" t="str">
            <v>RENATO BRASIL TRANSPORTES LTDA - ME</v>
          </cell>
          <cell r="G1877" t="str">
            <v>15/04/2016</v>
          </cell>
          <cell r="H1877" t="str">
            <v>19/04/2016</v>
          </cell>
          <cell r="I1877" t="str">
            <v>30</v>
          </cell>
          <cell r="J1877" t="str">
            <v>PESSOA JURÍDICA</v>
          </cell>
          <cell r="K1877" t="str">
            <v>16.986.357/0001-20</v>
          </cell>
          <cell r="L1877" t="str">
            <v>CS</v>
          </cell>
          <cell r="M1877" t="str">
            <v>RENATO JESUS DA SILVA</v>
          </cell>
          <cell r="N1877" t="str">
            <v>DJB8750</v>
          </cell>
          <cell r="O1877" t="str">
            <v>2004</v>
          </cell>
          <cell r="P1877" t="str">
            <v>30</v>
          </cell>
          <cell r="Q1877" t="str">
            <v>28</v>
          </cell>
        </row>
        <row r="1878">
          <cell r="B1878" t="str">
            <v>5248/16</v>
          </cell>
          <cell r="C1878" t="str">
            <v>2016-0.073.061-9</v>
          </cell>
          <cell r="D1878" t="str">
            <v/>
          </cell>
          <cell r="E1878" t="str">
            <v>11 de abril de 2016</v>
          </cell>
          <cell r="F1878" t="str">
            <v>BIKUDO TRANSPORTES LTDA - ME</v>
          </cell>
          <cell r="G1878" t="str">
            <v>11/04/2016</v>
          </cell>
          <cell r="H1878" t="str">
            <v>19/04/2016</v>
          </cell>
          <cell r="I1878" t="str">
            <v>31</v>
          </cell>
          <cell r="J1878" t="str">
            <v>PESSOA JURÍDICA</v>
          </cell>
          <cell r="K1878" t="str">
            <v>17.677.564/0001-66</v>
          </cell>
          <cell r="L1878" t="str">
            <v>CS</v>
          </cell>
          <cell r="M1878" t="str">
            <v>KATIA ROBERTA CARDOSO PEREIRA</v>
          </cell>
          <cell r="N1878" t="str">
            <v>FTA8677</v>
          </cell>
          <cell r="O1878" t="str">
            <v>2014</v>
          </cell>
          <cell r="P1878" t="str">
            <v>19</v>
          </cell>
          <cell r="Q1878" t="str">
            <v>18</v>
          </cell>
        </row>
        <row r="1879">
          <cell r="B1879" t="str">
            <v>5248/16</v>
          </cell>
          <cell r="C1879" t="str">
            <v>2016-0.073.061-9</v>
          </cell>
          <cell r="D1879" t="str">
            <v>24/03/2016</v>
          </cell>
          <cell r="E1879" t="str">
            <v>11 de abril de 2016</v>
          </cell>
          <cell r="F1879" t="str">
            <v>BIKUDO TRANSPORTES LTDA - ME</v>
          </cell>
          <cell r="G1879" t="str">
            <v>11/04/2016</v>
          </cell>
          <cell r="H1879" t="str">
            <v>19/04/2016</v>
          </cell>
          <cell r="I1879" t="str">
            <v>31</v>
          </cell>
          <cell r="J1879" t="str">
            <v>PESSOA JURÍDICA</v>
          </cell>
          <cell r="K1879" t="str">
            <v>17.677.564/0001-66</v>
          </cell>
          <cell r="L1879" t="str">
            <v>CS</v>
          </cell>
          <cell r="M1879" t="str">
            <v>MAURICIO RIBEIRO LEITE</v>
          </cell>
          <cell r="N1879" t="str">
            <v>FHL4235</v>
          </cell>
          <cell r="O1879" t="str">
            <v>2012</v>
          </cell>
          <cell r="P1879" t="str">
            <v>19</v>
          </cell>
          <cell r="Q1879" t="str">
            <v>18</v>
          </cell>
        </row>
        <row r="1880">
          <cell r="B1880" t="str">
            <v>5249/16</v>
          </cell>
          <cell r="C1880" t="str">
            <v>2016-0.077.897-2</v>
          </cell>
          <cell r="D1880" t="str">
            <v/>
          </cell>
          <cell r="E1880" t="str">
            <v>11 de abril de 2016</v>
          </cell>
          <cell r="F1880" t="str">
            <v>HERNANDES TRANSPORTES LTDA - ME</v>
          </cell>
          <cell r="G1880" t="str">
            <v>11/04/2016</v>
          </cell>
          <cell r="H1880" t="str">
            <v>19/04/2016</v>
          </cell>
          <cell r="I1880" t="str">
            <v>31</v>
          </cell>
          <cell r="J1880" t="str">
            <v>PESSOA JURÍDICA</v>
          </cell>
          <cell r="K1880" t="str">
            <v>17.582.035/0001-89</v>
          </cell>
          <cell r="L1880" t="str">
            <v>PJ</v>
          </cell>
          <cell r="M1880" t="str">
            <v>SERGIO RICARDO DIAS</v>
          </cell>
          <cell r="N1880" t="str">
            <v>DTB7980</v>
          </cell>
          <cell r="O1880" t="str">
            <v>2007</v>
          </cell>
          <cell r="P1880" t="str">
            <v>25</v>
          </cell>
          <cell r="Q1880" t="str">
            <v>23</v>
          </cell>
        </row>
        <row r="1881">
          <cell r="B1881" t="str">
            <v>5250/16</v>
          </cell>
          <cell r="C1881" t="str">
            <v>2016-0.077.898-0</v>
          </cell>
          <cell r="D1881" t="str">
            <v>02/03/2016</v>
          </cell>
          <cell r="E1881" t="str">
            <v>20 de abril de 2016</v>
          </cell>
          <cell r="F1881" t="str">
            <v>ANTONIO ROBERTO JORGE - EPP</v>
          </cell>
          <cell r="G1881" t="str">
            <v>20/04/2016</v>
          </cell>
          <cell r="H1881" t="str">
            <v>21/04/2016</v>
          </cell>
          <cell r="I1881" t="str">
            <v>97</v>
          </cell>
          <cell r="J1881" t="str">
            <v>PESSOA JURÍDICA</v>
          </cell>
          <cell r="K1881" t="str">
            <v>14.062.055/0001-30</v>
          </cell>
          <cell r="L1881" t="str">
            <v>MP</v>
          </cell>
          <cell r="M1881" t="str">
            <v>ANTONIO ROBERTO JORGE</v>
          </cell>
          <cell r="N1881" t="str">
            <v>EJH4980</v>
          </cell>
          <cell r="O1881" t="str">
            <v>2009</v>
          </cell>
          <cell r="P1881" t="str">
            <v>11</v>
          </cell>
          <cell r="Q1881" t="str">
            <v>10</v>
          </cell>
        </row>
        <row r="1882">
          <cell r="B1882" t="str">
            <v>5250/16</v>
          </cell>
          <cell r="C1882" t="str">
            <v>2016-0.077.898-0</v>
          </cell>
          <cell r="D1882" t="str">
            <v>25/02/2016</v>
          </cell>
          <cell r="E1882" t="str">
            <v>20 de abril de 2016</v>
          </cell>
          <cell r="F1882" t="str">
            <v>ANTONIO ROBERTO JORGE - EPP</v>
          </cell>
          <cell r="G1882" t="str">
            <v>20/04/2016</v>
          </cell>
          <cell r="H1882" t="str">
            <v>21/04/2016</v>
          </cell>
          <cell r="I1882" t="str">
            <v>97</v>
          </cell>
          <cell r="J1882" t="str">
            <v>PESSOA JURÍDICA</v>
          </cell>
          <cell r="K1882" t="str">
            <v>14.062.055/0001-30</v>
          </cell>
          <cell r="L1882" t="str">
            <v>MP</v>
          </cell>
          <cell r="M1882" t="str">
            <v>ROXANE GAMBERINI</v>
          </cell>
          <cell r="N1882" t="str">
            <v>DBM8081</v>
          </cell>
          <cell r="O1882" t="str">
            <v>2005</v>
          </cell>
          <cell r="P1882" t="str">
            <v>25</v>
          </cell>
          <cell r="Q1882" t="str">
            <v>23</v>
          </cell>
        </row>
        <row r="1883">
          <cell r="B1883" t="str">
            <v>5251/16</v>
          </cell>
          <cell r="C1883" t="str">
            <v>2016-0.077.899-9</v>
          </cell>
          <cell r="D1883" t="str">
            <v>01/03/2016</v>
          </cell>
          <cell r="E1883" t="str">
            <v>04 de abril de 2016</v>
          </cell>
          <cell r="F1883" t="str">
            <v>ROMILDA ARAUJO DE QUEIROZ TRANSPORTES - ME</v>
          </cell>
          <cell r="G1883" t="str">
            <v>04/04/2016</v>
          </cell>
          <cell r="H1883" t="str">
            <v>07/04/2016</v>
          </cell>
          <cell r="I1883" t="str">
            <v>20</v>
          </cell>
          <cell r="J1883" t="str">
            <v>PESSOA JURÍDICA</v>
          </cell>
          <cell r="K1883" t="str">
            <v>16.537.199/0001-21</v>
          </cell>
          <cell r="L1883" t="str">
            <v>MP</v>
          </cell>
          <cell r="M1883" t="str">
            <v>ROMILDA ARAUJO DE QUEIROZ</v>
          </cell>
          <cell r="N1883" t="str">
            <v>DTD7413</v>
          </cell>
          <cell r="O1883" t="str">
            <v>2009</v>
          </cell>
          <cell r="P1883" t="str">
            <v>11</v>
          </cell>
          <cell r="Q1883" t="str">
            <v>10</v>
          </cell>
        </row>
        <row r="1884">
          <cell r="B1884" t="str">
            <v>5252/16</v>
          </cell>
          <cell r="C1884" t="str">
            <v>2016-0.077.902-2</v>
          </cell>
          <cell r="D1884" t="str">
            <v>16/03/2016</v>
          </cell>
          <cell r="E1884" t="str">
            <v/>
          </cell>
          <cell r="F1884" t="str">
            <v>ERNESTO DA COSTA FILHO TRANSPORTE - ME</v>
          </cell>
          <cell r="G1884" t="str">
            <v/>
          </cell>
          <cell r="H1884" t="str">
            <v/>
          </cell>
          <cell r="I1884" t="str">
            <v/>
          </cell>
          <cell r="J1884" t="str">
            <v>PESSOA JURÍDICA</v>
          </cell>
          <cell r="K1884" t="str">
            <v>12.461.549/0001-62</v>
          </cell>
          <cell r="L1884" t="str">
            <v>MP</v>
          </cell>
          <cell r="M1884" t="str">
            <v>ALLAN PEREIRA SOARES</v>
          </cell>
          <cell r="N1884" t="str">
            <v>EMK1090</v>
          </cell>
          <cell r="O1884" t="str">
            <v>2010</v>
          </cell>
          <cell r="P1884" t="str">
            <v>19</v>
          </cell>
          <cell r="Q1884" t="str">
            <v>18</v>
          </cell>
        </row>
        <row r="1885">
          <cell r="B1885" t="str">
            <v>5253/16</v>
          </cell>
          <cell r="C1885" t="str">
            <v>2016-0.077.903-0</v>
          </cell>
          <cell r="D1885" t="str">
            <v>15/02/2016</v>
          </cell>
          <cell r="E1885" t="str">
            <v/>
          </cell>
          <cell r="F1885" t="str">
            <v>TRANSPORTES CRUZ &amp; MARQUES LTDA - ME</v>
          </cell>
          <cell r="G1885" t="str">
            <v/>
          </cell>
          <cell r="H1885" t="str">
            <v/>
          </cell>
          <cell r="I1885" t="str">
            <v/>
          </cell>
          <cell r="J1885" t="str">
            <v>PESSOA JURÍDICA</v>
          </cell>
          <cell r="K1885" t="str">
            <v>20.180.933/0001-15</v>
          </cell>
          <cell r="L1885" t="str">
            <v>S.A</v>
          </cell>
          <cell r="M1885" t="str">
            <v>EDSON DA SILVA CRUZ</v>
          </cell>
          <cell r="N1885" t="str">
            <v>EFW0629</v>
          </cell>
          <cell r="O1885" t="str">
            <v>2008</v>
          </cell>
          <cell r="P1885" t="str">
            <v>29</v>
          </cell>
          <cell r="Q1885" t="str">
            <v>27</v>
          </cell>
        </row>
        <row r="1886">
          <cell r="B1886" t="str">
            <v>5254/16</v>
          </cell>
          <cell r="C1886" t="str">
            <v>2016-0.077.905-7</v>
          </cell>
          <cell r="D1886" t="str">
            <v>24/02/2016</v>
          </cell>
          <cell r="E1886" t="str">
            <v/>
          </cell>
          <cell r="F1886" t="str">
            <v>A DE P MOREIRA TRANSPORTES - ME</v>
          </cell>
          <cell r="G1886" t="str">
            <v/>
          </cell>
          <cell r="H1886" t="str">
            <v/>
          </cell>
          <cell r="I1886" t="str">
            <v/>
          </cell>
          <cell r="J1886" t="str">
            <v>PESSOA JURÍDICA</v>
          </cell>
          <cell r="K1886" t="str">
            <v>11.671.974/0001-13</v>
          </cell>
          <cell r="L1886" t="str">
            <v>CS</v>
          </cell>
          <cell r="M1886" t="str">
            <v>MAURO ALVES DA SILVA</v>
          </cell>
          <cell r="N1886" t="str">
            <v>EFV0350</v>
          </cell>
          <cell r="O1886" t="str">
            <v>2009</v>
          </cell>
          <cell r="P1886" t="str">
            <v>19</v>
          </cell>
          <cell r="Q1886" t="str">
            <v>17</v>
          </cell>
        </row>
        <row r="1887">
          <cell r="B1887" t="str">
            <v>5254/16</v>
          </cell>
          <cell r="C1887" t="str">
            <v>2016-0.077.905-7</v>
          </cell>
          <cell r="D1887" t="str">
            <v/>
          </cell>
          <cell r="E1887" t="str">
            <v/>
          </cell>
          <cell r="F1887" t="str">
            <v>A DE P MOREIRA TRANSPORTES - ME</v>
          </cell>
          <cell r="G1887" t="str">
            <v/>
          </cell>
          <cell r="H1887" t="str">
            <v/>
          </cell>
          <cell r="I1887" t="str">
            <v/>
          </cell>
          <cell r="J1887" t="str">
            <v>PESSOA JURÍDICA</v>
          </cell>
          <cell r="K1887" t="str">
            <v>11.671.974/0001-13</v>
          </cell>
          <cell r="L1887" t="str">
            <v>CS</v>
          </cell>
          <cell r="M1887" t="str">
            <v>ALCIDES DE PAULA MOREIRA</v>
          </cell>
          <cell r="N1887" t="str">
            <v>DBC1869</v>
          </cell>
          <cell r="O1887" t="str">
            <v>2009</v>
          </cell>
          <cell r="P1887" t="str">
            <v>29</v>
          </cell>
          <cell r="Q1887" t="str">
            <v>27</v>
          </cell>
        </row>
        <row r="1888">
          <cell r="B1888" t="str">
            <v>5255/16</v>
          </cell>
          <cell r="C1888" t="str">
            <v>2016-0.077.906-5</v>
          </cell>
          <cell r="D1888" t="str">
            <v>25/02/2016</v>
          </cell>
          <cell r="E1888" t="str">
            <v>20 de abril de 2016</v>
          </cell>
          <cell r="F1888" t="str">
            <v>RAGAFARO TRANSPORTES &amp; TURISMO LTDA - ME</v>
          </cell>
          <cell r="G1888" t="str">
            <v>20/04/2016</v>
          </cell>
          <cell r="H1888" t="str">
            <v>21/04/2016</v>
          </cell>
          <cell r="I1888" t="str">
            <v>97</v>
          </cell>
          <cell r="J1888" t="str">
            <v>PESSOA JURÍDICA</v>
          </cell>
          <cell r="K1888" t="str">
            <v>18.243.572/0001-67</v>
          </cell>
          <cell r="L1888" t="str">
            <v>PJ</v>
          </cell>
          <cell r="M1888" t="str">
            <v>FABIO LUIZ GONCALVES</v>
          </cell>
          <cell r="N1888" t="str">
            <v>EGS2699</v>
          </cell>
          <cell r="O1888" t="str">
            <v>2008</v>
          </cell>
          <cell r="P1888" t="str">
            <v>19</v>
          </cell>
          <cell r="Q1888" t="str">
            <v>17</v>
          </cell>
        </row>
        <row r="1889">
          <cell r="B1889" t="str">
            <v>5255/16</v>
          </cell>
          <cell r="C1889" t="str">
            <v>2016-0.077.906-5</v>
          </cell>
          <cell r="D1889" t="str">
            <v/>
          </cell>
          <cell r="E1889" t="str">
            <v>20 de abril de 2016</v>
          </cell>
          <cell r="F1889" t="str">
            <v>RAGAFARO TRANSPORTES &amp; TURISMO LTDA - ME</v>
          </cell>
          <cell r="G1889" t="str">
            <v>20/04/2016</v>
          </cell>
          <cell r="H1889" t="str">
            <v>21/04/2016</v>
          </cell>
          <cell r="I1889" t="str">
            <v>97</v>
          </cell>
          <cell r="J1889" t="str">
            <v>PESSOA JURÍDICA</v>
          </cell>
          <cell r="K1889" t="str">
            <v>18.243.572/0001-67</v>
          </cell>
          <cell r="L1889" t="str">
            <v>PJ</v>
          </cell>
          <cell r="M1889" t="str">
            <v>RODNEI MIGUEL AURICHI</v>
          </cell>
          <cell r="N1889" t="str">
            <v>ENL3703</v>
          </cell>
          <cell r="O1889" t="str">
            <v>2010</v>
          </cell>
          <cell r="P1889" t="str">
            <v>19</v>
          </cell>
          <cell r="Q1889" t="str">
            <v>18</v>
          </cell>
        </row>
        <row r="1890">
          <cell r="B1890" t="str">
            <v>5256/16</v>
          </cell>
          <cell r="C1890" t="str">
            <v>2016-0.077.907-3</v>
          </cell>
          <cell r="D1890" t="str">
            <v>23/02/2016</v>
          </cell>
          <cell r="E1890" t="str">
            <v>04 de abril de 2016</v>
          </cell>
          <cell r="F1890" t="str">
            <v>ALEXSANDRA MARIA DE ASSIS TRANSPORTES - ME</v>
          </cell>
          <cell r="G1890" t="str">
            <v>04/04/2016</v>
          </cell>
          <cell r="H1890" t="str">
            <v>07/04/2016</v>
          </cell>
          <cell r="I1890" t="str">
            <v>20</v>
          </cell>
          <cell r="J1890" t="str">
            <v>PESSOA JURÍDICA</v>
          </cell>
          <cell r="K1890" t="str">
            <v>11.230.751/0001-10</v>
          </cell>
          <cell r="L1890" t="str">
            <v>PJ</v>
          </cell>
          <cell r="M1890" t="str">
            <v>ADAILTON BEZERRA DE ASSIS JUNIOR</v>
          </cell>
          <cell r="N1890" t="str">
            <v>FPR1934</v>
          </cell>
          <cell r="O1890" t="str">
            <v>2014</v>
          </cell>
          <cell r="P1890" t="str">
            <v>10</v>
          </cell>
          <cell r="Q1890" t="str">
            <v>9</v>
          </cell>
        </row>
        <row r="1891">
          <cell r="B1891" t="str">
            <v>5257/16</v>
          </cell>
          <cell r="C1891" t="str">
            <v>2016-0.077.908-1</v>
          </cell>
          <cell r="D1891" t="str">
            <v>19/02/2016</v>
          </cell>
          <cell r="E1891" t="str">
            <v/>
          </cell>
          <cell r="F1891" t="str">
            <v>SANTIAGO &amp; ALTEMAR TRANSPORTES LTDA - ME</v>
          </cell>
          <cell r="G1891" t="str">
            <v/>
          </cell>
          <cell r="H1891" t="str">
            <v/>
          </cell>
          <cell r="I1891" t="str">
            <v/>
          </cell>
          <cell r="J1891" t="str">
            <v>PESSOA JURÍDICA</v>
          </cell>
          <cell r="K1891" t="str">
            <v>12.684.713/0001-09</v>
          </cell>
          <cell r="L1891" t="str">
            <v>PJ</v>
          </cell>
          <cell r="M1891" t="str">
            <v>DINA TEIXEIRA DA CUNHA BASTOS</v>
          </cell>
          <cell r="N1891" t="str">
            <v>FLT1730</v>
          </cell>
          <cell r="O1891" t="str">
            <v>2013</v>
          </cell>
          <cell r="P1891" t="str">
            <v>19</v>
          </cell>
          <cell r="Q1891" t="str">
            <v>18</v>
          </cell>
        </row>
        <row r="1892">
          <cell r="B1892" t="str">
            <v>5258/16</v>
          </cell>
          <cell r="C1892" t="str">
            <v>2016-0.077.909-0</v>
          </cell>
          <cell r="D1892" t="str">
            <v>28/03/2016</v>
          </cell>
          <cell r="E1892" t="str">
            <v>15 de abril de 2016</v>
          </cell>
          <cell r="F1892" t="str">
            <v>IVONE RODRIGUES FREDERICO TRANSPORTES - ME</v>
          </cell>
          <cell r="G1892" t="str">
            <v>15/04/2016</v>
          </cell>
          <cell r="H1892" t="str">
            <v>19/04/2016</v>
          </cell>
          <cell r="I1892" t="str">
            <v>31</v>
          </cell>
          <cell r="J1892" t="str">
            <v>PESSOA JURÍDICA</v>
          </cell>
          <cell r="K1892" t="str">
            <v>10.980.499/0001-02</v>
          </cell>
          <cell r="L1892" t="str">
            <v>PJ</v>
          </cell>
          <cell r="M1892" t="str">
            <v>RICARDO HOLMO CONTREIRA</v>
          </cell>
          <cell r="N1892" t="str">
            <v>CZX8628</v>
          </cell>
          <cell r="O1892" t="str">
            <v>2003</v>
          </cell>
          <cell r="P1892" t="str">
            <v>25</v>
          </cell>
          <cell r="Q1892" t="str">
            <v>23</v>
          </cell>
        </row>
        <row r="1893">
          <cell r="B1893" t="str">
            <v>5258/16</v>
          </cell>
          <cell r="C1893" t="str">
            <v>2016-0.077.909-0</v>
          </cell>
          <cell r="D1893" t="str">
            <v>21/03/2016</v>
          </cell>
          <cell r="E1893" t="str">
            <v>15 de abril de 2016</v>
          </cell>
          <cell r="F1893" t="str">
            <v>IVONE RODRIGUES FREDERICO TRANSPORTES - ME</v>
          </cell>
          <cell r="G1893" t="str">
            <v>15/04/2016</v>
          </cell>
          <cell r="H1893" t="str">
            <v>19/04/2016</v>
          </cell>
          <cell r="I1893" t="str">
            <v>31</v>
          </cell>
          <cell r="J1893" t="str">
            <v>PESSOA JURÍDICA</v>
          </cell>
          <cell r="K1893" t="str">
            <v>10.980.499/0001-02</v>
          </cell>
          <cell r="L1893" t="str">
            <v>PJ</v>
          </cell>
          <cell r="M1893" t="str">
            <v>IVONE RODRIGUES FREDERICO</v>
          </cell>
          <cell r="N1893" t="str">
            <v>FRL9620</v>
          </cell>
          <cell r="O1893" t="str">
            <v>2013</v>
          </cell>
          <cell r="P1893" t="str">
            <v>31</v>
          </cell>
          <cell r="Q1893" t="str">
            <v>30</v>
          </cell>
        </row>
        <row r="1894">
          <cell r="B1894" t="str">
            <v>5258/16</v>
          </cell>
          <cell r="C1894" t="str">
            <v>2016-0.077.909-0</v>
          </cell>
          <cell r="D1894" t="str">
            <v/>
          </cell>
          <cell r="E1894" t="str">
            <v/>
          </cell>
          <cell r="F1894" t="str">
            <v>IVONE RODRIGUES FREDERICO TRANSPORTES - ME</v>
          </cell>
          <cell r="G1894" t="str">
            <v>15/04/2016</v>
          </cell>
          <cell r="H1894" t="str">
            <v>19/04/2016</v>
          </cell>
          <cell r="I1894" t="str">
            <v>31</v>
          </cell>
          <cell r="J1894" t="str">
            <v>PESSOA JURÍDICA</v>
          </cell>
          <cell r="K1894" t="str">
            <v>10.980.499/0001-02</v>
          </cell>
          <cell r="L1894" t="str">
            <v>PJ</v>
          </cell>
          <cell r="M1894" t="str">
            <v>MARCIA CRISTINA PEREIRA GOMES</v>
          </cell>
          <cell r="N1894" t="str">
            <v>FRD3600</v>
          </cell>
          <cell r="O1894" t="str">
            <v>2011</v>
          </cell>
          <cell r="P1894" t="str">
            <v>15</v>
          </cell>
          <cell r="Q1894" t="str">
            <v>14</v>
          </cell>
        </row>
        <row r="1895">
          <cell r="B1895" t="str">
            <v>5259/16</v>
          </cell>
          <cell r="C1895" t="str">
            <v>2016-0.077.910-3</v>
          </cell>
          <cell r="D1895" t="str">
            <v>25/02/2016</v>
          </cell>
          <cell r="E1895" t="str">
            <v/>
          </cell>
          <cell r="F1895" t="str">
            <v>LUGUS TRANSPORTE ESCOLAR LTDA - ME</v>
          </cell>
          <cell r="G1895" t="str">
            <v/>
          </cell>
          <cell r="H1895" t="str">
            <v/>
          </cell>
          <cell r="I1895" t="str">
            <v/>
          </cell>
          <cell r="J1895" t="str">
            <v>PESSOA JURÍDICA</v>
          </cell>
          <cell r="K1895" t="str">
            <v>05.624.938/0001-04</v>
          </cell>
          <cell r="L1895" t="str">
            <v>PJ</v>
          </cell>
          <cell r="M1895" t="str">
            <v>DANIELLE GONCALVES MOTA</v>
          </cell>
          <cell r="N1895" t="str">
            <v>DJF5446</v>
          </cell>
          <cell r="O1895" t="str">
            <v>2010</v>
          </cell>
          <cell r="P1895" t="str">
            <v>19</v>
          </cell>
          <cell r="Q1895" t="str">
            <v>18</v>
          </cell>
        </row>
        <row r="1896">
          <cell r="B1896" t="str">
            <v>5260/16</v>
          </cell>
          <cell r="C1896" t="str">
            <v>2016-0.077.911-1</v>
          </cell>
          <cell r="D1896" t="str">
            <v>24/02/2016</v>
          </cell>
          <cell r="E1896" t="str">
            <v/>
          </cell>
          <cell r="F1896" t="str">
            <v>VIRTUDE LOCADORA DE VEICULOS LTDA - ME</v>
          </cell>
          <cell r="G1896" t="str">
            <v/>
          </cell>
          <cell r="H1896" t="str">
            <v/>
          </cell>
          <cell r="I1896" t="str">
            <v/>
          </cell>
          <cell r="J1896" t="str">
            <v>PESSOA JURÍDICA</v>
          </cell>
          <cell r="K1896" t="str">
            <v>03.651.754/0001-08</v>
          </cell>
          <cell r="L1896" t="str">
            <v>IP</v>
          </cell>
          <cell r="M1896" t="str">
            <v>JAIR SOARES LIRA</v>
          </cell>
          <cell r="N1896" t="str">
            <v>EFU9935</v>
          </cell>
          <cell r="O1896" t="str">
            <v>2010</v>
          </cell>
          <cell r="P1896" t="str">
            <v>10</v>
          </cell>
          <cell r="Q1896" t="str">
            <v>9</v>
          </cell>
        </row>
        <row r="1897">
          <cell r="B1897" t="str">
            <v>5260/16</v>
          </cell>
          <cell r="C1897" t="str">
            <v>2016-0.077.911-1</v>
          </cell>
          <cell r="D1897" t="str">
            <v/>
          </cell>
          <cell r="E1897" t="str">
            <v/>
          </cell>
          <cell r="F1897" t="str">
            <v>VIRTUDE LOCADORA DE VEICULOS LTDA - ME</v>
          </cell>
          <cell r="G1897" t="str">
            <v/>
          </cell>
          <cell r="H1897" t="str">
            <v/>
          </cell>
          <cell r="I1897" t="str">
            <v/>
          </cell>
          <cell r="J1897" t="str">
            <v>PESSOA JURÍDICA</v>
          </cell>
          <cell r="K1897" t="str">
            <v>03.651.754/0001-08</v>
          </cell>
          <cell r="L1897" t="str">
            <v>MP</v>
          </cell>
          <cell r="M1897" t="str">
            <v>JACKSON DIONISIO DE SOUZA</v>
          </cell>
          <cell r="N1897" t="str">
            <v>FOG5809</v>
          </cell>
          <cell r="O1897" t="str">
            <v>2015</v>
          </cell>
          <cell r="P1897" t="str">
            <v>10</v>
          </cell>
          <cell r="Q1897" t="str">
            <v>9</v>
          </cell>
        </row>
        <row r="1898">
          <cell r="B1898" t="str">
            <v>5260/16</v>
          </cell>
          <cell r="C1898" t="str">
            <v>2016-0.077.911-1</v>
          </cell>
          <cell r="D1898" t="str">
            <v>24/02/2016</v>
          </cell>
          <cell r="E1898" t="str">
            <v/>
          </cell>
          <cell r="F1898" t="str">
            <v>VIRTUDE LOCADORA DE VEICULOS LTDA - ME</v>
          </cell>
          <cell r="G1898" t="str">
            <v/>
          </cell>
          <cell r="H1898" t="str">
            <v/>
          </cell>
          <cell r="I1898" t="str">
            <v/>
          </cell>
          <cell r="J1898" t="str">
            <v>PESSOA JURÍDICA</v>
          </cell>
          <cell r="K1898" t="str">
            <v>03.651.754/0001-08</v>
          </cell>
          <cell r="L1898" t="str">
            <v>MP</v>
          </cell>
          <cell r="M1898" t="str">
            <v>DANIEL CARDOSO DAMASCENO</v>
          </cell>
          <cell r="N1898" t="str">
            <v>EMU6486</v>
          </cell>
          <cell r="O1898" t="str">
            <v>2012</v>
          </cell>
          <cell r="P1898" t="str">
            <v>10</v>
          </cell>
          <cell r="Q1898" t="str">
            <v>9</v>
          </cell>
        </row>
        <row r="1899">
          <cell r="B1899" t="str">
            <v>5260/16</v>
          </cell>
          <cell r="C1899" t="str">
            <v>2016-0.077.911-1</v>
          </cell>
          <cell r="D1899" t="str">
            <v>01/03/2016</v>
          </cell>
          <cell r="E1899" t="str">
            <v/>
          </cell>
          <cell r="F1899" t="str">
            <v>VIRTUDE LOCADORA DE VEICULOS LTDA - ME</v>
          </cell>
          <cell r="G1899" t="str">
            <v/>
          </cell>
          <cell r="H1899" t="str">
            <v/>
          </cell>
          <cell r="I1899" t="str">
            <v/>
          </cell>
          <cell r="J1899" t="str">
            <v>PESSOA JURÍDICA</v>
          </cell>
          <cell r="K1899" t="str">
            <v>03.651.754/0001-08</v>
          </cell>
          <cell r="L1899" t="str">
            <v>IP</v>
          </cell>
          <cell r="M1899" t="str">
            <v>ANTONIO CARLOS FERREIRA TORRES</v>
          </cell>
          <cell r="N1899" t="str">
            <v>EBB8069</v>
          </cell>
          <cell r="O1899" t="str">
            <v>2009</v>
          </cell>
          <cell r="P1899" t="str">
            <v>10</v>
          </cell>
          <cell r="Q1899" t="str">
            <v>9</v>
          </cell>
        </row>
        <row r="1900">
          <cell r="B1900" t="str">
            <v>5260/16</v>
          </cell>
          <cell r="C1900" t="str">
            <v>2016-0.077.911-1</v>
          </cell>
          <cell r="D1900" t="str">
            <v>15/02/2016</v>
          </cell>
          <cell r="E1900" t="str">
            <v/>
          </cell>
          <cell r="F1900" t="str">
            <v>VIRTUDE LOCADORA DE VEICULOS LTDA - ME</v>
          </cell>
          <cell r="G1900" t="str">
            <v/>
          </cell>
          <cell r="H1900" t="str">
            <v/>
          </cell>
          <cell r="I1900" t="str">
            <v/>
          </cell>
          <cell r="J1900" t="str">
            <v>PESSOA JURÍDICA</v>
          </cell>
          <cell r="K1900" t="str">
            <v>03.651.754/0001-08</v>
          </cell>
          <cell r="L1900" t="str">
            <v>SA</v>
          </cell>
          <cell r="M1900" t="str">
            <v>VANDO GOMES DA SILVA</v>
          </cell>
          <cell r="N1900" t="str">
            <v>DTE5714</v>
          </cell>
          <cell r="O1900" t="str">
            <v>2009</v>
          </cell>
          <cell r="P1900" t="str">
            <v>11</v>
          </cell>
          <cell r="Q1900" t="str">
            <v>10</v>
          </cell>
        </row>
        <row r="1901">
          <cell r="B1901" t="str">
            <v>5261/16</v>
          </cell>
          <cell r="C1901" t="str">
            <v>2016-0.079.915-5</v>
          </cell>
          <cell r="D1901" t="str">
            <v>04/03/2016</v>
          </cell>
          <cell r="E1901" t="str">
            <v>04 de abril de 2016</v>
          </cell>
          <cell r="F1901" t="str">
            <v>RONALDO BISPO DOS SANTOS 29287003823</v>
          </cell>
          <cell r="G1901" t="str">
            <v>04/04/2016</v>
          </cell>
          <cell r="H1901" t="str">
            <v>07/04/2016</v>
          </cell>
          <cell r="I1901" t="str">
            <v>20</v>
          </cell>
          <cell r="J1901" t="str">
            <v>PESSOA JURÍDICA</v>
          </cell>
          <cell r="K1901" t="str">
            <v>23.491.072/0001-84</v>
          </cell>
          <cell r="L1901" t="str">
            <v>IQ</v>
          </cell>
          <cell r="M1901" t="str">
            <v>RONALDO BISPO DOS SANTOS</v>
          </cell>
          <cell r="N1901" t="str">
            <v>CPV5212</v>
          </cell>
          <cell r="O1901" t="str">
            <v>2002</v>
          </cell>
          <cell r="P1901" t="str">
            <v>27</v>
          </cell>
          <cell r="Q1901" t="str">
            <v>25</v>
          </cell>
        </row>
        <row r="1902">
          <cell r="B1902" t="str">
            <v>5262/16</v>
          </cell>
          <cell r="C1902" t="str">
            <v>2016-0.079.917-1</v>
          </cell>
          <cell r="D1902" t="str">
            <v/>
          </cell>
          <cell r="E1902" t="str">
            <v>04 de abril de 2016</v>
          </cell>
          <cell r="F1902" t="str">
            <v>E DE FREITAS MATOS TRANSPORTES - ME</v>
          </cell>
          <cell r="G1902" t="str">
            <v>04/04/2016</v>
          </cell>
          <cell r="H1902" t="str">
            <v>07/04/2016</v>
          </cell>
          <cell r="I1902" t="str">
            <v>20</v>
          </cell>
          <cell r="J1902" t="str">
            <v>PESSOA JURÍDICA</v>
          </cell>
          <cell r="K1902" t="str">
            <v>16.707.675/0001-05</v>
          </cell>
          <cell r="L1902" t="str">
            <v>SA</v>
          </cell>
          <cell r="M1902" t="str">
            <v>EDIMAR DE FREITAS MATOS</v>
          </cell>
          <cell r="N1902" t="str">
            <v>CYR2463</v>
          </cell>
          <cell r="O1902" t="str">
            <v>2002</v>
          </cell>
          <cell r="P1902" t="str">
            <v>25</v>
          </cell>
          <cell r="Q1902" t="str">
            <v>23</v>
          </cell>
        </row>
        <row r="1903">
          <cell r="B1903" t="str">
            <v>5263/16</v>
          </cell>
          <cell r="C1903" t="str">
            <v>2016-0.081.886-9</v>
          </cell>
          <cell r="D1903" t="str">
            <v/>
          </cell>
          <cell r="E1903" t="str">
            <v/>
          </cell>
          <cell r="F1903" t="str">
            <v>R S DA SILVA MELO TRANSPORTES LTDA - ME</v>
          </cell>
          <cell r="G1903" t="str">
            <v>29/04/2016</v>
          </cell>
          <cell r="H1903" t="str">
            <v>30/04/2016</v>
          </cell>
          <cell r="I1903" t="str">
            <v>43</v>
          </cell>
          <cell r="J1903" t="str">
            <v>PESSOA JURÍDICA</v>
          </cell>
          <cell r="K1903" t="str">
            <v>16.747.823/0001-15</v>
          </cell>
          <cell r="L1903" t="str">
            <v>CL</v>
          </cell>
          <cell r="M1903" t="str">
            <v>HERMOGENES JOSE DE SOUZA FILHO</v>
          </cell>
          <cell r="N1903" t="str">
            <v>DJB2313</v>
          </cell>
          <cell r="O1903" t="str">
            <v>2003</v>
          </cell>
          <cell r="P1903" t="str">
            <v>24</v>
          </cell>
          <cell r="Q1903" t="str">
            <v>23</v>
          </cell>
        </row>
        <row r="1904">
          <cell r="B1904" t="str">
            <v>5263/16</v>
          </cell>
          <cell r="C1904" t="str">
            <v>2016-0.081.886-9</v>
          </cell>
          <cell r="D1904" t="str">
            <v>04/04/2016</v>
          </cell>
          <cell r="E1904" t="str">
            <v>29 de abril de 2016</v>
          </cell>
          <cell r="F1904" t="str">
            <v>R S DA SILVA MELO TRANSPORTES LTDA - ME</v>
          </cell>
          <cell r="G1904" t="str">
            <v>29/04/2016</v>
          </cell>
          <cell r="H1904" t="str">
            <v>30/04/2016</v>
          </cell>
          <cell r="I1904" t="str">
            <v>43</v>
          </cell>
          <cell r="J1904" t="str">
            <v>PESSOA JURÍDICA</v>
          </cell>
          <cell r="K1904" t="str">
            <v>16.747.823/0001-15</v>
          </cell>
          <cell r="L1904" t="str">
            <v>CS</v>
          </cell>
          <cell r="M1904" t="str">
            <v>SILVIO ROMAO FARIA</v>
          </cell>
          <cell r="N1904" t="str">
            <v>DTD2060</v>
          </cell>
          <cell r="O1904" t="str">
            <v>2007</v>
          </cell>
          <cell r="P1904" t="str">
            <v>29</v>
          </cell>
          <cell r="Q1904" t="str">
            <v>28</v>
          </cell>
        </row>
        <row r="1905">
          <cell r="B1905" t="str">
            <v>5264/16</v>
          </cell>
          <cell r="C1905" t="str">
            <v>2016-0.081.887-7</v>
          </cell>
          <cell r="D1905" t="str">
            <v/>
          </cell>
          <cell r="E1905" t="str">
            <v>18 de abril de 2016</v>
          </cell>
          <cell r="F1905" t="str">
            <v>DASF - TRANSPORTES ESCOLAR E FRETAMENTOS LTDA - ME</v>
          </cell>
          <cell r="G1905" t="str">
            <v>18/04/2016</v>
          </cell>
          <cell r="H1905" t="str">
            <v>21/04/2016</v>
          </cell>
          <cell r="I1905" t="str">
            <v>97</v>
          </cell>
          <cell r="J1905" t="str">
            <v>PESSOA JURÍDICA</v>
          </cell>
          <cell r="K1905" t="str">
            <v>20.944.290/0001-39</v>
          </cell>
          <cell r="L1905" t="str">
            <v>CS</v>
          </cell>
          <cell r="M1905" t="str">
            <v>DARIO ALVES DOS SANTOS FILHO</v>
          </cell>
          <cell r="N1905" t="str">
            <v>DVR6659</v>
          </cell>
          <cell r="O1905" t="str">
            <v>2006</v>
          </cell>
          <cell r="P1905" t="str">
            <v>25</v>
          </cell>
          <cell r="Q1905" t="str">
            <v>23</v>
          </cell>
        </row>
        <row r="1906">
          <cell r="B1906" t="str">
            <v>5265/16</v>
          </cell>
          <cell r="C1906" t="str">
            <v>2016-0.081.890-7</v>
          </cell>
          <cell r="D1906" t="str">
            <v/>
          </cell>
          <cell r="E1906" t="str">
            <v>11 de abril de 2016</v>
          </cell>
          <cell r="F1906" t="str">
            <v>ROSCHEL R.V. TRANSPORTES SOCIEDADE SIMPLES LIMITADA - ME</v>
          </cell>
          <cell r="G1906" t="str">
            <v>11/04/2016</v>
          </cell>
          <cell r="H1906" t="str">
            <v>13/04/2016</v>
          </cell>
          <cell r="I1906" t="str">
            <v>52</v>
          </cell>
          <cell r="J1906" t="str">
            <v>PESSOA JURÍDICA</v>
          </cell>
          <cell r="K1906" t="str">
            <v>10.893.718/0001-08</v>
          </cell>
          <cell r="L1906" t="str">
            <v>CL</v>
          </cell>
          <cell r="M1906" t="str">
            <v>JOSE LUCIANO BARBOSA DE PAULA</v>
          </cell>
          <cell r="N1906" t="str">
            <v>EZL7554</v>
          </cell>
          <cell r="O1906" t="str">
            <v>2011</v>
          </cell>
          <cell r="P1906" t="str">
            <v>19</v>
          </cell>
          <cell r="Q1906" t="str">
            <v>18</v>
          </cell>
        </row>
        <row r="1907">
          <cell r="B1907" t="str">
            <v>5265/16</v>
          </cell>
          <cell r="C1907" t="str">
            <v>2016-0.081.890-7</v>
          </cell>
          <cell r="D1907" t="str">
            <v/>
          </cell>
          <cell r="E1907" t="str">
            <v>11 de abril de 2016</v>
          </cell>
          <cell r="F1907" t="str">
            <v>ROSCHEL R.V. TRANSPORTES SOCIEDADE SIMPLES LIMITADA - ME</v>
          </cell>
          <cell r="G1907" t="str">
            <v>11/04/2016</v>
          </cell>
          <cell r="H1907" t="str">
            <v>13/04/2016</v>
          </cell>
          <cell r="I1907" t="str">
            <v>52</v>
          </cell>
          <cell r="J1907" t="str">
            <v>PESSOA JURÍDICA</v>
          </cell>
          <cell r="K1907" t="str">
            <v>10.893.718/0001-08</v>
          </cell>
          <cell r="L1907" t="str">
            <v>CS</v>
          </cell>
          <cell r="M1907" t="str">
            <v>IVAN JOAQUIM EVANGELISTA</v>
          </cell>
          <cell r="N1907" t="str">
            <v>ESU4065</v>
          </cell>
          <cell r="O1907" t="str">
            <v>2011</v>
          </cell>
          <cell r="P1907" t="str">
            <v>15</v>
          </cell>
          <cell r="Q1907" t="str">
            <v>14</v>
          </cell>
        </row>
        <row r="1908">
          <cell r="B1908" t="str">
            <v>5265/16</v>
          </cell>
          <cell r="C1908" t="str">
            <v>2016-0.081.890-7</v>
          </cell>
          <cell r="D1908" t="str">
            <v/>
          </cell>
          <cell r="E1908" t="str">
            <v>11 de abril de 2016</v>
          </cell>
          <cell r="F1908" t="str">
            <v>ROSCHEL R.V. TRANSPORTES SOCIEDADE SIMPLES LIMITADA - ME</v>
          </cell>
          <cell r="G1908" t="str">
            <v>11/04/2016</v>
          </cell>
          <cell r="H1908" t="str">
            <v>13/04/2016</v>
          </cell>
          <cell r="I1908" t="str">
            <v>52</v>
          </cell>
          <cell r="J1908" t="str">
            <v>PESSOA JURÍDICA</v>
          </cell>
          <cell r="K1908" t="str">
            <v>10.893.718/0001-08</v>
          </cell>
          <cell r="L1908" t="str">
            <v>CS</v>
          </cell>
          <cell r="M1908" t="str">
            <v>EDVALDO DE SOUZA OLIVEIRA</v>
          </cell>
          <cell r="N1908" t="str">
            <v>FSJ5026</v>
          </cell>
          <cell r="O1908" t="str">
            <v>2014</v>
          </cell>
          <cell r="P1908" t="str">
            <v>19</v>
          </cell>
          <cell r="Q1908" t="str">
            <v>18</v>
          </cell>
        </row>
        <row r="1909">
          <cell r="B1909" t="str">
            <v>5267/16</v>
          </cell>
          <cell r="C1909" t="str">
            <v>2016-0.081.892-3</v>
          </cell>
          <cell r="D1909" t="str">
            <v/>
          </cell>
          <cell r="E1909" t="str">
            <v>11 de abril de 2016</v>
          </cell>
          <cell r="F1909" t="str">
            <v>ARTFRAN TRANSPORTES LTDA - ME</v>
          </cell>
          <cell r="G1909" t="str">
            <v>11/04/2016</v>
          </cell>
          <cell r="H1909" t="str">
            <v>13/04/2016</v>
          </cell>
          <cell r="I1909" t="str">
            <v>52</v>
          </cell>
          <cell r="J1909" t="str">
            <v>PESSOA JURÍDICA</v>
          </cell>
          <cell r="K1909" t="str">
            <v>14.294.638/0001-97</v>
          </cell>
          <cell r="L1909" t="str">
            <v>CS</v>
          </cell>
          <cell r="M1909" t="str">
            <v>WILSON FAGUNDES AMERICO</v>
          </cell>
          <cell r="N1909" t="str">
            <v>ETT8296</v>
          </cell>
          <cell r="O1909" t="str">
            <v>2011</v>
          </cell>
          <cell r="P1909" t="str">
            <v>27</v>
          </cell>
          <cell r="Q1909" t="str">
            <v>26</v>
          </cell>
        </row>
        <row r="1910">
          <cell r="B1910" t="str">
            <v>5267/16</v>
          </cell>
          <cell r="C1910" t="str">
            <v>2016-0.081.892-3</v>
          </cell>
          <cell r="D1910" t="str">
            <v/>
          </cell>
          <cell r="E1910" t="str">
            <v>11 de abril de 2016</v>
          </cell>
          <cell r="F1910" t="str">
            <v>ARTFRAN TRANSPORTES LTDA - ME</v>
          </cell>
          <cell r="G1910" t="str">
            <v>11/04/2016</v>
          </cell>
          <cell r="H1910" t="str">
            <v>13/04/2016</v>
          </cell>
          <cell r="I1910" t="str">
            <v>52</v>
          </cell>
          <cell r="J1910" t="str">
            <v>PESSOA JURÍDICA</v>
          </cell>
          <cell r="K1910" t="str">
            <v>14.294.638/0001-97</v>
          </cell>
          <cell r="L1910" t="str">
            <v>CL</v>
          </cell>
          <cell r="M1910" t="str">
            <v>PAULINO BARBOSA DA SILVA</v>
          </cell>
          <cell r="N1910" t="str">
            <v>ELQ1336</v>
          </cell>
          <cell r="O1910" t="str">
            <v>2010</v>
          </cell>
          <cell r="P1910" t="str">
            <v>10</v>
          </cell>
          <cell r="Q1910" t="str">
            <v>9</v>
          </cell>
        </row>
        <row r="1911">
          <cell r="B1911" t="str">
            <v>5268/16</v>
          </cell>
          <cell r="C1911" t="str">
            <v>2016-0.081.893-1</v>
          </cell>
          <cell r="D1911" t="str">
            <v/>
          </cell>
          <cell r="E1911" t="str">
            <v>14 de abril de 2016</v>
          </cell>
          <cell r="F1911" t="str">
            <v>PORSCHE VIP TRANSPORTES EIRELI - ME</v>
          </cell>
          <cell r="G1911" t="str">
            <v>14/04/2016</v>
          </cell>
          <cell r="H1911" t="str">
            <v>19/04/2016</v>
          </cell>
          <cell r="I1911" t="str">
            <v>31</v>
          </cell>
          <cell r="J1911" t="str">
            <v>PESSOA JURÍDICA</v>
          </cell>
          <cell r="K1911" t="str">
            <v>10.738.140/0001-15</v>
          </cell>
          <cell r="L1911" t="str">
            <v>CS</v>
          </cell>
          <cell r="M1911" t="str">
            <v>JOSE CARLOS DE ARAUJO</v>
          </cell>
          <cell r="N1911" t="str">
            <v>EFU5828</v>
          </cell>
          <cell r="O1911" t="str">
            <v>2009</v>
          </cell>
          <cell r="P1911" t="str">
            <v>10</v>
          </cell>
          <cell r="Q1911" t="str">
            <v>9</v>
          </cell>
        </row>
        <row r="1912">
          <cell r="B1912" t="str">
            <v>5269/16</v>
          </cell>
          <cell r="C1912" t="str">
            <v>2016-0.081.894-0</v>
          </cell>
          <cell r="D1912" t="str">
            <v>24/02/2016</v>
          </cell>
          <cell r="E1912" t="str">
            <v>14 de abril de 2016</v>
          </cell>
          <cell r="F1912" t="str">
            <v>G T DE MACEDO TRANSPORTES - ME</v>
          </cell>
          <cell r="G1912" t="str">
            <v>14/04/2016</v>
          </cell>
          <cell r="H1912" t="str">
            <v>19/04/2016</v>
          </cell>
          <cell r="I1912" t="str">
            <v>31</v>
          </cell>
          <cell r="J1912" t="str">
            <v>PESSOA JURÍDICA</v>
          </cell>
          <cell r="K1912" t="str">
            <v>14.457.168/0001-35</v>
          </cell>
          <cell r="L1912" t="str">
            <v>CS</v>
          </cell>
          <cell r="M1912" t="str">
            <v>DOUGLAS LISBOA FERNANDES DA SILVA</v>
          </cell>
          <cell r="N1912" t="str">
            <v>FOE3970</v>
          </cell>
          <cell r="O1912" t="str">
            <v>2013</v>
          </cell>
          <cell r="P1912" t="str">
            <v>19</v>
          </cell>
          <cell r="Q1912" t="str">
            <v>18</v>
          </cell>
        </row>
        <row r="1913">
          <cell r="B1913" t="str">
            <v>5270/16</v>
          </cell>
          <cell r="C1913" t="str">
            <v>2016-0.081.895-8</v>
          </cell>
          <cell r="D1913" t="str">
            <v>21/03/2016</v>
          </cell>
          <cell r="E1913" t="str">
            <v>14 de abril de 2016</v>
          </cell>
          <cell r="F1913" t="str">
            <v>JAB DE ALMEIDA TRANSPORTES E LOCACAO - ME</v>
          </cell>
          <cell r="G1913" t="str">
            <v>14/04/2016</v>
          </cell>
          <cell r="H1913" t="str">
            <v>19/04/2016</v>
          </cell>
          <cell r="I1913" t="str">
            <v>31</v>
          </cell>
          <cell r="J1913" t="str">
            <v>PESSOA JURÍDICA</v>
          </cell>
          <cell r="K1913" t="str">
            <v>16.922.001/0001-23</v>
          </cell>
          <cell r="L1913" t="str">
            <v>CS</v>
          </cell>
          <cell r="M1913" t="str">
            <v>FRANCISCA IRACI CAVALCANTE DA SILVA</v>
          </cell>
          <cell r="N1913" t="str">
            <v>EFV1807</v>
          </cell>
          <cell r="O1913" t="str">
            <v>2010</v>
          </cell>
          <cell r="P1913" t="str">
            <v>19</v>
          </cell>
          <cell r="Q1913" t="str">
            <v>18</v>
          </cell>
        </row>
        <row r="1914">
          <cell r="B1914" t="str">
            <v>5271/16</v>
          </cell>
          <cell r="C1914" t="str">
            <v>2016-0.081.896-6</v>
          </cell>
          <cell r="D1914" t="str">
            <v/>
          </cell>
          <cell r="E1914" t="str">
            <v/>
          </cell>
          <cell r="F1914" t="str">
            <v>COOP. DE TRANSP. ROD. E ESC. - COTERLESTE</v>
          </cell>
          <cell r="G1914" t="str">
            <v/>
          </cell>
          <cell r="H1914" t="str">
            <v/>
          </cell>
          <cell r="I1914" t="str">
            <v/>
          </cell>
          <cell r="J1914" t="str">
            <v>PESSOA JURÍDICA</v>
          </cell>
          <cell r="K1914" t="str">
            <v>04.712.348/0001-62</v>
          </cell>
          <cell r="L1914" t="str">
            <v>MP</v>
          </cell>
          <cell r="M1914" t="str">
            <v>VANESSA GRANIG LOURENCO</v>
          </cell>
          <cell r="N1914" t="str">
            <v>FFN3839</v>
          </cell>
          <cell r="O1914" t="str">
            <v>2012</v>
          </cell>
          <cell r="P1914" t="str">
            <v>15</v>
          </cell>
          <cell r="Q1914" t="str">
            <v>14</v>
          </cell>
        </row>
        <row r="1915">
          <cell r="B1915" t="str">
            <v>5272/16</v>
          </cell>
          <cell r="C1915" t="str">
            <v>2016-0.081.897-4</v>
          </cell>
          <cell r="D1915" t="str">
            <v>18/03/2016</v>
          </cell>
          <cell r="E1915" t="str">
            <v>29 de abril de 2016</v>
          </cell>
          <cell r="F1915" t="str">
            <v>RONALDO DE JESUS MATOS - ME</v>
          </cell>
          <cell r="G1915" t="str">
            <v>29/04/2016</v>
          </cell>
          <cell r="H1915" t="str">
            <v>30/04/2016</v>
          </cell>
          <cell r="I1915" t="str">
            <v>43</v>
          </cell>
          <cell r="J1915" t="str">
            <v>PESSOA JURÍDICA</v>
          </cell>
          <cell r="K1915" t="str">
            <v>08.689.167/0001-13</v>
          </cell>
          <cell r="L1915" t="str">
            <v>MP</v>
          </cell>
          <cell r="M1915" t="str">
            <v>SILVIO SALES</v>
          </cell>
          <cell r="N1915" t="str">
            <v>DVT4053</v>
          </cell>
          <cell r="O1915" t="str">
            <v>2008</v>
          </cell>
          <cell r="P1915" t="str">
            <v>30</v>
          </cell>
          <cell r="Q1915" t="str">
            <v>28</v>
          </cell>
        </row>
        <row r="1916">
          <cell r="B1916" t="str">
            <v>5272/16</v>
          </cell>
          <cell r="C1916" t="str">
            <v>2016-0.081.897-4</v>
          </cell>
          <cell r="D1916" t="str">
            <v>21/03/2016</v>
          </cell>
          <cell r="E1916" t="str">
            <v>29 de abril de 2016</v>
          </cell>
          <cell r="F1916" t="str">
            <v>RONALDO DE JESUS MATOS - ME</v>
          </cell>
          <cell r="G1916" t="str">
            <v>29/04/2016</v>
          </cell>
          <cell r="H1916" t="str">
            <v>30/04/2016</v>
          </cell>
          <cell r="I1916" t="str">
            <v>43</v>
          </cell>
          <cell r="J1916" t="str">
            <v>PESSOA JURÍDICA</v>
          </cell>
          <cell r="K1916" t="str">
            <v>08.689.167/0001-13</v>
          </cell>
          <cell r="L1916" t="str">
            <v>MP</v>
          </cell>
          <cell r="M1916" t="str">
            <v>ANDERSON DA SILVA ALEXANDRINO</v>
          </cell>
          <cell r="N1916" t="str">
            <v>DTC7260</v>
          </cell>
          <cell r="O1916" t="str">
            <v>2009</v>
          </cell>
          <cell r="P1916" t="str">
            <v>19</v>
          </cell>
          <cell r="Q1916" t="str">
            <v>17</v>
          </cell>
        </row>
        <row r="1917">
          <cell r="B1917" t="str">
            <v>5274/16</v>
          </cell>
          <cell r="C1917" t="str">
            <v>2016-0.081.899-0</v>
          </cell>
          <cell r="D1917" t="str">
            <v>23/03/2016</v>
          </cell>
          <cell r="E1917" t="str">
            <v>29 de abril de 2016</v>
          </cell>
          <cell r="F1917" t="str">
            <v>ROGERIO CUNHA VICTOR 27968627800</v>
          </cell>
          <cell r="G1917" t="str">
            <v>29/04/2016</v>
          </cell>
          <cell r="H1917" t="str">
            <v>30/04/2016</v>
          </cell>
          <cell r="I1917" t="str">
            <v>43</v>
          </cell>
          <cell r="J1917" t="str">
            <v>PESSOA JURÍDICA</v>
          </cell>
          <cell r="K1917" t="str">
            <v>17.345.997/0001-14</v>
          </cell>
          <cell r="L1917" t="str">
            <v>MP</v>
          </cell>
          <cell r="M1917" t="str">
            <v>ROGERIO CUNHA VICTOR</v>
          </cell>
          <cell r="N1917" t="str">
            <v>FXH9250</v>
          </cell>
          <cell r="O1917" t="str">
            <v>2014</v>
          </cell>
          <cell r="P1917" t="str">
            <v>19</v>
          </cell>
          <cell r="Q1917" t="str">
            <v>18</v>
          </cell>
        </row>
        <row r="1918">
          <cell r="B1918" t="str">
            <v>5275/16</v>
          </cell>
          <cell r="C1918" t="str">
            <v>2016-0.081.900-8</v>
          </cell>
          <cell r="D1918" t="str">
            <v/>
          </cell>
          <cell r="E1918" t="str">
            <v/>
          </cell>
          <cell r="F1918" t="str">
            <v>VELOSO TRANSPORTES E LOCADORA LTDA - ME</v>
          </cell>
          <cell r="G1918" t="str">
            <v>20/04/2016</v>
          </cell>
          <cell r="H1918" t="str">
            <v>21/04/2016</v>
          </cell>
          <cell r="I1918" t="str">
            <v>97</v>
          </cell>
          <cell r="J1918" t="str">
            <v>PESSOA JURÍDICA</v>
          </cell>
          <cell r="K1918" t="str">
            <v>23.018.117/0001-06</v>
          </cell>
          <cell r="L1918" t="str">
            <v>CS</v>
          </cell>
          <cell r="M1918" t="str">
            <v>CHARLES DA SILVA</v>
          </cell>
          <cell r="N1918" t="str">
            <v>DTD1082</v>
          </cell>
          <cell r="O1918" t="str">
            <v>2007</v>
          </cell>
          <cell r="P1918" t="str">
            <v>25</v>
          </cell>
          <cell r="Q1918" t="str">
            <v>23</v>
          </cell>
        </row>
        <row r="1919">
          <cell r="B1919" t="str">
            <v>5275/16</v>
          </cell>
          <cell r="C1919" t="str">
            <v>2016-0.081.900-8</v>
          </cell>
          <cell r="D1919" t="str">
            <v>31/03/2016</v>
          </cell>
          <cell r="E1919" t="str">
            <v>20 de abril de 2016</v>
          </cell>
          <cell r="F1919" t="str">
            <v>VELOSO TRANSPORTES E LOCADORA LTDA - ME</v>
          </cell>
          <cell r="G1919" t="str">
            <v>20/04/2016</v>
          </cell>
          <cell r="H1919" t="str">
            <v>21/04/2016</v>
          </cell>
          <cell r="I1919" t="str">
            <v>97</v>
          </cell>
          <cell r="J1919" t="str">
            <v>PESSOA JURÍDICA</v>
          </cell>
          <cell r="K1919" t="str">
            <v>23.018.117/0001-06</v>
          </cell>
          <cell r="L1919" t="str">
            <v>CS</v>
          </cell>
          <cell r="M1919" t="str">
            <v>ADRIANA CRISTINA DE MOURA</v>
          </cell>
          <cell r="N1919" t="str">
            <v>DTD4315</v>
          </cell>
          <cell r="O1919" t="str">
            <v>2007</v>
          </cell>
          <cell r="P1919" t="str">
            <v>29</v>
          </cell>
          <cell r="Q1919" t="str">
            <v>27</v>
          </cell>
        </row>
        <row r="1920">
          <cell r="B1920" t="str">
            <v>5276/16</v>
          </cell>
          <cell r="C1920" t="str">
            <v>2016-0.081.901-6</v>
          </cell>
          <cell r="D1920" t="str">
            <v/>
          </cell>
          <cell r="E1920" t="str">
            <v>28 de março de 2016</v>
          </cell>
          <cell r="F1920" t="str">
            <v>E DE CASTRO TRANSPORTES - ME</v>
          </cell>
          <cell r="G1920" t="str">
            <v>28/03/2016</v>
          </cell>
          <cell r="H1920" t="str">
            <v>13/04/2016</v>
          </cell>
          <cell r="I1920" t="str">
            <v>52</v>
          </cell>
          <cell r="J1920" t="str">
            <v>PESSOA JURÍDICA</v>
          </cell>
          <cell r="K1920" t="str">
            <v>18.284.197/0001-01</v>
          </cell>
          <cell r="L1920" t="str">
            <v>PJ</v>
          </cell>
          <cell r="M1920" t="str">
            <v>ELAINE DE CASTRO</v>
          </cell>
          <cell r="N1920" t="str">
            <v>FTM9730</v>
          </cell>
          <cell r="O1920" t="str">
            <v>2014</v>
          </cell>
          <cell r="P1920" t="str">
            <v>27</v>
          </cell>
          <cell r="Q1920" t="str">
            <v>26</v>
          </cell>
        </row>
        <row r="1921">
          <cell r="B1921" t="str">
            <v>5277/16</v>
          </cell>
          <cell r="C1921" t="str">
            <v>2016-0.083.992-0</v>
          </cell>
          <cell r="D1921" t="str">
            <v>01/03/2016</v>
          </cell>
          <cell r="E1921" t="str">
            <v>18 de abril de 2016</v>
          </cell>
          <cell r="F1921" t="str">
            <v>ARILSON NUNES DE LIRA - ME</v>
          </cell>
          <cell r="G1921" t="str">
            <v>18/04/2016</v>
          </cell>
          <cell r="H1921" t="str">
            <v>21/04/2016</v>
          </cell>
          <cell r="I1921" t="str">
            <v>97</v>
          </cell>
          <cell r="J1921" t="str">
            <v>PESSOA JURÍDICA</v>
          </cell>
          <cell r="K1921" t="str">
            <v>97.527.054/0001-41</v>
          </cell>
          <cell r="L1921" t="str">
            <v>FO</v>
          </cell>
          <cell r="M1921" t="str">
            <v>CRISTIANE DA SILVA SIMOES</v>
          </cell>
          <cell r="N1921" t="str">
            <v>CZX2447</v>
          </cell>
          <cell r="O1921" t="str">
            <v>2002</v>
          </cell>
          <cell r="P1921" t="str">
            <v>25</v>
          </cell>
          <cell r="Q1921" t="str">
            <v>23</v>
          </cell>
        </row>
        <row r="1922">
          <cell r="B1922" t="str">
            <v>5277/16</v>
          </cell>
          <cell r="C1922" t="str">
            <v>2016-0.083.992-0</v>
          </cell>
          <cell r="D1922" t="str">
            <v>04/04/2016</v>
          </cell>
          <cell r="E1922" t="str">
            <v>18 de abril de 2016</v>
          </cell>
          <cell r="F1922" t="str">
            <v>ARILSON NUNES DE LIRA - ME</v>
          </cell>
          <cell r="G1922" t="str">
            <v>18/04/2016</v>
          </cell>
          <cell r="H1922" t="str">
            <v>21/04/2016</v>
          </cell>
          <cell r="I1922" t="str">
            <v>97</v>
          </cell>
          <cell r="J1922" t="str">
            <v>PESSOA JURÍDICA</v>
          </cell>
          <cell r="K1922" t="str">
            <v>97.527.054/0001-41</v>
          </cell>
          <cell r="L1922" t="str">
            <v>FO</v>
          </cell>
          <cell r="M1922" t="str">
            <v>LUIZ ANTONIO FREDERICO</v>
          </cell>
          <cell r="N1922" t="str">
            <v>CXA5745</v>
          </cell>
          <cell r="O1922" t="str">
            <v>2002</v>
          </cell>
          <cell r="P1922" t="str">
            <v>25</v>
          </cell>
          <cell r="Q1922" t="str">
            <v>23</v>
          </cell>
        </row>
        <row r="1923">
          <cell r="B1923" t="str">
            <v>5278/16</v>
          </cell>
          <cell r="C1923" t="str">
            <v>2016-0.083.993-9</v>
          </cell>
          <cell r="D1923" t="str">
            <v/>
          </cell>
          <cell r="E1923" t="str">
            <v>11 de abril de 2016</v>
          </cell>
          <cell r="F1923" t="str">
            <v>ABELARDO N L JUNIOR TRANSPORTE ESCOLAR - EIRELI</v>
          </cell>
          <cell r="G1923" t="str">
            <v>11/04/2016</v>
          </cell>
          <cell r="H1923" t="str">
            <v>19/04/2016</v>
          </cell>
          <cell r="I1923" t="str">
            <v>31</v>
          </cell>
          <cell r="J1923" t="str">
            <v>PESSOA JURÍDICA</v>
          </cell>
          <cell r="K1923" t="str">
            <v>15.537.940/0001-91</v>
          </cell>
          <cell r="L1923" t="str">
            <v>FO</v>
          </cell>
          <cell r="M1923" t="str">
            <v>EDMUNDO DUARTE CAVALCANTE</v>
          </cell>
          <cell r="N1923" t="str">
            <v>DJB6279</v>
          </cell>
          <cell r="O1923" t="str">
            <v>2005</v>
          </cell>
          <cell r="P1923" t="str">
            <v>25</v>
          </cell>
          <cell r="Q1923" t="str">
            <v>23</v>
          </cell>
        </row>
        <row r="1924">
          <cell r="B1924" t="str">
            <v>5279/16</v>
          </cell>
          <cell r="C1924" t="str">
            <v>2016-0.083.994-7</v>
          </cell>
          <cell r="D1924" t="str">
            <v/>
          </cell>
          <cell r="E1924" t="str">
            <v/>
          </cell>
          <cell r="F1924" t="str">
            <v>L &amp; M TUR LTDA - ME</v>
          </cell>
          <cell r="G1924" t="str">
            <v>15/04/2016</v>
          </cell>
          <cell r="H1924" t="str">
            <v>19/04/2016</v>
          </cell>
          <cell r="I1924" t="str">
            <v>31</v>
          </cell>
          <cell r="J1924" t="str">
            <v>PESSOA JURÍDICA</v>
          </cell>
          <cell r="K1924" t="str">
            <v>05.403.983/0001-20</v>
          </cell>
          <cell r="L1924" t="str">
            <v>FO</v>
          </cell>
          <cell r="M1924" t="str">
            <v>ROBERTO MIGUEL DA SILVA</v>
          </cell>
          <cell r="N1924" t="str">
            <v>EPO0465</v>
          </cell>
          <cell r="O1924" t="str">
            <v>2010</v>
          </cell>
          <cell r="P1924" t="str">
            <v>9</v>
          </cell>
          <cell r="Q1924" t="str">
            <v>8</v>
          </cell>
        </row>
        <row r="1925">
          <cell r="B1925" t="str">
            <v>5279/16</v>
          </cell>
          <cell r="C1925" t="str">
            <v>2016-0.083.994-7</v>
          </cell>
          <cell r="D1925" t="str">
            <v/>
          </cell>
          <cell r="E1925" t="str">
            <v/>
          </cell>
          <cell r="F1925" t="str">
            <v>L &amp; M TUR LTDA - ME</v>
          </cell>
          <cell r="G1925" t="str">
            <v>15/04/2016</v>
          </cell>
          <cell r="H1925" t="str">
            <v>19/04/2016</v>
          </cell>
          <cell r="I1925" t="str">
            <v>31</v>
          </cell>
          <cell r="J1925" t="str">
            <v>PESSOA JURÍDICA</v>
          </cell>
          <cell r="K1925" t="str">
            <v>05.403.983/0001-20</v>
          </cell>
          <cell r="L1925" t="str">
            <v>PJ</v>
          </cell>
          <cell r="M1925" t="str">
            <v>EDNEI ARAUJO DE OLIVEIRA</v>
          </cell>
          <cell r="N1925" t="str">
            <v>EGS2677</v>
          </cell>
          <cell r="O1925" t="str">
            <v>2007</v>
          </cell>
          <cell r="P1925" t="str">
            <v>29</v>
          </cell>
          <cell r="Q1925" t="str">
            <v>27</v>
          </cell>
        </row>
        <row r="1926">
          <cell r="B1926" t="str">
            <v>5279/16</v>
          </cell>
          <cell r="C1926" t="str">
            <v>2016-0.083.994-7</v>
          </cell>
          <cell r="D1926" t="str">
            <v/>
          </cell>
          <cell r="E1926" t="str">
            <v>15 de abril de 2016</v>
          </cell>
          <cell r="F1926" t="str">
            <v>L &amp; M TUR LTDA - ME</v>
          </cell>
          <cell r="G1926" t="str">
            <v>15/04/2016</v>
          </cell>
          <cell r="H1926" t="str">
            <v>19/04/2016</v>
          </cell>
          <cell r="I1926" t="str">
            <v>31</v>
          </cell>
          <cell r="J1926" t="str">
            <v>PESSOA JURÍDICA</v>
          </cell>
          <cell r="K1926" t="str">
            <v>05.403.983/0001-20</v>
          </cell>
          <cell r="L1926" t="str">
            <v>FO</v>
          </cell>
          <cell r="M1926" t="str">
            <v>SUZILENE PEZENTI OLIMPIO</v>
          </cell>
          <cell r="N1926" t="str">
            <v>EPO0468</v>
          </cell>
          <cell r="O1926" t="str">
            <v>2010</v>
          </cell>
          <cell r="P1926" t="str">
            <v>9</v>
          </cell>
          <cell r="Q1926" t="str">
            <v>8</v>
          </cell>
        </row>
        <row r="1927">
          <cell r="B1927" t="str">
            <v>5279/16</v>
          </cell>
          <cell r="C1927" t="str">
            <v>2016-0.083.994-7</v>
          </cell>
          <cell r="D1927" t="str">
            <v/>
          </cell>
          <cell r="E1927" t="str">
            <v/>
          </cell>
          <cell r="F1927" t="str">
            <v>L &amp; M TUR LTDA - ME</v>
          </cell>
          <cell r="G1927" t="str">
            <v>15/04/2016</v>
          </cell>
          <cell r="H1927" t="str">
            <v>19/04/2016</v>
          </cell>
          <cell r="I1927" t="str">
            <v>31</v>
          </cell>
          <cell r="J1927" t="str">
            <v>PESSOA JURÍDICA</v>
          </cell>
          <cell r="K1927" t="str">
            <v>05.403.983/0001-20</v>
          </cell>
          <cell r="L1927" t="str">
            <v>JT</v>
          </cell>
          <cell r="M1927" t="str">
            <v/>
          </cell>
          <cell r="N1927" t="str">
            <v>ECM3032</v>
          </cell>
          <cell r="O1927" t="str">
            <v>2009</v>
          </cell>
          <cell r="P1927" t="str">
            <v>27</v>
          </cell>
          <cell r="Q1927" t="str">
            <v>25</v>
          </cell>
        </row>
        <row r="1928">
          <cell r="B1928" t="str">
            <v>5280/16</v>
          </cell>
          <cell r="C1928" t="str">
            <v>2016-0.083.995-5</v>
          </cell>
          <cell r="D1928" t="str">
            <v>14/03/2016</v>
          </cell>
          <cell r="E1928" t="str">
            <v>13 de abril de 2016</v>
          </cell>
          <cell r="F1928" t="str">
            <v>JOAO CRISOSTOMO MONTEIRO - ME</v>
          </cell>
          <cell r="G1928" t="str">
            <v>13/04/2016</v>
          </cell>
          <cell r="H1928" t="str">
            <v>19/04/2016</v>
          </cell>
          <cell r="I1928" t="str">
            <v>31</v>
          </cell>
          <cell r="J1928" t="str">
            <v>PESSOA JURÍDICA</v>
          </cell>
          <cell r="K1928" t="str">
            <v>19.579.247/0001-32</v>
          </cell>
          <cell r="L1928" t="str">
            <v>G</v>
          </cell>
          <cell r="M1928" t="str">
            <v>JOSE PORTO DA SILVEIRA</v>
          </cell>
          <cell r="N1928" t="str">
            <v>DTB0640</v>
          </cell>
          <cell r="O1928" t="str">
            <v>2006</v>
          </cell>
          <cell r="P1928" t="str">
            <v>25</v>
          </cell>
          <cell r="Q1928" t="str">
            <v>23</v>
          </cell>
        </row>
        <row r="1929">
          <cell r="B1929" t="str">
            <v>5281/16</v>
          </cell>
          <cell r="C1929" t="str">
            <v>2016-0.083.996-3</v>
          </cell>
          <cell r="D1929" t="str">
            <v>10/03/2016</v>
          </cell>
          <cell r="E1929" t="str">
            <v>13 de abril de 2016</v>
          </cell>
          <cell r="F1929" t="str">
            <v>M. G. SILVA TRANSPORTES EIRELI - ME</v>
          </cell>
          <cell r="G1929" t="str">
            <v>13/04/2016</v>
          </cell>
          <cell r="H1929" t="str">
            <v>19/04/2016</v>
          </cell>
          <cell r="I1929" t="str">
            <v>31</v>
          </cell>
          <cell r="J1929" t="str">
            <v>PESSOA JURÍDICA</v>
          </cell>
          <cell r="K1929" t="str">
            <v>16.433.495/0001-82</v>
          </cell>
          <cell r="L1929" t="str">
            <v>G</v>
          </cell>
          <cell r="M1929" t="str">
            <v>MANOEL GERALDO DA SILVA</v>
          </cell>
          <cell r="N1929" t="str">
            <v>CZZ2021</v>
          </cell>
          <cell r="O1929" t="str">
            <v>2003</v>
          </cell>
          <cell r="P1929" t="str">
            <v>25</v>
          </cell>
          <cell r="Q1929" t="str">
            <v>23</v>
          </cell>
        </row>
        <row r="1930">
          <cell r="B1930" t="str">
            <v>5282/16</v>
          </cell>
          <cell r="C1930" t="str">
            <v>2016-0.083.997-1</v>
          </cell>
          <cell r="D1930" t="str">
            <v>21/03/2016</v>
          </cell>
          <cell r="E1930" t="str">
            <v>14 de abril de 2016</v>
          </cell>
          <cell r="F1930" t="str">
            <v>PASCOAL DOS SANTOS SILVA - ME</v>
          </cell>
          <cell r="G1930" t="str">
            <v>14/04/2016</v>
          </cell>
          <cell r="H1930" t="str">
            <v>19/04/2016</v>
          </cell>
          <cell r="I1930" t="str">
            <v>31</v>
          </cell>
          <cell r="J1930" t="str">
            <v>PESSOA JURÍDICA</v>
          </cell>
          <cell r="K1930" t="str">
            <v>18.035.723/0001-91</v>
          </cell>
          <cell r="L1930" t="str">
            <v>G</v>
          </cell>
          <cell r="M1930" t="str">
            <v>PASCOAL DOS SANTOS SILVA</v>
          </cell>
          <cell r="N1930" t="str">
            <v>EFU8615</v>
          </cell>
          <cell r="O1930" t="str">
            <v>2009</v>
          </cell>
          <cell r="P1930" t="str">
            <v>10</v>
          </cell>
          <cell r="Q1930" t="str">
            <v>9</v>
          </cell>
        </row>
        <row r="1931">
          <cell r="B1931" t="str">
            <v>5283/16</v>
          </cell>
          <cell r="C1931" t="str">
            <v>2016-0.083.998-0</v>
          </cell>
          <cell r="D1931" t="str">
            <v>28/03/2016</v>
          </cell>
          <cell r="E1931" t="str">
            <v>15 de abril de 2016</v>
          </cell>
          <cell r="F1931" t="str">
            <v>PESSET TRANSPORTES - EIRELI - ME</v>
          </cell>
          <cell r="G1931" t="str">
            <v>15/04/2016</v>
          </cell>
          <cell r="H1931" t="str">
            <v>19/04/2016</v>
          </cell>
          <cell r="I1931" t="str">
            <v>31</v>
          </cell>
          <cell r="J1931" t="str">
            <v>PESSOA JURÍDICA</v>
          </cell>
          <cell r="K1931" t="str">
            <v>17.772.620/0001-41</v>
          </cell>
          <cell r="L1931" t="str">
            <v>G</v>
          </cell>
          <cell r="M1931" t="str">
            <v>SHEILA CRISTINA SILVA</v>
          </cell>
          <cell r="N1931" t="str">
            <v>FCA4918</v>
          </cell>
          <cell r="O1931" t="str">
            <v>2014</v>
          </cell>
          <cell r="P1931" t="str">
            <v>10</v>
          </cell>
          <cell r="Q1931" t="str">
            <v>9</v>
          </cell>
        </row>
        <row r="1932">
          <cell r="B1932" t="str">
            <v>5283/16</v>
          </cell>
          <cell r="C1932" t="str">
            <v>2016-0.083.998-0</v>
          </cell>
          <cell r="D1932" t="str">
            <v>04/03/2016</v>
          </cell>
          <cell r="E1932" t="str">
            <v>15 de abril de 2016</v>
          </cell>
          <cell r="F1932" t="str">
            <v>PESSET TRANSPORTES - EIRELI - ME</v>
          </cell>
          <cell r="G1932" t="str">
            <v>15/04/2016</v>
          </cell>
          <cell r="H1932" t="str">
            <v>19/04/2016</v>
          </cell>
          <cell r="I1932" t="str">
            <v>31</v>
          </cell>
          <cell r="J1932" t="str">
            <v>PESSOA JURÍDICA</v>
          </cell>
          <cell r="K1932" t="str">
            <v>17.772.620/0001-41</v>
          </cell>
          <cell r="L1932" t="str">
            <v>G</v>
          </cell>
          <cell r="M1932" t="str">
            <v>ALCIDES PESSETI</v>
          </cell>
          <cell r="N1932" t="str">
            <v>DTD0960</v>
          </cell>
          <cell r="O1932" t="str">
            <v>2007</v>
          </cell>
          <cell r="P1932" t="str">
            <v>29</v>
          </cell>
          <cell r="Q1932" t="str">
            <v>27</v>
          </cell>
        </row>
        <row r="1933">
          <cell r="B1933" t="str">
            <v>5283/16</v>
          </cell>
          <cell r="C1933" t="str">
            <v>2016-0.083.998-0</v>
          </cell>
          <cell r="D1933" t="str">
            <v>28/03/2016</v>
          </cell>
          <cell r="E1933" t="str">
            <v>15 de abril de 2016</v>
          </cell>
          <cell r="F1933" t="str">
            <v>PESSET TRANSPORTES - EIRELI - ME</v>
          </cell>
          <cell r="G1933" t="str">
            <v>15/04/2016</v>
          </cell>
          <cell r="H1933" t="str">
            <v>19/04/2016</v>
          </cell>
          <cell r="I1933" t="str">
            <v>31</v>
          </cell>
          <cell r="J1933" t="str">
            <v>PESSOA JURÍDICA</v>
          </cell>
          <cell r="K1933" t="str">
            <v>17.772.620/0001-41</v>
          </cell>
          <cell r="L1933" t="str">
            <v>G</v>
          </cell>
          <cell r="M1933" t="str">
            <v>PAULO SEVERINO DOS SANTOS</v>
          </cell>
          <cell r="N1933" t="str">
            <v>DAJ8740</v>
          </cell>
          <cell r="O1933" t="str">
            <v>2007</v>
          </cell>
          <cell r="P1933" t="str">
            <v>30</v>
          </cell>
          <cell r="Q1933" t="str">
            <v>28</v>
          </cell>
        </row>
        <row r="1934">
          <cell r="B1934" t="str">
            <v>5284/16</v>
          </cell>
          <cell r="C1934" t="str">
            <v>2016-0.083.999-8</v>
          </cell>
          <cell r="D1934" t="str">
            <v>14/03/2016</v>
          </cell>
          <cell r="E1934" t="str">
            <v>13 de abril de 2016</v>
          </cell>
          <cell r="F1934" t="str">
            <v>TRANS TIO´S TRANSPORTE RODOVIÁRIO DE PASSAGEIROS LTDA - ME</v>
          </cell>
          <cell r="G1934" t="str">
            <v>13/04/2016</v>
          </cell>
          <cell r="H1934" t="str">
            <v/>
          </cell>
          <cell r="I1934" t="str">
            <v/>
          </cell>
          <cell r="J1934" t="str">
            <v>PESSOA JURÍDICA</v>
          </cell>
          <cell r="K1934" t="str">
            <v>08.665.386/0001-62</v>
          </cell>
          <cell r="L1934" t="str">
            <v>CL</v>
          </cell>
          <cell r="M1934" t="str">
            <v>ANDREY ROGER ALBERTO</v>
          </cell>
          <cell r="N1934" t="str">
            <v>DTC3468</v>
          </cell>
          <cell r="O1934" t="str">
            <v>2007</v>
          </cell>
          <cell r="P1934" t="str">
            <v>29</v>
          </cell>
          <cell r="Q1934" t="str">
            <v>27</v>
          </cell>
        </row>
        <row r="1935">
          <cell r="B1935" t="str">
            <v>5285/16</v>
          </cell>
          <cell r="C1935" t="str">
            <v>2016-0.088.615-5</v>
          </cell>
          <cell r="D1935" t="str">
            <v>29/02/2016</v>
          </cell>
          <cell r="E1935" t="str">
            <v>14 de abril de 2016</v>
          </cell>
          <cell r="F1935" t="str">
            <v>TIA NEIA TRANSPORTES EIRELI - ME</v>
          </cell>
          <cell r="G1935" t="str">
            <v>14/04/2016</v>
          </cell>
          <cell r="H1935" t="str">
            <v>19/04/2016</v>
          </cell>
          <cell r="I1935" t="str">
            <v>31</v>
          </cell>
          <cell r="J1935" t="str">
            <v>PESSOA JURÍDICA</v>
          </cell>
          <cell r="K1935" t="str">
            <v>20.183.624/0001-07</v>
          </cell>
          <cell r="L1935" t="str">
            <v>G</v>
          </cell>
          <cell r="M1935" t="str">
            <v>AGATHA SILVA COCHARERO</v>
          </cell>
          <cell r="N1935" t="str">
            <v>DJF8380</v>
          </cell>
          <cell r="O1935" t="str">
            <v>2006</v>
          </cell>
          <cell r="P1935" t="str">
            <v>23</v>
          </cell>
          <cell r="Q1935" t="str">
            <v>21</v>
          </cell>
        </row>
        <row r="1936">
          <cell r="B1936" t="str">
            <v>5285/16</v>
          </cell>
          <cell r="C1936" t="str">
            <v>2016-0.088.615-5</v>
          </cell>
          <cell r="D1936" t="str">
            <v>31/03/2016</v>
          </cell>
          <cell r="E1936" t="str">
            <v>14 de abril de 2016</v>
          </cell>
          <cell r="F1936" t="str">
            <v>TIA NEIA TRANSPORTES EIRELI - ME</v>
          </cell>
          <cell r="G1936" t="str">
            <v>14/04/2016</v>
          </cell>
          <cell r="H1936" t="str">
            <v>19/04/2016</v>
          </cell>
          <cell r="I1936" t="str">
            <v>31</v>
          </cell>
          <cell r="J1936" t="str">
            <v>PESSOA JURÍDICA</v>
          </cell>
          <cell r="K1936" t="str">
            <v>20.183.624/0001-07</v>
          </cell>
          <cell r="L1936" t="str">
            <v>G</v>
          </cell>
          <cell r="M1936" t="str">
            <v>OSVALDO DA SILVA PERSSET</v>
          </cell>
          <cell r="N1936" t="str">
            <v>DTC0617</v>
          </cell>
          <cell r="O1936" t="str">
            <v>2007</v>
          </cell>
          <cell r="P1936" t="str">
            <v>29</v>
          </cell>
          <cell r="Q1936" t="str">
            <v>27</v>
          </cell>
        </row>
        <row r="1937">
          <cell r="B1937" t="str">
            <v>5285/16</v>
          </cell>
          <cell r="C1937" t="str">
            <v>2016-0.088.615-5</v>
          </cell>
          <cell r="D1937" t="str">
            <v>29/02/2016</v>
          </cell>
          <cell r="E1937" t="str">
            <v>14 de abril de 2016</v>
          </cell>
          <cell r="F1937" t="str">
            <v>TIA NEIA TRANSPORTES EIRELI - ME</v>
          </cell>
          <cell r="G1937" t="str">
            <v>14/04/2016</v>
          </cell>
          <cell r="H1937" t="str">
            <v>19/04/2016</v>
          </cell>
          <cell r="I1937" t="str">
            <v>31</v>
          </cell>
          <cell r="J1937" t="str">
            <v>PESSOA JURÍDICA</v>
          </cell>
          <cell r="K1937" t="str">
            <v>20.183.624/0001-07</v>
          </cell>
          <cell r="L1937" t="str">
            <v>G</v>
          </cell>
          <cell r="M1937" t="str">
            <v>FABIANA DA SILVA PERSSET</v>
          </cell>
          <cell r="N1937" t="str">
            <v>DTC6137</v>
          </cell>
          <cell r="O1937" t="str">
            <v>2009</v>
          </cell>
          <cell r="P1937" t="str">
            <v>19</v>
          </cell>
          <cell r="Q1937" t="str">
            <v>17</v>
          </cell>
        </row>
        <row r="1938">
          <cell r="B1938" t="str">
            <v>5286/16</v>
          </cell>
          <cell r="C1938" t="str">
            <v>2016-0.088.616-3</v>
          </cell>
          <cell r="D1938" t="str">
            <v>24/03/2016</v>
          </cell>
          <cell r="E1938" t="str">
            <v>29 de abril de 2016</v>
          </cell>
          <cell r="F1938" t="str">
            <v>EDI VANS TRANSPORTES LTDA - ME</v>
          </cell>
          <cell r="G1938" t="str">
            <v>29/04/2016</v>
          </cell>
          <cell r="H1938" t="str">
            <v>30/04/2016</v>
          </cell>
          <cell r="I1938" t="str">
            <v>43</v>
          </cell>
          <cell r="J1938" t="str">
            <v>PESSOA JURÍDICA</v>
          </cell>
          <cell r="K1938" t="str">
            <v>22.103.973/0001-99</v>
          </cell>
          <cell r="L1938" t="str">
            <v>G</v>
          </cell>
          <cell r="M1938" t="str">
            <v>EDIVAN PEREIRA DE BRITO</v>
          </cell>
          <cell r="N1938" t="str">
            <v>ELW1295</v>
          </cell>
          <cell r="O1938" t="str">
            <v>2011</v>
          </cell>
          <cell r="P1938" t="str">
            <v>19</v>
          </cell>
          <cell r="Q1938" t="str">
            <v>18</v>
          </cell>
        </row>
        <row r="1939">
          <cell r="B1939" t="str">
            <v>5287/16</v>
          </cell>
          <cell r="C1939" t="str">
            <v>2016-0.088.617-1</v>
          </cell>
          <cell r="D1939" t="str">
            <v/>
          </cell>
          <cell r="E1939" t="str">
            <v>04 de abril de 2016</v>
          </cell>
          <cell r="F1939" t="str">
            <v>TRANSALGE TRANSPORTES LTDA - ME</v>
          </cell>
          <cell r="G1939" t="str">
            <v>04/04/2016</v>
          </cell>
          <cell r="H1939" t="str">
            <v>21/04/2016</v>
          </cell>
          <cell r="I1939" t="str">
            <v>97</v>
          </cell>
          <cell r="J1939" t="str">
            <v>PESSOA JURÍDICA</v>
          </cell>
          <cell r="K1939" t="str">
            <v>14.374.289/0001-13</v>
          </cell>
          <cell r="L1939" t="str">
            <v>G</v>
          </cell>
          <cell r="M1939" t="str">
            <v>EWERTON DE OLIVEIRA MELO</v>
          </cell>
          <cell r="N1939" t="str">
            <v>EVQ0577</v>
          </cell>
          <cell r="O1939" t="str">
            <v>2011</v>
          </cell>
          <cell r="P1939" t="str">
            <v>27</v>
          </cell>
          <cell r="Q1939" t="str">
            <v>26</v>
          </cell>
        </row>
        <row r="1940">
          <cell r="B1940" t="str">
            <v>5288/16</v>
          </cell>
          <cell r="C1940" t="str">
            <v>2016-0.088.618-0</v>
          </cell>
          <cell r="D1940" t="str">
            <v>21/03/2016</v>
          </cell>
          <cell r="E1940" t="str">
            <v>26 de abril de 2016</v>
          </cell>
          <cell r="F1940" t="str">
            <v>MIRO &amp; NEIDE TRANSPORTES LTDA - ME</v>
          </cell>
          <cell r="G1940" t="str">
            <v>26/04/2016</v>
          </cell>
          <cell r="H1940" t="str">
            <v>27/04/2016</v>
          </cell>
          <cell r="I1940" t="str">
            <v>55</v>
          </cell>
          <cell r="J1940" t="str">
            <v>PESSOA JURÍDICA</v>
          </cell>
          <cell r="K1940" t="str">
            <v>13.049.014/0001-41</v>
          </cell>
          <cell r="L1940" t="str">
            <v>G</v>
          </cell>
          <cell r="M1940" t="str">
            <v>VALDOMIRO FERNANDES DOS SANTOS</v>
          </cell>
          <cell r="N1940" t="str">
            <v>ECT3180</v>
          </cell>
          <cell r="O1940" t="str">
            <v>2008</v>
          </cell>
          <cell r="P1940" t="str">
            <v>29</v>
          </cell>
          <cell r="Q1940" t="str">
            <v>27</v>
          </cell>
        </row>
        <row r="1941">
          <cell r="B1941" t="str">
            <v>5288/16</v>
          </cell>
          <cell r="C1941" t="str">
            <v>2016-0.088.618-0</v>
          </cell>
          <cell r="D1941" t="str">
            <v>04/03/2016</v>
          </cell>
          <cell r="E1941" t="str">
            <v>26 de abril de 2016</v>
          </cell>
          <cell r="F1941" t="str">
            <v>MIRO &amp; NEIDE TRANSPORTES LTDA - ME</v>
          </cell>
          <cell r="G1941" t="str">
            <v>26/04/2016</v>
          </cell>
          <cell r="H1941" t="str">
            <v>27/04/2016</v>
          </cell>
          <cell r="I1941" t="str">
            <v>55</v>
          </cell>
          <cell r="J1941" t="str">
            <v>PESSOA JURÍDICA</v>
          </cell>
          <cell r="K1941" t="str">
            <v>13.049.014/0001-41</v>
          </cell>
          <cell r="L1941" t="str">
            <v>G</v>
          </cell>
          <cell r="M1941" t="str">
            <v>MARIA LUCINEIDE DE OLIVEIRA</v>
          </cell>
          <cell r="N1941" t="str">
            <v>DVT1496</v>
          </cell>
          <cell r="O1941" t="str">
            <v>2007</v>
          </cell>
          <cell r="P1941" t="str">
            <v>20</v>
          </cell>
          <cell r="Q1941" t="str">
            <v>18</v>
          </cell>
        </row>
        <row r="1942">
          <cell r="B1942" t="str">
            <v>5289/16</v>
          </cell>
          <cell r="C1942" t="str">
            <v>2016-0.087.275-8</v>
          </cell>
          <cell r="D1942" t="str">
            <v/>
          </cell>
          <cell r="E1942" t="str">
            <v>28 de março de 2016</v>
          </cell>
          <cell r="F1942" t="str">
            <v>CA PIRILLO TRANSPORTES E LOCACOES - ME</v>
          </cell>
          <cell r="G1942" t="str">
            <v>28/03/2016</v>
          </cell>
          <cell r="H1942" t="str">
            <v>13/04/2016</v>
          </cell>
          <cell r="I1942" t="str">
            <v>52</v>
          </cell>
          <cell r="J1942" t="str">
            <v>PESSOA JURÍDICA</v>
          </cell>
          <cell r="K1942" t="str">
            <v>16.851.721/0001-45</v>
          </cell>
          <cell r="L1942" t="str">
            <v>SA</v>
          </cell>
          <cell r="M1942" t="str">
            <v>ELISABETE FRISCIO PIRILLO</v>
          </cell>
          <cell r="N1942" t="str">
            <v>EFV2815</v>
          </cell>
          <cell r="O1942" t="str">
            <v>2010</v>
          </cell>
          <cell r="P1942" t="str">
            <v>19</v>
          </cell>
          <cell r="Q1942" t="str">
            <v>18</v>
          </cell>
        </row>
        <row r="1943">
          <cell r="B1943" t="str">
            <v>5290/16</v>
          </cell>
          <cell r="C1943" t="str">
            <v>2016-0.088.619-8</v>
          </cell>
          <cell r="D1943" t="str">
            <v/>
          </cell>
          <cell r="E1943" t="str">
            <v/>
          </cell>
          <cell r="F1943" t="str">
            <v>SANS TRANSPORTES LTDA - ME</v>
          </cell>
          <cell r="G1943" t="str">
            <v/>
          </cell>
          <cell r="H1943" t="str">
            <v/>
          </cell>
          <cell r="I1943" t="str">
            <v/>
          </cell>
          <cell r="J1943" t="str">
            <v>PESSOA JURÍDICA</v>
          </cell>
          <cell r="K1943" t="str">
            <v>16.928.504/0001-06</v>
          </cell>
          <cell r="L1943" t="str">
            <v>SA</v>
          </cell>
          <cell r="M1943" t="str">
            <v>IVANILDO ZACARIAS DA SILVA</v>
          </cell>
          <cell r="N1943" t="str">
            <v>FCB4010</v>
          </cell>
          <cell r="O1943" t="str">
            <v>2012</v>
          </cell>
          <cell r="P1943" t="str">
            <v>10</v>
          </cell>
          <cell r="Q1943" t="str">
            <v>9</v>
          </cell>
        </row>
        <row r="1944">
          <cell r="B1944" t="str">
            <v>5291/16</v>
          </cell>
          <cell r="C1944" t="str">
            <v>2016-0.088.620-1</v>
          </cell>
          <cell r="D1944" t="str">
            <v>11/04/2016</v>
          </cell>
          <cell r="E1944" t="str">
            <v>25 de abril de 2016</v>
          </cell>
          <cell r="F1944" t="str">
            <v>PINTER TRANSPORTE E LOCADORA DE VEICULOS LTDA - ME</v>
          </cell>
          <cell r="G1944" t="str">
            <v>25/04/2016</v>
          </cell>
          <cell r="H1944" t="str">
            <v>27/04/2016</v>
          </cell>
          <cell r="I1944" t="str">
            <v>55</v>
          </cell>
          <cell r="J1944" t="str">
            <v>PESSOA JURÍDICA</v>
          </cell>
          <cell r="K1944" t="str">
            <v>14.259.062/0001-27</v>
          </cell>
          <cell r="L1944" t="str">
            <v>SM</v>
          </cell>
          <cell r="M1944" t="str">
            <v>SHIRLENE LOPES BALTEZAN SILVA</v>
          </cell>
          <cell r="N1944" t="str">
            <v>DWR0319</v>
          </cell>
          <cell r="O1944" t="str">
            <v>2011</v>
          </cell>
          <cell r="P1944" t="str">
            <v>27</v>
          </cell>
          <cell r="Q1944" t="str">
            <v>26</v>
          </cell>
        </row>
        <row r="1945">
          <cell r="B1945" t="str">
            <v>5291/16</v>
          </cell>
          <cell r="C1945" t="str">
            <v>2016-0.088.620-1</v>
          </cell>
          <cell r="D1945" t="str">
            <v>04/04/2016</v>
          </cell>
          <cell r="E1945" t="str">
            <v>25 de abril de 2016</v>
          </cell>
          <cell r="F1945" t="str">
            <v>PINTER TRANSPORTE E LOCADORA DE VEICULOS LTDA - ME</v>
          </cell>
          <cell r="G1945" t="str">
            <v>25/04/2016</v>
          </cell>
          <cell r="H1945" t="str">
            <v>27/04/2016</v>
          </cell>
          <cell r="I1945" t="str">
            <v>55</v>
          </cell>
          <cell r="J1945" t="str">
            <v>PESSOA JURÍDICA</v>
          </cell>
          <cell r="K1945" t="str">
            <v>14.259.062/0001-27</v>
          </cell>
          <cell r="L1945" t="str">
            <v>SM</v>
          </cell>
          <cell r="M1945" t="str">
            <v>IANA LUCIO PINHEIRO ROCHA</v>
          </cell>
          <cell r="N1945" t="str">
            <v>FAA9566</v>
          </cell>
          <cell r="O1945" t="str">
            <v>2011</v>
          </cell>
          <cell r="P1945" t="str">
            <v>27</v>
          </cell>
          <cell r="Q1945" t="str">
            <v>26</v>
          </cell>
        </row>
        <row r="1946">
          <cell r="B1946" t="str">
            <v>5292/16</v>
          </cell>
          <cell r="C1946" t="str">
            <v>2016-0.088.621-0</v>
          </cell>
          <cell r="D1946" t="str">
            <v>18/03/2016</v>
          </cell>
          <cell r="E1946" t="str">
            <v/>
          </cell>
          <cell r="F1946" t="str">
            <v>SNR TRANSPORTES LTDA - ME</v>
          </cell>
          <cell r="G1946" t="str">
            <v/>
          </cell>
          <cell r="H1946" t="str">
            <v/>
          </cell>
          <cell r="I1946" t="str">
            <v/>
          </cell>
          <cell r="J1946" t="str">
            <v>PESSOA JURÍDICA</v>
          </cell>
          <cell r="K1946" t="str">
            <v>20.700.154/0001-01</v>
          </cell>
          <cell r="L1946" t="str">
            <v>SM</v>
          </cell>
          <cell r="M1946" t="str">
            <v>SANER GABRIELLA DOS ANJOS E SOUZA</v>
          </cell>
          <cell r="N1946" t="str">
            <v>FDC0612</v>
          </cell>
          <cell r="O1946" t="str">
            <v>2009</v>
          </cell>
          <cell r="P1946" t="str">
            <v>19</v>
          </cell>
          <cell r="Q1946" t="str">
            <v>18</v>
          </cell>
        </row>
        <row r="1947">
          <cell r="B1947" t="str">
            <v>5293/16</v>
          </cell>
          <cell r="C1947" t="str">
            <v>2016-0.088.622-8</v>
          </cell>
          <cell r="D1947" t="str">
            <v>04/04/2016</v>
          </cell>
          <cell r="E1947" t="str">
            <v>15 de abril de 2016</v>
          </cell>
          <cell r="F1947" t="str">
            <v>SILVANA GEROLDO RESENDE TRANSPORTES - ME</v>
          </cell>
          <cell r="G1947" t="str">
            <v>15/04/2016</v>
          </cell>
          <cell r="H1947" t="str">
            <v>19/04/2016</v>
          </cell>
          <cell r="I1947" t="str">
            <v>31</v>
          </cell>
          <cell r="J1947" t="str">
            <v>PESSOA JURÍDICA</v>
          </cell>
          <cell r="K1947" t="str">
            <v>16.628.884/0001-63</v>
          </cell>
          <cell r="L1947" t="str">
            <v>PE</v>
          </cell>
          <cell r="M1947" t="str">
            <v>SYLAS GEROLDO RESENDE</v>
          </cell>
          <cell r="N1947" t="str">
            <v>EFU4149</v>
          </cell>
          <cell r="O1947" t="str">
            <v>2009</v>
          </cell>
          <cell r="P1947" t="str">
            <v>19</v>
          </cell>
          <cell r="Q1947" t="str">
            <v>18</v>
          </cell>
        </row>
        <row r="1948">
          <cell r="B1948" t="str">
            <v>5294/16</v>
          </cell>
          <cell r="C1948" t="str">
            <v>2016-0.088.624-4</v>
          </cell>
          <cell r="D1948" t="str">
            <v>18/02/2016</v>
          </cell>
          <cell r="E1948" t="str">
            <v>26 de abril de 2016</v>
          </cell>
          <cell r="F1948" t="str">
            <v>VEVE TRANS LTDA - ME</v>
          </cell>
          <cell r="G1948" t="str">
            <v>26/04/2016</v>
          </cell>
          <cell r="H1948" t="str">
            <v>27/04/2016</v>
          </cell>
          <cell r="I1948" t="str">
            <v>55</v>
          </cell>
          <cell r="J1948" t="str">
            <v>PESSOA JURÍDICA</v>
          </cell>
          <cell r="K1948" t="str">
            <v>07.574.037/0001-72</v>
          </cell>
          <cell r="L1948" t="str">
            <v>G</v>
          </cell>
          <cell r="M1948" t="str">
            <v>VERGINIA MARIA ARAUJO VASCONCELOS</v>
          </cell>
          <cell r="N1948" t="str">
            <v>EFW8475</v>
          </cell>
          <cell r="O1948" t="str">
            <v>2010</v>
          </cell>
          <cell r="P1948" t="str">
            <v>10</v>
          </cell>
          <cell r="Q1948" t="str">
            <v>9</v>
          </cell>
        </row>
        <row r="1949">
          <cell r="B1949" t="str">
            <v>5295/16</v>
          </cell>
          <cell r="C1949" t="str">
            <v>2016-0.088.625-2</v>
          </cell>
          <cell r="D1949" t="str">
            <v/>
          </cell>
          <cell r="E1949" t="str">
            <v>04 de abril de 2016</v>
          </cell>
          <cell r="F1949" t="str">
            <v>ADAUTO PERPETUO MENDES TRANSPORTES - EPP</v>
          </cell>
          <cell r="G1949" t="str">
            <v>04/04/2016</v>
          </cell>
          <cell r="H1949" t="str">
            <v>21/04/2016</v>
          </cell>
          <cell r="I1949" t="str">
            <v>97</v>
          </cell>
          <cell r="J1949" t="str">
            <v>PESSOA JURÍDICA</v>
          </cell>
          <cell r="K1949" t="str">
            <v>17.226.194/0001-40</v>
          </cell>
          <cell r="L1949" t="str">
            <v>PJ</v>
          </cell>
          <cell r="M1949" t="str">
            <v>ADAUTO PERPETUO MENDES</v>
          </cell>
          <cell r="N1949" t="str">
            <v>CZZ1622</v>
          </cell>
          <cell r="O1949" t="str">
            <v>2003</v>
          </cell>
          <cell r="P1949" t="str">
            <v>25</v>
          </cell>
          <cell r="Q1949" t="str">
            <v>23</v>
          </cell>
        </row>
        <row r="1950">
          <cell r="B1950" t="str">
            <v>5296/16</v>
          </cell>
          <cell r="C1950" t="str">
            <v>2016-0.088.626-0</v>
          </cell>
          <cell r="D1950" t="str">
            <v/>
          </cell>
          <cell r="E1950" t="str">
            <v>04 de abril de 2016</v>
          </cell>
          <cell r="F1950" t="str">
            <v>J.A. SERAFIM TRANSPORTES - ME</v>
          </cell>
          <cell r="G1950" t="str">
            <v>04/04/2016</v>
          </cell>
          <cell r="H1950" t="str">
            <v>21/04/2016</v>
          </cell>
          <cell r="I1950" t="str">
            <v>97</v>
          </cell>
          <cell r="J1950" t="str">
            <v>PESSOA JURÍDICA</v>
          </cell>
          <cell r="K1950" t="str">
            <v>11.421.745/0001-40</v>
          </cell>
          <cell r="L1950" t="str">
            <v>PJ</v>
          </cell>
          <cell r="M1950" t="str">
            <v>JOSE ALDIN SERAFIM</v>
          </cell>
          <cell r="N1950" t="str">
            <v>DPC6707</v>
          </cell>
          <cell r="O1950" t="str">
            <v>2007</v>
          </cell>
          <cell r="P1950" t="str">
            <v>29</v>
          </cell>
          <cell r="Q1950" t="str">
            <v>27</v>
          </cell>
        </row>
        <row r="1951">
          <cell r="B1951" t="str">
            <v>5297/16</v>
          </cell>
          <cell r="C1951" t="str">
            <v>2016-0.088.627-9</v>
          </cell>
          <cell r="D1951" t="str">
            <v/>
          </cell>
          <cell r="E1951" t="str">
            <v/>
          </cell>
          <cell r="F1951" t="str">
            <v>LAV TRANSPORTES LTDA - ME</v>
          </cell>
          <cell r="G1951" t="str">
            <v>28/04/2016</v>
          </cell>
          <cell r="H1951" t="str">
            <v>30/04/2016</v>
          </cell>
          <cell r="I1951" t="str">
            <v>43</v>
          </cell>
          <cell r="J1951" t="str">
            <v>PESSOA JURÍDICA</v>
          </cell>
          <cell r="K1951" t="str">
            <v>05.035.174/0001-03</v>
          </cell>
          <cell r="L1951" t="str">
            <v>PJ</v>
          </cell>
          <cell r="M1951" t="str">
            <v>ANTONIO CARLOS ALBANEZ</v>
          </cell>
          <cell r="N1951" t="str">
            <v>DJE7881</v>
          </cell>
          <cell r="O1951" t="str">
            <v>2006</v>
          </cell>
          <cell r="P1951" t="str">
            <v>25</v>
          </cell>
          <cell r="Q1951" t="str">
            <v>23</v>
          </cell>
        </row>
        <row r="1952">
          <cell r="B1952" t="str">
            <v>5297/16</v>
          </cell>
          <cell r="C1952" t="str">
            <v>2016-0.088.627-9</v>
          </cell>
          <cell r="D1952" t="str">
            <v>04/04/2016</v>
          </cell>
          <cell r="E1952" t="str">
            <v>28 de abril de 2016</v>
          </cell>
          <cell r="F1952" t="str">
            <v>LAV TRANSPORTES LTDA - ME</v>
          </cell>
          <cell r="G1952" t="str">
            <v>28/04/2016</v>
          </cell>
          <cell r="H1952" t="str">
            <v>30/04/2016</v>
          </cell>
          <cell r="I1952" t="str">
            <v>43</v>
          </cell>
          <cell r="J1952" t="str">
            <v>PESSOA JURÍDICA</v>
          </cell>
          <cell r="K1952" t="str">
            <v>05.035.174/0001-03</v>
          </cell>
          <cell r="L1952" t="str">
            <v>PJ</v>
          </cell>
          <cell r="M1952" t="str">
            <v>ANTONIO CARLOS ALBANEZ</v>
          </cell>
          <cell r="N1952" t="str">
            <v>CZX3497</v>
          </cell>
          <cell r="O1952" t="str">
            <v>2002</v>
          </cell>
          <cell r="P1952" t="str">
            <v>25</v>
          </cell>
          <cell r="Q1952" t="str">
            <v>23</v>
          </cell>
        </row>
        <row r="1953">
          <cell r="B1953" t="str">
            <v>5297/16</v>
          </cell>
          <cell r="C1953" t="str">
            <v>2016-0.088.627-9</v>
          </cell>
          <cell r="D1953" t="str">
            <v>04/04/2016</v>
          </cell>
          <cell r="E1953" t="str">
            <v>28 de abril de 2016</v>
          </cell>
          <cell r="F1953" t="str">
            <v>LAV TRANSPORTES LTDA - ME</v>
          </cell>
          <cell r="G1953" t="str">
            <v>28/04/2016</v>
          </cell>
          <cell r="H1953" t="str">
            <v>30/04/2016</v>
          </cell>
          <cell r="I1953" t="str">
            <v>43</v>
          </cell>
          <cell r="J1953" t="str">
            <v>PESSOA JURÍDICA</v>
          </cell>
          <cell r="K1953" t="str">
            <v>05.035.174/0001-03</v>
          </cell>
          <cell r="L1953" t="str">
            <v>PJ</v>
          </cell>
          <cell r="M1953" t="str">
            <v>ARNALDO TADEU DA SILVA</v>
          </cell>
          <cell r="N1953" t="str">
            <v>CZX5950</v>
          </cell>
          <cell r="O1953" t="str">
            <v>2002</v>
          </cell>
          <cell r="P1953" t="str">
            <v>25</v>
          </cell>
          <cell r="Q1953" t="str">
            <v>23</v>
          </cell>
        </row>
        <row r="1954">
          <cell r="B1954" t="str">
            <v>5297/16</v>
          </cell>
          <cell r="C1954" t="str">
            <v>2016-0.088.627-9</v>
          </cell>
          <cell r="D1954" t="str">
            <v/>
          </cell>
          <cell r="E1954" t="str">
            <v/>
          </cell>
          <cell r="F1954" t="str">
            <v>LAV TRANSPORTES LTDA - ME</v>
          </cell>
          <cell r="G1954" t="str">
            <v>28/04/2016</v>
          </cell>
          <cell r="H1954" t="str">
            <v>30/04/2016</v>
          </cell>
          <cell r="I1954" t="str">
            <v>43</v>
          </cell>
          <cell r="J1954" t="str">
            <v>PESSOA JURÍDICA</v>
          </cell>
          <cell r="K1954" t="str">
            <v>05.035.174/0001-03</v>
          </cell>
          <cell r="L1954" t="str">
            <v>PJ</v>
          </cell>
          <cell r="M1954" t="str">
            <v>SILVIO ANTONIO LOPES</v>
          </cell>
          <cell r="N1954" t="str">
            <v>DTD9099</v>
          </cell>
          <cell r="O1954" t="str">
            <v>2009</v>
          </cell>
          <cell r="P1954" t="str">
            <v>29</v>
          </cell>
          <cell r="Q1954" t="str">
            <v>27</v>
          </cell>
        </row>
        <row r="1955">
          <cell r="B1955" t="str">
            <v>5298/16</v>
          </cell>
          <cell r="C1955" t="str">
            <v>2016-0.092.941-5</v>
          </cell>
          <cell r="D1955" t="str">
            <v>29/02/2016</v>
          </cell>
          <cell r="E1955" t="str">
            <v>03 de maio de 2016</v>
          </cell>
          <cell r="F1955" t="str">
            <v>OPG TRANSPORTES E LOCADORA LTDA - ME</v>
          </cell>
          <cell r="G1955" t="str">
            <v>03/05/2016</v>
          </cell>
          <cell r="H1955" t="str">
            <v/>
          </cell>
          <cell r="I1955" t="str">
            <v/>
          </cell>
          <cell r="J1955" t="str">
            <v>PESSOA JURÍDICA</v>
          </cell>
          <cell r="K1955" t="str">
            <v>20.444.050/0001-75</v>
          </cell>
          <cell r="L1955" t="str">
            <v>SM</v>
          </cell>
          <cell r="M1955" t="str">
            <v>HERMES VITAL DA SILVA</v>
          </cell>
          <cell r="N1955" t="str">
            <v>ELW6730</v>
          </cell>
          <cell r="O1955" t="str">
            <v>2010</v>
          </cell>
          <cell r="P1955" t="str">
            <v>19</v>
          </cell>
          <cell r="Q1955" t="str">
            <v>18</v>
          </cell>
        </row>
        <row r="1956">
          <cell r="B1956" t="str">
            <v>5299/16</v>
          </cell>
          <cell r="C1956" t="str">
            <v>2016-0.092.981-4</v>
          </cell>
          <cell r="D1956" t="str">
            <v>28/03/2016</v>
          </cell>
          <cell r="E1956" t="str">
            <v>27 de abril de 2016</v>
          </cell>
          <cell r="F1956" t="str">
            <v>ESCOLA DE EDUCACAO INFANTIL E ENSINO FUNDAMENTAL VISAO GLOBAL S/S LTDA - ME</v>
          </cell>
          <cell r="G1956" t="str">
            <v>27/04/2016</v>
          </cell>
          <cell r="H1956" t="str">
            <v>30/04/2016</v>
          </cell>
          <cell r="I1956" t="str">
            <v>43</v>
          </cell>
          <cell r="J1956" t="str">
            <v>PESSOA JURÍDICA</v>
          </cell>
          <cell r="K1956" t="str">
            <v>04.162.626/0001-55</v>
          </cell>
          <cell r="L1956" t="str">
            <v>G</v>
          </cell>
          <cell r="M1956" t="str">
            <v>ROSANA FERREIRA</v>
          </cell>
          <cell r="N1956" t="str">
            <v>EFV0647</v>
          </cell>
          <cell r="O1956" t="str">
            <v>2008</v>
          </cell>
          <cell r="P1956" t="str">
            <v>10</v>
          </cell>
          <cell r="Q1956" t="str">
            <v>9</v>
          </cell>
        </row>
        <row r="1957">
          <cell r="B1957" t="str">
            <v>5300/16</v>
          </cell>
          <cell r="C1957" t="str">
            <v>2016-0.092.984-9</v>
          </cell>
          <cell r="D1957" t="str">
            <v/>
          </cell>
          <cell r="E1957" t="str">
            <v>18 de abril de 2016</v>
          </cell>
          <cell r="F1957" t="str">
            <v>CL TRANSPORTE ESCOLAR LTDA - ME</v>
          </cell>
          <cell r="G1957" t="str">
            <v>18/04/2016</v>
          </cell>
          <cell r="H1957" t="str">
            <v>27/04/2016</v>
          </cell>
          <cell r="I1957" t="str">
            <v>55</v>
          </cell>
          <cell r="J1957" t="str">
            <v>PESSOA JURÍDICA</v>
          </cell>
          <cell r="K1957" t="str">
            <v>01.763.962/0001-65</v>
          </cell>
          <cell r="L1957" t="str">
            <v>JT</v>
          </cell>
          <cell r="M1957" t="str">
            <v>CARMEN DEL ROSARIO GUTIERREZ KARL</v>
          </cell>
          <cell r="N1957" t="str">
            <v>EZL7497</v>
          </cell>
          <cell r="O1957" t="str">
            <v>2012</v>
          </cell>
          <cell r="P1957" t="str">
            <v>10</v>
          </cell>
          <cell r="Q1957" t="str">
            <v>9</v>
          </cell>
        </row>
        <row r="1958">
          <cell r="B1958" t="str">
            <v>5301/16</v>
          </cell>
          <cell r="C1958" t="str">
            <v>2016-0.092.985-7</v>
          </cell>
          <cell r="D1958" t="str">
            <v/>
          </cell>
          <cell r="E1958" t="str">
            <v/>
          </cell>
          <cell r="F1958" t="str">
            <v>APARECIDO PEREIRA TRANSPORTE - ME</v>
          </cell>
          <cell r="G1958" t="str">
            <v/>
          </cell>
          <cell r="H1958" t="str">
            <v/>
          </cell>
          <cell r="I1958" t="str">
            <v/>
          </cell>
          <cell r="J1958" t="str">
            <v>PESSOA JURÍDICA</v>
          </cell>
          <cell r="K1958" t="str">
            <v>15.260.069/0001-21</v>
          </cell>
          <cell r="L1958" t="str">
            <v>PJ</v>
          </cell>
          <cell r="M1958" t="str">
            <v>FERNANDA ALINE SALES</v>
          </cell>
          <cell r="N1958" t="str">
            <v>CZX3347</v>
          </cell>
          <cell r="O1958" t="str">
            <v>2003</v>
          </cell>
          <cell r="P1958" t="str">
            <v>25</v>
          </cell>
          <cell r="Q1958" t="str">
            <v>23</v>
          </cell>
        </row>
        <row r="1959">
          <cell r="B1959" t="str">
            <v>5302/16</v>
          </cell>
          <cell r="C1959" t="str">
            <v>2016-0.092.986-5</v>
          </cell>
          <cell r="D1959" t="str">
            <v>04/04/2016</v>
          </cell>
          <cell r="E1959" t="str">
            <v>02 de maio de 2016</v>
          </cell>
          <cell r="F1959" t="str">
            <v>WRANILTON LEAL DA SILVA TRANSPORTES - ME</v>
          </cell>
          <cell r="G1959" t="str">
            <v>02/05/2016</v>
          </cell>
          <cell r="H1959" t="str">
            <v/>
          </cell>
          <cell r="I1959" t="str">
            <v/>
          </cell>
          <cell r="J1959" t="str">
            <v>PESSOA JURÍDICA</v>
          </cell>
          <cell r="K1959" t="str">
            <v>17.632.445/0001-97</v>
          </cell>
          <cell r="L1959" t="str">
            <v>PJ</v>
          </cell>
          <cell r="M1959" t="str">
            <v>WRANILTON LEAL DA SILVA</v>
          </cell>
          <cell r="N1959" t="str">
            <v>EFW9415</v>
          </cell>
          <cell r="O1959" t="str">
            <v>2009</v>
          </cell>
          <cell r="P1959" t="str">
            <v>19</v>
          </cell>
          <cell r="Q1959" t="str">
            <v>18</v>
          </cell>
        </row>
        <row r="1960">
          <cell r="B1960" t="str">
            <v>5303/16</v>
          </cell>
          <cell r="C1960" t="str">
            <v>2016-0.092.988-1</v>
          </cell>
          <cell r="D1960" t="str">
            <v/>
          </cell>
          <cell r="E1960" t="str">
            <v/>
          </cell>
          <cell r="F1960" t="str">
            <v>TRANSPORTE ACESSIVEL UNICARGA LTDA - EPP</v>
          </cell>
          <cell r="G1960" t="str">
            <v/>
          </cell>
          <cell r="H1960" t="str">
            <v/>
          </cell>
          <cell r="I1960" t="str">
            <v/>
          </cell>
          <cell r="J1960" t="str">
            <v>PESSOA JURÍDICA</v>
          </cell>
          <cell r="K1960" t="str">
            <v>00.320.527/0001-01</v>
          </cell>
          <cell r="L1960" t="str">
            <v>PJ</v>
          </cell>
          <cell r="M1960" t="str">
            <v>JULIANA SIMAO SILVA</v>
          </cell>
          <cell r="N1960" t="str">
            <v>EFV5539</v>
          </cell>
          <cell r="O1960" t="str">
            <v>2010</v>
          </cell>
          <cell r="P1960" t="str">
            <v>10</v>
          </cell>
          <cell r="Q1960" t="str">
            <v>09</v>
          </cell>
        </row>
        <row r="1961">
          <cell r="B1961" t="str">
            <v>5304/16</v>
          </cell>
          <cell r="C1961" t="str">
            <v>2016-0.092.989-0</v>
          </cell>
          <cell r="D1961" t="str">
            <v/>
          </cell>
          <cell r="E1961" t="str">
            <v/>
          </cell>
          <cell r="F1961" t="str">
            <v>IRMAOS MENDES TRANSPORTE ESCOLAR LTDA - ME</v>
          </cell>
          <cell r="G1961" t="str">
            <v/>
          </cell>
          <cell r="H1961" t="str">
            <v/>
          </cell>
          <cell r="I1961" t="str">
            <v/>
          </cell>
          <cell r="J1961" t="str">
            <v>PESSOA JURÍDICA</v>
          </cell>
          <cell r="K1961" t="str">
            <v>13.079.295/0001-85</v>
          </cell>
          <cell r="L1961" t="str">
            <v>CL</v>
          </cell>
          <cell r="M1961" t="str">
            <v>RODRIGO MENDES DOS SANTOS</v>
          </cell>
          <cell r="N1961" t="str">
            <v>DTB6837</v>
          </cell>
          <cell r="O1961" t="str">
            <v>2008</v>
          </cell>
          <cell r="P1961" t="str">
            <v>25</v>
          </cell>
          <cell r="Q1961" t="str">
            <v>23</v>
          </cell>
        </row>
        <row r="1962">
          <cell r="B1962" t="str">
            <v>5305/16</v>
          </cell>
          <cell r="C1962" t="str">
            <v>2016-0.092.990-3</v>
          </cell>
          <cell r="D1962" t="str">
            <v/>
          </cell>
          <cell r="E1962" t="str">
            <v/>
          </cell>
          <cell r="F1962" t="str">
            <v>FAISCA TRANSPORTE ESCOLAR LTDA - ME</v>
          </cell>
          <cell r="G1962" t="str">
            <v/>
          </cell>
          <cell r="H1962" t="str">
            <v/>
          </cell>
          <cell r="I1962" t="str">
            <v/>
          </cell>
          <cell r="J1962" t="str">
            <v>PESSOA JURÍDICA</v>
          </cell>
          <cell r="K1962" t="str">
            <v>21.178.311/0001-15</v>
          </cell>
          <cell r="L1962" t="str">
            <v>CL</v>
          </cell>
          <cell r="M1962" t="str">
            <v>DANIELLE GUSMAO FORMIGA DOS SANTOS</v>
          </cell>
          <cell r="N1962" t="str">
            <v>FSG4568</v>
          </cell>
          <cell r="O1962" t="str">
            <v>2015</v>
          </cell>
          <cell r="P1962" t="str">
            <v>19</v>
          </cell>
          <cell r="Q1962" t="str">
            <v>18</v>
          </cell>
        </row>
        <row r="1963">
          <cell r="B1963" t="str">
            <v>5306/16</v>
          </cell>
          <cell r="C1963" t="str">
            <v>2016-0.092.991-1</v>
          </cell>
          <cell r="D1963" t="str">
            <v/>
          </cell>
          <cell r="E1963" t="str">
            <v/>
          </cell>
          <cell r="F1963" t="str">
            <v>M &amp; A LOCACAO LTDA - ME</v>
          </cell>
          <cell r="G1963" t="str">
            <v/>
          </cell>
          <cell r="H1963" t="str">
            <v/>
          </cell>
          <cell r="I1963" t="str">
            <v/>
          </cell>
          <cell r="J1963" t="str">
            <v>PESSOA JURÍDICA</v>
          </cell>
          <cell r="K1963" t="str">
            <v>19.938.473/0001-62</v>
          </cell>
          <cell r="L1963" t="str">
            <v>CL</v>
          </cell>
          <cell r="M1963" t="str">
            <v>CARINA BUENO</v>
          </cell>
          <cell r="N1963" t="str">
            <v>CZZ2386</v>
          </cell>
          <cell r="O1963" t="str">
            <v>2003</v>
          </cell>
          <cell r="P1963" t="str">
            <v>25</v>
          </cell>
          <cell r="Q1963" t="str">
            <v>23</v>
          </cell>
        </row>
        <row r="1964">
          <cell r="B1964" t="str">
            <v>5307/16</v>
          </cell>
          <cell r="C1964" t="str">
            <v>2016-0.095.721-4</v>
          </cell>
          <cell r="D1964" t="str">
            <v/>
          </cell>
          <cell r="E1964" t="str">
            <v>26 de abril de 2016</v>
          </cell>
          <cell r="F1964" t="str">
            <v>WEST VANS LOCADORA DE VEICULOS LTDA - ME</v>
          </cell>
          <cell r="G1964" t="str">
            <v>26/04/2016</v>
          </cell>
          <cell r="H1964" t="str">
            <v>30/04/2016</v>
          </cell>
          <cell r="I1964" t="str">
            <v>43</v>
          </cell>
          <cell r="J1964" t="str">
            <v>PESSOA JURÍDICA</v>
          </cell>
          <cell r="K1964" t="str">
            <v>10.442.235/0001-97</v>
          </cell>
          <cell r="L1964" t="str">
            <v>CL</v>
          </cell>
          <cell r="M1964" t="str">
            <v>SAMIR LOPES DOS SANTOS</v>
          </cell>
          <cell r="N1964" t="str">
            <v>EFW2575</v>
          </cell>
          <cell r="O1964" t="str">
            <v>2010</v>
          </cell>
          <cell r="P1964" t="str">
            <v>19</v>
          </cell>
          <cell r="Q1964" t="str">
            <v>18</v>
          </cell>
        </row>
        <row r="1965">
          <cell r="B1965" t="str">
            <v>5307/16</v>
          </cell>
          <cell r="C1965" t="str">
            <v>2016-0.095.721-4</v>
          </cell>
          <cell r="D1965" t="str">
            <v>14/03/2016</v>
          </cell>
          <cell r="E1965" t="str">
            <v/>
          </cell>
          <cell r="F1965" t="str">
            <v>WEST VANS LOCADORA DE VEICULOS LTDA - ME</v>
          </cell>
          <cell r="G1965" t="str">
            <v>26/04/2016</v>
          </cell>
          <cell r="H1965" t="str">
            <v>30/04/2016</v>
          </cell>
          <cell r="I1965" t="str">
            <v>43</v>
          </cell>
          <cell r="J1965" t="str">
            <v>PESSOA JURÍDICA</v>
          </cell>
          <cell r="K1965" t="str">
            <v>10.442.235/0001-97</v>
          </cell>
          <cell r="L1965" t="str">
            <v>CL</v>
          </cell>
          <cell r="M1965" t="str">
            <v>ALESSANDRA BRANDOLIN AVANSO</v>
          </cell>
          <cell r="N1965" t="str">
            <v>EFU8317</v>
          </cell>
          <cell r="O1965" t="str">
            <v>2009</v>
          </cell>
          <cell r="P1965" t="str">
            <v>19</v>
          </cell>
          <cell r="Q1965" t="str">
            <v>18</v>
          </cell>
        </row>
        <row r="1966">
          <cell r="B1966" t="str">
            <v>5308/16</v>
          </cell>
          <cell r="C1966" t="str">
            <v>2016-0.095.722-2</v>
          </cell>
          <cell r="D1966" t="str">
            <v/>
          </cell>
          <cell r="E1966" t="str">
            <v>29 de abril de 2016</v>
          </cell>
          <cell r="F1966" t="str">
            <v>FF TRANSPORTE ESCOLAR LTDA - ME</v>
          </cell>
          <cell r="G1966" t="str">
            <v>29/04/2016</v>
          </cell>
          <cell r="H1966" t="str">
            <v>30/04/2016</v>
          </cell>
          <cell r="I1966" t="str">
            <v>43</v>
          </cell>
          <cell r="J1966" t="str">
            <v>PESSOA JURÍDICA</v>
          </cell>
          <cell r="K1966" t="str">
            <v>21.066.353/0001-64</v>
          </cell>
          <cell r="L1966" t="str">
            <v>CL</v>
          </cell>
          <cell r="M1966" t="str">
            <v>FELIPE ARAUJO LUCIO</v>
          </cell>
          <cell r="N1966" t="str">
            <v>DTD5003</v>
          </cell>
          <cell r="O1966" t="str">
            <v>2008</v>
          </cell>
          <cell r="P1966" t="str">
            <v>19</v>
          </cell>
          <cell r="Q1966" t="str">
            <v>18</v>
          </cell>
        </row>
        <row r="1967">
          <cell r="B1967" t="str">
            <v>5309/16</v>
          </cell>
          <cell r="C1967" t="str">
            <v>2016-0.095.723-0</v>
          </cell>
          <cell r="D1967" t="str">
            <v/>
          </cell>
          <cell r="E1967" t="str">
            <v/>
          </cell>
          <cell r="F1967" t="str">
            <v>COLEGIO PEREIRA SOUZA LTDA - ME</v>
          </cell>
          <cell r="G1967" t="str">
            <v/>
          </cell>
          <cell r="H1967" t="str">
            <v/>
          </cell>
          <cell r="I1967" t="str">
            <v/>
          </cell>
          <cell r="J1967" t="str">
            <v>PESSOA JURÍDICA</v>
          </cell>
          <cell r="K1967" t="str">
            <v>03.307.697/0001-36</v>
          </cell>
          <cell r="L1967" t="str">
            <v>PJ</v>
          </cell>
          <cell r="M1967" t="str">
            <v>EVANDRO PEREIRA DE SOUZA</v>
          </cell>
          <cell r="N1967" t="str">
            <v>EUE2580</v>
          </cell>
          <cell r="O1967" t="str">
            <v>2011</v>
          </cell>
          <cell r="P1967" t="str">
            <v>15</v>
          </cell>
          <cell r="Q1967" t="str">
            <v>14</v>
          </cell>
        </row>
        <row r="1968">
          <cell r="B1968" t="str">
            <v>5310/16</v>
          </cell>
          <cell r="C1968" t="str">
            <v>2016-0.095.724-9</v>
          </cell>
          <cell r="D1968" t="str">
            <v>14/03/2016</v>
          </cell>
          <cell r="E1968" t="str">
            <v>27 de abril de 2016</v>
          </cell>
          <cell r="F1968" t="str">
            <v>ESTER MARIA TEIXEIRA SARILHO TRANSPORTES - ME</v>
          </cell>
          <cell r="G1968" t="str">
            <v>27/04/2016</v>
          </cell>
          <cell r="H1968" t="str">
            <v>30/04/2016</v>
          </cell>
          <cell r="I1968" t="str">
            <v>43</v>
          </cell>
          <cell r="J1968" t="str">
            <v>PESSOA JURÍDICA</v>
          </cell>
          <cell r="K1968" t="str">
            <v>20.784.253/0001-00</v>
          </cell>
          <cell r="L1968" t="str">
            <v>PJ</v>
          </cell>
          <cell r="M1968" t="str">
            <v>ESTER MARIA TEIXEIRA SARILHO</v>
          </cell>
          <cell r="N1968" t="str">
            <v>DZD0718</v>
          </cell>
          <cell r="O1968" t="str">
            <v>2010</v>
          </cell>
          <cell r="P1968" t="str">
            <v>10</v>
          </cell>
          <cell r="Q1968" t="str">
            <v>9</v>
          </cell>
        </row>
        <row r="1969">
          <cell r="B1969" t="str">
            <v>5311/16</v>
          </cell>
          <cell r="C1969" t="str">
            <v>2016-0.095.725-7</v>
          </cell>
          <cell r="D1969" t="str">
            <v/>
          </cell>
          <cell r="E1969" t="str">
            <v/>
          </cell>
          <cell r="F1969" t="str">
            <v>TRANS COELHO TRANSPORTES ESCOLARES LTDA - ME</v>
          </cell>
          <cell r="G1969" t="str">
            <v/>
          </cell>
          <cell r="H1969" t="str">
            <v/>
          </cell>
          <cell r="I1969" t="str">
            <v/>
          </cell>
          <cell r="J1969" t="str">
            <v>PESSOA JURÍDICA</v>
          </cell>
          <cell r="K1969" t="str">
            <v>11.114.233/0001-31</v>
          </cell>
          <cell r="L1969" t="str">
            <v>PJ</v>
          </cell>
          <cell r="M1969" t="str">
            <v>JOEL APARECIDO DA SILVA</v>
          </cell>
          <cell r="N1969" t="str">
            <v>DTE1814</v>
          </cell>
          <cell r="O1969" t="str">
            <v>2009</v>
          </cell>
          <cell r="P1969" t="str">
            <v>11</v>
          </cell>
          <cell r="Q1969" t="str">
            <v>10</v>
          </cell>
        </row>
        <row r="1970">
          <cell r="B1970" t="str">
            <v>5312/16</v>
          </cell>
          <cell r="C1970" t="str">
            <v>2016-0.095.726-5</v>
          </cell>
          <cell r="D1970" t="str">
            <v>25/03/2016</v>
          </cell>
          <cell r="E1970" t="str">
            <v/>
          </cell>
          <cell r="F1970" t="str">
            <v>TONYANA TRANSPORTE ESCOLAR LTDA - ME</v>
          </cell>
          <cell r="G1970" t="str">
            <v/>
          </cell>
          <cell r="H1970" t="str">
            <v/>
          </cell>
          <cell r="I1970" t="str">
            <v/>
          </cell>
          <cell r="J1970" t="str">
            <v>PESSOA JURÍDICA</v>
          </cell>
          <cell r="K1970" t="str">
            <v>12.554.133/0001-99</v>
          </cell>
          <cell r="L1970" t="str">
            <v>PJ</v>
          </cell>
          <cell r="M1970" t="str">
            <v>ANTONIO VICENTE SOUSA ROCHA</v>
          </cell>
          <cell r="N1970" t="str">
            <v>DTC4174</v>
          </cell>
          <cell r="O1970" t="str">
            <v>2008</v>
          </cell>
          <cell r="P1970" t="str">
            <v>29</v>
          </cell>
          <cell r="Q1970" t="str">
            <v>27</v>
          </cell>
        </row>
        <row r="1971">
          <cell r="B1971" t="str">
            <v>5313/16</v>
          </cell>
          <cell r="C1971" t="str">
            <v>2016-0.095.727-3</v>
          </cell>
          <cell r="D1971" t="str">
            <v/>
          </cell>
          <cell r="E1971" t="str">
            <v/>
          </cell>
          <cell r="F1971" t="str">
            <v>RDLF TRANSPORTES LTDA - ME</v>
          </cell>
          <cell r="G1971" t="str">
            <v/>
          </cell>
          <cell r="H1971" t="str">
            <v/>
          </cell>
          <cell r="I1971" t="str">
            <v/>
          </cell>
          <cell r="J1971" t="str">
            <v>PESSOA JURÍDICA</v>
          </cell>
          <cell r="K1971" t="str">
            <v>15.224.342/0001-62</v>
          </cell>
          <cell r="L1971" t="str">
            <v>PJ</v>
          </cell>
          <cell r="M1971" t="str">
            <v>DANIELA DORNELLAS MARQUES SILVA</v>
          </cell>
          <cell r="N1971" t="str">
            <v>FZT8110</v>
          </cell>
          <cell r="O1971" t="str">
            <v>2014</v>
          </cell>
          <cell r="P1971" t="str">
            <v>19</v>
          </cell>
          <cell r="Q1971" t="str">
            <v>18</v>
          </cell>
        </row>
        <row r="1972">
          <cell r="B1972" t="str">
            <v>5314/16</v>
          </cell>
          <cell r="C1972" t="str">
            <v>2016-0.095.728-1</v>
          </cell>
          <cell r="D1972" t="str">
            <v>21/03/2016</v>
          </cell>
          <cell r="E1972" t="str">
            <v>26 de abril de 2016</v>
          </cell>
          <cell r="F1972" t="str">
            <v>AVELAR TRANSPORTE ESCOLAR LTDA - ME</v>
          </cell>
          <cell r="G1972" t="str">
            <v>26/04/2016</v>
          </cell>
          <cell r="H1972" t="str">
            <v>27/04/2016</v>
          </cell>
          <cell r="I1972" t="str">
            <v>55</v>
          </cell>
          <cell r="J1972" t="str">
            <v>PESSOA JURÍDICA</v>
          </cell>
          <cell r="K1972" t="str">
            <v>15.243.858/0001-54</v>
          </cell>
          <cell r="L1972" t="str">
            <v>CL</v>
          </cell>
          <cell r="M1972" t="str">
            <v>CARINE PAIXAO AGAPITO</v>
          </cell>
          <cell r="N1972" t="str">
            <v>DJF7530</v>
          </cell>
          <cell r="O1972" t="str">
            <v>2006</v>
          </cell>
          <cell r="P1972" t="str">
            <v>32</v>
          </cell>
          <cell r="Q1972" t="str">
            <v>30</v>
          </cell>
        </row>
        <row r="1973">
          <cell r="B1973" t="str">
            <v>5315/16</v>
          </cell>
          <cell r="C1973" t="str">
            <v>2016-0.099.308-3</v>
          </cell>
          <cell r="D1973" t="str">
            <v>04/04/2016</v>
          </cell>
          <cell r="E1973" t="str">
            <v>03 de maio de 2016</v>
          </cell>
          <cell r="F1973" t="str">
            <v>CS FERREIRA TRANSPORTES - ME</v>
          </cell>
          <cell r="G1973" t="str">
            <v>03/05/2016</v>
          </cell>
          <cell r="H1973" t="str">
            <v/>
          </cell>
          <cell r="I1973" t="str">
            <v/>
          </cell>
          <cell r="J1973" t="str">
            <v>PESSOA JURÍDICA</v>
          </cell>
          <cell r="K1973" t="str">
            <v>17.616.024/0001-72</v>
          </cell>
          <cell r="L1973" t="str">
            <v>PJ</v>
          </cell>
          <cell r="M1973" t="str">
            <v>CLARIVALDO SANTANA FERREIRA</v>
          </cell>
          <cell r="N1973" t="str">
            <v>ETA5040</v>
          </cell>
          <cell r="O1973" t="str">
            <v>2011</v>
          </cell>
          <cell r="P1973" t="str">
            <v>27</v>
          </cell>
          <cell r="Q1973" t="str">
            <v>26</v>
          </cell>
        </row>
        <row r="1974">
          <cell r="B1974" t="str">
            <v>5316/16</v>
          </cell>
          <cell r="C1974" t="str">
            <v>2016-0.099.309-1</v>
          </cell>
          <cell r="D1974" t="str">
            <v>24/02/2016</v>
          </cell>
          <cell r="E1974" t="str">
            <v/>
          </cell>
          <cell r="F1974" t="str">
            <v>MIRIAM SILVA PINHEIRO GONÇALVES 33124420870</v>
          </cell>
          <cell r="G1974" t="str">
            <v/>
          </cell>
          <cell r="H1974" t="str">
            <v/>
          </cell>
          <cell r="I1974" t="str">
            <v/>
          </cell>
          <cell r="J1974" t="str">
            <v>PESSOA JURÍDICA</v>
          </cell>
          <cell r="K1974" t="str">
            <v>18.216.784/0001-55</v>
          </cell>
          <cell r="L1974" t="str">
            <v>PJ</v>
          </cell>
          <cell r="M1974" t="str">
            <v>MIRIAM SILVA PINHEIRO GONCALVES</v>
          </cell>
          <cell r="N1974" t="str">
            <v>FUO9720</v>
          </cell>
          <cell r="O1974" t="str">
            <v>2014</v>
          </cell>
          <cell r="P1974" t="str">
            <v>19</v>
          </cell>
          <cell r="Q1974" t="str">
            <v>18</v>
          </cell>
        </row>
        <row r="1975">
          <cell r="B1975" t="str">
            <v>5317/16</v>
          </cell>
          <cell r="C1975" t="str">
            <v>2016-0.099.310-5</v>
          </cell>
          <cell r="D1975" t="str">
            <v>04/04/2016</v>
          </cell>
          <cell r="E1975" t="str">
            <v>29 de abril de 2016</v>
          </cell>
          <cell r="F1975" t="str">
            <v>ROTHILOG TRANSPORTE LTDA - ME</v>
          </cell>
          <cell r="G1975" t="str">
            <v>29/04/2016</v>
          </cell>
          <cell r="H1975" t="str">
            <v>30/04/2016</v>
          </cell>
          <cell r="I1975" t="str">
            <v>43</v>
          </cell>
          <cell r="J1975" t="str">
            <v>PESSOA JURÍDICA</v>
          </cell>
          <cell r="K1975" t="str">
            <v>14.625.228/0001-81</v>
          </cell>
          <cell r="L1975" t="str">
            <v>CS</v>
          </cell>
          <cell r="M1975" t="str">
            <v>ROBSON MOREIRA DIAS</v>
          </cell>
          <cell r="N1975" t="str">
            <v>EQO6204</v>
          </cell>
          <cell r="O1975" t="str">
            <v>2012</v>
          </cell>
          <cell r="P1975" t="str">
            <v>19</v>
          </cell>
          <cell r="Q1975" t="str">
            <v>18</v>
          </cell>
        </row>
        <row r="1976">
          <cell r="B1976" t="str">
            <v>5318/16</v>
          </cell>
          <cell r="C1976" t="str">
            <v>2016-0.099.311-3</v>
          </cell>
          <cell r="D1976" t="str">
            <v/>
          </cell>
          <cell r="E1976" t="str">
            <v/>
          </cell>
          <cell r="F1976" t="str">
            <v>RAFAEL CAMARGO LIMA 35602873830</v>
          </cell>
          <cell r="G1976" t="str">
            <v/>
          </cell>
          <cell r="H1976" t="str">
            <v/>
          </cell>
          <cell r="I1976" t="str">
            <v/>
          </cell>
          <cell r="J1976" t="str">
            <v>PESSOA JURÍDICA</v>
          </cell>
          <cell r="K1976" t="str">
            <v>21.040.388/0001-40</v>
          </cell>
          <cell r="L1976" t="str">
            <v>CS</v>
          </cell>
          <cell r="M1976" t="str">
            <v>RAFAEL CAMARGO LIMA</v>
          </cell>
          <cell r="N1976" t="str">
            <v>DDS2970</v>
          </cell>
          <cell r="O1976" t="str">
            <v>2001</v>
          </cell>
          <cell r="P1976" t="str">
            <v>22</v>
          </cell>
          <cell r="Q1976" t="str">
            <v>20</v>
          </cell>
        </row>
        <row r="1977">
          <cell r="B1977" t="str">
            <v>5319/16</v>
          </cell>
          <cell r="C1977" t="str">
            <v>2016-0.099.312-1</v>
          </cell>
          <cell r="D1977" t="str">
            <v>23/03/2016</v>
          </cell>
          <cell r="E1977" t="str">
            <v/>
          </cell>
          <cell r="F1977" t="str">
            <v>PEGAZU'S TRANSPORTE ESCOLAR E FRETAMENTO LTDA - ME</v>
          </cell>
          <cell r="G1977" t="str">
            <v/>
          </cell>
          <cell r="H1977" t="str">
            <v/>
          </cell>
          <cell r="I1977" t="str">
            <v/>
          </cell>
          <cell r="J1977" t="str">
            <v>PESSOA JURÍDICA</v>
          </cell>
          <cell r="K1977" t="str">
            <v>02.016.448/0001-29</v>
          </cell>
          <cell r="L1977" t="str">
            <v>PJ</v>
          </cell>
          <cell r="M1977" t="str">
            <v>ELZA MOISES FERREIRA DA SILVA</v>
          </cell>
          <cell r="N1977" t="str">
            <v>DTE0195</v>
          </cell>
          <cell r="O1977" t="str">
            <v>2007</v>
          </cell>
          <cell r="P1977" t="str">
            <v>29</v>
          </cell>
          <cell r="Q1977" t="str">
            <v>27</v>
          </cell>
        </row>
        <row r="1978">
          <cell r="B1978" t="str">
            <v>5319/16</v>
          </cell>
          <cell r="C1978" t="str">
            <v>2016-0.099.312-1</v>
          </cell>
          <cell r="D1978" t="str">
            <v>03/03/2016</v>
          </cell>
          <cell r="E1978" t="str">
            <v/>
          </cell>
          <cell r="F1978" t="str">
            <v>PEGAZU'S TRANSPORTE ESCOLAR E FRETAMENTO LTDA - ME</v>
          </cell>
          <cell r="G1978" t="str">
            <v/>
          </cell>
          <cell r="H1978" t="str">
            <v/>
          </cell>
          <cell r="I1978" t="str">
            <v/>
          </cell>
          <cell r="J1978" t="str">
            <v>PESSOA JURÍDICA</v>
          </cell>
          <cell r="K1978" t="str">
            <v>02.016.448/0001-29</v>
          </cell>
          <cell r="L1978" t="str">
            <v>PJ</v>
          </cell>
          <cell r="M1978" t="str">
            <v>EDSON FERREIRA DA SILVA</v>
          </cell>
          <cell r="N1978" t="str">
            <v>CZX9113</v>
          </cell>
          <cell r="O1978" t="str">
            <v>2003</v>
          </cell>
          <cell r="P1978" t="str">
            <v>19</v>
          </cell>
          <cell r="Q1978" t="str">
            <v>17</v>
          </cell>
        </row>
        <row r="1979">
          <cell r="B1979" t="str">
            <v>5320/16</v>
          </cell>
          <cell r="C1979" t="str">
            <v>2016-0.100.766-0</v>
          </cell>
          <cell r="D1979" t="str">
            <v/>
          </cell>
          <cell r="E1979" t="str">
            <v/>
          </cell>
          <cell r="F1979" t="str">
            <v>VERISSIMO TRANSPORTE ESCOLAR LTDA - ME</v>
          </cell>
          <cell r="G1979" t="str">
            <v/>
          </cell>
          <cell r="H1979" t="str">
            <v/>
          </cell>
          <cell r="I1979" t="str">
            <v/>
          </cell>
          <cell r="J1979" t="str">
            <v>PESSOA JURÍDICA</v>
          </cell>
          <cell r="K1979" t="str">
            <v>13.393.056/0001-03</v>
          </cell>
          <cell r="L1979" t="str">
            <v>JT</v>
          </cell>
          <cell r="M1979" t="str">
            <v>IVETE CECONI ALVINO</v>
          </cell>
          <cell r="N1979" t="str">
            <v>DTA0549</v>
          </cell>
          <cell r="O1979" t="str">
            <v>2007</v>
          </cell>
          <cell r="P1979" t="str">
            <v>25</v>
          </cell>
          <cell r="Q1979" t="str">
            <v>23</v>
          </cell>
        </row>
        <row r="1980">
          <cell r="B1980" t="str">
            <v>5321/16</v>
          </cell>
          <cell r="C1980" t="str">
            <v>2016-0.100.767-8</v>
          </cell>
          <cell r="D1980" t="str">
            <v>13/04/2016</v>
          </cell>
          <cell r="E1980" t="str">
            <v>03 de maio de 2016</v>
          </cell>
          <cell r="F1980" t="str">
            <v>COOPERATIVA DOS PROFISSIONAIS EM TRANSPORTES DE PASSAGEIROS</v>
          </cell>
          <cell r="G1980" t="str">
            <v>03/05/2016</v>
          </cell>
          <cell r="H1980" t="str">
            <v/>
          </cell>
          <cell r="I1980" t="str">
            <v/>
          </cell>
          <cell r="J1980" t="str">
            <v>PESSOA JURÍDICA</v>
          </cell>
          <cell r="K1980" t="str">
            <v>05.475.170/0001-46</v>
          </cell>
          <cell r="L1980" t="str">
            <v>CS</v>
          </cell>
          <cell r="M1980" t="str">
            <v>VANESSA ROSCHEL SILVA</v>
          </cell>
          <cell r="N1980" t="str">
            <v>DJF7539</v>
          </cell>
          <cell r="O1980" t="str">
            <v>2006</v>
          </cell>
          <cell r="P1980" t="str">
            <v>43</v>
          </cell>
          <cell r="Q1980" t="str">
            <v>41</v>
          </cell>
        </row>
        <row r="1981">
          <cell r="B1981" t="str">
            <v>5322/16</v>
          </cell>
          <cell r="C1981" t="str">
            <v>2016-0.100.769-4</v>
          </cell>
          <cell r="D1981" t="str">
            <v/>
          </cell>
          <cell r="E1981" t="str">
            <v/>
          </cell>
          <cell r="F1981" t="str">
            <v>MARI CARMEM BERNAL DOMINGUES CRECHE - ME</v>
          </cell>
          <cell r="G1981" t="str">
            <v/>
          </cell>
          <cell r="H1981" t="str">
            <v/>
          </cell>
          <cell r="I1981" t="str">
            <v/>
          </cell>
          <cell r="J1981" t="str">
            <v>PESSOA JURÍDICA</v>
          </cell>
          <cell r="K1981" t="str">
            <v>06.143.232/0001-85</v>
          </cell>
          <cell r="L1981" t="str">
            <v>SA</v>
          </cell>
          <cell r="M1981" t="str">
            <v>MARI CARMEM BERNAL DOMINGUES</v>
          </cell>
          <cell r="N1981" t="str">
            <v>DTC5019</v>
          </cell>
          <cell r="O1981" t="str">
            <v>2007</v>
          </cell>
          <cell r="P1981" t="str">
            <v>29</v>
          </cell>
          <cell r="Q1981" t="str">
            <v>27</v>
          </cell>
        </row>
        <row r="1982">
          <cell r="B1982" t="str">
            <v>5323/16</v>
          </cell>
          <cell r="C1982" t="str">
            <v>2016-0.100.770-8</v>
          </cell>
          <cell r="D1982" t="str">
            <v>01/03/2016</v>
          </cell>
          <cell r="E1982" t="str">
            <v>09 de maio de 2016</v>
          </cell>
          <cell r="F1982" t="str">
            <v>JANSIL LOCADORA DE VEICULOS E TRANSPORTES LTDA - ME</v>
          </cell>
          <cell r="G1982" t="str">
            <v>09/05/2016</v>
          </cell>
          <cell r="H1982" t="str">
            <v>11/05/2016</v>
          </cell>
          <cell r="I1982" t="str">
            <v>29</v>
          </cell>
          <cell r="J1982" t="str">
            <v>PESSOA JURÍDICA</v>
          </cell>
          <cell r="K1982" t="str">
            <v>01.632.005/0001-08</v>
          </cell>
          <cell r="L1982" t="str">
            <v>CS</v>
          </cell>
          <cell r="M1982" t="str">
            <v>KHRYSTIAN WALLACE BRANDAO DE MORAES</v>
          </cell>
          <cell r="N1982" t="str">
            <v>DTE7479</v>
          </cell>
          <cell r="O1982" t="str">
            <v>2009</v>
          </cell>
          <cell r="P1982" t="str">
            <v>19</v>
          </cell>
          <cell r="Q1982" t="str">
            <v>17</v>
          </cell>
        </row>
        <row r="1983">
          <cell r="B1983" t="str">
            <v>5324/16</v>
          </cell>
          <cell r="C1983" t="str">
            <v>2016-0.101.104-7</v>
          </cell>
          <cell r="D1983" t="str">
            <v>01/03/2016</v>
          </cell>
          <cell r="E1983" t="str">
            <v>02 de maio de 2016</v>
          </cell>
          <cell r="F1983" t="str">
            <v>LUIZ CARLOS APARECIDO DOS SANTOS TRANSPORTES - ME</v>
          </cell>
          <cell r="G1983" t="str">
            <v>02/05/2016</v>
          </cell>
          <cell r="H1983" t="str">
            <v/>
          </cell>
          <cell r="I1983" t="str">
            <v/>
          </cell>
          <cell r="J1983" t="str">
            <v>PESSOA JURÍDICA</v>
          </cell>
          <cell r="K1983" t="str">
            <v>16.612.377/0001-31</v>
          </cell>
          <cell r="L1983" t="str">
            <v>PE</v>
          </cell>
          <cell r="M1983" t="str">
            <v>LUIZ CARLOS APARECIDO DOS SANTOS</v>
          </cell>
          <cell r="N1983" t="str">
            <v>DTE5696</v>
          </cell>
          <cell r="O1983" t="str">
            <v>2009</v>
          </cell>
          <cell r="P1983" t="str">
            <v>11</v>
          </cell>
          <cell r="Q1983" t="str">
            <v>10</v>
          </cell>
        </row>
        <row r="1984">
          <cell r="B1984" t="str">
            <v>5325/16</v>
          </cell>
          <cell r="C1984" t="str">
            <v>2016-0.102.294-4</v>
          </cell>
          <cell r="D1984" t="str">
            <v/>
          </cell>
          <cell r="E1984" t="str">
            <v/>
          </cell>
          <cell r="F1984" t="str">
            <v>C. C. BOMFIM - ME</v>
          </cell>
          <cell r="G1984" t="str">
            <v/>
          </cell>
          <cell r="H1984" t="str">
            <v/>
          </cell>
          <cell r="I1984" t="str">
            <v/>
          </cell>
          <cell r="J1984" t="str">
            <v>PESSOA JURÍDICA</v>
          </cell>
          <cell r="K1984" t="str">
            <v>17.522.357/0001-32</v>
          </cell>
          <cell r="L1984" t="str">
            <v>PJ</v>
          </cell>
          <cell r="M1984" t="str">
            <v>CLAUDIO CAVALCANTE BOMFIM</v>
          </cell>
          <cell r="N1984" t="str">
            <v>CUB0669</v>
          </cell>
          <cell r="O1984" t="str">
            <v>2008</v>
          </cell>
          <cell r="P1984" t="str">
            <v>10</v>
          </cell>
          <cell r="Q1984" t="str">
            <v>9</v>
          </cell>
        </row>
        <row r="1985">
          <cell r="B1985" t="str">
            <v>5326/16</v>
          </cell>
          <cell r="C1985" t="str">
            <v>2016-0.102.296-0</v>
          </cell>
          <cell r="D1985" t="str">
            <v>24/03/2016</v>
          </cell>
          <cell r="E1985" t="str">
            <v/>
          </cell>
          <cell r="F1985" t="str">
            <v>ADNELSON MENDES DA SILVA EIRELI - ME</v>
          </cell>
          <cell r="G1985" t="str">
            <v/>
          </cell>
          <cell r="H1985" t="str">
            <v/>
          </cell>
          <cell r="I1985" t="str">
            <v/>
          </cell>
          <cell r="J1985" t="str">
            <v>PESSOA JURÍDICA</v>
          </cell>
          <cell r="K1985" t="str">
            <v>16.827.300/0001-89</v>
          </cell>
          <cell r="L1985" t="str">
            <v>PJ</v>
          </cell>
          <cell r="M1985" t="str">
            <v>ADNELSON MENDES DA SILVA</v>
          </cell>
          <cell r="N1985" t="str">
            <v>FRN5611</v>
          </cell>
          <cell r="O1985" t="str">
            <v>2015</v>
          </cell>
          <cell r="P1985" t="str">
            <v>19</v>
          </cell>
          <cell r="Q1985" t="str">
            <v>18</v>
          </cell>
        </row>
        <row r="1986">
          <cell r="B1986" t="str">
            <v>0148/16</v>
          </cell>
          <cell r="C1986" t="str">
            <v>2016-0.055.705-4</v>
          </cell>
          <cell r="D1986" t="str">
            <v>29/02/2016</v>
          </cell>
          <cell r="E1986" t="str">
            <v>29 de fevereiro de 2016</v>
          </cell>
          <cell r="F1986" t="str">
            <v>MARCELO BERNARDO DOS SANTOS</v>
          </cell>
          <cell r="G1986" t="str">
            <v>29/02/2016</v>
          </cell>
          <cell r="H1986" t="str">
            <v/>
          </cell>
          <cell r="I1986" t="str">
            <v/>
          </cell>
          <cell r="J1986" t="str">
            <v>PESSOA FÍSICA</v>
          </cell>
          <cell r="K1986" t="str">
            <v>267.796.428-78</v>
          </cell>
          <cell r="L1986" t="str">
            <v>IQ</v>
          </cell>
          <cell r="M1986" t="str">
            <v>MARCELO BERNARDO DOS SANTOS</v>
          </cell>
          <cell r="N1986" t="str">
            <v>FJP5793</v>
          </cell>
          <cell r="O1986" t="str">
            <v>2013</v>
          </cell>
          <cell r="P1986" t="str">
            <v>19</v>
          </cell>
          <cell r="Q1986" t="str">
            <v>18</v>
          </cell>
        </row>
        <row r="1987">
          <cell r="B1987" t="str">
            <v>0149/16</v>
          </cell>
          <cell r="C1987" t="str">
            <v>2016-0.055.700-3</v>
          </cell>
          <cell r="D1987" t="str">
            <v>15/02/2016</v>
          </cell>
          <cell r="E1987" t="str">
            <v>24 de fevereiro de 2016</v>
          </cell>
          <cell r="F1987" t="str">
            <v>MARCELO DE JESUS SANTOS</v>
          </cell>
          <cell r="G1987" t="str">
            <v>24/02/2016</v>
          </cell>
          <cell r="H1987" t="str">
            <v/>
          </cell>
          <cell r="I1987" t="str">
            <v/>
          </cell>
          <cell r="J1987" t="str">
            <v>PESSOA FÍSICA</v>
          </cell>
          <cell r="K1987" t="str">
            <v>329.870.198-07</v>
          </cell>
          <cell r="L1987" t="str">
            <v>PJ</v>
          </cell>
          <cell r="M1987" t="str">
            <v>MARCELO DE JESUS SANTOS</v>
          </cell>
          <cell r="N1987" t="str">
            <v>FAI2740</v>
          </cell>
          <cell r="O1987" t="str">
            <v>2011</v>
          </cell>
          <cell r="P1987" t="str">
            <v>27</v>
          </cell>
          <cell r="Q1987" t="str">
            <v>26</v>
          </cell>
        </row>
        <row r="1988">
          <cell r="B1988" t="str">
            <v>0150/16</v>
          </cell>
          <cell r="C1988" t="str">
            <v>2016-0.055.696-1</v>
          </cell>
          <cell r="D1988" t="str">
            <v>22/02/2016</v>
          </cell>
          <cell r="E1988" t="str">
            <v>24 de fevereiro de 2016</v>
          </cell>
          <cell r="F1988" t="str">
            <v>MARIA LUCIA ANTAO DA SILVA</v>
          </cell>
          <cell r="G1988" t="str">
            <v>24/02/2016</v>
          </cell>
          <cell r="H1988" t="str">
            <v/>
          </cell>
          <cell r="I1988" t="str">
            <v/>
          </cell>
          <cell r="J1988" t="str">
            <v>PESSOA FÍSICA</v>
          </cell>
          <cell r="K1988" t="str">
            <v>020.848.734-44</v>
          </cell>
          <cell r="L1988" t="str">
            <v>CS</v>
          </cell>
          <cell r="M1988" t="str">
            <v>MARIA LUCIA ANTAO DA SILVA</v>
          </cell>
          <cell r="N1988" t="str">
            <v>DAJ9092</v>
          </cell>
          <cell r="O1988" t="str">
            <v>2010</v>
          </cell>
          <cell r="P1988" t="str">
            <v>19</v>
          </cell>
          <cell r="Q1988" t="str">
            <v>18</v>
          </cell>
        </row>
        <row r="1989">
          <cell r="B1989" t="str">
            <v>0151/16</v>
          </cell>
          <cell r="C1989" t="str">
            <v>2016-0.055.671-6</v>
          </cell>
          <cell r="D1989" t="str">
            <v>22/02/2016</v>
          </cell>
          <cell r="E1989" t="str">
            <v>24 de fevereiro de 2016</v>
          </cell>
          <cell r="F1989" t="str">
            <v>MAURO BATISTA LEITE</v>
          </cell>
          <cell r="G1989" t="str">
            <v>24/02/2016</v>
          </cell>
          <cell r="H1989" t="str">
            <v/>
          </cell>
          <cell r="I1989" t="str">
            <v/>
          </cell>
          <cell r="J1989" t="str">
            <v>PESSOA FÍSICA</v>
          </cell>
          <cell r="K1989" t="str">
            <v>055.909.408-69</v>
          </cell>
          <cell r="L1989" t="str">
            <v>JT</v>
          </cell>
          <cell r="M1989" t="str">
            <v>MAURO BATISTA LEITE</v>
          </cell>
          <cell r="N1989" t="str">
            <v>DTC1489</v>
          </cell>
          <cell r="O1989" t="str">
            <v>2007</v>
          </cell>
          <cell r="P1989" t="str">
            <v>29</v>
          </cell>
          <cell r="Q1989" t="str">
            <v>27</v>
          </cell>
        </row>
        <row r="1990">
          <cell r="B1990" t="str">
            <v>0152/16</v>
          </cell>
          <cell r="C1990" t="str">
            <v>2016-0.055.667-8</v>
          </cell>
          <cell r="D1990" t="str">
            <v>29/02/2016</v>
          </cell>
          <cell r="E1990" t="str">
            <v>29 de fevereiro de 2016</v>
          </cell>
          <cell r="F1990" t="str">
            <v>MAURO MARTINS FERREIRA</v>
          </cell>
          <cell r="G1990" t="str">
            <v>29/02/2016</v>
          </cell>
          <cell r="H1990" t="str">
            <v/>
          </cell>
          <cell r="I1990" t="str">
            <v/>
          </cell>
          <cell r="J1990" t="str">
            <v>PESSOA FÍSICA</v>
          </cell>
          <cell r="K1990" t="str">
            <v>026.108.588-33</v>
          </cell>
          <cell r="L1990" t="str">
            <v>SM</v>
          </cell>
          <cell r="M1990" t="str">
            <v>MAURO MARTINS FERREIRA</v>
          </cell>
          <cell r="N1990" t="str">
            <v>DPP6218</v>
          </cell>
          <cell r="O1990" t="str">
            <v>2005</v>
          </cell>
          <cell r="P1990" t="str">
            <v>15</v>
          </cell>
          <cell r="Q1990" t="str">
            <v>14</v>
          </cell>
        </row>
        <row r="1991">
          <cell r="B1991" t="str">
            <v>0153/16</v>
          </cell>
          <cell r="C1991" t="str">
            <v>2016-0.055.661-9</v>
          </cell>
          <cell r="D1991" t="str">
            <v>29/02/2016</v>
          </cell>
          <cell r="E1991" t="str">
            <v>29 de fevereiro de 2016</v>
          </cell>
          <cell r="F1991" t="str">
            <v>LAELSON BALBINO DOS SANTOS</v>
          </cell>
          <cell r="G1991" t="str">
            <v>29/02/2016</v>
          </cell>
          <cell r="H1991" t="str">
            <v/>
          </cell>
          <cell r="I1991" t="str">
            <v/>
          </cell>
          <cell r="J1991" t="str">
            <v>PESSOA FÍSICA</v>
          </cell>
          <cell r="K1991" t="str">
            <v>557.437.815-91</v>
          </cell>
          <cell r="L1991" t="str">
            <v>SM</v>
          </cell>
          <cell r="M1991" t="str">
            <v>LAELSON BALBINO DOS SANTOS</v>
          </cell>
          <cell r="N1991" t="str">
            <v>CZZ4325</v>
          </cell>
          <cell r="O1991" t="str">
            <v>2003</v>
          </cell>
          <cell r="P1991" t="str">
            <v>25</v>
          </cell>
          <cell r="Q1991" t="str">
            <v>23</v>
          </cell>
        </row>
        <row r="1992">
          <cell r="B1992" t="str">
            <v>0154/16</v>
          </cell>
          <cell r="C1992" t="str">
            <v>2016-0.055.659-7</v>
          </cell>
          <cell r="D1992" t="str">
            <v>29/02/2016</v>
          </cell>
          <cell r="E1992" t="str">
            <v>27 de abril de 2016</v>
          </cell>
          <cell r="F1992" t="str">
            <v>LAERTE TADEU PACHECO</v>
          </cell>
          <cell r="G1992" t="str">
            <v>27/04/2016</v>
          </cell>
          <cell r="H1992" t="str">
            <v/>
          </cell>
          <cell r="I1992" t="str">
            <v/>
          </cell>
          <cell r="J1992" t="str">
            <v>PESSOA FÍSICA</v>
          </cell>
          <cell r="K1992" t="str">
            <v>076.597.598-09</v>
          </cell>
          <cell r="L1992" t="str">
            <v>JT</v>
          </cell>
          <cell r="M1992" t="str">
            <v>LAERTE TADEU PACHECO</v>
          </cell>
          <cell r="N1992" t="str">
            <v>FDN2007</v>
          </cell>
          <cell r="O1992" t="str">
            <v>2007</v>
          </cell>
          <cell r="P1992" t="str">
            <v>29</v>
          </cell>
          <cell r="Q1992" t="str">
            <v>27</v>
          </cell>
        </row>
        <row r="1993">
          <cell r="B1993" t="str">
            <v>0155/16</v>
          </cell>
          <cell r="C1993" t="str">
            <v>2016-0.055.657-0</v>
          </cell>
          <cell r="D1993" t="str">
            <v>29/02/2016</v>
          </cell>
          <cell r="E1993" t="str">
            <v>29 de fevereiro de 2016</v>
          </cell>
          <cell r="F1993" t="str">
            <v>ODAIR DONIZETTI DE SOUZA</v>
          </cell>
          <cell r="G1993" t="str">
            <v>29/02/2016</v>
          </cell>
          <cell r="H1993" t="str">
            <v/>
          </cell>
          <cell r="I1993" t="str">
            <v/>
          </cell>
          <cell r="J1993" t="str">
            <v>PESSOA FÍSICA</v>
          </cell>
          <cell r="K1993" t="str">
            <v>037.225.238-93</v>
          </cell>
          <cell r="L1993" t="str">
            <v>IQ</v>
          </cell>
          <cell r="M1993" t="str">
            <v>ODAIR DONIZETTI DE SOUZA</v>
          </cell>
          <cell r="N1993" t="str">
            <v>DTD2974</v>
          </cell>
          <cell r="O1993" t="str">
            <v>2007</v>
          </cell>
          <cell r="P1993" t="str">
            <v>29</v>
          </cell>
          <cell r="Q1993" t="str">
            <v>27</v>
          </cell>
        </row>
        <row r="1994">
          <cell r="B1994" t="str">
            <v>0156/16</v>
          </cell>
          <cell r="C1994" t="str">
            <v>2016-0.055.655-4</v>
          </cell>
          <cell r="D1994" t="str">
            <v>22/02/2016</v>
          </cell>
          <cell r="E1994" t="str">
            <v>22 de março de 2016</v>
          </cell>
          <cell r="F1994" t="str">
            <v>PAULO SOARES CALDEIRA</v>
          </cell>
          <cell r="G1994" t="str">
            <v>22/03/2016</v>
          </cell>
          <cell r="H1994" t="str">
            <v>23/03/2016</v>
          </cell>
          <cell r="I1994" t="str">
            <v>57</v>
          </cell>
          <cell r="J1994" t="str">
            <v>PESSOA FÍSICA</v>
          </cell>
          <cell r="K1994" t="str">
            <v>104.572.288-06</v>
          </cell>
          <cell r="L1994" t="str">
            <v>SM</v>
          </cell>
          <cell r="M1994" t="str">
            <v>PAULO SOARES CALDEIRA</v>
          </cell>
          <cell r="N1994" t="str">
            <v>EGS2708</v>
          </cell>
          <cell r="O1994" t="str">
            <v>2008</v>
          </cell>
          <cell r="P1994" t="str">
            <v>11</v>
          </cell>
          <cell r="Q1994" t="str">
            <v>10</v>
          </cell>
        </row>
        <row r="1995">
          <cell r="B1995" t="str">
            <v>0157/16</v>
          </cell>
          <cell r="C1995" t="str">
            <v>2016-0.055.651-1</v>
          </cell>
          <cell r="D1995" t="str">
            <v>01/03/2016</v>
          </cell>
          <cell r="E1995" t="str">
            <v>18 de março de 2016</v>
          </cell>
          <cell r="F1995" t="str">
            <v>ROGERIO VICENTINI JOAO</v>
          </cell>
          <cell r="G1995" t="str">
            <v>18/03/2016</v>
          </cell>
          <cell r="H1995" t="str">
            <v/>
          </cell>
          <cell r="I1995" t="str">
            <v/>
          </cell>
          <cell r="J1995" t="str">
            <v>PESSOA FÍSICA</v>
          </cell>
          <cell r="K1995" t="str">
            <v>303.708.118-01</v>
          </cell>
          <cell r="L1995" t="str">
            <v>IQ</v>
          </cell>
          <cell r="M1995" t="str">
            <v>ROGERIO VICENTINI JOAO</v>
          </cell>
          <cell r="N1995" t="str">
            <v>DYF6050</v>
          </cell>
          <cell r="O1995" t="str">
            <v>2008</v>
          </cell>
          <cell r="P1995" t="str">
            <v>29</v>
          </cell>
          <cell r="Q1995" t="str">
            <v>27</v>
          </cell>
        </row>
        <row r="1996">
          <cell r="B1996" t="str">
            <v>0158/16</v>
          </cell>
          <cell r="C1996" t="str">
            <v>2016-0.055.639-2</v>
          </cell>
          <cell r="D1996" t="str">
            <v>22/02/2016</v>
          </cell>
          <cell r="E1996" t="str">
            <v>24 de fevereiro de 2016</v>
          </cell>
          <cell r="F1996" t="str">
            <v>RUBENS GERALDO ROZA</v>
          </cell>
          <cell r="G1996" t="str">
            <v>24/02/2016</v>
          </cell>
          <cell r="H1996" t="str">
            <v/>
          </cell>
          <cell r="I1996" t="str">
            <v/>
          </cell>
          <cell r="J1996" t="str">
            <v>PESSOA FÍSICA</v>
          </cell>
          <cell r="K1996" t="str">
            <v>031.098.008-96</v>
          </cell>
          <cell r="L1996" t="str">
            <v>PJ</v>
          </cell>
          <cell r="M1996" t="str">
            <v>RUBENS GERALDO ROZA</v>
          </cell>
          <cell r="N1996" t="str">
            <v>DIK7352</v>
          </cell>
          <cell r="O1996" t="str">
            <v>2002</v>
          </cell>
          <cell r="P1996" t="str">
            <v>24</v>
          </cell>
          <cell r="Q1996" t="str">
            <v>23</v>
          </cell>
        </row>
        <row r="1997">
          <cell r="B1997" t="str">
            <v>0159/16</v>
          </cell>
          <cell r="C1997" t="str">
            <v>2016-0.055.638-4</v>
          </cell>
          <cell r="D1997" t="str">
            <v>16/02/2016</v>
          </cell>
          <cell r="E1997" t="str">
            <v>24 de fevereiro de 2016</v>
          </cell>
          <cell r="F1997" t="str">
            <v>SERGIO PAULO PEREIRA DE JESUS</v>
          </cell>
          <cell r="G1997" t="str">
            <v>24/02/2016</v>
          </cell>
          <cell r="H1997" t="str">
            <v/>
          </cell>
          <cell r="I1997" t="str">
            <v/>
          </cell>
          <cell r="J1997" t="str">
            <v>PESSOA FÍSICA</v>
          </cell>
          <cell r="K1997" t="str">
            <v>128.449.798-40</v>
          </cell>
          <cell r="L1997" t="str">
            <v>PJ</v>
          </cell>
          <cell r="M1997" t="str">
            <v>SERGIO PAULO PEREIRA DE JESUS</v>
          </cell>
          <cell r="N1997" t="str">
            <v>FQP0630</v>
          </cell>
          <cell r="O1997" t="str">
            <v>2014</v>
          </cell>
          <cell r="P1997" t="str">
            <v>19</v>
          </cell>
          <cell r="Q1997" t="str">
            <v>18</v>
          </cell>
        </row>
        <row r="1998">
          <cell r="B1998" t="str">
            <v>0160/16</v>
          </cell>
          <cell r="C1998" t="str">
            <v>2016-0.055.635-0</v>
          </cell>
          <cell r="D1998" t="str">
            <v>22/02/2016</v>
          </cell>
          <cell r="E1998" t="str">
            <v>24 de fevereiro de 2016</v>
          </cell>
          <cell r="F1998" t="str">
            <v>SONIA DE OLIVEIRA PARDINI</v>
          </cell>
          <cell r="G1998" t="str">
            <v>24/02/2016</v>
          </cell>
          <cell r="H1998" t="str">
            <v/>
          </cell>
          <cell r="I1998" t="str">
            <v/>
          </cell>
          <cell r="J1998" t="str">
            <v>PESSOA FÍSICA</v>
          </cell>
          <cell r="K1998" t="str">
            <v>073.502.548-73</v>
          </cell>
          <cell r="L1998" t="str">
            <v>PE</v>
          </cell>
          <cell r="M1998" t="str">
            <v>SONIA DE OLIVEIRA PARDINI</v>
          </cell>
          <cell r="N1998" t="str">
            <v>DJB6218</v>
          </cell>
          <cell r="O1998" t="str">
            <v>2007</v>
          </cell>
          <cell r="P1998" t="str">
            <v>29</v>
          </cell>
          <cell r="Q1998" t="str">
            <v>27</v>
          </cell>
        </row>
        <row r="1999">
          <cell r="B1999" t="str">
            <v>0161/16</v>
          </cell>
          <cell r="C1999" t="str">
            <v>2016-0.055.632-5</v>
          </cell>
          <cell r="D1999" t="str">
            <v>29/02/2016</v>
          </cell>
          <cell r="E1999" t="str">
            <v>29 de fevereiro de 2016</v>
          </cell>
          <cell r="F1999" t="str">
            <v>VALDIRENE APARECIDA PACHECO</v>
          </cell>
          <cell r="G1999" t="str">
            <v>29/02/2016</v>
          </cell>
          <cell r="H1999" t="str">
            <v/>
          </cell>
          <cell r="I1999" t="str">
            <v/>
          </cell>
          <cell r="J1999" t="str">
            <v>PESSOA FÍSICA</v>
          </cell>
          <cell r="K1999" t="str">
            <v>260.827.788-80</v>
          </cell>
          <cell r="L1999" t="str">
            <v>IQ</v>
          </cell>
          <cell r="M1999" t="str">
            <v>VALDIRENE APARECIDA PACHECO</v>
          </cell>
          <cell r="N1999" t="str">
            <v>CZZ7868</v>
          </cell>
          <cell r="O1999" t="str">
            <v>2003</v>
          </cell>
          <cell r="P1999" t="str">
            <v>25</v>
          </cell>
          <cell r="Q1999" t="str">
            <v>23</v>
          </cell>
        </row>
        <row r="2000">
          <cell r="B2000" t="str">
            <v>0162/16</v>
          </cell>
          <cell r="C2000" t="str">
            <v>2016-0.055.629-5</v>
          </cell>
          <cell r="D2000" t="str">
            <v>19/02/2016</v>
          </cell>
          <cell r="E2000" t="str">
            <v>24 de fevereiro de 2016</v>
          </cell>
          <cell r="F2000" t="str">
            <v>VALTER VICENTE DA SILVA JUNIOR</v>
          </cell>
          <cell r="G2000" t="str">
            <v>24/02/2016</v>
          </cell>
          <cell r="H2000" t="str">
            <v/>
          </cell>
          <cell r="I2000" t="str">
            <v/>
          </cell>
          <cell r="J2000" t="str">
            <v>PESSOA FÍSICA</v>
          </cell>
          <cell r="K2000" t="str">
            <v>341.120.598-92</v>
          </cell>
          <cell r="L2000" t="str">
            <v>JT</v>
          </cell>
          <cell r="M2000" t="str">
            <v>VALTER VICENTE DA SILVA JUNIOR</v>
          </cell>
          <cell r="N2000" t="str">
            <v>EYN7683</v>
          </cell>
          <cell r="O2000" t="str">
            <v>2011</v>
          </cell>
          <cell r="P2000" t="str">
            <v>19</v>
          </cell>
          <cell r="Q2000" t="str">
            <v>18</v>
          </cell>
        </row>
        <row r="2001">
          <cell r="B2001" t="str">
            <v>0163/16</v>
          </cell>
          <cell r="C2001" t="str">
            <v>2016-0.055.618-0</v>
          </cell>
          <cell r="D2001" t="str">
            <v/>
          </cell>
          <cell r="E2001" t="str">
            <v>21 de março de 2016</v>
          </cell>
          <cell r="F2001" t="str">
            <v>ADILSON TOLEDO</v>
          </cell>
          <cell r="G2001" t="str">
            <v>21/03/2016</v>
          </cell>
          <cell r="H2001" t="str">
            <v>31/03/2016</v>
          </cell>
          <cell r="I2001" t="str">
            <v>33</v>
          </cell>
          <cell r="J2001" t="str">
            <v>PESSOA FÍSICA</v>
          </cell>
          <cell r="K2001" t="str">
            <v>157.064.558-21</v>
          </cell>
          <cell r="L2001" t="str">
            <v>FO</v>
          </cell>
          <cell r="M2001" t="str">
            <v>ADILSON TOLEDO</v>
          </cell>
          <cell r="N2001" t="str">
            <v>DJE9491</v>
          </cell>
          <cell r="O2001" t="str">
            <v>2007</v>
          </cell>
          <cell r="P2001" t="str">
            <v>29</v>
          </cell>
          <cell r="Q2001" t="str">
            <v>27</v>
          </cell>
        </row>
        <row r="2002">
          <cell r="B2002" t="str">
            <v>0164/16</v>
          </cell>
          <cell r="C2002" t="str">
            <v>2016-0.055.425-0</v>
          </cell>
          <cell r="D2002" t="str">
            <v/>
          </cell>
          <cell r="E2002" t="str">
            <v/>
          </cell>
          <cell r="F2002" t="str">
            <v>ADRIANA AIOLFI DA SILVA</v>
          </cell>
          <cell r="G2002" t="str">
            <v/>
          </cell>
          <cell r="H2002" t="str">
            <v/>
          </cell>
          <cell r="I2002" t="str">
            <v/>
          </cell>
          <cell r="J2002" t="str">
            <v>PESSOA FÍSICA</v>
          </cell>
          <cell r="K2002" t="str">
            <v>135.410.328-98</v>
          </cell>
          <cell r="L2002" t="str">
            <v>PJ</v>
          </cell>
          <cell r="M2002" t="str">
            <v>ADRIANA AIOLFI DA SILVA</v>
          </cell>
          <cell r="N2002" t="str">
            <v>EZL6439</v>
          </cell>
          <cell r="O2002" t="str">
            <v>2012</v>
          </cell>
          <cell r="P2002" t="str">
            <v>15</v>
          </cell>
          <cell r="Q2002" t="str">
            <v>14</v>
          </cell>
        </row>
        <row r="2003">
          <cell r="B2003" t="str">
            <v>0165/16</v>
          </cell>
          <cell r="C2003" t="str">
            <v>2016-0.055.424-1</v>
          </cell>
          <cell r="D2003" t="str">
            <v/>
          </cell>
          <cell r="E2003" t="str">
            <v>09 de março de 2016</v>
          </cell>
          <cell r="F2003" t="str">
            <v>ALDEMIR MANOEL SANTANA</v>
          </cell>
          <cell r="G2003" t="str">
            <v>09/03/2016</v>
          </cell>
          <cell r="H2003" t="str">
            <v/>
          </cell>
          <cell r="I2003" t="str">
            <v/>
          </cell>
          <cell r="J2003" t="str">
            <v>PESSOA FÍSICA</v>
          </cell>
          <cell r="K2003" t="str">
            <v>116.620.578-90</v>
          </cell>
          <cell r="L2003" t="str">
            <v>MP</v>
          </cell>
          <cell r="M2003" t="str">
            <v>ALDEMIR MANOEL SANTANA</v>
          </cell>
          <cell r="N2003" t="str">
            <v>DTB0870</v>
          </cell>
          <cell r="O2003" t="str">
            <v>2006</v>
          </cell>
          <cell r="P2003" t="str">
            <v>25</v>
          </cell>
          <cell r="Q2003" t="str">
            <v>23</v>
          </cell>
        </row>
        <row r="2004">
          <cell r="B2004" t="str">
            <v>0166/16</v>
          </cell>
          <cell r="C2004" t="str">
            <v>2016-0.055.419-5</v>
          </cell>
          <cell r="D2004" t="str">
            <v>07/03/2016</v>
          </cell>
          <cell r="E2004" t="str">
            <v>07 de março de 2016</v>
          </cell>
          <cell r="F2004" t="str">
            <v>ALEX SANDRO DE SOUSA BRAGA</v>
          </cell>
          <cell r="G2004" t="str">
            <v>07/03/2016</v>
          </cell>
          <cell r="H2004" t="str">
            <v/>
          </cell>
          <cell r="I2004" t="str">
            <v/>
          </cell>
          <cell r="J2004" t="str">
            <v>PESSOA FÍSICA</v>
          </cell>
          <cell r="K2004" t="str">
            <v>164.877.508-08</v>
          </cell>
          <cell r="L2004" t="str">
            <v>CS</v>
          </cell>
          <cell r="M2004" t="str">
            <v>ALEX SANDRO DE SOUSA BRAGA</v>
          </cell>
          <cell r="N2004" t="str">
            <v>ELX8222</v>
          </cell>
          <cell r="O2004" t="str">
            <v>2012</v>
          </cell>
          <cell r="P2004" t="str">
            <v>10</v>
          </cell>
          <cell r="Q2004" t="str">
            <v>09</v>
          </cell>
        </row>
        <row r="2005">
          <cell r="B2005" t="str">
            <v>0167/16</v>
          </cell>
          <cell r="C2005" t="str">
            <v>2016-0.055.415-2</v>
          </cell>
          <cell r="D2005" t="str">
            <v>14/03/2016</v>
          </cell>
          <cell r="E2005" t="str">
            <v>14 de abril de 2016</v>
          </cell>
          <cell r="F2005" t="str">
            <v>AMAURI FURLANIS</v>
          </cell>
          <cell r="G2005" t="str">
            <v>14/04/2016</v>
          </cell>
          <cell r="H2005" t="str">
            <v>19/04/2016</v>
          </cell>
          <cell r="I2005" t="str">
            <v>26</v>
          </cell>
          <cell r="J2005" t="str">
            <v>PESSOA FÍSICA</v>
          </cell>
          <cell r="K2005" t="str">
            <v>012.813.228-06</v>
          </cell>
          <cell r="L2005" t="str">
            <v>JT</v>
          </cell>
          <cell r="M2005" t="str">
            <v>AMAURI FURLANIS</v>
          </cell>
          <cell r="N2005" t="str">
            <v>CZX6018</v>
          </cell>
          <cell r="O2005" t="str">
            <v>2002</v>
          </cell>
          <cell r="P2005" t="str">
            <v>25</v>
          </cell>
          <cell r="Q2005" t="str">
            <v>23</v>
          </cell>
        </row>
        <row r="2006">
          <cell r="B2006" t="str">
            <v>0168/16</v>
          </cell>
          <cell r="C2006" t="str">
            <v>2016-0.055.414-4</v>
          </cell>
          <cell r="D2006" t="str">
            <v/>
          </cell>
          <cell r="E2006" t="str">
            <v>09 de março de 2016</v>
          </cell>
          <cell r="F2006" t="str">
            <v>ANA JOSMARA PEREIRA DE TOLEDO SECCO</v>
          </cell>
          <cell r="G2006" t="str">
            <v>09/03/2016</v>
          </cell>
          <cell r="H2006" t="str">
            <v/>
          </cell>
          <cell r="I2006" t="str">
            <v/>
          </cell>
          <cell r="J2006" t="str">
            <v>PESSOA FÍSICA</v>
          </cell>
          <cell r="K2006" t="str">
            <v>126.588.288-61</v>
          </cell>
          <cell r="L2006" t="str">
            <v>PJ</v>
          </cell>
          <cell r="M2006" t="str">
            <v>ANA JOSMARA PEREIRA DE TOLEDO SECCO</v>
          </cell>
          <cell r="N2006" t="str">
            <v>DTE8189</v>
          </cell>
          <cell r="O2006" t="str">
            <v>2009</v>
          </cell>
          <cell r="P2006" t="str">
            <v>19</v>
          </cell>
          <cell r="Q2006" t="str">
            <v>18</v>
          </cell>
        </row>
        <row r="2007">
          <cell r="B2007" t="str">
            <v>0169/16</v>
          </cell>
          <cell r="C2007" t="str">
            <v>2016-0.055.411-0</v>
          </cell>
          <cell r="D2007" t="str">
            <v>07/03/2016</v>
          </cell>
          <cell r="E2007" t="str">
            <v>07 de março de 2016</v>
          </cell>
          <cell r="F2007" t="str">
            <v>ANTONIO ALIXANDRE ALVES</v>
          </cell>
          <cell r="G2007" t="str">
            <v>07/03/2016</v>
          </cell>
          <cell r="H2007" t="str">
            <v/>
          </cell>
          <cell r="I2007" t="str">
            <v/>
          </cell>
          <cell r="J2007" t="str">
            <v>PESSOA FÍSICA</v>
          </cell>
          <cell r="K2007" t="str">
            <v>065.192.748-01</v>
          </cell>
          <cell r="L2007" t="str">
            <v>CS</v>
          </cell>
          <cell r="M2007" t="str">
            <v>ANTONIO ALIXANDRE ALVES</v>
          </cell>
          <cell r="N2007" t="str">
            <v>DJE4260</v>
          </cell>
          <cell r="O2007" t="str">
            <v>2005</v>
          </cell>
          <cell r="P2007" t="str">
            <v>25</v>
          </cell>
          <cell r="Q2007" t="str">
            <v>23</v>
          </cell>
        </row>
        <row r="2008">
          <cell r="B2008" t="str">
            <v>0170/16</v>
          </cell>
          <cell r="C2008" t="str">
            <v>2016-0.055.409-8</v>
          </cell>
          <cell r="D2008" t="str">
            <v>07/03/2016</v>
          </cell>
          <cell r="E2008" t="str">
            <v>07 de março de 2016</v>
          </cell>
          <cell r="F2008" t="str">
            <v>ANTONIO CARLOS DE PAULA</v>
          </cell>
          <cell r="G2008" t="str">
            <v>07/03/2016</v>
          </cell>
          <cell r="H2008" t="str">
            <v/>
          </cell>
          <cell r="I2008" t="str">
            <v/>
          </cell>
          <cell r="J2008" t="str">
            <v>PESSOA FÍSICA</v>
          </cell>
          <cell r="K2008" t="str">
            <v>191.832.528-60</v>
          </cell>
          <cell r="L2008" t="str">
            <v>CS</v>
          </cell>
          <cell r="M2008" t="str">
            <v>ANTONIO CARLOS DE PAULA</v>
          </cell>
          <cell r="N2008" t="str">
            <v>EBV9890</v>
          </cell>
          <cell r="O2008" t="str">
            <v>2009</v>
          </cell>
          <cell r="P2008" t="str">
            <v>19</v>
          </cell>
          <cell r="Q2008" t="str">
            <v>18</v>
          </cell>
        </row>
        <row r="2009">
          <cell r="B2009" t="str">
            <v>0171/16</v>
          </cell>
          <cell r="C2009" t="str">
            <v>2016-0.055.400-4</v>
          </cell>
          <cell r="D2009" t="str">
            <v/>
          </cell>
          <cell r="E2009" t="str">
            <v>09 de março de 2016</v>
          </cell>
          <cell r="F2009" t="str">
            <v>ANTONIO LAURINDO DE SOUZA NETO</v>
          </cell>
          <cell r="G2009" t="str">
            <v>09/03/2016</v>
          </cell>
          <cell r="H2009" t="str">
            <v/>
          </cell>
          <cell r="I2009" t="str">
            <v/>
          </cell>
          <cell r="J2009" t="str">
            <v>PESSOA FÍSICA</v>
          </cell>
          <cell r="K2009" t="str">
            <v>695.655.548-49</v>
          </cell>
          <cell r="L2009" t="str">
            <v>IQ</v>
          </cell>
          <cell r="M2009" t="str">
            <v>ANTONIO LAURINDO DE SOUZA NETO</v>
          </cell>
          <cell r="N2009" t="str">
            <v>EXO0065</v>
          </cell>
          <cell r="O2009" t="str">
            <v>2011</v>
          </cell>
          <cell r="P2009" t="str">
            <v>18</v>
          </cell>
          <cell r="Q2009" t="str">
            <v>17</v>
          </cell>
        </row>
        <row r="2010">
          <cell r="B2010" t="str">
            <v>0172/16</v>
          </cell>
          <cell r="C2010" t="str">
            <v>2016-0.055.379-2</v>
          </cell>
          <cell r="D2010" t="str">
            <v/>
          </cell>
          <cell r="E2010" t="str">
            <v>09 de março de 2016</v>
          </cell>
          <cell r="F2010" t="str">
            <v>ANTONIO MARCELO ARMANDO SAVERINO</v>
          </cell>
          <cell r="G2010" t="str">
            <v>09/03/2016</v>
          </cell>
          <cell r="H2010" t="str">
            <v/>
          </cell>
          <cell r="I2010" t="str">
            <v/>
          </cell>
          <cell r="J2010" t="str">
            <v>PESSOA FÍSICA</v>
          </cell>
          <cell r="K2010" t="str">
            <v>130.429.788-85</v>
          </cell>
          <cell r="L2010" t="str">
            <v>JT</v>
          </cell>
          <cell r="M2010" t="str">
            <v>ANTONIO MARCELO ARMANDO SAVERINO</v>
          </cell>
          <cell r="N2010" t="str">
            <v>ECT3830</v>
          </cell>
          <cell r="O2010" t="str">
            <v>2008</v>
          </cell>
          <cell r="P2010" t="str">
            <v>29</v>
          </cell>
          <cell r="Q2010" t="str">
            <v>27</v>
          </cell>
        </row>
        <row r="2011">
          <cell r="B2011" t="str">
            <v>0173/16</v>
          </cell>
          <cell r="C2011" t="str">
            <v>2016-0.055.366-0</v>
          </cell>
          <cell r="D2011" t="str">
            <v/>
          </cell>
          <cell r="E2011" t="str">
            <v>14 de março de 2016</v>
          </cell>
          <cell r="F2011" t="str">
            <v>ANTONIO RODRIGUES MACIEL</v>
          </cell>
          <cell r="G2011" t="str">
            <v>14/03/2016</v>
          </cell>
          <cell r="H2011" t="str">
            <v/>
          </cell>
          <cell r="I2011" t="str">
            <v/>
          </cell>
          <cell r="J2011" t="str">
            <v>PESSOA FÍSICA</v>
          </cell>
          <cell r="K2011" t="str">
            <v>817.788.218-04</v>
          </cell>
          <cell r="L2011" t="str">
            <v>PE</v>
          </cell>
          <cell r="M2011" t="str">
            <v>ANTONIO RODRIGUES MACIEL</v>
          </cell>
          <cell r="N2011" t="str">
            <v>EMU8040</v>
          </cell>
          <cell r="O2011" t="str">
            <v>2011</v>
          </cell>
          <cell r="P2011" t="str">
            <v>18</v>
          </cell>
          <cell r="Q2011" t="str">
            <v>17</v>
          </cell>
        </row>
        <row r="2012">
          <cell r="B2012" t="str">
            <v>0174/16</v>
          </cell>
          <cell r="C2012" t="str">
            <v>2016-0.055.361-0</v>
          </cell>
          <cell r="D2012" t="str">
            <v/>
          </cell>
          <cell r="E2012" t="str">
            <v>09 de março de 2016</v>
          </cell>
          <cell r="F2012" t="str">
            <v>AVERI NERI TOLENTINO</v>
          </cell>
          <cell r="G2012" t="str">
            <v>09/03/2016</v>
          </cell>
          <cell r="H2012" t="str">
            <v/>
          </cell>
          <cell r="I2012" t="str">
            <v/>
          </cell>
          <cell r="J2012" t="str">
            <v>PESSOA FÍSICA</v>
          </cell>
          <cell r="K2012" t="str">
            <v>876.298.878-68</v>
          </cell>
          <cell r="L2012" t="str">
            <v>CS</v>
          </cell>
          <cell r="M2012" t="str">
            <v>AVERI NERI TOLENTINO</v>
          </cell>
          <cell r="N2012" t="str">
            <v>DJF9010</v>
          </cell>
          <cell r="O2012" t="str">
            <v>2006</v>
          </cell>
          <cell r="P2012" t="str">
            <v>25</v>
          </cell>
          <cell r="Q2012" t="str">
            <v>23</v>
          </cell>
        </row>
        <row r="2013">
          <cell r="B2013" t="str">
            <v>0175/16</v>
          </cell>
          <cell r="C2013" t="str">
            <v>2016-0.055.356-3</v>
          </cell>
          <cell r="D2013" t="str">
            <v/>
          </cell>
          <cell r="E2013" t="str">
            <v>09 de março de 2016</v>
          </cell>
          <cell r="F2013" t="str">
            <v>CECILIA FRUGOLI</v>
          </cell>
          <cell r="G2013" t="str">
            <v>09/03/2016</v>
          </cell>
          <cell r="H2013" t="str">
            <v/>
          </cell>
          <cell r="I2013" t="str">
            <v/>
          </cell>
          <cell r="J2013" t="str">
            <v>PESSOA FÍSICA</v>
          </cell>
          <cell r="K2013" t="str">
            <v>043.413.828-29</v>
          </cell>
          <cell r="L2013" t="str">
            <v>PJ</v>
          </cell>
          <cell r="M2013" t="str">
            <v>CECILIA FRUGOLI</v>
          </cell>
          <cell r="N2013" t="str">
            <v>FFN5700</v>
          </cell>
          <cell r="O2013" t="str">
            <v>2012</v>
          </cell>
          <cell r="P2013" t="str">
            <v>15</v>
          </cell>
          <cell r="Q2013" t="str">
            <v>14</v>
          </cell>
        </row>
        <row r="2014">
          <cell r="B2014" t="str">
            <v>0176/16</v>
          </cell>
          <cell r="C2014" t="str">
            <v>2016-0.055.353-9</v>
          </cell>
          <cell r="D2014" t="str">
            <v/>
          </cell>
          <cell r="E2014" t="str">
            <v>09 de março de 2016</v>
          </cell>
          <cell r="F2014" t="str">
            <v>DANUZA LEE FRAGA</v>
          </cell>
          <cell r="G2014" t="str">
            <v>09/03/2016</v>
          </cell>
          <cell r="H2014" t="str">
            <v/>
          </cell>
          <cell r="I2014" t="str">
            <v/>
          </cell>
          <cell r="J2014" t="str">
            <v>PESSOA FÍSICA</v>
          </cell>
          <cell r="K2014" t="str">
            <v>165.839.478-03</v>
          </cell>
          <cell r="L2014" t="str">
            <v>FO</v>
          </cell>
          <cell r="M2014" t="str">
            <v>DANUZA LEE FRAGA</v>
          </cell>
          <cell r="N2014" t="str">
            <v>EJW0399</v>
          </cell>
          <cell r="O2014" t="str">
            <v>2010</v>
          </cell>
          <cell r="P2014" t="str">
            <v>15</v>
          </cell>
          <cell r="Q2014" t="str">
            <v>14</v>
          </cell>
        </row>
        <row r="2015">
          <cell r="B2015" t="str">
            <v>0177/16</v>
          </cell>
          <cell r="C2015" t="str">
            <v>2016-0.055.349-0</v>
          </cell>
          <cell r="D2015" t="str">
            <v/>
          </cell>
          <cell r="E2015" t="str">
            <v>21 de março de 2016</v>
          </cell>
          <cell r="F2015" t="str">
            <v>DEJAILTON JESUS DA SILVA</v>
          </cell>
          <cell r="G2015" t="str">
            <v>21/03/2016</v>
          </cell>
          <cell r="H2015" t="str">
            <v>23/03/2016</v>
          </cell>
          <cell r="I2015" t="str">
            <v>57</v>
          </cell>
          <cell r="J2015" t="str">
            <v>PESSOA FÍSICA</v>
          </cell>
          <cell r="K2015" t="str">
            <v>165.871.258-75</v>
          </cell>
          <cell r="L2015" t="str">
            <v>SM</v>
          </cell>
          <cell r="M2015" t="str">
            <v>DEJAILTON JESUS DA SILVA</v>
          </cell>
          <cell r="N2015" t="str">
            <v>DTD1570</v>
          </cell>
          <cell r="O2015" t="str">
            <v>2007</v>
          </cell>
          <cell r="P2015" t="str">
            <v>29</v>
          </cell>
          <cell r="Q2015" t="str">
            <v>27</v>
          </cell>
        </row>
        <row r="2016">
          <cell r="B2016" t="str">
            <v>0178/16</v>
          </cell>
          <cell r="C2016" t="str">
            <v>2016-0.055.343-1</v>
          </cell>
          <cell r="D2016" t="str">
            <v>22/02/2016</v>
          </cell>
          <cell r="E2016" t="str">
            <v>21 de março de 2016</v>
          </cell>
          <cell r="F2016" t="str">
            <v>JOSE VICENTE FERREIRA NETO</v>
          </cell>
          <cell r="G2016" t="str">
            <v>21/03/2016</v>
          </cell>
          <cell r="H2016" t="str">
            <v>23/03/2016</v>
          </cell>
          <cell r="I2016" t="str">
            <v>57</v>
          </cell>
          <cell r="J2016" t="str">
            <v>PESSOA FÍSICA</v>
          </cell>
          <cell r="K2016" t="str">
            <v>007.896.718-08</v>
          </cell>
          <cell r="L2016" t="str">
            <v>G</v>
          </cell>
          <cell r="M2016" t="str">
            <v>JOSE VICENTE FERREIRA NETO</v>
          </cell>
          <cell r="N2016" t="str">
            <v>CZX5077</v>
          </cell>
          <cell r="O2016" t="str">
            <v>2002</v>
          </cell>
          <cell r="P2016" t="str">
            <v>25</v>
          </cell>
          <cell r="Q2016" t="str">
            <v>23</v>
          </cell>
        </row>
        <row r="2017">
          <cell r="B2017" t="str">
            <v>0179/16</v>
          </cell>
          <cell r="C2017" t="str">
            <v>2016-0.055.337-7</v>
          </cell>
          <cell r="D2017" t="str">
            <v/>
          </cell>
          <cell r="E2017" t="str">
            <v>09 de março de 2016</v>
          </cell>
          <cell r="F2017" t="str">
            <v>JOSE GONCALVES</v>
          </cell>
          <cell r="G2017" t="str">
            <v>09/03/2016</v>
          </cell>
          <cell r="H2017" t="str">
            <v/>
          </cell>
          <cell r="I2017" t="str">
            <v/>
          </cell>
          <cell r="J2017" t="str">
            <v>PESSOA FÍSICA</v>
          </cell>
          <cell r="K2017" t="str">
            <v>275.440.368-04</v>
          </cell>
          <cell r="L2017" t="str">
            <v>G</v>
          </cell>
          <cell r="M2017" t="str">
            <v>JOSE GONCALVES</v>
          </cell>
          <cell r="N2017" t="str">
            <v>CZX8564</v>
          </cell>
          <cell r="O2017" t="str">
            <v>2002</v>
          </cell>
          <cell r="P2017" t="str">
            <v>25</v>
          </cell>
          <cell r="Q2017" t="str">
            <v>23</v>
          </cell>
        </row>
        <row r="2018">
          <cell r="B2018" t="str">
            <v>0180/16</v>
          </cell>
          <cell r="C2018" t="str">
            <v>2016-0.055.329-6</v>
          </cell>
          <cell r="D2018" t="str">
            <v/>
          </cell>
          <cell r="E2018" t="str">
            <v>28 de março de 2016</v>
          </cell>
          <cell r="F2018" t="str">
            <v>GUALDINO MARTINS DE ARRUDA</v>
          </cell>
          <cell r="G2018" t="str">
            <v>28/03/2016</v>
          </cell>
          <cell r="H2018" t="str">
            <v>09/04/2016</v>
          </cell>
          <cell r="I2018" t="str">
            <v>32</v>
          </cell>
          <cell r="J2018" t="str">
            <v>PESSOA FÍSICA</v>
          </cell>
          <cell r="K2018" t="str">
            <v>044.125.498-52</v>
          </cell>
          <cell r="L2018" t="str">
            <v>G</v>
          </cell>
          <cell r="M2018" t="str">
            <v>GUALDINO MARTINS DE ARRUDA</v>
          </cell>
          <cell r="N2018" t="str">
            <v>DTD3795</v>
          </cell>
          <cell r="O2018" t="str">
            <v>2008</v>
          </cell>
          <cell r="P2018" t="str">
            <v>29</v>
          </cell>
          <cell r="Q2018" t="str">
            <v>27</v>
          </cell>
        </row>
        <row r="2019">
          <cell r="B2019" t="str">
            <v>0181/16</v>
          </cell>
          <cell r="C2019" t="str">
            <v>2016-0.055.324-5</v>
          </cell>
          <cell r="D2019" t="str">
            <v/>
          </cell>
          <cell r="E2019" t="str">
            <v>09 de março de 2016</v>
          </cell>
          <cell r="F2019" t="str">
            <v>EDNALDO DA SILVA BESERRA</v>
          </cell>
          <cell r="G2019" t="str">
            <v>09/03/2016</v>
          </cell>
          <cell r="H2019" t="str">
            <v/>
          </cell>
          <cell r="I2019" t="str">
            <v/>
          </cell>
          <cell r="J2019" t="str">
            <v>PESSOA FÍSICA</v>
          </cell>
          <cell r="K2019" t="str">
            <v>806.310.294-00</v>
          </cell>
          <cell r="L2019" t="str">
            <v>G</v>
          </cell>
          <cell r="M2019" t="str">
            <v>EDNALDO DA SILVA BESERRA</v>
          </cell>
          <cell r="N2019" t="str">
            <v>DTD9110</v>
          </cell>
          <cell r="O2019" t="str">
            <v>2009</v>
          </cell>
          <cell r="P2019" t="str">
            <v>11</v>
          </cell>
          <cell r="Q2019" t="str">
            <v>10</v>
          </cell>
        </row>
        <row r="2020">
          <cell r="B2020" t="str">
            <v>0182/16</v>
          </cell>
          <cell r="C2020" t="str">
            <v>2016-0.055.317-2</v>
          </cell>
          <cell r="D2020" t="str">
            <v>07/03/2016</v>
          </cell>
          <cell r="E2020" t="str">
            <v>07 de março de 2016</v>
          </cell>
          <cell r="F2020" t="str">
            <v>ARLINDO LEITE DO NASCIMENTO</v>
          </cell>
          <cell r="G2020" t="str">
            <v>07/03/2016</v>
          </cell>
          <cell r="H2020" t="str">
            <v/>
          </cell>
          <cell r="I2020" t="str">
            <v/>
          </cell>
          <cell r="J2020" t="str">
            <v>PESSOA FÍSICA</v>
          </cell>
          <cell r="K2020" t="str">
            <v>918.349.968-72</v>
          </cell>
          <cell r="L2020" t="str">
            <v>G</v>
          </cell>
          <cell r="M2020" t="str">
            <v>ARLINDO LEITE DO NASCIMENTO</v>
          </cell>
          <cell r="N2020" t="str">
            <v>DTC0293</v>
          </cell>
          <cell r="O2020" t="str">
            <v>2007</v>
          </cell>
          <cell r="P2020" t="str">
            <v>29</v>
          </cell>
          <cell r="Q2020" t="str">
            <v>27</v>
          </cell>
        </row>
        <row r="2021">
          <cell r="B2021" t="str">
            <v>0183/16</v>
          </cell>
          <cell r="C2021" t="str">
            <v>2016-0.055.313-0</v>
          </cell>
          <cell r="D2021" t="str">
            <v/>
          </cell>
          <cell r="E2021" t="str">
            <v>10 de março de 2016</v>
          </cell>
          <cell r="F2021" t="str">
            <v>GILMAR RIBEIRO LEAL</v>
          </cell>
          <cell r="G2021" t="str">
            <v>10/03/2016</v>
          </cell>
          <cell r="H2021" t="str">
            <v/>
          </cell>
          <cell r="I2021" t="str">
            <v/>
          </cell>
          <cell r="J2021" t="str">
            <v>PESSOA FÍSICA</v>
          </cell>
          <cell r="K2021" t="str">
            <v>860.459.466-34</v>
          </cell>
          <cell r="L2021" t="str">
            <v>G</v>
          </cell>
          <cell r="M2021" t="str">
            <v>GILMAR RIBEIRO LEAL</v>
          </cell>
          <cell r="N2021" t="str">
            <v>CZX5067</v>
          </cell>
          <cell r="O2021" t="str">
            <v>2002</v>
          </cell>
          <cell r="P2021" t="str">
            <v>25</v>
          </cell>
          <cell r="Q2021" t="str">
            <v>23</v>
          </cell>
        </row>
        <row r="2022">
          <cell r="B2022" t="str">
            <v>0184/16</v>
          </cell>
          <cell r="C2022" t="str">
            <v>2016-0.055.310-5</v>
          </cell>
          <cell r="D2022" t="str">
            <v/>
          </cell>
          <cell r="E2022" t="str">
            <v>04 de abril de 2016</v>
          </cell>
          <cell r="F2022" t="str">
            <v>SAMUEL VICENTE FERREIRA FILHO</v>
          </cell>
          <cell r="G2022" t="str">
            <v>04/04/2016</v>
          </cell>
          <cell r="H2022" t="str">
            <v>19/04/2016</v>
          </cell>
          <cell r="I2022" t="str">
            <v>26</v>
          </cell>
          <cell r="J2022" t="str">
            <v>PESSOA FÍSICA</v>
          </cell>
          <cell r="K2022" t="str">
            <v>126.543.138-83</v>
          </cell>
          <cell r="L2022" t="str">
            <v>G</v>
          </cell>
          <cell r="M2022" t="str">
            <v>SAMUEL VICENTE FERREIRA FILHO</v>
          </cell>
          <cell r="N2022" t="str">
            <v>DTD4319</v>
          </cell>
          <cell r="O2022" t="str">
            <v>2007</v>
          </cell>
          <cell r="P2022" t="str">
            <v>29</v>
          </cell>
          <cell r="Q2022" t="str">
            <v>27</v>
          </cell>
        </row>
        <row r="2023">
          <cell r="B2023" t="str">
            <v>0185/16</v>
          </cell>
          <cell r="C2023" t="str">
            <v>2016-0.055.260-5</v>
          </cell>
          <cell r="D2023" t="str">
            <v/>
          </cell>
          <cell r="E2023" t="str">
            <v>09 de março de 2016</v>
          </cell>
          <cell r="F2023" t="str">
            <v>DAVID CAMINI</v>
          </cell>
          <cell r="G2023" t="str">
            <v>09/03/2016</v>
          </cell>
          <cell r="H2023" t="str">
            <v/>
          </cell>
          <cell r="I2023" t="str">
            <v/>
          </cell>
          <cell r="J2023" t="str">
            <v>PESSOA FÍSICA</v>
          </cell>
          <cell r="K2023" t="str">
            <v>074.486.978-11</v>
          </cell>
          <cell r="L2023" t="str">
            <v>G</v>
          </cell>
          <cell r="M2023" t="str">
            <v>DAVID CAMINI</v>
          </cell>
          <cell r="N2023" t="str">
            <v>DMG7186</v>
          </cell>
          <cell r="O2023" t="str">
            <v>2003</v>
          </cell>
          <cell r="P2023" t="str">
            <v>23</v>
          </cell>
          <cell r="Q2023" t="str">
            <v>21</v>
          </cell>
        </row>
        <row r="2024">
          <cell r="B2024" t="str">
            <v>0186/16</v>
          </cell>
          <cell r="C2024" t="str">
            <v>2016-0.055.256-7</v>
          </cell>
          <cell r="D2024" t="str">
            <v/>
          </cell>
          <cell r="E2024" t="str">
            <v>11 de março de 2016</v>
          </cell>
          <cell r="F2024" t="str">
            <v>NICILENE DA SILVA MENDONCA</v>
          </cell>
          <cell r="G2024" t="str">
            <v>11/03/2016</v>
          </cell>
          <cell r="H2024" t="str">
            <v/>
          </cell>
          <cell r="I2024" t="str">
            <v/>
          </cell>
          <cell r="J2024" t="str">
            <v>PESSOA FÍSICA</v>
          </cell>
          <cell r="K2024" t="str">
            <v>112.620.188-03</v>
          </cell>
          <cell r="L2024" t="str">
            <v>G</v>
          </cell>
          <cell r="M2024" t="str">
            <v>NICILENE DA SILVA MENDONCA</v>
          </cell>
          <cell r="N2024" t="str">
            <v>EXO1447</v>
          </cell>
          <cell r="O2024" t="str">
            <v>2013</v>
          </cell>
          <cell r="P2024" t="str">
            <v>19</v>
          </cell>
          <cell r="Q2024" t="str">
            <v>18</v>
          </cell>
        </row>
        <row r="2025">
          <cell r="B2025" t="str">
            <v>0187/16</v>
          </cell>
          <cell r="C2025" t="str">
            <v>2016-0.055.252-4</v>
          </cell>
          <cell r="D2025" t="str">
            <v/>
          </cell>
          <cell r="E2025" t="str">
            <v>09 de março de 2016</v>
          </cell>
          <cell r="F2025" t="str">
            <v>EDNA LUCIA DE OLIVEIRA MELO</v>
          </cell>
          <cell r="G2025" t="str">
            <v>09/03/2016</v>
          </cell>
          <cell r="H2025" t="str">
            <v/>
          </cell>
          <cell r="I2025" t="str">
            <v/>
          </cell>
          <cell r="J2025" t="str">
            <v>PESSOA FÍSICA</v>
          </cell>
          <cell r="K2025" t="str">
            <v>275.146.538-21</v>
          </cell>
          <cell r="L2025" t="str">
            <v>G</v>
          </cell>
          <cell r="M2025" t="str">
            <v>EDNA LUCIA DE OLIVEIRA MELO</v>
          </cell>
          <cell r="N2025" t="str">
            <v>CZX8737</v>
          </cell>
          <cell r="O2025" t="str">
            <v>2003</v>
          </cell>
          <cell r="P2025" t="str">
            <v>25</v>
          </cell>
          <cell r="Q2025" t="str">
            <v>23</v>
          </cell>
        </row>
        <row r="2026">
          <cell r="B2026" t="str">
            <v>0188/16</v>
          </cell>
          <cell r="C2026" t="str">
            <v>2016-0.055.241-9</v>
          </cell>
          <cell r="D2026" t="str">
            <v/>
          </cell>
          <cell r="E2026" t="str">
            <v>09 de março de 2016</v>
          </cell>
          <cell r="F2026" t="str">
            <v>WANDERLEY MARTINIANO DA MATA</v>
          </cell>
          <cell r="G2026" t="str">
            <v>09/03/2016</v>
          </cell>
          <cell r="H2026" t="str">
            <v/>
          </cell>
          <cell r="I2026" t="str">
            <v/>
          </cell>
          <cell r="J2026" t="str">
            <v>PESSOA FÍSICA</v>
          </cell>
          <cell r="K2026" t="str">
            <v>102.955.408-00</v>
          </cell>
          <cell r="L2026" t="str">
            <v>G</v>
          </cell>
          <cell r="M2026" t="str">
            <v>WANDERLEY MARTINIANO DA MATA</v>
          </cell>
          <cell r="N2026" t="str">
            <v>DTC4171</v>
          </cell>
          <cell r="O2026" t="str">
            <v>2008</v>
          </cell>
          <cell r="P2026" t="str">
            <v>29</v>
          </cell>
          <cell r="Q2026" t="str">
            <v>27</v>
          </cell>
        </row>
        <row r="2027">
          <cell r="B2027" t="str">
            <v>0189/16</v>
          </cell>
          <cell r="C2027" t="str">
            <v>2016-0.055.231-1</v>
          </cell>
          <cell r="D2027" t="str">
            <v/>
          </cell>
          <cell r="E2027" t="str">
            <v>10 de março de 2016</v>
          </cell>
          <cell r="F2027" t="str">
            <v>ROBERTO SANTIAGO</v>
          </cell>
          <cell r="G2027" t="str">
            <v>10/03/2016</v>
          </cell>
          <cell r="H2027" t="str">
            <v/>
          </cell>
          <cell r="I2027" t="str">
            <v/>
          </cell>
          <cell r="J2027" t="str">
            <v>PESSOA FÍSICA</v>
          </cell>
          <cell r="K2027" t="str">
            <v>075.932.128-07</v>
          </cell>
          <cell r="L2027" t="str">
            <v>G</v>
          </cell>
          <cell r="M2027" t="str">
            <v>ROBERTO SANTIAGO</v>
          </cell>
          <cell r="N2027" t="str">
            <v>FFN8459</v>
          </cell>
          <cell r="O2027" t="str">
            <v>2012</v>
          </cell>
          <cell r="P2027" t="str">
            <v>19</v>
          </cell>
          <cell r="Q2027" t="str">
            <v>18</v>
          </cell>
        </row>
        <row r="2028">
          <cell r="B2028" t="str">
            <v>0190/16</v>
          </cell>
          <cell r="C2028" t="str">
            <v>2016-0.055.225-7</v>
          </cell>
          <cell r="D2028" t="str">
            <v/>
          </cell>
          <cell r="E2028" t="str">
            <v>09 de março de 2016</v>
          </cell>
          <cell r="F2028" t="str">
            <v>AJENIAS PEREIRA</v>
          </cell>
          <cell r="G2028" t="str">
            <v>09/03/2016</v>
          </cell>
          <cell r="H2028" t="str">
            <v/>
          </cell>
          <cell r="I2028" t="str">
            <v/>
          </cell>
          <cell r="J2028" t="str">
            <v>PESSOA FÍSICA</v>
          </cell>
          <cell r="K2028" t="str">
            <v>903.221.348-20</v>
          </cell>
          <cell r="L2028" t="str">
            <v>G</v>
          </cell>
          <cell r="M2028" t="str">
            <v>AJENIAS PEREIRA</v>
          </cell>
          <cell r="N2028" t="str">
            <v>DJB1584</v>
          </cell>
          <cell r="O2028" t="str">
            <v>2003</v>
          </cell>
          <cell r="P2028" t="str">
            <v>35</v>
          </cell>
          <cell r="Q2028" t="str">
            <v>33</v>
          </cell>
        </row>
        <row r="2029">
          <cell r="B2029" t="str">
            <v>0191/16</v>
          </cell>
          <cell r="C2029" t="str">
            <v>2016-0.055.219-2</v>
          </cell>
          <cell r="D2029" t="str">
            <v/>
          </cell>
          <cell r="E2029" t="str">
            <v>10 de março de 2016</v>
          </cell>
          <cell r="F2029" t="str">
            <v>EDILENE SALES FEITOZA</v>
          </cell>
          <cell r="G2029" t="str">
            <v>10/03/2016</v>
          </cell>
          <cell r="H2029" t="str">
            <v/>
          </cell>
          <cell r="I2029" t="str">
            <v/>
          </cell>
          <cell r="J2029" t="str">
            <v>PESSOA FÍSICA</v>
          </cell>
          <cell r="K2029" t="str">
            <v>142.553.848-78</v>
          </cell>
          <cell r="L2029" t="str">
            <v>G</v>
          </cell>
          <cell r="M2029" t="str">
            <v>EDILENE SALES FEITOZA</v>
          </cell>
          <cell r="N2029" t="str">
            <v>DTD3001</v>
          </cell>
          <cell r="O2029" t="str">
            <v>2008</v>
          </cell>
          <cell r="P2029" t="str">
            <v>29</v>
          </cell>
          <cell r="Q2029" t="str">
            <v>27</v>
          </cell>
        </row>
        <row r="2030">
          <cell r="B2030" t="str">
            <v>0192/16</v>
          </cell>
          <cell r="C2030" t="str">
            <v>2016-0.055.216-8</v>
          </cell>
          <cell r="D2030" t="str">
            <v/>
          </cell>
          <cell r="E2030" t="str">
            <v>10 de março de 2016</v>
          </cell>
          <cell r="F2030" t="str">
            <v>PAULO SERGIO DO NASCIMENTO</v>
          </cell>
          <cell r="G2030" t="str">
            <v>10/03/2016</v>
          </cell>
          <cell r="H2030" t="str">
            <v/>
          </cell>
          <cell r="I2030" t="str">
            <v/>
          </cell>
          <cell r="J2030" t="str">
            <v>PESSOA FÍSICA</v>
          </cell>
          <cell r="K2030" t="str">
            <v>060.091.398-80</v>
          </cell>
          <cell r="L2030" t="str">
            <v>G</v>
          </cell>
          <cell r="M2030" t="str">
            <v>PAULO SERGIO DO NASCIMENTO</v>
          </cell>
          <cell r="N2030" t="str">
            <v>DTC1076</v>
          </cell>
          <cell r="O2030" t="str">
            <v>2007</v>
          </cell>
          <cell r="P2030" t="str">
            <v>29</v>
          </cell>
          <cell r="Q2030" t="str">
            <v>27</v>
          </cell>
        </row>
        <row r="2031">
          <cell r="B2031" t="str">
            <v>0193/16</v>
          </cell>
          <cell r="C2031" t="str">
            <v>2016-0.055.214-1</v>
          </cell>
          <cell r="D2031" t="str">
            <v/>
          </cell>
          <cell r="E2031" t="str">
            <v>15 de março de 2016</v>
          </cell>
          <cell r="F2031" t="str">
            <v>CRISTIANE FERREIRA SILVA</v>
          </cell>
          <cell r="G2031" t="str">
            <v>15/03/2016</v>
          </cell>
          <cell r="H2031" t="str">
            <v/>
          </cell>
          <cell r="I2031" t="str">
            <v/>
          </cell>
          <cell r="J2031" t="str">
            <v>PESSOA FÍSICA</v>
          </cell>
          <cell r="K2031" t="str">
            <v>142.914.418-19</v>
          </cell>
          <cell r="L2031" t="str">
            <v>G</v>
          </cell>
          <cell r="M2031" t="str">
            <v>CRISTIANE FERREIRA SILVA</v>
          </cell>
          <cell r="N2031" t="str">
            <v>ECT4975</v>
          </cell>
          <cell r="O2031" t="str">
            <v>2008</v>
          </cell>
          <cell r="P2031" t="str">
            <v>29</v>
          </cell>
          <cell r="Q2031" t="str">
            <v>27</v>
          </cell>
        </row>
        <row r="2032">
          <cell r="B2032" t="str">
            <v>0194/16</v>
          </cell>
          <cell r="C2032" t="str">
            <v>2016-0.055.199-4</v>
          </cell>
          <cell r="D2032" t="str">
            <v/>
          </cell>
          <cell r="E2032" t="str">
            <v>09 de março de 2016</v>
          </cell>
          <cell r="F2032" t="str">
            <v>MARLY CONCEICAO SCAURI</v>
          </cell>
          <cell r="G2032" t="str">
            <v>09/03/2016</v>
          </cell>
          <cell r="H2032" t="str">
            <v/>
          </cell>
          <cell r="I2032" t="str">
            <v/>
          </cell>
          <cell r="J2032" t="str">
            <v>PESSOA FÍSICA</v>
          </cell>
          <cell r="K2032" t="str">
            <v>213.438.358-52</v>
          </cell>
          <cell r="L2032" t="str">
            <v>G</v>
          </cell>
          <cell r="M2032" t="str">
            <v>MARLY CONCEICAO SCAURI</v>
          </cell>
          <cell r="N2032" t="str">
            <v>CZZ1543</v>
          </cell>
          <cell r="O2032" t="str">
            <v>2003</v>
          </cell>
          <cell r="P2032" t="str">
            <v>25</v>
          </cell>
          <cell r="Q2032" t="str">
            <v>23</v>
          </cell>
        </row>
        <row r="2033">
          <cell r="B2033" t="str">
            <v>0195/16</v>
          </cell>
          <cell r="C2033" t="str">
            <v>2016-0.055.188-9</v>
          </cell>
          <cell r="D2033" t="str">
            <v/>
          </cell>
          <cell r="E2033" t="str">
            <v>09 de março de 2016</v>
          </cell>
          <cell r="F2033" t="str">
            <v>ANTONIO HONORATO PINHEIRO</v>
          </cell>
          <cell r="G2033" t="str">
            <v>09/03/2016</v>
          </cell>
          <cell r="H2033" t="str">
            <v/>
          </cell>
          <cell r="I2033" t="str">
            <v/>
          </cell>
          <cell r="J2033" t="str">
            <v>PESSOA FÍSICA</v>
          </cell>
          <cell r="K2033" t="str">
            <v>041.319.238-58</v>
          </cell>
          <cell r="L2033" t="str">
            <v>G</v>
          </cell>
          <cell r="M2033" t="str">
            <v>ANTONIO HONORATO PINHEIRO</v>
          </cell>
          <cell r="N2033" t="str">
            <v>CZX6189</v>
          </cell>
          <cell r="O2033" t="str">
            <v>2002</v>
          </cell>
          <cell r="P2033" t="str">
            <v>25</v>
          </cell>
          <cell r="Q2033" t="str">
            <v>23</v>
          </cell>
        </row>
        <row r="2034">
          <cell r="B2034" t="str">
            <v>0196/16</v>
          </cell>
          <cell r="C2034" t="str">
            <v>2016-0.055.182-0</v>
          </cell>
          <cell r="D2034" t="str">
            <v>07/03/2016</v>
          </cell>
          <cell r="E2034" t="str">
            <v>07 de março de 2016</v>
          </cell>
          <cell r="F2034" t="str">
            <v>ELAINE DE CARVALHO BARBOSA DIAS</v>
          </cell>
          <cell r="G2034" t="str">
            <v>07/03/2016</v>
          </cell>
          <cell r="H2034" t="str">
            <v/>
          </cell>
          <cell r="I2034" t="str">
            <v/>
          </cell>
          <cell r="J2034" t="str">
            <v>PESSOA FÍSICA</v>
          </cell>
          <cell r="K2034" t="str">
            <v>261.363.068-08</v>
          </cell>
          <cell r="L2034" t="str">
            <v>G</v>
          </cell>
          <cell r="M2034" t="str">
            <v>ELAINE DE CARVALHO BARBOSA DIAS</v>
          </cell>
          <cell r="N2034" t="str">
            <v>CZX3321</v>
          </cell>
          <cell r="O2034" t="str">
            <v>2003</v>
          </cell>
          <cell r="P2034" t="str">
            <v>25</v>
          </cell>
          <cell r="Q2034" t="str">
            <v>23</v>
          </cell>
        </row>
        <row r="2035">
          <cell r="B2035" t="str">
            <v>0197/16</v>
          </cell>
          <cell r="C2035" t="str">
            <v>2016-0.055.179-0</v>
          </cell>
          <cell r="D2035" t="str">
            <v>04/03/2016</v>
          </cell>
          <cell r="E2035" t="str">
            <v>04 de março de 2016</v>
          </cell>
          <cell r="F2035" t="str">
            <v>ORLANDO MENDES DO NASCIMENTO</v>
          </cell>
          <cell r="G2035" t="str">
            <v>04/03/2016</v>
          </cell>
          <cell r="H2035" t="str">
            <v/>
          </cell>
          <cell r="I2035" t="str">
            <v/>
          </cell>
          <cell r="J2035" t="str">
            <v>PESSOA FÍSICA</v>
          </cell>
          <cell r="K2035" t="str">
            <v>314.172.108-42</v>
          </cell>
          <cell r="L2035" t="str">
            <v>G</v>
          </cell>
          <cell r="M2035" t="str">
            <v>ORLANDO MENDES DO NASCIMENTO</v>
          </cell>
          <cell r="N2035" t="str">
            <v>FCB6497</v>
          </cell>
          <cell r="O2035" t="str">
            <v>2012</v>
          </cell>
          <cell r="P2035" t="str">
            <v>19</v>
          </cell>
          <cell r="Q2035" t="str">
            <v>18</v>
          </cell>
        </row>
        <row r="2036">
          <cell r="B2036" t="str">
            <v>0198/16</v>
          </cell>
          <cell r="C2036" t="str">
            <v>2016-0.055.173-0</v>
          </cell>
          <cell r="D2036" t="str">
            <v>07/03/2016</v>
          </cell>
          <cell r="E2036" t="str">
            <v>07 de março de 2016</v>
          </cell>
          <cell r="F2036" t="str">
            <v>ALMIR DE SOUSA</v>
          </cell>
          <cell r="G2036" t="str">
            <v>07/03/2016</v>
          </cell>
          <cell r="H2036" t="str">
            <v/>
          </cell>
          <cell r="I2036" t="str">
            <v/>
          </cell>
          <cell r="J2036" t="str">
            <v>PESSOA FÍSICA</v>
          </cell>
          <cell r="K2036" t="str">
            <v>950.850.336-04</v>
          </cell>
          <cell r="L2036" t="str">
            <v>CL</v>
          </cell>
          <cell r="M2036" t="str">
            <v>ALMIR DE SOUSA</v>
          </cell>
          <cell r="N2036" t="str">
            <v>EZL0949</v>
          </cell>
          <cell r="O2036" t="str">
            <v>2011</v>
          </cell>
          <cell r="P2036" t="str">
            <v>19</v>
          </cell>
          <cell r="Q2036" t="str">
            <v>18</v>
          </cell>
        </row>
        <row r="2037">
          <cell r="B2037" t="str">
            <v>0199/16</v>
          </cell>
          <cell r="C2037" t="str">
            <v>2016-0.055.171-4</v>
          </cell>
          <cell r="D2037" t="str">
            <v>07/03/2016</v>
          </cell>
          <cell r="E2037" t="str">
            <v>07 de março de 2016</v>
          </cell>
          <cell r="F2037" t="str">
            <v>ANTONIO COIMBRA DE SOUSA</v>
          </cell>
          <cell r="G2037" t="str">
            <v>07/03/2016</v>
          </cell>
          <cell r="H2037" t="str">
            <v/>
          </cell>
          <cell r="I2037" t="str">
            <v/>
          </cell>
          <cell r="J2037" t="str">
            <v>PESSOA FÍSICA</v>
          </cell>
          <cell r="K2037" t="str">
            <v>116.251.228-88</v>
          </cell>
          <cell r="L2037" t="str">
            <v>CL</v>
          </cell>
          <cell r="M2037" t="str">
            <v>ANTONIO COIMBRA DE SOUSA</v>
          </cell>
          <cell r="N2037" t="str">
            <v>EFW0120</v>
          </cell>
          <cell r="O2037" t="str">
            <v>2010</v>
          </cell>
          <cell r="P2037" t="str">
            <v>19</v>
          </cell>
          <cell r="Q2037" t="str">
            <v>18</v>
          </cell>
        </row>
        <row r="2038">
          <cell r="B2038" t="str">
            <v>0200/16</v>
          </cell>
          <cell r="C2038" t="str">
            <v>2016-0.055.167-6</v>
          </cell>
          <cell r="D2038" t="str">
            <v>07/03/2016</v>
          </cell>
          <cell r="E2038" t="str">
            <v>07 de março de 2016</v>
          </cell>
          <cell r="F2038" t="str">
            <v>CLAUDIO AMAURY RIBEIRO HAHN</v>
          </cell>
          <cell r="G2038" t="str">
            <v>07/03/2016</v>
          </cell>
          <cell r="H2038" t="str">
            <v/>
          </cell>
          <cell r="I2038" t="str">
            <v/>
          </cell>
          <cell r="J2038" t="str">
            <v>PESSOA FÍSICA</v>
          </cell>
          <cell r="K2038" t="str">
            <v>135.139.708-70</v>
          </cell>
          <cell r="L2038" t="str">
            <v>CL</v>
          </cell>
          <cell r="M2038" t="str">
            <v>CLAUDIO AMAURY RIBEIRO HAHN</v>
          </cell>
          <cell r="N2038" t="str">
            <v>EMU6937</v>
          </cell>
          <cell r="O2038" t="str">
            <v>2011</v>
          </cell>
          <cell r="P2038" t="str">
            <v>19</v>
          </cell>
          <cell r="Q2038" t="str">
            <v>18</v>
          </cell>
        </row>
        <row r="2039">
          <cell r="B2039" t="str">
            <v>0201/16</v>
          </cell>
          <cell r="C2039" t="str">
            <v>2016-0.055.162-5</v>
          </cell>
          <cell r="D2039" t="str">
            <v>07/03/2016</v>
          </cell>
          <cell r="E2039" t="str">
            <v>07 de março de 2016</v>
          </cell>
          <cell r="F2039" t="str">
            <v>JUSSELMA DOS SANTOS</v>
          </cell>
          <cell r="G2039" t="str">
            <v>07/03/2016</v>
          </cell>
          <cell r="H2039" t="str">
            <v/>
          </cell>
          <cell r="I2039" t="str">
            <v/>
          </cell>
          <cell r="J2039" t="str">
            <v>PESSOA FÍSICA</v>
          </cell>
          <cell r="K2039" t="str">
            <v>022.022.118-96</v>
          </cell>
          <cell r="L2039" t="str">
            <v>CL</v>
          </cell>
          <cell r="M2039" t="str">
            <v>JUSSELMA DOS SANTOS</v>
          </cell>
          <cell r="N2039" t="str">
            <v>FCY8759</v>
          </cell>
          <cell r="O2039" t="str">
            <v>2014</v>
          </cell>
          <cell r="P2039" t="str">
            <v>19</v>
          </cell>
          <cell r="Q2039" t="str">
            <v>18</v>
          </cell>
        </row>
        <row r="2040">
          <cell r="B2040" t="str">
            <v>0202/16</v>
          </cell>
          <cell r="C2040" t="str">
            <v>2016-0.055.127-7</v>
          </cell>
          <cell r="D2040" t="str">
            <v>07/03/2016</v>
          </cell>
          <cell r="E2040" t="str">
            <v>07 de março de 2016</v>
          </cell>
          <cell r="F2040" t="str">
            <v>LEANDRO FERRAZ DO NASCIMENTO</v>
          </cell>
          <cell r="G2040" t="str">
            <v>07/03/2016</v>
          </cell>
          <cell r="H2040" t="str">
            <v/>
          </cell>
          <cell r="I2040" t="str">
            <v/>
          </cell>
          <cell r="J2040" t="str">
            <v>PESSOA FÍSICA</v>
          </cell>
          <cell r="K2040" t="str">
            <v>170.879.848-02</v>
          </cell>
          <cell r="L2040" t="str">
            <v>CL</v>
          </cell>
          <cell r="M2040" t="str">
            <v>LEANDRO FERRAZ DO NASCIMENTO</v>
          </cell>
          <cell r="N2040" t="str">
            <v>DEA7054</v>
          </cell>
          <cell r="O2040" t="str">
            <v>2001</v>
          </cell>
          <cell r="P2040" t="str">
            <v>24</v>
          </cell>
          <cell r="Q2040" t="str">
            <v>22</v>
          </cell>
        </row>
        <row r="2041">
          <cell r="B2041" t="str">
            <v>0203/16</v>
          </cell>
          <cell r="C2041" t="str">
            <v>2016-0.055.121-8</v>
          </cell>
          <cell r="D2041" t="str">
            <v/>
          </cell>
          <cell r="E2041" t="str">
            <v>07 de março de 2016</v>
          </cell>
          <cell r="F2041" t="str">
            <v>MARA ALESSANDRA BARBOSA RODRIGUES</v>
          </cell>
          <cell r="G2041" t="str">
            <v>07/03/2016</v>
          </cell>
          <cell r="H2041" t="str">
            <v>23/03/2016</v>
          </cell>
          <cell r="I2041" t="str">
            <v>57</v>
          </cell>
          <cell r="J2041" t="str">
            <v>PESSOA FÍSICA</v>
          </cell>
          <cell r="K2041" t="str">
            <v>269.675.718-69</v>
          </cell>
          <cell r="L2041" t="str">
            <v>CL</v>
          </cell>
          <cell r="M2041" t="str">
            <v>MARA ALESSANDRA BARBOSA RODRIGUES</v>
          </cell>
          <cell r="N2041" t="str">
            <v>EMU1499</v>
          </cell>
          <cell r="O2041" t="str">
            <v>2011</v>
          </cell>
          <cell r="P2041" t="str">
            <v>15</v>
          </cell>
          <cell r="Q2041" t="str">
            <v>14</v>
          </cell>
        </row>
        <row r="2042">
          <cell r="B2042" t="str">
            <v>0204/16</v>
          </cell>
          <cell r="C2042" t="str">
            <v>2016-0.055.115-3</v>
          </cell>
          <cell r="D2042" t="str">
            <v>07/03/2016</v>
          </cell>
          <cell r="E2042" t="str">
            <v>07 de março de 2016</v>
          </cell>
          <cell r="F2042" t="str">
            <v>MILTON DE ARRUDA BRITO</v>
          </cell>
          <cell r="G2042" t="str">
            <v>07/03/2016</v>
          </cell>
          <cell r="H2042" t="str">
            <v/>
          </cell>
          <cell r="I2042" t="str">
            <v/>
          </cell>
          <cell r="J2042" t="str">
            <v>PESSOA FÍSICA</v>
          </cell>
          <cell r="K2042" t="str">
            <v>836.905.818-34</v>
          </cell>
          <cell r="L2042" t="str">
            <v>CL</v>
          </cell>
          <cell r="M2042" t="str">
            <v>MILTON DE ARRUDA BRITO</v>
          </cell>
          <cell r="N2042" t="str">
            <v>ECT3835</v>
          </cell>
          <cell r="O2042" t="str">
            <v>2008</v>
          </cell>
          <cell r="P2042" t="str">
            <v>29</v>
          </cell>
          <cell r="Q2042" t="str">
            <v>27</v>
          </cell>
        </row>
        <row r="2043">
          <cell r="B2043" t="str">
            <v>0205/16</v>
          </cell>
          <cell r="C2043" t="str">
            <v>2016-0.055.110-2</v>
          </cell>
          <cell r="D2043" t="str">
            <v>07/03/2016</v>
          </cell>
          <cell r="E2043" t="str">
            <v>07 de março de 2016</v>
          </cell>
          <cell r="F2043" t="str">
            <v>OSMAR NASCIMENTO DE JESUS</v>
          </cell>
          <cell r="G2043" t="str">
            <v>07/03/2016</v>
          </cell>
          <cell r="H2043" t="str">
            <v/>
          </cell>
          <cell r="I2043" t="str">
            <v/>
          </cell>
          <cell r="J2043" t="str">
            <v>PESSOA FÍSICA</v>
          </cell>
          <cell r="K2043" t="str">
            <v>040.775.678-74</v>
          </cell>
          <cell r="L2043" t="str">
            <v>CL</v>
          </cell>
          <cell r="M2043" t="str">
            <v>OSMAR NASCIMENTO DE JESUS</v>
          </cell>
          <cell r="N2043" t="str">
            <v>ECT8515</v>
          </cell>
          <cell r="O2043" t="str">
            <v>2008</v>
          </cell>
          <cell r="P2043" t="str">
            <v>19</v>
          </cell>
          <cell r="Q2043" t="str">
            <v>18</v>
          </cell>
        </row>
        <row r="2044">
          <cell r="B2044" t="str">
            <v>0206/16</v>
          </cell>
          <cell r="C2044" t="str">
            <v>2016-0.055.102-1</v>
          </cell>
          <cell r="D2044" t="str">
            <v>07/03/2016</v>
          </cell>
          <cell r="E2044" t="str">
            <v>07 de março de 2016</v>
          </cell>
          <cell r="F2044" t="str">
            <v>PAULO CEZAR BONFIM BARBOSA</v>
          </cell>
          <cell r="G2044" t="str">
            <v>07/03/2016</v>
          </cell>
          <cell r="H2044" t="str">
            <v/>
          </cell>
          <cell r="I2044" t="str">
            <v/>
          </cell>
          <cell r="J2044" t="str">
            <v>PESSOA FÍSICA</v>
          </cell>
          <cell r="K2044" t="str">
            <v>924.777.987-15</v>
          </cell>
          <cell r="L2044" t="str">
            <v>CL</v>
          </cell>
          <cell r="M2044" t="str">
            <v>PAULO CEZAR BONFIM BARBOSA</v>
          </cell>
          <cell r="N2044" t="str">
            <v>DTB1278</v>
          </cell>
          <cell r="O2044" t="str">
            <v>2006</v>
          </cell>
          <cell r="P2044" t="str">
            <v>25</v>
          </cell>
          <cell r="Q2044" t="str">
            <v>23</v>
          </cell>
        </row>
        <row r="2045">
          <cell r="B2045" t="str">
            <v>0207/16</v>
          </cell>
          <cell r="C2045" t="str">
            <v>2016-0.055.092-0</v>
          </cell>
          <cell r="D2045" t="str">
            <v>08/03/2016</v>
          </cell>
          <cell r="E2045" t="str">
            <v>08 de março de 2016</v>
          </cell>
          <cell r="F2045" t="str">
            <v>RENATO SIMPLICIO DA SILVA</v>
          </cell>
          <cell r="G2045" t="str">
            <v>08/03/2016</v>
          </cell>
          <cell r="H2045" t="str">
            <v/>
          </cell>
          <cell r="I2045" t="str">
            <v/>
          </cell>
          <cell r="J2045" t="str">
            <v>PESSOA FÍSICA</v>
          </cell>
          <cell r="K2045" t="str">
            <v>011.164.588-37</v>
          </cell>
          <cell r="L2045" t="str">
            <v>CL</v>
          </cell>
          <cell r="M2045" t="str">
            <v>RENATO SIMPLICIO DA SILVA</v>
          </cell>
          <cell r="N2045" t="str">
            <v>EJI1077</v>
          </cell>
          <cell r="O2045" t="str">
            <v>2009</v>
          </cell>
          <cell r="P2045" t="str">
            <v>19</v>
          </cell>
          <cell r="Q2045" t="str">
            <v>18</v>
          </cell>
        </row>
        <row r="2046">
          <cell r="B2046" t="str">
            <v>0208/16</v>
          </cell>
          <cell r="C2046" t="str">
            <v>2016-0.055.088-2</v>
          </cell>
          <cell r="D2046" t="str">
            <v/>
          </cell>
          <cell r="E2046" t="str">
            <v>10 de março de 2016</v>
          </cell>
          <cell r="F2046" t="str">
            <v>ANA CRISTINA LEAL NERY DA SILVA</v>
          </cell>
          <cell r="G2046" t="str">
            <v>10/03/2016</v>
          </cell>
          <cell r="H2046" t="str">
            <v/>
          </cell>
          <cell r="I2046" t="str">
            <v/>
          </cell>
          <cell r="J2046" t="str">
            <v>PESSOA FÍSICA</v>
          </cell>
          <cell r="K2046" t="str">
            <v>167.009.058-26</v>
          </cell>
          <cell r="L2046" t="str">
            <v>CL</v>
          </cell>
          <cell r="M2046" t="str">
            <v>ANA CRISTINA LEAL NERY DA SILVA</v>
          </cell>
          <cell r="N2046" t="str">
            <v>EFV3001</v>
          </cell>
          <cell r="O2046" t="str">
            <v>2010</v>
          </cell>
          <cell r="P2046" t="str">
            <v>19</v>
          </cell>
          <cell r="Q2046" t="str">
            <v>18</v>
          </cell>
        </row>
        <row r="2047">
          <cell r="B2047" t="str">
            <v>0209/16</v>
          </cell>
          <cell r="C2047" t="str">
            <v>2016-0.055.080-7</v>
          </cell>
          <cell r="D2047" t="str">
            <v/>
          </cell>
          <cell r="E2047" t="str">
            <v>09 de março de 2016</v>
          </cell>
          <cell r="F2047" t="str">
            <v>CARLOS EDUARDO MARTINHAO</v>
          </cell>
          <cell r="G2047" t="str">
            <v>09/03/2016</v>
          </cell>
          <cell r="H2047" t="str">
            <v/>
          </cell>
          <cell r="I2047" t="str">
            <v/>
          </cell>
          <cell r="J2047" t="str">
            <v>PESSOA FÍSICA</v>
          </cell>
          <cell r="K2047" t="str">
            <v>251.093.488-04</v>
          </cell>
          <cell r="L2047" t="str">
            <v>CL</v>
          </cell>
          <cell r="M2047" t="str">
            <v>CARLOS EDUARDO MARTINHAO</v>
          </cell>
          <cell r="N2047" t="str">
            <v>DTD7655</v>
          </cell>
          <cell r="O2047" t="str">
            <v>2008</v>
          </cell>
          <cell r="P2047" t="str">
            <v>19</v>
          </cell>
          <cell r="Q2047" t="str">
            <v>18</v>
          </cell>
        </row>
        <row r="2048">
          <cell r="B2048" t="str">
            <v>0210/16</v>
          </cell>
          <cell r="C2048" t="str">
            <v>2016-0.055.073-4</v>
          </cell>
          <cell r="D2048" t="str">
            <v>22/02/2016</v>
          </cell>
          <cell r="E2048" t="str">
            <v>08 de março de 2016</v>
          </cell>
          <cell r="F2048" t="str">
            <v>CARLOS HENRIQUE DE MELO</v>
          </cell>
          <cell r="G2048" t="str">
            <v>08/03/2016</v>
          </cell>
          <cell r="H2048" t="str">
            <v/>
          </cell>
          <cell r="I2048" t="str">
            <v/>
          </cell>
          <cell r="J2048" t="str">
            <v>PESSOA FÍSICA</v>
          </cell>
          <cell r="K2048" t="str">
            <v>323.401.968-17</v>
          </cell>
          <cell r="L2048" t="str">
            <v>CL</v>
          </cell>
          <cell r="M2048" t="str">
            <v>CARLOS HENRIQUE DE MELO</v>
          </cell>
          <cell r="N2048" t="str">
            <v>EUG7559</v>
          </cell>
          <cell r="O2048" t="str">
            <v>2011</v>
          </cell>
          <cell r="P2048" t="str">
            <v>18</v>
          </cell>
          <cell r="Q2048" t="str">
            <v>17</v>
          </cell>
        </row>
        <row r="2049">
          <cell r="B2049" t="str">
            <v>0211/16</v>
          </cell>
          <cell r="C2049" t="str">
            <v>2016-0.055.069-6</v>
          </cell>
          <cell r="D2049" t="str">
            <v/>
          </cell>
          <cell r="E2049" t="str">
            <v>14 de março de 2016</v>
          </cell>
          <cell r="F2049" t="str">
            <v>DANIEL INACIO DA SILVA</v>
          </cell>
          <cell r="G2049" t="str">
            <v>14/03/2016</v>
          </cell>
          <cell r="H2049" t="str">
            <v/>
          </cell>
          <cell r="I2049" t="str">
            <v/>
          </cell>
          <cell r="J2049" t="str">
            <v>PESSOA FÍSICA</v>
          </cell>
          <cell r="K2049" t="str">
            <v>076.195.498-89</v>
          </cell>
          <cell r="L2049" t="str">
            <v>CL</v>
          </cell>
          <cell r="M2049" t="str">
            <v>DANIEL INACIO DA SILVA</v>
          </cell>
          <cell r="N2049" t="str">
            <v>EYI0566</v>
          </cell>
          <cell r="O2049" t="str">
            <v>2011</v>
          </cell>
          <cell r="P2049" t="str">
            <v>27</v>
          </cell>
          <cell r="Q2049" t="str">
            <v>26</v>
          </cell>
        </row>
        <row r="2050">
          <cell r="B2050" t="str">
            <v>0212/16</v>
          </cell>
          <cell r="C2050" t="str">
            <v>2016-0.055.063-7</v>
          </cell>
          <cell r="D2050" t="str">
            <v/>
          </cell>
          <cell r="E2050" t="str">
            <v>09 de março de 2016</v>
          </cell>
          <cell r="F2050" t="str">
            <v>JOAO MARQUES DOS SANTOS</v>
          </cell>
          <cell r="G2050" t="str">
            <v>09/03/2016</v>
          </cell>
          <cell r="H2050" t="str">
            <v/>
          </cell>
          <cell r="I2050" t="str">
            <v/>
          </cell>
          <cell r="J2050" t="str">
            <v>PESSOA FÍSICA</v>
          </cell>
          <cell r="K2050" t="str">
            <v>163.540.998-55</v>
          </cell>
          <cell r="L2050" t="str">
            <v>CL</v>
          </cell>
          <cell r="M2050" t="str">
            <v>JOAO MARQUES DOS SANTOS</v>
          </cell>
          <cell r="N2050" t="str">
            <v>EUP6409</v>
          </cell>
          <cell r="O2050" t="str">
            <v>2011</v>
          </cell>
          <cell r="P2050" t="str">
            <v>15</v>
          </cell>
          <cell r="Q2050" t="str">
            <v>14</v>
          </cell>
        </row>
        <row r="2051">
          <cell r="B2051" t="str">
            <v>0213/16</v>
          </cell>
          <cell r="C2051" t="str">
            <v>2016-0.055.058-0</v>
          </cell>
          <cell r="D2051" t="str">
            <v/>
          </cell>
          <cell r="E2051" t="str">
            <v>09 de março de 2016</v>
          </cell>
          <cell r="F2051" t="str">
            <v>JOAO RAIMUNDO DE SOUSA</v>
          </cell>
          <cell r="G2051" t="str">
            <v>09/03/2016</v>
          </cell>
          <cell r="H2051" t="str">
            <v/>
          </cell>
          <cell r="I2051" t="str">
            <v/>
          </cell>
          <cell r="J2051" t="str">
            <v>PESSOA FÍSICA</v>
          </cell>
          <cell r="K2051" t="str">
            <v>166.225.568-30</v>
          </cell>
          <cell r="L2051" t="str">
            <v>CL</v>
          </cell>
          <cell r="M2051" t="str">
            <v>JOAO RAIMUNDO DE SOUSA</v>
          </cell>
          <cell r="N2051" t="str">
            <v>DTE1173</v>
          </cell>
          <cell r="O2051" t="str">
            <v>2010</v>
          </cell>
          <cell r="P2051" t="str">
            <v>10</v>
          </cell>
          <cell r="Q2051" t="str">
            <v>9</v>
          </cell>
        </row>
        <row r="2052">
          <cell r="B2052" t="str">
            <v>0214/16</v>
          </cell>
          <cell r="C2052" t="str">
            <v>2016-0.055.053-0</v>
          </cell>
          <cell r="D2052" t="str">
            <v/>
          </cell>
          <cell r="E2052" t="str">
            <v>11 de março de 2016</v>
          </cell>
          <cell r="F2052" t="str">
            <v>JOAO ROBERTO DE ALMEIDA ALVES</v>
          </cell>
          <cell r="G2052" t="str">
            <v>11/03/2016</v>
          </cell>
          <cell r="H2052" t="str">
            <v/>
          </cell>
          <cell r="I2052" t="str">
            <v/>
          </cell>
          <cell r="J2052" t="str">
            <v>PESSOA FÍSICA</v>
          </cell>
          <cell r="K2052" t="str">
            <v>099.627.748-02</v>
          </cell>
          <cell r="L2052" t="str">
            <v>CL</v>
          </cell>
          <cell r="M2052" t="str">
            <v>JOAO ROBERTO DE ALMEIDA ALVES</v>
          </cell>
          <cell r="N2052" t="str">
            <v>EIX9137</v>
          </cell>
          <cell r="O2052" t="str">
            <v>2009</v>
          </cell>
          <cell r="P2052" t="str">
            <v>30</v>
          </cell>
          <cell r="Q2052" t="str">
            <v>29</v>
          </cell>
        </row>
        <row r="2053">
          <cell r="B2053" t="str">
            <v>0215/16</v>
          </cell>
          <cell r="C2053" t="str">
            <v>2016-0.055.048-3</v>
          </cell>
          <cell r="D2053" t="str">
            <v/>
          </cell>
          <cell r="E2053" t="str">
            <v>09 de março de 2016</v>
          </cell>
          <cell r="F2053" t="str">
            <v>MARCELO BRANDI</v>
          </cell>
          <cell r="G2053" t="str">
            <v>09/03/2016</v>
          </cell>
          <cell r="H2053" t="str">
            <v/>
          </cell>
          <cell r="I2053" t="str">
            <v/>
          </cell>
          <cell r="J2053" t="str">
            <v>PESSOA FÍSICA</v>
          </cell>
          <cell r="K2053" t="str">
            <v>127.389.228-30</v>
          </cell>
          <cell r="L2053" t="str">
            <v>CL</v>
          </cell>
          <cell r="M2053" t="str">
            <v>MARCELO BRANDI</v>
          </cell>
          <cell r="N2053" t="str">
            <v>DTE0170</v>
          </cell>
          <cell r="O2053" t="str">
            <v>2008</v>
          </cell>
          <cell r="P2053" t="str">
            <v>29</v>
          </cell>
          <cell r="Q2053" t="str">
            <v>27</v>
          </cell>
        </row>
        <row r="2054">
          <cell r="B2054" t="str">
            <v>0216/16</v>
          </cell>
          <cell r="C2054" t="str">
            <v>2016-0.055.044-0</v>
          </cell>
          <cell r="D2054" t="str">
            <v/>
          </cell>
          <cell r="E2054" t="str">
            <v>10 de março de 2016</v>
          </cell>
          <cell r="F2054" t="str">
            <v>MARCELO BRITO RODRIGUES</v>
          </cell>
          <cell r="G2054" t="str">
            <v>10/03/2016</v>
          </cell>
          <cell r="H2054" t="str">
            <v/>
          </cell>
          <cell r="I2054" t="str">
            <v/>
          </cell>
          <cell r="J2054" t="str">
            <v>PESSOA FÍSICA</v>
          </cell>
          <cell r="K2054" t="str">
            <v>021.997.468-36</v>
          </cell>
          <cell r="L2054" t="str">
            <v>CL</v>
          </cell>
          <cell r="M2054" t="str">
            <v>MARCELO BRITO RODRIGUES</v>
          </cell>
          <cell r="N2054" t="str">
            <v>DTC1088</v>
          </cell>
          <cell r="O2054" t="str">
            <v>2007</v>
          </cell>
          <cell r="P2054" t="str">
            <v>29</v>
          </cell>
          <cell r="Q2054" t="str">
            <v>27</v>
          </cell>
        </row>
        <row r="2055">
          <cell r="B2055" t="str">
            <v>0217/16</v>
          </cell>
          <cell r="C2055" t="str">
            <v>2016-0.055.033-5</v>
          </cell>
          <cell r="D2055" t="str">
            <v/>
          </cell>
          <cell r="E2055" t="str">
            <v>10 de março de 2016</v>
          </cell>
          <cell r="F2055" t="str">
            <v>MARIA DEUSA DE SANTANA SANTOS</v>
          </cell>
          <cell r="G2055" t="str">
            <v>10/03/2016</v>
          </cell>
          <cell r="H2055" t="str">
            <v/>
          </cell>
          <cell r="I2055" t="str">
            <v/>
          </cell>
          <cell r="J2055" t="str">
            <v>PESSOA FÍSICA</v>
          </cell>
          <cell r="K2055" t="str">
            <v>083.848.068-37</v>
          </cell>
          <cell r="L2055" t="str">
            <v>CL</v>
          </cell>
          <cell r="M2055" t="str">
            <v>MARIA DEUSA DE SANTANA SANTOS</v>
          </cell>
          <cell r="N2055" t="str">
            <v>CZZ6080</v>
          </cell>
          <cell r="O2055" t="str">
            <v>2003</v>
          </cell>
          <cell r="P2055" t="str">
            <v>25</v>
          </cell>
          <cell r="Q2055" t="str">
            <v>23</v>
          </cell>
        </row>
        <row r="2056">
          <cell r="B2056" t="str">
            <v>0218/16</v>
          </cell>
          <cell r="C2056" t="str">
            <v>2016-0.055.029-7</v>
          </cell>
          <cell r="D2056" t="str">
            <v/>
          </cell>
          <cell r="E2056" t="str">
            <v>09 de março de 2016</v>
          </cell>
          <cell r="F2056" t="str">
            <v>MARIO GODOY DOS SANTOS</v>
          </cell>
          <cell r="G2056" t="str">
            <v>09/03/2016</v>
          </cell>
          <cell r="H2056" t="str">
            <v/>
          </cell>
          <cell r="I2056" t="str">
            <v/>
          </cell>
          <cell r="J2056" t="str">
            <v>PESSOA FÍSICA</v>
          </cell>
          <cell r="K2056" t="str">
            <v>174.847.868-02</v>
          </cell>
          <cell r="L2056" t="str">
            <v>CL</v>
          </cell>
          <cell r="M2056" t="str">
            <v>MARIO GODOY DOS SANTOS</v>
          </cell>
          <cell r="N2056" t="str">
            <v>CYR2459</v>
          </cell>
          <cell r="O2056" t="str">
            <v>2003</v>
          </cell>
          <cell r="P2056" t="str">
            <v>25</v>
          </cell>
          <cell r="Q2056" t="str">
            <v>23</v>
          </cell>
        </row>
        <row r="2057">
          <cell r="B2057" t="str">
            <v>0219/16</v>
          </cell>
          <cell r="C2057" t="str">
            <v>2016-0.055.024-6</v>
          </cell>
          <cell r="D2057" t="str">
            <v/>
          </cell>
          <cell r="E2057" t="str">
            <v>10 de março de 2016</v>
          </cell>
          <cell r="F2057" t="str">
            <v>MAURINO AMBROSIO DO NASCIMENTO</v>
          </cell>
          <cell r="G2057" t="str">
            <v>10/03/2016</v>
          </cell>
          <cell r="H2057" t="str">
            <v/>
          </cell>
          <cell r="I2057" t="str">
            <v/>
          </cell>
          <cell r="J2057" t="str">
            <v>PESSOA FÍSICA</v>
          </cell>
          <cell r="K2057" t="str">
            <v>240.027.715-04</v>
          </cell>
          <cell r="L2057" t="str">
            <v>CL</v>
          </cell>
          <cell r="M2057" t="str">
            <v>MAURINO AMBROSIO DO NASCIMENTO</v>
          </cell>
          <cell r="N2057" t="str">
            <v>DTE8900</v>
          </cell>
          <cell r="O2057" t="str">
            <v>2009</v>
          </cell>
          <cell r="P2057" t="str">
            <v>19</v>
          </cell>
          <cell r="Q2057" t="str">
            <v>18</v>
          </cell>
        </row>
        <row r="2058">
          <cell r="B2058" t="str">
            <v>0220/16</v>
          </cell>
          <cell r="C2058" t="str">
            <v>2016-0.055.016-5</v>
          </cell>
          <cell r="D2058" t="str">
            <v/>
          </cell>
          <cell r="E2058" t="str">
            <v>10 de março de 2016</v>
          </cell>
          <cell r="F2058" t="str">
            <v>PAULO JOSE DA SILVA</v>
          </cell>
          <cell r="G2058" t="str">
            <v>10/03/2016</v>
          </cell>
          <cell r="H2058" t="str">
            <v/>
          </cell>
          <cell r="I2058" t="str">
            <v/>
          </cell>
          <cell r="J2058" t="str">
            <v>PESSOA FÍSICA</v>
          </cell>
          <cell r="K2058" t="str">
            <v>096.552.538-48</v>
          </cell>
          <cell r="L2058" t="str">
            <v>CL</v>
          </cell>
          <cell r="M2058" t="str">
            <v>PAULO JOSE DA SILVA</v>
          </cell>
          <cell r="N2058" t="str">
            <v>ERM6586</v>
          </cell>
          <cell r="O2058" t="str">
            <v>2010</v>
          </cell>
          <cell r="P2058" t="str">
            <v>19</v>
          </cell>
          <cell r="Q2058" t="str">
            <v>18</v>
          </cell>
        </row>
        <row r="2059">
          <cell r="B2059" t="str">
            <v>0221/16</v>
          </cell>
          <cell r="C2059" t="str">
            <v>2016-0.055.004-1</v>
          </cell>
          <cell r="D2059" t="str">
            <v/>
          </cell>
          <cell r="E2059" t="str">
            <v>09 de março de 2016</v>
          </cell>
          <cell r="F2059" t="str">
            <v>RENATA TRAJANO DA SILVA</v>
          </cell>
          <cell r="G2059" t="str">
            <v>09/03/2016</v>
          </cell>
          <cell r="H2059" t="str">
            <v/>
          </cell>
          <cell r="I2059" t="str">
            <v/>
          </cell>
          <cell r="J2059" t="str">
            <v>PESSOA FÍSICA</v>
          </cell>
          <cell r="K2059" t="str">
            <v>100.826.748-17</v>
          </cell>
          <cell r="L2059" t="str">
            <v>CL</v>
          </cell>
          <cell r="M2059" t="str">
            <v>RENATA TRAJANO DA SILVA</v>
          </cell>
          <cell r="N2059" t="str">
            <v>CZX6027</v>
          </cell>
          <cell r="O2059" t="str">
            <v>2001</v>
          </cell>
          <cell r="P2059" t="str">
            <v>25</v>
          </cell>
          <cell r="Q2059" t="str">
            <v>23</v>
          </cell>
        </row>
        <row r="2060">
          <cell r="B2060" t="str">
            <v>0222/16</v>
          </cell>
          <cell r="C2060" t="str">
            <v>2016-0.054.983-3</v>
          </cell>
          <cell r="D2060" t="str">
            <v/>
          </cell>
          <cell r="E2060" t="str">
            <v/>
          </cell>
          <cell r="F2060" t="str">
            <v>RICARDO DE SOUZA MOREIRA</v>
          </cell>
          <cell r="G2060" t="str">
            <v/>
          </cell>
          <cell r="H2060" t="str">
            <v/>
          </cell>
          <cell r="I2060" t="str">
            <v/>
          </cell>
          <cell r="J2060" t="str">
            <v>PESSOA FÍSICA</v>
          </cell>
          <cell r="K2060" t="str">
            <v>264.022.078-02</v>
          </cell>
          <cell r="L2060" t="str">
            <v>CL</v>
          </cell>
          <cell r="M2060" t="str">
            <v>RICARDO DE SOUZA MOREIRA</v>
          </cell>
          <cell r="N2060" t="str">
            <v>EFW4679</v>
          </cell>
          <cell r="O2060" t="str">
            <v>2010</v>
          </cell>
          <cell r="P2060" t="str">
            <v>27</v>
          </cell>
          <cell r="Q2060" t="str">
            <v>26</v>
          </cell>
        </row>
        <row r="2061">
          <cell r="B2061" t="str">
            <v>0223/16</v>
          </cell>
          <cell r="C2061" t="str">
            <v>2016-0.054.962-0</v>
          </cell>
          <cell r="D2061" t="str">
            <v/>
          </cell>
          <cell r="E2061" t="str">
            <v>14 de março de 2016</v>
          </cell>
          <cell r="F2061" t="str">
            <v>SANDRA MARIA RIBAS GOMES</v>
          </cell>
          <cell r="G2061" t="str">
            <v>14/03/2016</v>
          </cell>
          <cell r="H2061" t="str">
            <v/>
          </cell>
          <cell r="I2061" t="str">
            <v/>
          </cell>
          <cell r="J2061" t="str">
            <v>PESSOA FÍSICA</v>
          </cell>
          <cell r="K2061" t="str">
            <v>100.054.248-36</v>
          </cell>
          <cell r="L2061" t="str">
            <v>CL</v>
          </cell>
          <cell r="M2061" t="str">
            <v>SANDRA MARIA RIBAS GOMES</v>
          </cell>
          <cell r="N2061" t="str">
            <v>CZX7210</v>
          </cell>
          <cell r="O2061" t="str">
            <v>2002</v>
          </cell>
          <cell r="P2061" t="str">
            <v>25</v>
          </cell>
          <cell r="Q2061" t="str">
            <v>23</v>
          </cell>
        </row>
        <row r="2062">
          <cell r="B2062" t="str">
            <v>0224/16</v>
          </cell>
          <cell r="C2062" t="str">
            <v>2016-0.054.951-5</v>
          </cell>
          <cell r="D2062" t="str">
            <v/>
          </cell>
          <cell r="E2062" t="str">
            <v>10 de março de 2016</v>
          </cell>
          <cell r="F2062" t="str">
            <v>NARCISO LUCIANO DOS SANTOS</v>
          </cell>
          <cell r="G2062" t="str">
            <v>10/03/2016</v>
          </cell>
          <cell r="H2062" t="str">
            <v/>
          </cell>
          <cell r="I2062" t="str">
            <v/>
          </cell>
          <cell r="J2062" t="str">
            <v>PESSOA FÍSICA</v>
          </cell>
          <cell r="K2062" t="str">
            <v>282.834.304-91</v>
          </cell>
          <cell r="L2062" t="str">
            <v>CL</v>
          </cell>
          <cell r="M2062" t="str">
            <v>NARCISO LUCIANO DOS SANTOS</v>
          </cell>
          <cell r="N2062" t="str">
            <v>DTE0150</v>
          </cell>
          <cell r="O2062" t="str">
            <v>2007</v>
          </cell>
          <cell r="P2062" t="str">
            <v>29</v>
          </cell>
          <cell r="Q2062" t="str">
            <v>27</v>
          </cell>
        </row>
        <row r="2063">
          <cell r="B2063" t="str">
            <v>0225/16</v>
          </cell>
          <cell r="C2063" t="str">
            <v>2016-0.054.941-8</v>
          </cell>
          <cell r="D2063" t="str">
            <v/>
          </cell>
          <cell r="E2063" t="str">
            <v>21 de março de 2016</v>
          </cell>
          <cell r="F2063" t="str">
            <v>GILVANDRO ANTONIO DE SOUZA</v>
          </cell>
          <cell r="G2063" t="str">
            <v>21/03/2016</v>
          </cell>
          <cell r="H2063" t="str">
            <v>07/04/2016</v>
          </cell>
          <cell r="I2063" t="str">
            <v>18</v>
          </cell>
          <cell r="J2063" t="str">
            <v>PESSOA FÍSICA</v>
          </cell>
          <cell r="K2063" t="str">
            <v>111.399.078-32</v>
          </cell>
          <cell r="L2063" t="str">
            <v>CL</v>
          </cell>
          <cell r="M2063" t="str">
            <v>GILVANDRO ANTONIO DE SOUZA</v>
          </cell>
          <cell r="N2063" t="str">
            <v>DTD4002</v>
          </cell>
          <cell r="O2063" t="str">
            <v>2008</v>
          </cell>
          <cell r="P2063" t="str">
            <v>29</v>
          </cell>
          <cell r="Q2063" t="str">
            <v>28</v>
          </cell>
        </row>
        <row r="2064">
          <cell r="B2064" t="str">
            <v>0226/16</v>
          </cell>
          <cell r="C2064" t="str">
            <v>2016-0.054.934-5</v>
          </cell>
          <cell r="D2064" t="str">
            <v/>
          </cell>
          <cell r="E2064" t="str">
            <v>09 de março de 2016</v>
          </cell>
          <cell r="F2064" t="str">
            <v>VALMIR ALVES DE ASSIS</v>
          </cell>
          <cell r="G2064" t="str">
            <v>09/03/2016</v>
          </cell>
          <cell r="H2064" t="str">
            <v/>
          </cell>
          <cell r="I2064" t="str">
            <v/>
          </cell>
          <cell r="J2064" t="str">
            <v>PESSOA FÍSICA</v>
          </cell>
          <cell r="K2064" t="str">
            <v>062.101.978-09</v>
          </cell>
          <cell r="L2064" t="str">
            <v>CL</v>
          </cell>
          <cell r="M2064" t="str">
            <v>VALMIR ALVES DE ASSIS</v>
          </cell>
          <cell r="N2064" t="str">
            <v>DTA6069</v>
          </cell>
          <cell r="O2064" t="str">
            <v>2007</v>
          </cell>
          <cell r="P2064" t="str">
            <v>25</v>
          </cell>
          <cell r="Q2064" t="str">
            <v>23</v>
          </cell>
        </row>
        <row r="2065">
          <cell r="B2065" t="str">
            <v>0227/16</v>
          </cell>
          <cell r="C2065" t="str">
            <v>2016-0.054.929-9</v>
          </cell>
          <cell r="D2065" t="str">
            <v>21/03/2016</v>
          </cell>
          <cell r="E2065" t="str">
            <v>11 de abril de 2016</v>
          </cell>
          <cell r="F2065" t="str">
            <v>EMERVAL DE BRITO GOMES</v>
          </cell>
          <cell r="G2065" t="str">
            <v>11/04/2016</v>
          </cell>
          <cell r="H2065" t="str">
            <v>13/04/2016</v>
          </cell>
          <cell r="I2065" t="str">
            <v>49</v>
          </cell>
          <cell r="J2065" t="str">
            <v>PESSOA FÍSICA</v>
          </cell>
          <cell r="K2065" t="str">
            <v>107.487.268-10</v>
          </cell>
          <cell r="L2065" t="str">
            <v>CL</v>
          </cell>
          <cell r="M2065" t="str">
            <v>EMERVAL DE BRITO GOMES</v>
          </cell>
          <cell r="N2065" t="str">
            <v>EFW0123</v>
          </cell>
          <cell r="O2065" t="str">
            <v>2010</v>
          </cell>
          <cell r="P2065" t="str">
            <v>19</v>
          </cell>
          <cell r="Q2065" t="str">
            <v>18</v>
          </cell>
        </row>
        <row r="2066">
          <cell r="B2066" t="str">
            <v>0228/16</v>
          </cell>
          <cell r="C2066" t="str">
            <v>2016-0.055.939-1</v>
          </cell>
          <cell r="D2066" t="str">
            <v/>
          </cell>
          <cell r="E2066" t="str">
            <v>09 de março de 2016</v>
          </cell>
          <cell r="F2066" t="str">
            <v>FRANCISCO LOPES DA SILVA</v>
          </cell>
          <cell r="G2066" t="str">
            <v>09/03/2016</v>
          </cell>
          <cell r="H2066" t="str">
            <v/>
          </cell>
          <cell r="I2066" t="str">
            <v/>
          </cell>
          <cell r="J2066" t="str">
            <v>PESSOA FÍSICA</v>
          </cell>
          <cell r="K2066" t="str">
            <v>330.679.888-68</v>
          </cell>
          <cell r="L2066" t="str">
            <v>CL</v>
          </cell>
          <cell r="M2066" t="str">
            <v>FRANCISCO LOPES DA SILVA</v>
          </cell>
          <cell r="N2066" t="str">
            <v>FSU6457</v>
          </cell>
          <cell r="O2066" t="str">
            <v>2015</v>
          </cell>
          <cell r="P2066" t="str">
            <v>19</v>
          </cell>
          <cell r="Q2066" t="str">
            <v>18</v>
          </cell>
        </row>
        <row r="2067">
          <cell r="B2067" t="str">
            <v>0229/16</v>
          </cell>
          <cell r="C2067" t="str">
            <v>2016-0.055.928-6</v>
          </cell>
          <cell r="D2067" t="str">
            <v/>
          </cell>
          <cell r="E2067" t="str">
            <v>09 de março de 2016</v>
          </cell>
          <cell r="F2067" t="str">
            <v>JOAO BATISTA DA SILVA GOMES</v>
          </cell>
          <cell r="G2067" t="str">
            <v>09/03/2016</v>
          </cell>
          <cell r="H2067" t="str">
            <v/>
          </cell>
          <cell r="I2067" t="str">
            <v/>
          </cell>
          <cell r="J2067" t="str">
            <v>PESSOA FÍSICA</v>
          </cell>
          <cell r="K2067" t="str">
            <v>171.184.058-09</v>
          </cell>
          <cell r="L2067" t="str">
            <v>CL</v>
          </cell>
          <cell r="M2067" t="str">
            <v>JOAO BATISTA DA SILVA GOMES</v>
          </cell>
          <cell r="N2067" t="str">
            <v>LNS6145</v>
          </cell>
          <cell r="O2067" t="str">
            <v>2001</v>
          </cell>
          <cell r="P2067" t="str">
            <v>25</v>
          </cell>
          <cell r="Q2067" t="str">
            <v>23</v>
          </cell>
        </row>
        <row r="2068">
          <cell r="B2068" t="str">
            <v>0230/16</v>
          </cell>
          <cell r="C2068" t="str">
            <v>2016-0.055.918-9</v>
          </cell>
          <cell r="D2068" t="str">
            <v/>
          </cell>
          <cell r="E2068" t="str">
            <v>21 de março de 2016</v>
          </cell>
          <cell r="F2068" t="str">
            <v>JOSE DE OLIVEIRA GOMES RIBEIRO</v>
          </cell>
          <cell r="G2068" t="str">
            <v>21/03/2016</v>
          </cell>
          <cell r="H2068" t="str">
            <v>25/03/2016</v>
          </cell>
          <cell r="I2068" t="str">
            <v>36</v>
          </cell>
          <cell r="J2068" t="str">
            <v>PESSOA FÍSICA</v>
          </cell>
          <cell r="K2068" t="str">
            <v>074.652.618-05</v>
          </cell>
          <cell r="L2068" t="str">
            <v>CL</v>
          </cell>
          <cell r="M2068" t="str">
            <v>JOSE DE OLIVEIRA GOMES RIBEIRO</v>
          </cell>
          <cell r="N2068" t="str">
            <v>DTA2839</v>
          </cell>
          <cell r="O2068" t="str">
            <v>2007</v>
          </cell>
          <cell r="P2068" t="str">
            <v>44</v>
          </cell>
          <cell r="Q2068" t="str">
            <v>43</v>
          </cell>
        </row>
        <row r="2069">
          <cell r="B2069" t="str">
            <v>0231/16</v>
          </cell>
          <cell r="C2069" t="str">
            <v>2016-0.055.910-3</v>
          </cell>
          <cell r="D2069" t="str">
            <v/>
          </cell>
          <cell r="E2069" t="str">
            <v>21 de março de 2016</v>
          </cell>
          <cell r="F2069" t="str">
            <v>JOSE GRALI</v>
          </cell>
          <cell r="G2069" t="str">
            <v>21/03/2016</v>
          </cell>
          <cell r="H2069" t="str">
            <v>25/03/2016</v>
          </cell>
          <cell r="I2069" t="str">
            <v>36</v>
          </cell>
          <cell r="J2069" t="str">
            <v>PESSOA FÍSICA</v>
          </cell>
          <cell r="K2069" t="str">
            <v>036.131.518-04</v>
          </cell>
          <cell r="L2069" t="str">
            <v>CL</v>
          </cell>
          <cell r="M2069" t="str">
            <v>JOSE GRALI</v>
          </cell>
          <cell r="N2069" t="str">
            <v>ETZ0541</v>
          </cell>
          <cell r="O2069" t="str">
            <v>2011</v>
          </cell>
          <cell r="P2069" t="str">
            <v>19</v>
          </cell>
          <cell r="Q2069" t="str">
            <v>18</v>
          </cell>
        </row>
        <row r="2070">
          <cell r="B2070" t="str">
            <v>0232/16</v>
          </cell>
          <cell r="C2070" t="str">
            <v>2016-0.055.904-9</v>
          </cell>
          <cell r="D2070" t="str">
            <v/>
          </cell>
          <cell r="E2070" t="str">
            <v>21 de março de 2016</v>
          </cell>
          <cell r="F2070" t="str">
            <v>JOSE MENDES DA FONSECA JUNIOR</v>
          </cell>
          <cell r="G2070" t="str">
            <v>21/03/2016</v>
          </cell>
          <cell r="H2070" t="str">
            <v/>
          </cell>
          <cell r="I2070" t="str">
            <v/>
          </cell>
          <cell r="J2070" t="str">
            <v>PESSOA FÍSICA</v>
          </cell>
          <cell r="K2070" t="str">
            <v>223.984.038-23</v>
          </cell>
          <cell r="L2070" t="str">
            <v>CL</v>
          </cell>
          <cell r="M2070" t="str">
            <v>JOSE MENDES DA FONSECA JUNIOR</v>
          </cell>
          <cell r="N2070" t="str">
            <v>DJF8739</v>
          </cell>
          <cell r="O2070" t="str">
            <v>2009</v>
          </cell>
          <cell r="P2070" t="str">
            <v>19</v>
          </cell>
          <cell r="Q2070" t="str">
            <v>18</v>
          </cell>
        </row>
        <row r="2071">
          <cell r="B2071" t="str">
            <v>0233/16</v>
          </cell>
          <cell r="C2071" t="str">
            <v>2016-0.055.894-8</v>
          </cell>
          <cell r="D2071" t="str">
            <v/>
          </cell>
          <cell r="E2071" t="str">
            <v>10 de março de 2016</v>
          </cell>
          <cell r="F2071" t="str">
            <v>LUIZ ANTONIO DOS SANTOS</v>
          </cell>
          <cell r="G2071" t="str">
            <v>10/03/2016</v>
          </cell>
          <cell r="H2071" t="str">
            <v/>
          </cell>
          <cell r="I2071" t="str">
            <v/>
          </cell>
          <cell r="J2071" t="str">
            <v>PESSOA FÍSICA</v>
          </cell>
          <cell r="K2071" t="str">
            <v>943.322.748-49</v>
          </cell>
          <cell r="L2071" t="str">
            <v>CL</v>
          </cell>
          <cell r="M2071" t="str">
            <v>LUIZ ANTONIO DOS SANTOS</v>
          </cell>
          <cell r="N2071" t="str">
            <v>DJE3052</v>
          </cell>
          <cell r="O2071" t="str">
            <v>2007</v>
          </cell>
          <cell r="P2071" t="str">
            <v>25</v>
          </cell>
          <cell r="Q2071" t="str">
            <v>23</v>
          </cell>
        </row>
        <row r="2072">
          <cell r="B2072" t="str">
            <v>0234/16</v>
          </cell>
          <cell r="C2072" t="str">
            <v>2016-0.055.886-7</v>
          </cell>
          <cell r="D2072" t="str">
            <v/>
          </cell>
          <cell r="E2072" t="str">
            <v>09 de março de 2016</v>
          </cell>
          <cell r="F2072" t="str">
            <v>MARCELO ROSA DA ROCHA</v>
          </cell>
          <cell r="G2072" t="str">
            <v>09/03/2016</v>
          </cell>
          <cell r="H2072" t="str">
            <v/>
          </cell>
          <cell r="I2072" t="str">
            <v/>
          </cell>
          <cell r="J2072" t="str">
            <v>PESSOA FÍSICA</v>
          </cell>
          <cell r="K2072" t="str">
            <v>135.825.168-14</v>
          </cell>
          <cell r="L2072" t="str">
            <v>CL</v>
          </cell>
          <cell r="M2072" t="str">
            <v>MARCELO ROSA DA ROCHA</v>
          </cell>
          <cell r="N2072" t="str">
            <v>DTE8879</v>
          </cell>
          <cell r="O2072" t="str">
            <v>2009</v>
          </cell>
          <cell r="P2072" t="str">
            <v>19</v>
          </cell>
          <cell r="Q2072" t="str">
            <v>18</v>
          </cell>
        </row>
        <row r="2073">
          <cell r="B2073" t="str">
            <v>0235/16</v>
          </cell>
          <cell r="C2073" t="str">
            <v>2016-0.055.881-6</v>
          </cell>
          <cell r="D2073" t="str">
            <v>21/03/2016</v>
          </cell>
          <cell r="E2073" t="str">
            <v>08 de abril de 2016</v>
          </cell>
          <cell r="F2073" t="str">
            <v>MARCOS PEREIRA DE OLIVEIRA</v>
          </cell>
          <cell r="G2073" t="str">
            <v>08/04/2016</v>
          </cell>
          <cell r="H2073" t="str">
            <v>09/04/2016</v>
          </cell>
          <cell r="I2073" t="str">
            <v>32</v>
          </cell>
          <cell r="J2073" t="str">
            <v>PESSOA FÍSICA</v>
          </cell>
          <cell r="K2073" t="str">
            <v>135.187.778-07</v>
          </cell>
          <cell r="L2073" t="str">
            <v>CL</v>
          </cell>
          <cell r="M2073" t="str">
            <v>MARCOS PEREIRA DE OLIVEIRA</v>
          </cell>
          <cell r="N2073" t="str">
            <v>DTE7484</v>
          </cell>
          <cell r="O2073" t="str">
            <v>2008</v>
          </cell>
          <cell r="P2073" t="str">
            <v>19</v>
          </cell>
          <cell r="Q2073" t="str">
            <v>18</v>
          </cell>
        </row>
        <row r="2074">
          <cell r="B2074" t="str">
            <v>0236/16</v>
          </cell>
          <cell r="C2074" t="str">
            <v>2016-0.055.879-4</v>
          </cell>
          <cell r="D2074" t="str">
            <v/>
          </cell>
          <cell r="E2074" t="str">
            <v>21 de março de 2016</v>
          </cell>
          <cell r="F2074" t="str">
            <v>MARIA DE FATIMA DE SOUZA SILVA</v>
          </cell>
          <cell r="G2074" t="str">
            <v>21/03/2016</v>
          </cell>
          <cell r="H2074" t="str">
            <v>31/03/2016</v>
          </cell>
          <cell r="I2074" t="str">
            <v>33</v>
          </cell>
          <cell r="J2074" t="str">
            <v>PESSOA FÍSICA</v>
          </cell>
          <cell r="K2074" t="str">
            <v>284.288.348-90</v>
          </cell>
          <cell r="L2074" t="str">
            <v>CL</v>
          </cell>
          <cell r="M2074" t="str">
            <v>MARIA DE FATIMA DE SOUZA SILVA</v>
          </cell>
          <cell r="N2074" t="str">
            <v>ELQ1768</v>
          </cell>
          <cell r="O2074" t="str">
            <v>2010</v>
          </cell>
          <cell r="P2074" t="str">
            <v>19</v>
          </cell>
          <cell r="Q2074" t="str">
            <v>18</v>
          </cell>
        </row>
        <row r="2075">
          <cell r="B2075" t="str">
            <v>0237/16</v>
          </cell>
          <cell r="C2075" t="str">
            <v>2016-0.055.858-1</v>
          </cell>
          <cell r="D2075" t="str">
            <v/>
          </cell>
          <cell r="E2075" t="str">
            <v>21 de março de 2016</v>
          </cell>
          <cell r="F2075" t="str">
            <v>MIRALDA DUTRA FAGUNDES DA SILVA</v>
          </cell>
          <cell r="G2075" t="str">
            <v>21/03/2016</v>
          </cell>
          <cell r="H2075" t="str">
            <v>31/03/2016</v>
          </cell>
          <cell r="I2075" t="str">
            <v>33</v>
          </cell>
          <cell r="J2075" t="str">
            <v>PESSOA FÍSICA</v>
          </cell>
          <cell r="K2075" t="str">
            <v>075.210.248-69</v>
          </cell>
          <cell r="L2075" t="str">
            <v>CL</v>
          </cell>
          <cell r="M2075" t="str">
            <v>MIRALDA DUTRA FAGUNDES DA SILVA</v>
          </cell>
          <cell r="N2075" t="str">
            <v>DTB8439</v>
          </cell>
          <cell r="O2075" t="str">
            <v>2007</v>
          </cell>
          <cell r="P2075" t="str">
            <v>29</v>
          </cell>
          <cell r="Q2075" t="str">
            <v>27</v>
          </cell>
        </row>
        <row r="2076">
          <cell r="B2076" t="str">
            <v>0238/16</v>
          </cell>
          <cell r="C2076" t="str">
            <v>2016-0.055.852-2</v>
          </cell>
          <cell r="D2076" t="str">
            <v/>
          </cell>
          <cell r="E2076" t="str">
            <v>21 de março de 2016</v>
          </cell>
          <cell r="F2076" t="str">
            <v>PATRICIA DE LIMA CANGUCU</v>
          </cell>
          <cell r="G2076" t="str">
            <v>21/03/2016</v>
          </cell>
          <cell r="H2076" t="str">
            <v>25/03/2016</v>
          </cell>
          <cell r="I2076" t="str">
            <v>37</v>
          </cell>
          <cell r="J2076" t="str">
            <v>PESSOA FÍSICA</v>
          </cell>
          <cell r="K2076" t="str">
            <v>267.817.298-88</v>
          </cell>
          <cell r="L2076" t="str">
            <v>CL</v>
          </cell>
          <cell r="M2076" t="str">
            <v>PATRICIA DE LIMA CANGUCU</v>
          </cell>
          <cell r="N2076" t="str">
            <v>CZX9135</v>
          </cell>
          <cell r="O2076" t="str">
            <v>2002</v>
          </cell>
          <cell r="P2076" t="str">
            <v>25</v>
          </cell>
          <cell r="Q2076" t="str">
            <v>23</v>
          </cell>
        </row>
        <row r="2077">
          <cell r="B2077" t="str">
            <v>0239/16</v>
          </cell>
          <cell r="C2077" t="str">
            <v>2016-0.055.847-6</v>
          </cell>
          <cell r="D2077" t="str">
            <v/>
          </cell>
          <cell r="E2077" t="str">
            <v>09 de março de 2016</v>
          </cell>
          <cell r="F2077" t="str">
            <v>PAULO ROGERIO DE SOUZA</v>
          </cell>
          <cell r="G2077" t="str">
            <v>09/03/2016</v>
          </cell>
          <cell r="H2077" t="str">
            <v/>
          </cell>
          <cell r="I2077" t="str">
            <v/>
          </cell>
          <cell r="J2077" t="str">
            <v>PESSOA FÍSICA</v>
          </cell>
          <cell r="K2077" t="str">
            <v>272.922.168-97</v>
          </cell>
          <cell r="L2077" t="str">
            <v>CL</v>
          </cell>
          <cell r="M2077" t="str">
            <v>PAULO ROGERIO DE SOUZA</v>
          </cell>
          <cell r="N2077" t="str">
            <v>EFU3217</v>
          </cell>
          <cell r="O2077" t="str">
            <v>2010</v>
          </cell>
          <cell r="P2077" t="str">
            <v>19</v>
          </cell>
          <cell r="Q2077" t="str">
            <v>18</v>
          </cell>
        </row>
        <row r="2078">
          <cell r="B2078" t="str">
            <v>0240/16</v>
          </cell>
          <cell r="C2078" t="str">
            <v>2016-0.055.840-9</v>
          </cell>
          <cell r="D2078" t="str">
            <v/>
          </cell>
          <cell r="E2078" t="str">
            <v>10 de março de 2016</v>
          </cell>
          <cell r="F2078" t="str">
            <v>JOSE MARIA BONFIM DE OLIVEIRA</v>
          </cell>
          <cell r="G2078" t="str">
            <v>10/03/2016</v>
          </cell>
          <cell r="H2078" t="str">
            <v/>
          </cell>
          <cell r="I2078" t="str">
            <v/>
          </cell>
          <cell r="J2078" t="str">
            <v>PESSOA FÍSICA</v>
          </cell>
          <cell r="K2078" t="str">
            <v>700.314.448-49</v>
          </cell>
          <cell r="L2078" t="str">
            <v>CL</v>
          </cell>
          <cell r="M2078" t="str">
            <v>JOSE MARIA BONFIM DE OLIVEIRA</v>
          </cell>
          <cell r="N2078" t="str">
            <v>DTC0838</v>
          </cell>
          <cell r="O2078" t="str">
            <v>2007</v>
          </cell>
          <cell r="P2078" t="str">
            <v>29</v>
          </cell>
          <cell r="Q2078" t="str">
            <v>27</v>
          </cell>
        </row>
        <row r="2079">
          <cell r="B2079" t="str">
            <v>0241/16</v>
          </cell>
          <cell r="C2079" t="str">
            <v>2016-0.055.834-4</v>
          </cell>
          <cell r="D2079" t="str">
            <v/>
          </cell>
          <cell r="E2079" t="str">
            <v>09 de março de 2016</v>
          </cell>
          <cell r="F2079" t="str">
            <v>HELTON DE SOUZA LEITE</v>
          </cell>
          <cell r="G2079" t="str">
            <v>09/03/2016</v>
          </cell>
          <cell r="H2079" t="str">
            <v/>
          </cell>
          <cell r="I2079" t="str">
            <v/>
          </cell>
          <cell r="J2079" t="str">
            <v>PESSOA FÍSICA</v>
          </cell>
          <cell r="K2079" t="str">
            <v>262.594.418-86</v>
          </cell>
          <cell r="L2079" t="str">
            <v>CL</v>
          </cell>
          <cell r="M2079" t="str">
            <v>HELTON DE SOUZA LEITE</v>
          </cell>
          <cell r="N2079" t="str">
            <v>DTC3397</v>
          </cell>
          <cell r="O2079" t="str">
            <v>2008</v>
          </cell>
          <cell r="P2079" t="str">
            <v>29</v>
          </cell>
          <cell r="Q2079" t="str">
            <v>27</v>
          </cell>
        </row>
        <row r="2080">
          <cell r="B2080" t="str">
            <v>0242/16</v>
          </cell>
          <cell r="C2080" t="str">
            <v>2016-0.055.828-0</v>
          </cell>
          <cell r="D2080" t="str">
            <v/>
          </cell>
          <cell r="E2080" t="str">
            <v>09 de março de 2016</v>
          </cell>
          <cell r="F2080" t="str">
            <v>NELSON AZEVEDO OLIVEIRA</v>
          </cell>
          <cell r="G2080" t="str">
            <v>09/03/2016</v>
          </cell>
          <cell r="H2080" t="str">
            <v/>
          </cell>
          <cell r="I2080" t="str">
            <v/>
          </cell>
          <cell r="J2080" t="str">
            <v>PESSOA FÍSICA</v>
          </cell>
          <cell r="K2080" t="str">
            <v>327.643.245-53</v>
          </cell>
          <cell r="L2080" t="str">
            <v>CL</v>
          </cell>
          <cell r="M2080" t="str">
            <v>NELSON AZEVEDO OLIVEIRA</v>
          </cell>
          <cell r="N2080" t="str">
            <v>CZX8761</v>
          </cell>
          <cell r="O2080" t="str">
            <v>2003</v>
          </cell>
          <cell r="P2080" t="str">
            <v>25</v>
          </cell>
          <cell r="Q2080" t="str">
            <v>23</v>
          </cell>
        </row>
        <row r="2081">
          <cell r="B2081" t="str">
            <v>0243/16</v>
          </cell>
          <cell r="C2081" t="str">
            <v>2016-0.055.825-5</v>
          </cell>
          <cell r="D2081" t="str">
            <v>28/03/2016</v>
          </cell>
          <cell r="E2081" t="str">
            <v>20 de abril de 2016</v>
          </cell>
          <cell r="F2081" t="str">
            <v>ROGERIO JOSE DOS SANTOS</v>
          </cell>
          <cell r="G2081" t="str">
            <v>20/04/2016</v>
          </cell>
          <cell r="H2081" t="str">
            <v>21/04/2016</v>
          </cell>
          <cell r="I2081" t="str">
            <v>94</v>
          </cell>
          <cell r="J2081" t="str">
            <v>PESSOA FÍSICA</v>
          </cell>
          <cell r="K2081" t="str">
            <v>167.016.658-96</v>
          </cell>
          <cell r="L2081" t="str">
            <v>CL</v>
          </cell>
          <cell r="M2081" t="str">
            <v>ROGERIO JOSE DOS SANTOS</v>
          </cell>
          <cell r="N2081" t="str">
            <v>PEI8559</v>
          </cell>
          <cell r="O2081" t="str">
            <v>2011</v>
          </cell>
          <cell r="P2081" t="str">
            <v>15</v>
          </cell>
          <cell r="Q2081" t="str">
            <v>14</v>
          </cell>
        </row>
        <row r="2082">
          <cell r="B2082" t="str">
            <v>0244/16</v>
          </cell>
          <cell r="C2082" t="str">
            <v>2016-0.055.823-9</v>
          </cell>
          <cell r="D2082" t="str">
            <v/>
          </cell>
          <cell r="E2082" t="str">
            <v>28 de março de 23016</v>
          </cell>
          <cell r="F2082" t="str">
            <v>TANIA MARIA DOS SANTOS</v>
          </cell>
          <cell r="G2082" t="str">
            <v>28/03/2016</v>
          </cell>
          <cell r="H2082" t="str">
            <v>02/04/2016</v>
          </cell>
          <cell r="I2082" t="str">
            <v>41</v>
          </cell>
          <cell r="J2082" t="str">
            <v>PESSOA FÍSICA</v>
          </cell>
          <cell r="K2082" t="str">
            <v>003.179.658-32</v>
          </cell>
          <cell r="L2082" t="str">
            <v>CL</v>
          </cell>
          <cell r="M2082" t="str">
            <v>TANIA MARIA DOS SANTOS</v>
          </cell>
          <cell r="N2082" t="str">
            <v>DJB8929</v>
          </cell>
          <cell r="O2082" t="str">
            <v>2004</v>
          </cell>
          <cell r="P2082" t="str">
            <v>24</v>
          </cell>
          <cell r="Q2082" t="str">
            <v>22</v>
          </cell>
        </row>
        <row r="2083">
          <cell r="B2083" t="str">
            <v>0245/16</v>
          </cell>
          <cell r="C2083" t="str">
            <v>2016-0.055.802-6</v>
          </cell>
          <cell r="D2083" t="str">
            <v>19/02/2016</v>
          </cell>
          <cell r="E2083" t="str">
            <v/>
          </cell>
          <cell r="F2083" t="str">
            <v>REINALDO SANTOS CERQUEIRA</v>
          </cell>
          <cell r="G2083" t="str">
            <v/>
          </cell>
          <cell r="H2083" t="str">
            <v/>
          </cell>
          <cell r="I2083" t="str">
            <v/>
          </cell>
          <cell r="J2083" t="str">
            <v>PESSOA FÍSICA</v>
          </cell>
          <cell r="K2083" t="str">
            <v>011.160.485-07</v>
          </cell>
          <cell r="L2083" t="str">
            <v>CL</v>
          </cell>
          <cell r="M2083" t="str">
            <v>REINALDO SANTOS CERQUEIRA</v>
          </cell>
          <cell r="N2083" t="str">
            <v>FDO7311</v>
          </cell>
          <cell r="O2083" t="str">
            <v>2011</v>
          </cell>
          <cell r="P2083" t="str">
            <v>19</v>
          </cell>
          <cell r="Q2083" t="str">
            <v>18</v>
          </cell>
        </row>
        <row r="2084">
          <cell r="B2084" t="str">
            <v>0246/16</v>
          </cell>
          <cell r="C2084" t="str">
            <v>2016-0.055.791-7</v>
          </cell>
          <cell r="D2084" t="str">
            <v>01/02/2016</v>
          </cell>
          <cell r="E2084" t="str">
            <v>24 de fevereiro de 2016</v>
          </cell>
          <cell r="F2084" t="str">
            <v>JOSE MARCIANO ANICETO</v>
          </cell>
          <cell r="G2084" t="str">
            <v>24/02/2016</v>
          </cell>
          <cell r="H2084" t="str">
            <v/>
          </cell>
          <cell r="I2084" t="str">
            <v/>
          </cell>
          <cell r="J2084" t="str">
            <v>PESSOA FÍSICA</v>
          </cell>
          <cell r="K2084" t="str">
            <v>075.934.478-71</v>
          </cell>
          <cell r="L2084" t="str">
            <v>CS</v>
          </cell>
          <cell r="M2084" t="str">
            <v>JOSE MARCIANO ANICETO</v>
          </cell>
          <cell r="N2084" t="str">
            <v>DAJ8950</v>
          </cell>
          <cell r="O2084" t="str">
            <v>2009</v>
          </cell>
          <cell r="P2084" t="str">
            <v>25</v>
          </cell>
          <cell r="Q2084" t="str">
            <v>24</v>
          </cell>
        </row>
        <row r="2085">
          <cell r="B2085" t="str">
            <v>0247/16</v>
          </cell>
          <cell r="C2085" t="str">
            <v>2016-0.055.779-8</v>
          </cell>
          <cell r="D2085" t="str">
            <v>01/02/2016</v>
          </cell>
          <cell r="E2085" t="str">
            <v>24 de fevereiro de 2016</v>
          </cell>
          <cell r="F2085" t="str">
            <v>LOURIVAL POLIDORO RAIMUNDO</v>
          </cell>
          <cell r="G2085" t="str">
            <v>24/02/2016</v>
          </cell>
          <cell r="H2085" t="str">
            <v/>
          </cell>
          <cell r="I2085" t="str">
            <v/>
          </cell>
          <cell r="J2085" t="str">
            <v>PESSOA FÍSICA</v>
          </cell>
          <cell r="K2085" t="str">
            <v>258.352.608-14</v>
          </cell>
          <cell r="L2085" t="str">
            <v>CS</v>
          </cell>
          <cell r="M2085" t="str">
            <v>LOURIVAL POLIDORO RAIMUNDO</v>
          </cell>
          <cell r="N2085" t="str">
            <v>DTD2189</v>
          </cell>
          <cell r="O2085" t="str">
            <v>2008</v>
          </cell>
          <cell r="P2085" t="str">
            <v>25</v>
          </cell>
          <cell r="Q2085" t="str">
            <v>23</v>
          </cell>
        </row>
        <row r="2086">
          <cell r="B2086" t="str">
            <v>0248/16</v>
          </cell>
          <cell r="C2086" t="str">
            <v>2016-0.055.773-9</v>
          </cell>
          <cell r="D2086" t="str">
            <v>11/02/2016</v>
          </cell>
          <cell r="E2086" t="str">
            <v>22 de março de 2016</v>
          </cell>
          <cell r="F2086" t="str">
            <v>NAIR DELFINO DE JESUS CERQUEIRA</v>
          </cell>
          <cell r="G2086" t="str">
            <v>22/03/2016</v>
          </cell>
          <cell r="H2086" t="str">
            <v>23/03/2016</v>
          </cell>
          <cell r="I2086" t="str">
            <v>57</v>
          </cell>
          <cell r="J2086" t="str">
            <v>PESSOA FÍSICA</v>
          </cell>
          <cell r="K2086" t="str">
            <v>307.324.088-81</v>
          </cell>
          <cell r="L2086" t="str">
            <v>CS</v>
          </cell>
          <cell r="M2086" t="str">
            <v>NAIR DELFINO DE JESUS CERQUEIRA</v>
          </cell>
          <cell r="N2086" t="str">
            <v>ELW9377</v>
          </cell>
          <cell r="O2086" t="str">
            <v>2011</v>
          </cell>
          <cell r="P2086" t="str">
            <v>10</v>
          </cell>
          <cell r="Q2086" t="str">
            <v>9</v>
          </cell>
        </row>
        <row r="2087">
          <cell r="B2087" t="str">
            <v>0249/16</v>
          </cell>
          <cell r="C2087" t="str">
            <v>2016-0.055.768-2</v>
          </cell>
          <cell r="D2087" t="str">
            <v>15/02/2016</v>
          </cell>
          <cell r="E2087" t="str">
            <v>24 de fevereiro de 2016</v>
          </cell>
          <cell r="F2087" t="str">
            <v>FLAVIO ARAUJO MARQUES</v>
          </cell>
          <cell r="G2087" t="str">
            <v>24/02/2016</v>
          </cell>
          <cell r="H2087" t="str">
            <v/>
          </cell>
          <cell r="I2087" t="str">
            <v/>
          </cell>
          <cell r="J2087" t="str">
            <v>PESSOA FÍSICA</v>
          </cell>
          <cell r="K2087" t="str">
            <v>301.200.768-70</v>
          </cell>
          <cell r="L2087" t="str">
            <v>CS</v>
          </cell>
          <cell r="M2087" t="str">
            <v>FLAVIO ARAUJO MARQUES</v>
          </cell>
          <cell r="N2087" t="str">
            <v>DJE8297</v>
          </cell>
          <cell r="O2087" t="str">
            <v>2005</v>
          </cell>
          <cell r="P2087" t="str">
            <v>30</v>
          </cell>
          <cell r="Q2087" t="str">
            <v>28</v>
          </cell>
        </row>
        <row r="2088">
          <cell r="B2088" t="str">
            <v>0250/16</v>
          </cell>
          <cell r="C2088" t="str">
            <v>2016-0.055.757-7</v>
          </cell>
          <cell r="D2088" t="str">
            <v>20/02/2016</v>
          </cell>
          <cell r="E2088" t="str">
            <v>24 de fevereiro de 2016</v>
          </cell>
          <cell r="F2088" t="str">
            <v>ALESSANDRO ANTONIO DA SILVA</v>
          </cell>
          <cell r="G2088" t="str">
            <v>24/02/2016</v>
          </cell>
          <cell r="H2088" t="str">
            <v/>
          </cell>
          <cell r="I2088" t="str">
            <v/>
          </cell>
          <cell r="J2088" t="str">
            <v>PESSOA FÍSICA</v>
          </cell>
          <cell r="K2088" t="str">
            <v>292.456.958-32</v>
          </cell>
          <cell r="L2088" t="str">
            <v>CS</v>
          </cell>
          <cell r="M2088" t="str">
            <v>ALESSANDRO ANTONIO DA SILVA</v>
          </cell>
          <cell r="N2088" t="str">
            <v>EFU2470</v>
          </cell>
          <cell r="O2088" t="str">
            <v>2010</v>
          </cell>
          <cell r="P2088" t="str">
            <v>10</v>
          </cell>
          <cell r="Q2088" t="str">
            <v>9</v>
          </cell>
        </row>
        <row r="2089">
          <cell r="B2089" t="str">
            <v>0251/16</v>
          </cell>
          <cell r="C2089" t="str">
            <v>2016-0.055.745-3</v>
          </cell>
          <cell r="D2089" t="str">
            <v>22/02/2016</v>
          </cell>
          <cell r="E2089" t="str">
            <v>24 de fevereiro de 2016</v>
          </cell>
          <cell r="F2089" t="str">
            <v>ANSELMO GOMES DE SALES</v>
          </cell>
          <cell r="G2089" t="str">
            <v>24/02/2016</v>
          </cell>
          <cell r="H2089" t="str">
            <v/>
          </cell>
          <cell r="I2089" t="str">
            <v/>
          </cell>
          <cell r="J2089" t="str">
            <v>PESSOA FÍSICA</v>
          </cell>
          <cell r="K2089" t="str">
            <v>276.686.306-00</v>
          </cell>
          <cell r="L2089" t="str">
            <v>CS</v>
          </cell>
          <cell r="M2089" t="str">
            <v>ANSELMO GOMES DE SALES</v>
          </cell>
          <cell r="N2089" t="str">
            <v>EFU5536</v>
          </cell>
          <cell r="O2089" t="str">
            <v>2010</v>
          </cell>
          <cell r="P2089" t="str">
            <v>19</v>
          </cell>
          <cell r="Q2089" t="str">
            <v>18</v>
          </cell>
        </row>
        <row r="2090">
          <cell r="B2090" t="str">
            <v>0252/16</v>
          </cell>
          <cell r="C2090" t="str">
            <v>2016-0.055.744-5</v>
          </cell>
          <cell r="D2090" t="str">
            <v>22/02/2016</v>
          </cell>
          <cell r="E2090" t="str">
            <v>24 de fevereiro de 2016</v>
          </cell>
          <cell r="F2090" t="str">
            <v>CLAUDEMIR BONIN</v>
          </cell>
          <cell r="G2090" t="str">
            <v>24/02/2016</v>
          </cell>
          <cell r="H2090" t="str">
            <v/>
          </cell>
          <cell r="I2090" t="str">
            <v/>
          </cell>
          <cell r="J2090" t="str">
            <v>PESSOA FÍSICA</v>
          </cell>
          <cell r="K2090" t="str">
            <v>127.221.738-83</v>
          </cell>
          <cell r="L2090" t="str">
            <v>CS</v>
          </cell>
          <cell r="M2090" t="str">
            <v>CLAUDEMIR BONIN</v>
          </cell>
          <cell r="N2090" t="str">
            <v>FPZ9960</v>
          </cell>
          <cell r="O2090" t="str">
            <v>2014</v>
          </cell>
          <cell r="P2090" t="str">
            <v>19</v>
          </cell>
          <cell r="Q2090" t="str">
            <v>18</v>
          </cell>
        </row>
        <row r="2091">
          <cell r="B2091" t="str">
            <v>0253/16</v>
          </cell>
          <cell r="C2091" t="str">
            <v>2016-0.055.741-0</v>
          </cell>
          <cell r="D2091" t="str">
            <v>22/02/2016</v>
          </cell>
          <cell r="E2091" t="str">
            <v>24 de fevereiro de 2016</v>
          </cell>
          <cell r="F2091" t="str">
            <v>CLAYTON RIBEIRO</v>
          </cell>
          <cell r="G2091" t="str">
            <v>24/02/2016</v>
          </cell>
          <cell r="H2091" t="str">
            <v/>
          </cell>
          <cell r="I2091" t="str">
            <v/>
          </cell>
          <cell r="J2091" t="str">
            <v>PESSOA FÍSICA</v>
          </cell>
          <cell r="K2091" t="str">
            <v>170.129.558-05</v>
          </cell>
          <cell r="L2091" t="str">
            <v>CS</v>
          </cell>
          <cell r="M2091" t="str">
            <v>CLAYTON RIBEIRO</v>
          </cell>
          <cell r="N2091" t="str">
            <v>DTE9707</v>
          </cell>
          <cell r="O2091" t="str">
            <v>2010</v>
          </cell>
          <cell r="P2091" t="str">
            <v>19</v>
          </cell>
          <cell r="Q2091" t="str">
            <v>18</v>
          </cell>
        </row>
        <row r="2092">
          <cell r="B2092" t="str">
            <v>0254/16</v>
          </cell>
          <cell r="C2092" t="str">
            <v>2016-0.055.715-1</v>
          </cell>
          <cell r="D2092" t="str">
            <v>22/02/2016</v>
          </cell>
          <cell r="E2092" t="str">
            <v>24 de março de 2016</v>
          </cell>
          <cell r="F2092" t="str">
            <v>IVONALDO CAVALCANTI DE OLIVEIRA</v>
          </cell>
          <cell r="G2092" t="str">
            <v>24/03/2016</v>
          </cell>
          <cell r="H2092" t="str">
            <v>25/03/2016</v>
          </cell>
          <cell r="I2092" t="str">
            <v>37</v>
          </cell>
          <cell r="J2092" t="str">
            <v>PESSOA FÍSICA</v>
          </cell>
          <cell r="K2092" t="str">
            <v>221.940.408-03</v>
          </cell>
          <cell r="L2092" t="str">
            <v>CS</v>
          </cell>
          <cell r="M2092" t="str">
            <v>IVONALDO CAVALCANTI DE OLIVEIRA</v>
          </cell>
          <cell r="N2092" t="str">
            <v>DJC6121</v>
          </cell>
          <cell r="O2092" t="str">
            <v>2004</v>
          </cell>
          <cell r="P2092" t="str">
            <v>32</v>
          </cell>
          <cell r="Q2092" t="str">
            <v>30</v>
          </cell>
        </row>
        <row r="2093">
          <cell r="B2093" t="str">
            <v>0255/16</v>
          </cell>
          <cell r="C2093" t="str">
            <v>2016-0.055.689-9</v>
          </cell>
          <cell r="D2093" t="str">
            <v>22/02/2016</v>
          </cell>
          <cell r="E2093" t="str">
            <v>24 de fevereiro de 2016</v>
          </cell>
          <cell r="F2093" t="str">
            <v>JOSE ALBERTO SANTANA DE LIMA</v>
          </cell>
          <cell r="G2093" t="str">
            <v>24/02/2016</v>
          </cell>
          <cell r="H2093" t="str">
            <v/>
          </cell>
          <cell r="I2093" t="str">
            <v/>
          </cell>
          <cell r="J2093" t="str">
            <v>PESSOA FÍSICA</v>
          </cell>
          <cell r="K2093" t="str">
            <v>074.162.998-45</v>
          </cell>
          <cell r="L2093" t="str">
            <v>CS</v>
          </cell>
          <cell r="M2093" t="str">
            <v>JOSE ALBERTO SANTANA DE LIMA</v>
          </cell>
          <cell r="N2093" t="str">
            <v>EFU9509</v>
          </cell>
          <cell r="O2093" t="str">
            <v>2010</v>
          </cell>
          <cell r="P2093" t="str">
            <v>19</v>
          </cell>
          <cell r="Q2093" t="str">
            <v>18</v>
          </cell>
        </row>
        <row r="2094">
          <cell r="B2094" t="str">
            <v>0256/16</v>
          </cell>
          <cell r="C2094" t="str">
            <v>2016-0.055.686-4</v>
          </cell>
          <cell r="D2094" t="str">
            <v>22/02/2016</v>
          </cell>
          <cell r="E2094" t="str">
            <v>24 de fevereiro de 2016</v>
          </cell>
          <cell r="F2094" t="str">
            <v>JOSE MANOEL BARBOSA DOS SANTOS</v>
          </cell>
          <cell r="G2094" t="str">
            <v>24/02/2016</v>
          </cell>
          <cell r="H2094" t="str">
            <v/>
          </cell>
          <cell r="I2094" t="str">
            <v/>
          </cell>
          <cell r="J2094" t="str">
            <v>PESSOA FÍSICA</v>
          </cell>
          <cell r="K2094" t="str">
            <v>104.158.298-60</v>
          </cell>
          <cell r="L2094" t="str">
            <v>CS</v>
          </cell>
          <cell r="M2094" t="str">
            <v>JOSE MANOEL BARBOSA DOS SANTOS</v>
          </cell>
          <cell r="N2094" t="str">
            <v>EFW6740</v>
          </cell>
          <cell r="O2094" t="str">
            <v>2010</v>
          </cell>
          <cell r="P2094" t="str">
            <v>19</v>
          </cell>
          <cell r="Q2094" t="str">
            <v>18</v>
          </cell>
        </row>
        <row r="2095">
          <cell r="B2095" t="str">
            <v>0257/16</v>
          </cell>
          <cell r="C2095" t="str">
            <v>2016-0.055.680-5</v>
          </cell>
          <cell r="D2095" t="str">
            <v>22/02/2016</v>
          </cell>
          <cell r="E2095" t="str">
            <v>24 de fevereiro de 2016</v>
          </cell>
          <cell r="F2095" t="str">
            <v>RODRIGO NOBRE DE SOUSA</v>
          </cell>
          <cell r="G2095" t="str">
            <v>24/02/2016</v>
          </cell>
          <cell r="H2095" t="str">
            <v/>
          </cell>
          <cell r="I2095" t="str">
            <v/>
          </cell>
          <cell r="J2095" t="str">
            <v>PESSOA FÍSICA</v>
          </cell>
          <cell r="K2095" t="str">
            <v>297.498.788-50</v>
          </cell>
          <cell r="L2095" t="str">
            <v>CS</v>
          </cell>
          <cell r="M2095" t="str">
            <v>RODRIGO NOBRE DE SOUSA</v>
          </cell>
          <cell r="N2095" t="str">
            <v>DTC8250</v>
          </cell>
          <cell r="O2095" t="str">
            <v>2010</v>
          </cell>
          <cell r="P2095" t="str">
            <v>19</v>
          </cell>
          <cell r="Q2095" t="str">
            <v>18</v>
          </cell>
        </row>
        <row r="2096">
          <cell r="B2096" t="str">
            <v>0258/16</v>
          </cell>
          <cell r="C2096" t="str">
            <v>2016-0.055.672-4</v>
          </cell>
          <cell r="D2096" t="str">
            <v>23/02/2016</v>
          </cell>
          <cell r="E2096" t="str">
            <v>24 de fevereiro de 2016</v>
          </cell>
          <cell r="F2096" t="str">
            <v>UBIRAJARA RODRIGUES PAIXAO</v>
          </cell>
          <cell r="G2096" t="str">
            <v>24/02/2016</v>
          </cell>
          <cell r="H2096" t="str">
            <v/>
          </cell>
          <cell r="I2096" t="str">
            <v/>
          </cell>
          <cell r="J2096" t="str">
            <v>PESSOA FÍSICA</v>
          </cell>
          <cell r="K2096" t="str">
            <v>117.640.448-27</v>
          </cell>
          <cell r="L2096" t="str">
            <v>CS</v>
          </cell>
          <cell r="M2096" t="str">
            <v>UBIRAJARA RODRIGUES PAIXAO</v>
          </cell>
          <cell r="N2096" t="str">
            <v>EFU5565</v>
          </cell>
          <cell r="O2096" t="str">
            <v>2010</v>
          </cell>
          <cell r="P2096" t="str">
            <v>10</v>
          </cell>
          <cell r="Q2096" t="str">
            <v>9</v>
          </cell>
        </row>
        <row r="2097">
          <cell r="B2097" t="str">
            <v>0259/16</v>
          </cell>
          <cell r="C2097" t="str">
            <v>2016-0.055.666-0</v>
          </cell>
          <cell r="D2097" t="str">
            <v>29/02/2016</v>
          </cell>
          <cell r="E2097" t="str">
            <v>29 de fevereiro de 2016</v>
          </cell>
          <cell r="F2097" t="str">
            <v>ALEXANDRE HUGO DA SILVA</v>
          </cell>
          <cell r="G2097" t="str">
            <v>29/02/2016</v>
          </cell>
          <cell r="H2097" t="str">
            <v/>
          </cell>
          <cell r="I2097" t="str">
            <v/>
          </cell>
          <cell r="J2097" t="str">
            <v>PESSOA FÍSICA</v>
          </cell>
          <cell r="K2097" t="str">
            <v>259.913.008-52</v>
          </cell>
          <cell r="L2097" t="str">
            <v>CS</v>
          </cell>
          <cell r="M2097" t="str">
            <v>ALEXANDRE HUGO DA SILVA</v>
          </cell>
          <cell r="N2097" t="str">
            <v>DTB0500</v>
          </cell>
          <cell r="O2097" t="str">
            <v>2006</v>
          </cell>
          <cell r="P2097" t="str">
            <v>25</v>
          </cell>
          <cell r="Q2097" t="str">
            <v>23</v>
          </cell>
        </row>
        <row r="2098">
          <cell r="B2098" t="str">
            <v>0260/16</v>
          </cell>
          <cell r="C2098" t="str">
            <v>2016-0.055.660-0</v>
          </cell>
          <cell r="D2098" t="str">
            <v>29/02/2016</v>
          </cell>
          <cell r="E2098" t="str">
            <v>29 de fevereiro de 2016</v>
          </cell>
          <cell r="F2098" t="str">
            <v>ALVERI JOSE DE FRANCA</v>
          </cell>
          <cell r="G2098" t="str">
            <v>29/02/2016</v>
          </cell>
          <cell r="H2098" t="str">
            <v/>
          </cell>
          <cell r="I2098" t="str">
            <v/>
          </cell>
          <cell r="J2098" t="str">
            <v>PESSOA FÍSICA</v>
          </cell>
          <cell r="K2098" t="str">
            <v>573.335.054-72</v>
          </cell>
          <cell r="L2098" t="str">
            <v>CS</v>
          </cell>
          <cell r="M2098" t="str">
            <v>ALVERI JOSE DE FRANCA</v>
          </cell>
          <cell r="N2098" t="str">
            <v>FCI6040</v>
          </cell>
          <cell r="O2098" t="str">
            <v>2014</v>
          </cell>
          <cell r="P2098" t="str">
            <v>35</v>
          </cell>
          <cell r="Q2098" t="str">
            <v>34</v>
          </cell>
        </row>
        <row r="2099">
          <cell r="B2099" t="str">
            <v>0261/16</v>
          </cell>
          <cell r="C2099" t="str">
            <v>2016-0.055.652-0</v>
          </cell>
          <cell r="D2099" t="str">
            <v>29/02/2016</v>
          </cell>
          <cell r="E2099" t="str">
            <v>29 de fevereiro de 2016</v>
          </cell>
          <cell r="F2099" t="str">
            <v>MARIANA FRANCISCA DA SILVA</v>
          </cell>
          <cell r="G2099" t="str">
            <v>29/02/2016</v>
          </cell>
          <cell r="H2099" t="str">
            <v/>
          </cell>
          <cell r="I2099" t="str">
            <v/>
          </cell>
          <cell r="J2099" t="str">
            <v>PESSOA FÍSICA</v>
          </cell>
          <cell r="K2099" t="str">
            <v>039.853.048-31</v>
          </cell>
          <cell r="L2099" t="str">
            <v>CS</v>
          </cell>
          <cell r="M2099" t="str">
            <v>MARIANA FRANCISCA DA SILVA</v>
          </cell>
          <cell r="N2099" t="str">
            <v>CZX4984</v>
          </cell>
          <cell r="O2099" t="str">
            <v>2001</v>
          </cell>
          <cell r="P2099" t="str">
            <v>25</v>
          </cell>
          <cell r="Q2099" t="str">
            <v>23</v>
          </cell>
        </row>
        <row r="2100">
          <cell r="B2100" t="str">
            <v>0262/16</v>
          </cell>
          <cell r="C2100" t="str">
            <v>2016-0.055.630-9</v>
          </cell>
          <cell r="D2100" t="str">
            <v>29/02/2016</v>
          </cell>
          <cell r="E2100" t="str">
            <v>29 de fevereiro de 2016</v>
          </cell>
          <cell r="F2100" t="str">
            <v>MARLON FERREIRA GOMES</v>
          </cell>
          <cell r="G2100" t="str">
            <v>29/02/2016</v>
          </cell>
          <cell r="H2100" t="str">
            <v/>
          </cell>
          <cell r="I2100" t="str">
            <v/>
          </cell>
          <cell r="J2100" t="str">
            <v>PESSOA FÍSICA</v>
          </cell>
          <cell r="K2100" t="str">
            <v>284.294.118-79</v>
          </cell>
          <cell r="L2100" t="str">
            <v>CS</v>
          </cell>
          <cell r="M2100" t="str">
            <v>MARLON FERREIRA GOMES</v>
          </cell>
          <cell r="N2100" t="str">
            <v>DJF8510</v>
          </cell>
          <cell r="O2100" t="str">
            <v>2006</v>
          </cell>
          <cell r="P2100" t="str">
            <v>44</v>
          </cell>
          <cell r="Q2100" t="str">
            <v>43</v>
          </cell>
        </row>
        <row r="2101">
          <cell r="B2101" t="str">
            <v>0263/16</v>
          </cell>
          <cell r="C2101" t="str">
            <v>2016-0.055.615-5</v>
          </cell>
          <cell r="D2101" t="str">
            <v>29/02/2016</v>
          </cell>
          <cell r="E2101" t="str">
            <v>29 de fevereiro de 2016</v>
          </cell>
          <cell r="F2101" t="str">
            <v>SHIRLEY DA SILVA GARCIA</v>
          </cell>
          <cell r="G2101" t="str">
            <v>29/02/2016</v>
          </cell>
          <cell r="H2101" t="str">
            <v/>
          </cell>
          <cell r="I2101" t="str">
            <v/>
          </cell>
          <cell r="J2101" t="str">
            <v>PESSOA FÍSICA</v>
          </cell>
          <cell r="K2101" t="str">
            <v>228.901.568-77</v>
          </cell>
          <cell r="L2101" t="str">
            <v>CS</v>
          </cell>
          <cell r="M2101" t="str">
            <v>SHIRLEY DA SILVA GARCIA</v>
          </cell>
          <cell r="N2101" t="str">
            <v>FAH0360</v>
          </cell>
          <cell r="O2101" t="str">
            <v>2011</v>
          </cell>
          <cell r="P2101" t="str">
            <v>10</v>
          </cell>
          <cell r="Q2101" t="str">
            <v>9</v>
          </cell>
        </row>
        <row r="2102">
          <cell r="B2102" t="str">
            <v>0264/16</v>
          </cell>
          <cell r="C2102" t="str">
            <v>2016-0.055.596-5</v>
          </cell>
          <cell r="D2102" t="str">
            <v>29/02/2016</v>
          </cell>
          <cell r="E2102" t="str">
            <v>29 de fevereiro de 2016</v>
          </cell>
          <cell r="F2102" t="str">
            <v>VALERIA ALVES BARAUNA</v>
          </cell>
          <cell r="G2102" t="str">
            <v>29/02/2016</v>
          </cell>
          <cell r="H2102" t="str">
            <v/>
          </cell>
          <cell r="I2102" t="str">
            <v/>
          </cell>
          <cell r="J2102" t="str">
            <v>PESSOA FÍSICA</v>
          </cell>
          <cell r="K2102" t="str">
            <v>081.997.808-60</v>
          </cell>
          <cell r="L2102" t="str">
            <v>CS</v>
          </cell>
          <cell r="M2102" t="str">
            <v>VALERIA ALVES BARAUNA</v>
          </cell>
          <cell r="N2102" t="str">
            <v>DTC1013</v>
          </cell>
          <cell r="O2102" t="str">
            <v>2008</v>
          </cell>
          <cell r="P2102" t="str">
            <v>29</v>
          </cell>
          <cell r="Q2102" t="str">
            <v>27</v>
          </cell>
        </row>
        <row r="2103">
          <cell r="B2103" t="str">
            <v>0265/16</v>
          </cell>
          <cell r="C2103" t="str">
            <v>2016-0.055.591-4</v>
          </cell>
          <cell r="D2103" t="str">
            <v/>
          </cell>
          <cell r="E2103" t="str">
            <v>07 de março de 2016</v>
          </cell>
          <cell r="F2103" t="str">
            <v>KATIA SOARES DA COSTA</v>
          </cell>
          <cell r="G2103" t="str">
            <v>07/03/2016</v>
          </cell>
          <cell r="H2103" t="str">
            <v/>
          </cell>
          <cell r="I2103" t="str">
            <v/>
          </cell>
          <cell r="J2103" t="str">
            <v>PESSOA FÍSICA</v>
          </cell>
          <cell r="K2103" t="str">
            <v>261.904.658-03</v>
          </cell>
          <cell r="L2103" t="str">
            <v>CS</v>
          </cell>
          <cell r="M2103" t="str">
            <v>KATIA SOARES DA COSTA</v>
          </cell>
          <cell r="N2103" t="str">
            <v>FDR1021</v>
          </cell>
          <cell r="O2103" t="str">
            <v>2012</v>
          </cell>
          <cell r="P2103" t="str">
            <v>10</v>
          </cell>
          <cell r="Q2103" t="str">
            <v>09</v>
          </cell>
        </row>
        <row r="2104">
          <cell r="B2104" t="str">
            <v>0266/16</v>
          </cell>
          <cell r="C2104" t="str">
            <v>2016-0.055.584-1</v>
          </cell>
          <cell r="D2104" t="str">
            <v>07/03/2016</v>
          </cell>
          <cell r="E2104" t="str">
            <v>07 de março de 2016</v>
          </cell>
          <cell r="F2104" t="str">
            <v>CARLOS BEZERRA DA SILVA</v>
          </cell>
          <cell r="G2104" t="str">
            <v>07/03/2016</v>
          </cell>
          <cell r="H2104" t="str">
            <v/>
          </cell>
          <cell r="I2104" t="str">
            <v/>
          </cell>
          <cell r="J2104" t="str">
            <v>PESSOA FÍSICA</v>
          </cell>
          <cell r="K2104" t="str">
            <v>157.991.918-97</v>
          </cell>
          <cell r="L2104" t="str">
            <v>CS</v>
          </cell>
          <cell r="M2104" t="str">
            <v>CARLOS BEZERRA DA SILVA</v>
          </cell>
          <cell r="N2104" t="str">
            <v>EBE9040</v>
          </cell>
          <cell r="O2104" t="str">
            <v>2007</v>
          </cell>
          <cell r="P2104" t="str">
            <v>29</v>
          </cell>
          <cell r="Q2104" t="str">
            <v>27</v>
          </cell>
        </row>
        <row r="2105">
          <cell r="B2105" t="str">
            <v>0267/16</v>
          </cell>
          <cell r="C2105" t="str">
            <v>2016-0.055.579-5</v>
          </cell>
          <cell r="D2105" t="str">
            <v>07/03/2016</v>
          </cell>
          <cell r="E2105" t="str">
            <v>07 de março de 2016</v>
          </cell>
          <cell r="F2105" t="str">
            <v>CARLOS SHIROMA</v>
          </cell>
          <cell r="G2105" t="str">
            <v>07/03/2016</v>
          </cell>
          <cell r="H2105" t="str">
            <v/>
          </cell>
          <cell r="I2105" t="str">
            <v/>
          </cell>
          <cell r="J2105" t="str">
            <v>PESSOA FÍSICA</v>
          </cell>
          <cell r="K2105" t="str">
            <v>670.627.508-59</v>
          </cell>
          <cell r="L2105" t="str">
            <v>CS</v>
          </cell>
          <cell r="M2105" t="str">
            <v>CARLOS SHIROMA</v>
          </cell>
          <cell r="N2105" t="str">
            <v>DTC1160</v>
          </cell>
          <cell r="O2105" t="str">
            <v>2007</v>
          </cell>
          <cell r="P2105" t="str">
            <v>29</v>
          </cell>
          <cell r="Q2105" t="str">
            <v>27</v>
          </cell>
        </row>
        <row r="2106">
          <cell r="B2106" t="str">
            <v>0268/16</v>
          </cell>
          <cell r="C2106" t="str">
            <v>2016-0.055.423-3</v>
          </cell>
          <cell r="D2106" t="str">
            <v>07/03/2016</v>
          </cell>
          <cell r="E2106" t="str">
            <v>07 de março de 2016</v>
          </cell>
          <cell r="F2106" t="str">
            <v>EDIGAR BENEVIDES DA COSTA</v>
          </cell>
          <cell r="G2106" t="str">
            <v>07/03/2016</v>
          </cell>
          <cell r="H2106" t="str">
            <v/>
          </cell>
          <cell r="I2106" t="str">
            <v/>
          </cell>
          <cell r="J2106" t="str">
            <v>PESSOA FÍSICA</v>
          </cell>
          <cell r="K2106" t="str">
            <v>029.869.388-76</v>
          </cell>
          <cell r="L2106" t="str">
            <v>CS</v>
          </cell>
          <cell r="M2106" t="str">
            <v>EDIGAR BENEVIDES DA COSTA</v>
          </cell>
          <cell r="N2106" t="str">
            <v>DTD2660</v>
          </cell>
          <cell r="O2106" t="str">
            <v>2007</v>
          </cell>
          <cell r="P2106" t="str">
            <v>29</v>
          </cell>
          <cell r="Q2106" t="str">
            <v>27</v>
          </cell>
        </row>
        <row r="2107">
          <cell r="B2107" t="str">
            <v>0269/16</v>
          </cell>
          <cell r="C2107" t="str">
            <v>2016-0.055.416-0</v>
          </cell>
          <cell r="D2107" t="str">
            <v>07/03/2016</v>
          </cell>
          <cell r="E2107" t="str">
            <v>07 de março de 2016</v>
          </cell>
          <cell r="F2107" t="str">
            <v>JOSE ROBERTO ALVES DA ROCHA</v>
          </cell>
          <cell r="G2107" t="str">
            <v>07/03/2016</v>
          </cell>
          <cell r="H2107" t="str">
            <v/>
          </cell>
          <cell r="I2107" t="str">
            <v/>
          </cell>
          <cell r="J2107" t="str">
            <v>PESSOA FÍSICA</v>
          </cell>
          <cell r="K2107" t="str">
            <v>047.841.758-65</v>
          </cell>
          <cell r="L2107" t="str">
            <v>CS</v>
          </cell>
          <cell r="M2107" t="str">
            <v>JOSE ROBERTO ALVES DA ROCHA</v>
          </cell>
          <cell r="N2107" t="str">
            <v>DTD2061</v>
          </cell>
          <cell r="O2107" t="str">
            <v>2007</v>
          </cell>
          <cell r="P2107" t="str">
            <v>29</v>
          </cell>
          <cell r="Q2107" t="str">
            <v>27</v>
          </cell>
        </row>
        <row r="2108">
          <cell r="B2108" t="str">
            <v>0270/16</v>
          </cell>
          <cell r="C2108" t="str">
            <v>2016-0.055.413-6</v>
          </cell>
          <cell r="D2108" t="str">
            <v>07/03/2016</v>
          </cell>
          <cell r="E2108" t="str">
            <v>07 de março de 2016</v>
          </cell>
          <cell r="F2108" t="str">
            <v>JOSE ROBERTO BARQUEIRO</v>
          </cell>
          <cell r="G2108" t="str">
            <v>07/03/2016</v>
          </cell>
          <cell r="H2108" t="str">
            <v/>
          </cell>
          <cell r="I2108" t="str">
            <v/>
          </cell>
          <cell r="J2108" t="str">
            <v>PESSOA FÍSICA</v>
          </cell>
          <cell r="K2108" t="str">
            <v>039.878.998-32</v>
          </cell>
          <cell r="L2108" t="str">
            <v>CS</v>
          </cell>
          <cell r="M2108" t="str">
            <v>JOSE ROBERTO BARQUEIRO</v>
          </cell>
          <cell r="N2108" t="str">
            <v>CZX5879</v>
          </cell>
          <cell r="O2108" t="str">
            <v>2006</v>
          </cell>
          <cell r="P2108" t="str">
            <v>23</v>
          </cell>
          <cell r="Q2108" t="str">
            <v>22</v>
          </cell>
        </row>
        <row r="2109">
          <cell r="B2109" t="str">
            <v>0271/16</v>
          </cell>
          <cell r="C2109" t="str">
            <v>2016-0.055.412-8</v>
          </cell>
          <cell r="D2109" t="str">
            <v>07/03/2016</v>
          </cell>
          <cell r="E2109" t="str">
            <v>07 de março de 2016</v>
          </cell>
          <cell r="F2109" t="str">
            <v>ROSELI DE MELLO GALDINO DA SILVA</v>
          </cell>
          <cell r="G2109" t="str">
            <v>07/03/2016</v>
          </cell>
          <cell r="H2109" t="str">
            <v/>
          </cell>
          <cell r="I2109" t="str">
            <v/>
          </cell>
          <cell r="J2109" t="str">
            <v>PESSOA FÍSICA</v>
          </cell>
          <cell r="K2109" t="str">
            <v>086.383.988-67</v>
          </cell>
          <cell r="L2109" t="str">
            <v>CS</v>
          </cell>
          <cell r="M2109" t="str">
            <v>ROSELI DE MELLO GALDINO DA SILVA</v>
          </cell>
          <cell r="N2109" t="str">
            <v>EFV1520</v>
          </cell>
          <cell r="O2109" t="str">
            <v>2009</v>
          </cell>
          <cell r="P2109" t="str">
            <v>19</v>
          </cell>
          <cell r="Q2109" t="str">
            <v>18</v>
          </cell>
        </row>
        <row r="2110">
          <cell r="B2110" t="str">
            <v>0272/16</v>
          </cell>
          <cell r="C2110" t="str">
            <v>2016-0.055.404-7</v>
          </cell>
          <cell r="D2110" t="str">
            <v/>
          </cell>
          <cell r="E2110" t="str">
            <v>09 de março de 2016</v>
          </cell>
          <cell r="F2110" t="str">
            <v>AILTON ANTONIO DO NASCIMENTO</v>
          </cell>
          <cell r="G2110" t="str">
            <v>09/03/2016</v>
          </cell>
          <cell r="H2110" t="str">
            <v/>
          </cell>
          <cell r="I2110" t="str">
            <v/>
          </cell>
          <cell r="J2110" t="str">
            <v>PESSOA FÍSICA</v>
          </cell>
          <cell r="K2110" t="str">
            <v>106.433.008-80</v>
          </cell>
          <cell r="L2110" t="str">
            <v>CS</v>
          </cell>
          <cell r="M2110" t="str">
            <v>AILTON ANTONIO DO NASCIMENTO</v>
          </cell>
          <cell r="N2110" t="str">
            <v>EFU7348</v>
          </cell>
          <cell r="O2110" t="str">
            <v>2010</v>
          </cell>
          <cell r="P2110" t="str">
            <v>28</v>
          </cell>
          <cell r="Q2110" t="str">
            <v>27</v>
          </cell>
        </row>
        <row r="2111">
          <cell r="B2111" t="str">
            <v>0273/16</v>
          </cell>
          <cell r="C2111" t="str">
            <v>2016-0.055.396-2</v>
          </cell>
          <cell r="D2111" t="str">
            <v/>
          </cell>
          <cell r="E2111" t="str">
            <v>11 de março de 2016</v>
          </cell>
          <cell r="F2111" t="str">
            <v>AIRTON MOLINA GARCIA</v>
          </cell>
          <cell r="G2111" t="str">
            <v>11/03/2016</v>
          </cell>
          <cell r="H2111" t="str">
            <v/>
          </cell>
          <cell r="I2111" t="str">
            <v/>
          </cell>
          <cell r="J2111" t="str">
            <v>PESSOA FÍSICA</v>
          </cell>
          <cell r="K2111" t="str">
            <v>040.164.488-08</v>
          </cell>
          <cell r="L2111" t="str">
            <v>CS</v>
          </cell>
          <cell r="M2111" t="str">
            <v>AIRTON MOLINA GARCIA</v>
          </cell>
          <cell r="N2111" t="str">
            <v>DTA6934</v>
          </cell>
          <cell r="O2111" t="str">
            <v>2007</v>
          </cell>
          <cell r="P2111" t="str">
            <v>29</v>
          </cell>
          <cell r="Q2111" t="str">
            <v>27</v>
          </cell>
        </row>
        <row r="2112">
          <cell r="B2112" t="str">
            <v>0274/16</v>
          </cell>
          <cell r="C2112" t="str">
            <v>2016-0.055.390-3</v>
          </cell>
          <cell r="D2112" t="str">
            <v/>
          </cell>
          <cell r="E2112" t="str">
            <v>10 de março de 2016</v>
          </cell>
          <cell r="F2112" t="str">
            <v>ALAN KARDEC DAMASCENO DE OLIVEIRA</v>
          </cell>
          <cell r="G2112" t="str">
            <v>10/03/2016</v>
          </cell>
          <cell r="H2112" t="str">
            <v/>
          </cell>
          <cell r="I2112" t="str">
            <v/>
          </cell>
          <cell r="J2112" t="str">
            <v>PESSOA FÍSICA</v>
          </cell>
          <cell r="K2112" t="str">
            <v>147.334.658-40</v>
          </cell>
          <cell r="L2112" t="str">
            <v>CS</v>
          </cell>
          <cell r="M2112" t="str">
            <v>ALAN KARDEC DAMASCENO DE OLIVEIRA</v>
          </cell>
          <cell r="N2112" t="str">
            <v>DTA4587</v>
          </cell>
          <cell r="O2112" t="str">
            <v>2007</v>
          </cell>
          <cell r="P2112" t="str">
            <v>29</v>
          </cell>
          <cell r="Q2112" t="str">
            <v>27</v>
          </cell>
        </row>
        <row r="2113">
          <cell r="B2113" t="str">
            <v>0275/16</v>
          </cell>
          <cell r="C2113" t="str">
            <v>2016-0.055.383-0</v>
          </cell>
          <cell r="D2113" t="str">
            <v/>
          </cell>
          <cell r="E2113" t="str">
            <v>10 de março de 2016</v>
          </cell>
          <cell r="F2113" t="str">
            <v>ALFREDO DOS SANTOS</v>
          </cell>
          <cell r="G2113" t="str">
            <v>10/03/2016</v>
          </cell>
          <cell r="H2113" t="str">
            <v/>
          </cell>
          <cell r="I2113" t="str">
            <v/>
          </cell>
          <cell r="J2113" t="str">
            <v>PESSOA FÍSICA</v>
          </cell>
          <cell r="K2113" t="str">
            <v>085.875.608-08</v>
          </cell>
          <cell r="L2113" t="str">
            <v>CS</v>
          </cell>
          <cell r="M2113" t="str">
            <v>ALFREDO DOS SANTOS</v>
          </cell>
          <cell r="N2113" t="str">
            <v>DTD1897</v>
          </cell>
          <cell r="O2113" t="str">
            <v>2007</v>
          </cell>
          <cell r="P2113" t="str">
            <v>29</v>
          </cell>
          <cell r="Q2113" t="str">
            <v>27</v>
          </cell>
        </row>
        <row r="2114">
          <cell r="B2114" t="str">
            <v>0276/16</v>
          </cell>
          <cell r="C2114" t="str">
            <v>2016-0.055.336-9</v>
          </cell>
          <cell r="D2114" t="str">
            <v/>
          </cell>
          <cell r="E2114" t="str">
            <v>14 de março de 2016</v>
          </cell>
          <cell r="F2114" t="str">
            <v>ANIBAL PRADO SECANECHIA</v>
          </cell>
          <cell r="G2114" t="str">
            <v>14/03/2016</v>
          </cell>
          <cell r="H2114" t="str">
            <v>25/03/2016</v>
          </cell>
          <cell r="I2114" t="str">
            <v>37</v>
          </cell>
          <cell r="J2114" t="str">
            <v>PESSOA FÍSICA</v>
          </cell>
          <cell r="K2114" t="str">
            <v>217.547.718-58</v>
          </cell>
          <cell r="L2114" t="str">
            <v>CS</v>
          </cell>
          <cell r="M2114" t="str">
            <v>ANIBAL PRADO SECANECHIA</v>
          </cell>
          <cell r="N2114" t="str">
            <v>DTC0989</v>
          </cell>
          <cell r="O2114" t="str">
            <v>2007</v>
          </cell>
          <cell r="P2114" t="str">
            <v>29</v>
          </cell>
          <cell r="Q2114" t="str">
            <v>27</v>
          </cell>
        </row>
        <row r="2115">
          <cell r="B2115" t="str">
            <v>0277/16</v>
          </cell>
          <cell r="C2115" t="str">
            <v>2016-0.055.330-0</v>
          </cell>
          <cell r="D2115" t="str">
            <v/>
          </cell>
          <cell r="E2115" t="str">
            <v>10 de março de 2016</v>
          </cell>
          <cell r="F2115" t="str">
            <v>ANISIO SILVA GOMES</v>
          </cell>
          <cell r="G2115" t="str">
            <v>10/03/2016</v>
          </cell>
          <cell r="H2115" t="str">
            <v/>
          </cell>
          <cell r="I2115" t="str">
            <v/>
          </cell>
          <cell r="J2115" t="str">
            <v>PESSOA FÍSICA</v>
          </cell>
          <cell r="K2115" t="str">
            <v>010.715.878-70</v>
          </cell>
          <cell r="L2115" t="str">
            <v>CS</v>
          </cell>
          <cell r="M2115" t="str">
            <v>ANISIO SILVA GOMES</v>
          </cell>
          <cell r="N2115" t="str">
            <v>DTC4714</v>
          </cell>
          <cell r="O2115" t="str">
            <v>2008</v>
          </cell>
          <cell r="P2115" t="str">
            <v>29</v>
          </cell>
          <cell r="Q2115" t="str">
            <v>27</v>
          </cell>
        </row>
        <row r="2116">
          <cell r="B2116" t="str">
            <v>0278/16</v>
          </cell>
          <cell r="C2116" t="str">
            <v>2016-0.055.323-7</v>
          </cell>
          <cell r="D2116" t="str">
            <v/>
          </cell>
          <cell r="E2116" t="str">
            <v>14 de março de 2016</v>
          </cell>
          <cell r="F2116" t="str">
            <v>ANTONIO BATISTA DE OLIVEIRA</v>
          </cell>
          <cell r="G2116" t="str">
            <v>14/03/2016</v>
          </cell>
          <cell r="H2116" t="str">
            <v>23/03/2016</v>
          </cell>
          <cell r="I2116" t="str">
            <v>57</v>
          </cell>
          <cell r="J2116" t="str">
            <v>PESSOA FÍSICA</v>
          </cell>
          <cell r="K2116" t="str">
            <v>016.101.338-46</v>
          </cell>
          <cell r="L2116" t="str">
            <v>CS</v>
          </cell>
          <cell r="M2116" t="str">
            <v>ANTONIO BATISTA DE OLIVEIRA</v>
          </cell>
          <cell r="N2116" t="str">
            <v>DTD3808</v>
          </cell>
          <cell r="O2116" t="str">
            <v>2007</v>
          </cell>
          <cell r="P2116" t="str">
            <v>29</v>
          </cell>
          <cell r="Q2116" t="str">
            <v>27</v>
          </cell>
        </row>
        <row r="2117">
          <cell r="B2117" t="str">
            <v>0279/16</v>
          </cell>
          <cell r="C2117" t="str">
            <v>2016-0.055.320-2</v>
          </cell>
          <cell r="D2117" t="str">
            <v/>
          </cell>
          <cell r="E2117" t="str">
            <v>11 de março de 2016</v>
          </cell>
          <cell r="F2117" t="str">
            <v>ANTONIO RIBEIRO MONTEIRO</v>
          </cell>
          <cell r="G2117" t="str">
            <v>11/03/2016</v>
          </cell>
          <cell r="H2117" t="str">
            <v/>
          </cell>
          <cell r="I2117" t="str">
            <v/>
          </cell>
          <cell r="J2117" t="str">
            <v>PESSOA FÍSICA</v>
          </cell>
          <cell r="K2117" t="str">
            <v>915.729.598-00</v>
          </cell>
          <cell r="L2117" t="str">
            <v>CS</v>
          </cell>
          <cell r="M2117" t="str">
            <v>ANTONIO RIBEIRO MONTEIRO</v>
          </cell>
          <cell r="N2117" t="str">
            <v>DTD1940</v>
          </cell>
          <cell r="O2117" t="str">
            <v>2007</v>
          </cell>
          <cell r="P2117" t="str">
            <v>28</v>
          </cell>
          <cell r="Q2117" t="str">
            <v>27</v>
          </cell>
        </row>
        <row r="2118">
          <cell r="B2118" t="str">
            <v>0280/16</v>
          </cell>
          <cell r="C2118" t="str">
            <v>2016-0.055.315-6</v>
          </cell>
          <cell r="D2118" t="str">
            <v/>
          </cell>
          <cell r="E2118" t="str">
            <v>11 de março de 2016</v>
          </cell>
          <cell r="F2118" t="str">
            <v>CARLOS ALBERTO GOMES</v>
          </cell>
          <cell r="G2118" t="str">
            <v>11/03/2016</v>
          </cell>
          <cell r="H2118" t="str">
            <v/>
          </cell>
          <cell r="I2118" t="str">
            <v/>
          </cell>
          <cell r="J2118" t="str">
            <v>PESSOA FÍSICA</v>
          </cell>
          <cell r="K2118" t="str">
            <v>223.525.468-34</v>
          </cell>
          <cell r="L2118" t="str">
            <v>CS</v>
          </cell>
          <cell r="M2118" t="str">
            <v>CARLOS ALBERTO GOMES</v>
          </cell>
          <cell r="N2118" t="str">
            <v>EFV4814</v>
          </cell>
          <cell r="O2118" t="str">
            <v>2010</v>
          </cell>
          <cell r="P2118" t="str">
            <v>19</v>
          </cell>
          <cell r="Q2118" t="str">
            <v>18</v>
          </cell>
        </row>
        <row r="2119">
          <cell r="B2119" t="str">
            <v>0281/16</v>
          </cell>
          <cell r="C2119" t="str">
            <v>2016-0.055.312-1</v>
          </cell>
          <cell r="D2119" t="str">
            <v/>
          </cell>
          <cell r="E2119" t="str">
            <v>10 de março de 2016</v>
          </cell>
          <cell r="F2119" t="str">
            <v>DALMO PEDRO DE CARVALHO</v>
          </cell>
          <cell r="G2119" t="str">
            <v>10/03/2016</v>
          </cell>
          <cell r="H2119" t="str">
            <v/>
          </cell>
          <cell r="I2119" t="str">
            <v/>
          </cell>
          <cell r="J2119" t="str">
            <v>PESSOA FÍSICA</v>
          </cell>
          <cell r="K2119" t="str">
            <v>346.097.846-53</v>
          </cell>
          <cell r="L2119" t="str">
            <v>CS</v>
          </cell>
          <cell r="M2119" t="str">
            <v>DALMO PEDRO DE CARVALHO</v>
          </cell>
          <cell r="N2119" t="str">
            <v>DTC0829</v>
          </cell>
          <cell r="O2119" t="str">
            <v>2007</v>
          </cell>
          <cell r="P2119" t="str">
            <v>29</v>
          </cell>
          <cell r="Q2119" t="str">
            <v>27</v>
          </cell>
        </row>
        <row r="2120">
          <cell r="B2120" t="str">
            <v>0282/16</v>
          </cell>
          <cell r="C2120" t="str">
            <v>2016-0.055.222-2</v>
          </cell>
          <cell r="D2120" t="str">
            <v/>
          </cell>
          <cell r="E2120" t="str">
            <v>11 de março de 2016</v>
          </cell>
          <cell r="F2120" t="str">
            <v>GILVANETE ROQUE DA CRUZ</v>
          </cell>
          <cell r="G2120" t="str">
            <v>11/03/2016</v>
          </cell>
          <cell r="H2120" t="str">
            <v/>
          </cell>
          <cell r="I2120" t="str">
            <v/>
          </cell>
          <cell r="J2120" t="str">
            <v>PESSOA FÍSICA</v>
          </cell>
          <cell r="K2120" t="str">
            <v>092.416.578-20</v>
          </cell>
          <cell r="L2120" t="str">
            <v>CS</v>
          </cell>
          <cell r="M2120" t="str">
            <v>GILVANETE ROQUE DA CRUZ</v>
          </cell>
          <cell r="N2120" t="str">
            <v>CYR2445</v>
          </cell>
          <cell r="O2120" t="str">
            <v>2003</v>
          </cell>
          <cell r="P2120" t="str">
            <v>25</v>
          </cell>
          <cell r="Q2120" t="str">
            <v>23</v>
          </cell>
        </row>
        <row r="2121">
          <cell r="B2121" t="str">
            <v>0283/16</v>
          </cell>
          <cell r="C2121" t="str">
            <v>2016-0.055.218-4</v>
          </cell>
          <cell r="D2121" t="str">
            <v/>
          </cell>
          <cell r="E2121" t="str">
            <v>10 de março de 2016</v>
          </cell>
          <cell r="F2121" t="str">
            <v>IVANILTO MIRANDA DE OLIVEIRA</v>
          </cell>
          <cell r="G2121" t="str">
            <v>10/03/2016</v>
          </cell>
          <cell r="H2121" t="str">
            <v/>
          </cell>
          <cell r="I2121" t="str">
            <v/>
          </cell>
          <cell r="J2121" t="str">
            <v>PESSOA FÍSICA</v>
          </cell>
          <cell r="K2121" t="str">
            <v>118.564.728-76</v>
          </cell>
          <cell r="L2121" t="str">
            <v>CS</v>
          </cell>
          <cell r="M2121" t="str">
            <v>IVANILTO MIRANDA DE OLIVEIRA</v>
          </cell>
          <cell r="N2121" t="str">
            <v>DTC0790</v>
          </cell>
          <cell r="O2121" t="str">
            <v>2007</v>
          </cell>
          <cell r="P2121" t="str">
            <v>29</v>
          </cell>
          <cell r="Q2121" t="str">
            <v>27</v>
          </cell>
        </row>
        <row r="2122">
          <cell r="B2122" t="str">
            <v>0284/16</v>
          </cell>
          <cell r="C2122" t="str">
            <v>2016-0.055.208-7</v>
          </cell>
          <cell r="D2122" t="str">
            <v/>
          </cell>
          <cell r="E2122" t="str">
            <v>10 de março de 2016</v>
          </cell>
          <cell r="F2122" t="str">
            <v>JOAO LINO DE SOUSA</v>
          </cell>
          <cell r="G2122" t="str">
            <v>10/03/2016</v>
          </cell>
          <cell r="H2122" t="str">
            <v/>
          </cell>
          <cell r="I2122" t="str">
            <v/>
          </cell>
          <cell r="J2122" t="str">
            <v>PESSOA FÍSICA</v>
          </cell>
          <cell r="K2122" t="str">
            <v>159.292.993-15</v>
          </cell>
          <cell r="L2122" t="str">
            <v>CS</v>
          </cell>
          <cell r="M2122" t="str">
            <v>JOAO LINO DE SOUSA</v>
          </cell>
          <cell r="N2122" t="str">
            <v>DJF8846</v>
          </cell>
          <cell r="O2122" t="str">
            <v>2007</v>
          </cell>
          <cell r="P2122" t="str">
            <v>29</v>
          </cell>
          <cell r="Q2122" t="str">
            <v>27</v>
          </cell>
        </row>
        <row r="2123">
          <cell r="B2123" t="str">
            <v>0285/16</v>
          </cell>
          <cell r="C2123" t="str">
            <v>2016-0.055.749-6</v>
          </cell>
          <cell r="D2123" t="str">
            <v/>
          </cell>
          <cell r="E2123" t="str">
            <v>09 de março de 2016</v>
          </cell>
          <cell r="F2123" t="str">
            <v>ROBERTO MILAN GONCALVES CORREA</v>
          </cell>
          <cell r="G2123" t="str">
            <v>09/03/2016</v>
          </cell>
          <cell r="H2123" t="str">
            <v/>
          </cell>
          <cell r="I2123" t="str">
            <v/>
          </cell>
          <cell r="J2123" t="str">
            <v>PESSOA FÍSICA</v>
          </cell>
          <cell r="K2123" t="str">
            <v>574.828.458-87</v>
          </cell>
          <cell r="L2123" t="str">
            <v>CL</v>
          </cell>
          <cell r="M2123" t="str">
            <v>ROBERTO MILAN GONCALVES CORREA</v>
          </cell>
          <cell r="N2123" t="str">
            <v>DTD3270</v>
          </cell>
          <cell r="O2123" t="str">
            <v>2007</v>
          </cell>
          <cell r="P2123" t="str">
            <v>29</v>
          </cell>
          <cell r="Q2123" t="str">
            <v>27</v>
          </cell>
        </row>
        <row r="2124">
          <cell r="B2124" t="str">
            <v>0286/16</v>
          </cell>
          <cell r="C2124" t="str">
            <v>2016-0.055.752-6</v>
          </cell>
          <cell r="D2124" t="str">
            <v/>
          </cell>
          <cell r="E2124" t="str">
            <v>09 de março de 2016</v>
          </cell>
          <cell r="F2124" t="str">
            <v>JORGE EDUARDO DOS SANTOS</v>
          </cell>
          <cell r="G2124" t="str">
            <v>09/03/2016</v>
          </cell>
          <cell r="H2124" t="str">
            <v/>
          </cell>
          <cell r="I2124" t="str">
            <v/>
          </cell>
          <cell r="J2124" t="str">
            <v>PESSOA FÍSICA</v>
          </cell>
          <cell r="K2124" t="str">
            <v>537.701.105-87</v>
          </cell>
          <cell r="L2124" t="str">
            <v>CS</v>
          </cell>
          <cell r="M2124" t="str">
            <v>JORGE EDUARDO DOS SANTOS</v>
          </cell>
          <cell r="N2124" t="str">
            <v>DTD2377</v>
          </cell>
          <cell r="O2124" t="str">
            <v>2007</v>
          </cell>
          <cell r="P2124" t="str">
            <v>29</v>
          </cell>
          <cell r="Q2124" t="str">
            <v>27</v>
          </cell>
        </row>
        <row r="2125">
          <cell r="B2125" t="str">
            <v>0287/16</v>
          </cell>
          <cell r="C2125" t="str">
            <v>2016-0.055.769-0</v>
          </cell>
          <cell r="D2125" t="str">
            <v/>
          </cell>
          <cell r="E2125" t="str">
            <v>09 de março de 2016</v>
          </cell>
          <cell r="F2125" t="str">
            <v>JOSE LOPES LIMA</v>
          </cell>
          <cell r="G2125" t="str">
            <v>09/03/2016</v>
          </cell>
          <cell r="H2125" t="str">
            <v/>
          </cell>
          <cell r="I2125" t="str">
            <v/>
          </cell>
          <cell r="J2125" t="str">
            <v>PESSOA FÍSICA</v>
          </cell>
          <cell r="K2125" t="str">
            <v>030.569.868-00</v>
          </cell>
          <cell r="L2125" t="str">
            <v>CS</v>
          </cell>
          <cell r="M2125" t="str">
            <v>JOSE LOPES LIMA</v>
          </cell>
          <cell r="N2125" t="str">
            <v>DTA2400</v>
          </cell>
          <cell r="O2125" t="str">
            <v>2007</v>
          </cell>
          <cell r="P2125" t="str">
            <v>29</v>
          </cell>
          <cell r="Q2125" t="str">
            <v>27</v>
          </cell>
        </row>
        <row r="2126">
          <cell r="B2126" t="str">
            <v>0288/16</v>
          </cell>
          <cell r="C2126" t="str">
            <v>2016-0.055.772-0</v>
          </cell>
          <cell r="D2126" t="str">
            <v/>
          </cell>
          <cell r="E2126" t="str">
            <v>10 de março de 2016</v>
          </cell>
          <cell r="F2126" t="str">
            <v>LUIS FERNANDO RODRIGUES</v>
          </cell>
          <cell r="G2126" t="str">
            <v>10/03/2016</v>
          </cell>
          <cell r="H2126" t="str">
            <v/>
          </cell>
          <cell r="I2126" t="str">
            <v/>
          </cell>
          <cell r="J2126" t="str">
            <v>PESSOA FÍSICA</v>
          </cell>
          <cell r="K2126" t="str">
            <v>101.018.818-60</v>
          </cell>
          <cell r="L2126" t="str">
            <v>CS</v>
          </cell>
          <cell r="M2126" t="str">
            <v>LUIS FERNANDO RODRIGUES</v>
          </cell>
          <cell r="N2126" t="str">
            <v>DTC0938</v>
          </cell>
          <cell r="O2126" t="str">
            <v>2007</v>
          </cell>
          <cell r="P2126" t="str">
            <v>29</v>
          </cell>
          <cell r="Q2126" t="str">
            <v>27</v>
          </cell>
        </row>
        <row r="2127">
          <cell r="B2127" t="str">
            <v>0289/16</v>
          </cell>
          <cell r="C2127" t="str">
            <v>2016-0.055.778-0</v>
          </cell>
          <cell r="D2127" t="str">
            <v/>
          </cell>
          <cell r="E2127" t="str">
            <v>14 de março de 2016</v>
          </cell>
          <cell r="F2127" t="str">
            <v>MARIA DO ROSARIO GONCALVES ALVES</v>
          </cell>
          <cell r="G2127" t="str">
            <v>14/03/2016</v>
          </cell>
          <cell r="H2127" t="str">
            <v/>
          </cell>
          <cell r="I2127" t="str">
            <v/>
          </cell>
          <cell r="J2127" t="str">
            <v>PESSOA FÍSICA</v>
          </cell>
          <cell r="K2127" t="str">
            <v>087.635.288-35</v>
          </cell>
          <cell r="L2127" t="str">
            <v>CS</v>
          </cell>
          <cell r="M2127" t="str">
            <v>MARIA DO ROSARIO GONCALVES ALVES</v>
          </cell>
          <cell r="N2127" t="str">
            <v>DTD1630</v>
          </cell>
          <cell r="O2127" t="str">
            <v>2007</v>
          </cell>
          <cell r="P2127" t="str">
            <v>29</v>
          </cell>
          <cell r="Q2127" t="str">
            <v>27</v>
          </cell>
        </row>
        <row r="2128">
          <cell r="B2128" t="str">
            <v>0290/16</v>
          </cell>
          <cell r="C2128" t="str">
            <v>2016-0.055.783-6</v>
          </cell>
          <cell r="D2128" t="str">
            <v/>
          </cell>
          <cell r="E2128" t="str">
            <v>09 de março de 2016</v>
          </cell>
          <cell r="F2128" t="str">
            <v>MIGUEL TITARA DOS SANTOS</v>
          </cell>
          <cell r="G2128" t="str">
            <v>09/03/2016</v>
          </cell>
          <cell r="H2128" t="str">
            <v/>
          </cell>
          <cell r="I2128" t="str">
            <v/>
          </cell>
          <cell r="J2128" t="str">
            <v>PESSOA FÍSICA</v>
          </cell>
          <cell r="K2128" t="str">
            <v>434.736.604-34</v>
          </cell>
          <cell r="L2128" t="str">
            <v>CS</v>
          </cell>
          <cell r="M2128" t="str">
            <v>MIGUEL TITARA DOS SANTOS</v>
          </cell>
          <cell r="N2128" t="str">
            <v>EGL5218</v>
          </cell>
          <cell r="O2128" t="str">
            <v>2008</v>
          </cell>
          <cell r="P2128" t="str">
            <v>19</v>
          </cell>
          <cell r="Q2128" t="str">
            <v>18</v>
          </cell>
        </row>
        <row r="2129">
          <cell r="B2129" t="str">
            <v>0291/16</v>
          </cell>
          <cell r="C2129" t="str">
            <v>2016-0.055.785-2</v>
          </cell>
          <cell r="D2129" t="str">
            <v/>
          </cell>
          <cell r="E2129" t="str">
            <v>09 de março de 2016</v>
          </cell>
          <cell r="F2129" t="str">
            <v>NELSON DIAS DE OLIVEIRA</v>
          </cell>
          <cell r="G2129" t="str">
            <v>09/03/2016</v>
          </cell>
          <cell r="H2129" t="str">
            <v/>
          </cell>
          <cell r="I2129" t="str">
            <v/>
          </cell>
          <cell r="J2129" t="str">
            <v>PESSOA FÍSICA</v>
          </cell>
          <cell r="K2129" t="str">
            <v>128.727.208-80</v>
          </cell>
          <cell r="L2129" t="str">
            <v>CS</v>
          </cell>
          <cell r="M2129" t="str">
            <v>NELSON DIAS DE OLIVEIRA</v>
          </cell>
          <cell r="N2129" t="str">
            <v>DTD3639</v>
          </cell>
          <cell r="O2129" t="str">
            <v>2007</v>
          </cell>
          <cell r="P2129" t="str">
            <v>29</v>
          </cell>
          <cell r="Q2129" t="str">
            <v>27</v>
          </cell>
        </row>
        <row r="2130">
          <cell r="B2130" t="str">
            <v>0292/16</v>
          </cell>
          <cell r="C2130" t="str">
            <v>2016-0.055.786-0</v>
          </cell>
          <cell r="D2130" t="str">
            <v/>
          </cell>
          <cell r="E2130" t="str">
            <v>10 de março de 2016</v>
          </cell>
          <cell r="F2130" t="str">
            <v>NILTON CESAR SOARES DE OLIVEIRA</v>
          </cell>
          <cell r="G2130" t="str">
            <v>10/03/2016</v>
          </cell>
          <cell r="H2130" t="str">
            <v/>
          </cell>
          <cell r="I2130" t="str">
            <v/>
          </cell>
          <cell r="J2130" t="str">
            <v>PESSOA FÍSICA</v>
          </cell>
          <cell r="K2130" t="str">
            <v>134.621.388-71</v>
          </cell>
          <cell r="L2130" t="str">
            <v>CS</v>
          </cell>
          <cell r="M2130" t="str">
            <v>NILTON CESAR SOARES DE OLIVEIRA</v>
          </cell>
          <cell r="N2130" t="str">
            <v>EFV8029</v>
          </cell>
          <cell r="O2130" t="str">
            <v>2010</v>
          </cell>
          <cell r="P2130" t="str">
            <v>19</v>
          </cell>
          <cell r="Q2130" t="str">
            <v>18</v>
          </cell>
        </row>
        <row r="2131">
          <cell r="B2131" t="str">
            <v>0293/16</v>
          </cell>
          <cell r="C2131" t="str">
            <v>2016-0.055.793-3</v>
          </cell>
          <cell r="D2131" t="str">
            <v/>
          </cell>
          <cell r="E2131" t="str">
            <v>14 de março de 2016</v>
          </cell>
          <cell r="F2131" t="str">
            <v>ODUVALDO BATISTA PIERETTO</v>
          </cell>
          <cell r="G2131" t="str">
            <v>14/03/2016</v>
          </cell>
          <cell r="H2131" t="str">
            <v>31/03/2016</v>
          </cell>
          <cell r="I2131" t="str">
            <v>33</v>
          </cell>
          <cell r="J2131" t="str">
            <v>PESSOA FÍSICA</v>
          </cell>
          <cell r="K2131" t="str">
            <v>088.865.468-58</v>
          </cell>
          <cell r="L2131" t="str">
            <v>CS</v>
          </cell>
          <cell r="M2131" t="str">
            <v>ODUVALDO BATISTA PIERETTO</v>
          </cell>
          <cell r="N2131" t="str">
            <v>DTA9500</v>
          </cell>
          <cell r="O2131" t="str">
            <v>2007</v>
          </cell>
          <cell r="P2131" t="str">
            <v>31</v>
          </cell>
          <cell r="Q2131" t="str">
            <v>30</v>
          </cell>
        </row>
        <row r="2132">
          <cell r="B2132" t="str">
            <v>0294/16</v>
          </cell>
          <cell r="C2132" t="str">
            <v>2016-0.055.795-0</v>
          </cell>
          <cell r="D2132" t="str">
            <v/>
          </cell>
          <cell r="E2132" t="str">
            <v>09 de março de 2016</v>
          </cell>
          <cell r="F2132" t="str">
            <v>ROSENILDA DA SILVA FALCAO</v>
          </cell>
          <cell r="G2132" t="str">
            <v>09/03/2016</v>
          </cell>
          <cell r="H2132" t="str">
            <v/>
          </cell>
          <cell r="I2132" t="str">
            <v/>
          </cell>
          <cell r="J2132" t="str">
            <v>PESSOA FÍSICA</v>
          </cell>
          <cell r="K2132" t="str">
            <v>144.274.698-09</v>
          </cell>
          <cell r="L2132" t="str">
            <v>CS</v>
          </cell>
          <cell r="M2132" t="str">
            <v>ROSENILDA DA SILVA FALCAO</v>
          </cell>
          <cell r="N2132" t="str">
            <v>DTC0680</v>
          </cell>
          <cell r="O2132" t="str">
            <v>2007</v>
          </cell>
          <cell r="P2132" t="str">
            <v>29</v>
          </cell>
          <cell r="Q2132" t="str">
            <v>27</v>
          </cell>
        </row>
        <row r="2133">
          <cell r="B2133" t="str">
            <v>0295/16</v>
          </cell>
          <cell r="C2133" t="str">
            <v>2016-0.055.804-2</v>
          </cell>
          <cell r="D2133" t="str">
            <v/>
          </cell>
          <cell r="E2133" t="str">
            <v>14 de março de 2016</v>
          </cell>
          <cell r="F2133" t="str">
            <v>VALDECI PEDRO ALVES</v>
          </cell>
          <cell r="G2133" t="str">
            <v>14/03/2016</v>
          </cell>
          <cell r="H2133" t="str">
            <v/>
          </cell>
          <cell r="I2133" t="str">
            <v/>
          </cell>
          <cell r="J2133" t="str">
            <v>PESSOA FÍSICA</v>
          </cell>
          <cell r="K2133" t="str">
            <v>882.810.949-15</v>
          </cell>
          <cell r="L2133" t="str">
            <v>CS</v>
          </cell>
          <cell r="M2133" t="str">
            <v>VALDECI PEDRO ALVES</v>
          </cell>
          <cell r="N2133" t="str">
            <v>FUI8900</v>
          </cell>
          <cell r="O2133" t="str">
            <v>2007</v>
          </cell>
          <cell r="P2133" t="str">
            <v>29</v>
          </cell>
          <cell r="Q2133" t="str">
            <v>28</v>
          </cell>
        </row>
        <row r="2134">
          <cell r="B2134" t="str">
            <v>0296/16</v>
          </cell>
          <cell r="C2134" t="str">
            <v>2016-0.055.807-7</v>
          </cell>
          <cell r="D2134" t="str">
            <v/>
          </cell>
          <cell r="E2134" t="str">
            <v>14 de março de 2016</v>
          </cell>
          <cell r="F2134" t="str">
            <v>VALDEMIR SANTIAGO FARIAS</v>
          </cell>
          <cell r="G2134" t="str">
            <v>14/03/2016</v>
          </cell>
          <cell r="H2134" t="str">
            <v/>
          </cell>
          <cell r="I2134" t="str">
            <v/>
          </cell>
          <cell r="J2134" t="str">
            <v>PESSOA FÍSICA</v>
          </cell>
          <cell r="K2134" t="str">
            <v>038.635.778-17</v>
          </cell>
          <cell r="L2134" t="str">
            <v>CS</v>
          </cell>
          <cell r="M2134" t="str">
            <v>VALDEMIR SANTIAGO FARIAS</v>
          </cell>
          <cell r="N2134" t="str">
            <v>DTC1188</v>
          </cell>
          <cell r="O2134" t="str">
            <v>2008</v>
          </cell>
          <cell r="P2134" t="str">
            <v>29</v>
          </cell>
          <cell r="Q2134" t="str">
            <v>27</v>
          </cell>
        </row>
        <row r="2135">
          <cell r="B2135" t="str">
            <v>0297/16</v>
          </cell>
          <cell r="C2135" t="str">
            <v>2016-0.055.812-3</v>
          </cell>
          <cell r="D2135" t="str">
            <v/>
          </cell>
          <cell r="E2135" t="str">
            <v>09 de março de 2016</v>
          </cell>
          <cell r="F2135" t="str">
            <v>VALDIR LEITE PEREIRA</v>
          </cell>
          <cell r="G2135" t="str">
            <v>09/03/2016</v>
          </cell>
          <cell r="H2135" t="str">
            <v/>
          </cell>
          <cell r="I2135" t="str">
            <v/>
          </cell>
          <cell r="J2135" t="str">
            <v>PESSOA FÍSICA</v>
          </cell>
          <cell r="K2135" t="str">
            <v>509.651.155-34</v>
          </cell>
          <cell r="L2135" t="str">
            <v>CS</v>
          </cell>
          <cell r="M2135" t="str">
            <v>VALDIR LEITE PEREIRA</v>
          </cell>
          <cell r="N2135" t="str">
            <v>DJF4690</v>
          </cell>
          <cell r="O2135" t="str">
            <v>2006</v>
          </cell>
          <cell r="P2135" t="str">
            <v>25</v>
          </cell>
          <cell r="Q2135" t="str">
            <v>23</v>
          </cell>
        </row>
        <row r="2136">
          <cell r="B2136" t="str">
            <v>0298/16</v>
          </cell>
          <cell r="C2136" t="str">
            <v>2016-0.055.818-2</v>
          </cell>
          <cell r="D2136" t="str">
            <v/>
          </cell>
          <cell r="E2136" t="str">
            <v>09 de março de 2016</v>
          </cell>
          <cell r="F2136" t="str">
            <v>VANDERLEI PEDRO DA SILVA</v>
          </cell>
          <cell r="G2136" t="str">
            <v>09/03/2016</v>
          </cell>
          <cell r="H2136" t="str">
            <v/>
          </cell>
          <cell r="I2136" t="str">
            <v/>
          </cell>
          <cell r="J2136" t="str">
            <v>PESSOA FÍSICA</v>
          </cell>
          <cell r="K2136" t="str">
            <v>021.907.208-69</v>
          </cell>
          <cell r="L2136" t="str">
            <v>CS</v>
          </cell>
          <cell r="M2136" t="str">
            <v>VANDERLEI PEDRO DA SILVA</v>
          </cell>
          <cell r="N2136" t="str">
            <v>ELQ3559</v>
          </cell>
          <cell r="O2136" t="str">
            <v>2010</v>
          </cell>
          <cell r="P2136" t="str">
            <v>19</v>
          </cell>
          <cell r="Q2136" t="str">
            <v>18</v>
          </cell>
        </row>
        <row r="2137">
          <cell r="B2137" t="str">
            <v>0299/16</v>
          </cell>
          <cell r="C2137" t="str">
            <v>2016-0.055.821-2</v>
          </cell>
          <cell r="D2137" t="str">
            <v/>
          </cell>
          <cell r="E2137" t="str">
            <v>21 de março de 2016</v>
          </cell>
          <cell r="F2137" t="str">
            <v>ADEILDO JOSE SOUZA DOS SANTOS</v>
          </cell>
          <cell r="G2137" t="str">
            <v>21/03/2016</v>
          </cell>
          <cell r="H2137" t="str">
            <v>23/03/2016</v>
          </cell>
          <cell r="I2137" t="str">
            <v>57</v>
          </cell>
          <cell r="J2137" t="str">
            <v>PESSOA FÍSICA</v>
          </cell>
          <cell r="K2137" t="str">
            <v>012.606.358-30</v>
          </cell>
          <cell r="L2137" t="str">
            <v>CS</v>
          </cell>
          <cell r="M2137" t="str">
            <v>ADEILDO JOSE SOUZA DOS SANTOS</v>
          </cell>
          <cell r="N2137" t="str">
            <v>DTC1490</v>
          </cell>
          <cell r="O2137" t="str">
            <v>2007</v>
          </cell>
          <cell r="P2137" t="str">
            <v>29</v>
          </cell>
          <cell r="Q2137" t="str">
            <v>27</v>
          </cell>
        </row>
        <row r="2138">
          <cell r="B2138" t="str">
            <v>0300/16</v>
          </cell>
          <cell r="C2138" t="str">
            <v>2016-0.055.827-1</v>
          </cell>
          <cell r="D2138" t="str">
            <v>21/03/2016</v>
          </cell>
          <cell r="E2138" t="str">
            <v>20 de abril de 2016</v>
          </cell>
          <cell r="F2138" t="str">
            <v>ADENILDO FERREIRA RODRIGUES</v>
          </cell>
          <cell r="G2138" t="str">
            <v>20/04/2016</v>
          </cell>
          <cell r="H2138" t="str">
            <v>21/04/2016</v>
          </cell>
          <cell r="I2138" t="str">
            <v>94</v>
          </cell>
          <cell r="J2138" t="str">
            <v>PESSOA FÍSICA</v>
          </cell>
          <cell r="K2138" t="str">
            <v>149.107.758-11</v>
          </cell>
          <cell r="L2138" t="str">
            <v>CS</v>
          </cell>
          <cell r="M2138" t="str">
            <v>ADENILDO FERREIRA RODRIGUES</v>
          </cell>
          <cell r="N2138" t="str">
            <v>DTD2710</v>
          </cell>
          <cell r="O2138" t="str">
            <v>2007</v>
          </cell>
          <cell r="P2138" t="str">
            <v>29</v>
          </cell>
          <cell r="Q2138" t="str">
            <v>28</v>
          </cell>
        </row>
        <row r="2139">
          <cell r="B2139" t="str">
            <v>0301/16</v>
          </cell>
          <cell r="C2139" t="str">
            <v>2016-0.055.830-1</v>
          </cell>
          <cell r="D2139" t="str">
            <v/>
          </cell>
          <cell r="E2139" t="str">
            <v>09 de março de 2016</v>
          </cell>
          <cell r="F2139" t="str">
            <v>ALEX COUTO QUEIROZ</v>
          </cell>
          <cell r="G2139" t="str">
            <v>09/03/2016</v>
          </cell>
          <cell r="H2139" t="str">
            <v/>
          </cell>
          <cell r="I2139" t="str">
            <v/>
          </cell>
          <cell r="J2139" t="str">
            <v>PESSOA FÍSICA</v>
          </cell>
          <cell r="K2139" t="str">
            <v>195.843.318-76</v>
          </cell>
          <cell r="L2139" t="str">
            <v>CS</v>
          </cell>
          <cell r="M2139" t="str">
            <v>ALEX COUTO QUEIROZ</v>
          </cell>
          <cell r="N2139" t="str">
            <v>DIL6752</v>
          </cell>
          <cell r="O2139" t="str">
            <v>2003</v>
          </cell>
          <cell r="P2139" t="str">
            <v>25</v>
          </cell>
          <cell r="Q2139" t="str">
            <v>23</v>
          </cell>
        </row>
        <row r="2140">
          <cell r="B2140" t="str">
            <v>0302/16</v>
          </cell>
          <cell r="C2140" t="str">
            <v>2016-0.055.836-0</v>
          </cell>
          <cell r="D2140" t="str">
            <v/>
          </cell>
          <cell r="E2140" t="str">
            <v>09 de março de 2016</v>
          </cell>
          <cell r="F2140" t="str">
            <v>BENEDITO CALDAS DOS SANTOS</v>
          </cell>
          <cell r="G2140" t="str">
            <v>09/03/2016</v>
          </cell>
          <cell r="H2140" t="str">
            <v/>
          </cell>
          <cell r="I2140" t="str">
            <v/>
          </cell>
          <cell r="J2140" t="str">
            <v>PESSOA FÍSICA</v>
          </cell>
          <cell r="K2140" t="str">
            <v>092.226.988-27</v>
          </cell>
          <cell r="L2140" t="str">
            <v>CS</v>
          </cell>
          <cell r="M2140" t="str">
            <v>BENEDITO CALDAS DOS SANTOS</v>
          </cell>
          <cell r="N2140" t="str">
            <v>CVP5047</v>
          </cell>
          <cell r="O2140" t="str">
            <v>2008</v>
          </cell>
          <cell r="P2140" t="str">
            <v>28</v>
          </cell>
          <cell r="Q2140" t="str">
            <v>27</v>
          </cell>
        </row>
        <row r="2141">
          <cell r="B2141" t="str">
            <v>0303/16</v>
          </cell>
          <cell r="C2141" t="str">
            <v>2016-0.055.838-7</v>
          </cell>
          <cell r="D2141" t="str">
            <v/>
          </cell>
          <cell r="E2141" t="str">
            <v>09 de março de 2016</v>
          </cell>
          <cell r="F2141" t="str">
            <v>CARLOS ROBERTO RODRIGUES</v>
          </cell>
          <cell r="G2141" t="str">
            <v>09/03/2016</v>
          </cell>
          <cell r="H2141" t="str">
            <v/>
          </cell>
          <cell r="I2141" t="str">
            <v/>
          </cell>
          <cell r="J2141" t="str">
            <v>PESSOA FÍSICA</v>
          </cell>
          <cell r="K2141" t="str">
            <v>084.646.588-42</v>
          </cell>
          <cell r="L2141" t="str">
            <v>CS</v>
          </cell>
          <cell r="M2141" t="str">
            <v>CARLOS ROBERTO RODRIGUES</v>
          </cell>
          <cell r="N2141" t="str">
            <v>EBB8049</v>
          </cell>
          <cell r="O2141" t="str">
            <v>2007</v>
          </cell>
          <cell r="P2141" t="str">
            <v>29</v>
          </cell>
          <cell r="Q2141" t="str">
            <v>27</v>
          </cell>
        </row>
        <row r="2142">
          <cell r="B2142" t="str">
            <v>0304/16</v>
          </cell>
          <cell r="C2142" t="str">
            <v>2016-0.055.843-3</v>
          </cell>
          <cell r="D2142" t="str">
            <v/>
          </cell>
          <cell r="E2142" t="str">
            <v>21 de março de 2016</v>
          </cell>
          <cell r="F2142" t="str">
            <v>CLAUDIA ARAUJO DE ALMEIDA</v>
          </cell>
          <cell r="G2142" t="str">
            <v>21/03/2016</v>
          </cell>
          <cell r="H2142" t="str">
            <v>09/04/2016</v>
          </cell>
          <cell r="I2142" t="str">
            <v>32</v>
          </cell>
          <cell r="J2142" t="str">
            <v>PESSOA FÍSICA</v>
          </cell>
          <cell r="K2142" t="str">
            <v>220.679.828-00</v>
          </cell>
          <cell r="L2142" t="str">
            <v>CS</v>
          </cell>
          <cell r="M2142" t="str">
            <v>CLAUDIA ARAUJO DE ALMEIDA</v>
          </cell>
          <cell r="N2142" t="str">
            <v>DTD1305</v>
          </cell>
          <cell r="O2142" t="str">
            <v>2007</v>
          </cell>
          <cell r="P2142" t="str">
            <v>32</v>
          </cell>
          <cell r="Q2142" t="str">
            <v>31</v>
          </cell>
        </row>
        <row r="2143">
          <cell r="B2143" t="str">
            <v>0305/16</v>
          </cell>
          <cell r="C2143" t="str">
            <v>2016-0.055.848-4</v>
          </cell>
          <cell r="D2143" t="str">
            <v/>
          </cell>
          <cell r="E2143" t="str">
            <v>09 de março de 2016</v>
          </cell>
          <cell r="F2143" t="str">
            <v>CLOVES JOSE DE ALMEIDA</v>
          </cell>
          <cell r="G2143" t="str">
            <v>09/03/2016</v>
          </cell>
          <cell r="H2143" t="str">
            <v/>
          </cell>
          <cell r="I2143" t="str">
            <v/>
          </cell>
          <cell r="J2143" t="str">
            <v>PESSOA FÍSICA</v>
          </cell>
          <cell r="K2143" t="str">
            <v>166.244.898-80</v>
          </cell>
          <cell r="L2143" t="str">
            <v>CS</v>
          </cell>
          <cell r="M2143" t="str">
            <v>CLOVES JOSE DE ALMEIDA</v>
          </cell>
          <cell r="N2143" t="str">
            <v>DTB8820</v>
          </cell>
          <cell r="O2143" t="str">
            <v>2007</v>
          </cell>
          <cell r="P2143" t="str">
            <v>29</v>
          </cell>
          <cell r="Q2143" t="str">
            <v>27</v>
          </cell>
        </row>
        <row r="2144">
          <cell r="B2144" t="str">
            <v>0306/16</v>
          </cell>
          <cell r="C2144" t="str">
            <v>2016-0.055.851-4</v>
          </cell>
          <cell r="D2144" t="str">
            <v/>
          </cell>
          <cell r="E2144" t="str">
            <v>11 de março de 2016</v>
          </cell>
          <cell r="F2144" t="str">
            <v>DAVID HESSEL PONTES</v>
          </cell>
          <cell r="G2144" t="str">
            <v>11/03/2016</v>
          </cell>
          <cell r="H2144" t="str">
            <v/>
          </cell>
          <cell r="I2144" t="str">
            <v/>
          </cell>
          <cell r="J2144" t="str">
            <v>PESSOA FÍSICA</v>
          </cell>
          <cell r="K2144" t="str">
            <v>272.811.178-25</v>
          </cell>
          <cell r="L2144" t="str">
            <v>CS</v>
          </cell>
          <cell r="M2144" t="str">
            <v>DAVID HESSEL PONTES</v>
          </cell>
          <cell r="N2144" t="str">
            <v>DTC3849</v>
          </cell>
          <cell r="O2144" t="str">
            <v>2008</v>
          </cell>
          <cell r="P2144" t="str">
            <v>29</v>
          </cell>
          <cell r="Q2144" t="str">
            <v>27</v>
          </cell>
        </row>
        <row r="2145">
          <cell r="B2145" t="str">
            <v>0307/16</v>
          </cell>
          <cell r="C2145" t="str">
            <v>2016-0.055.861-1</v>
          </cell>
          <cell r="D2145" t="str">
            <v/>
          </cell>
          <cell r="E2145" t="str">
            <v>09 de março de 2016</v>
          </cell>
          <cell r="F2145" t="str">
            <v>EDILEUZA SOUZA DA PAZ</v>
          </cell>
          <cell r="G2145" t="str">
            <v>09/03/2016</v>
          </cell>
          <cell r="H2145" t="str">
            <v/>
          </cell>
          <cell r="I2145" t="str">
            <v/>
          </cell>
          <cell r="J2145" t="str">
            <v>PESSOA FÍSICA</v>
          </cell>
          <cell r="K2145" t="str">
            <v>128.751.138-44</v>
          </cell>
          <cell r="L2145" t="str">
            <v>CS</v>
          </cell>
          <cell r="M2145" t="str">
            <v>EDILEUZA SOUZA DA PAZ</v>
          </cell>
          <cell r="N2145" t="str">
            <v>DTE9664</v>
          </cell>
          <cell r="O2145" t="str">
            <v>2009</v>
          </cell>
          <cell r="P2145" t="str">
            <v>19</v>
          </cell>
          <cell r="Q2145" t="str">
            <v>18</v>
          </cell>
        </row>
        <row r="2146">
          <cell r="B2146" t="str">
            <v>0308/16</v>
          </cell>
          <cell r="C2146" t="str">
            <v>2016-0.055.864-6</v>
          </cell>
          <cell r="D2146" t="str">
            <v/>
          </cell>
          <cell r="E2146" t="str">
            <v>09 de março de 2016</v>
          </cell>
          <cell r="F2146" t="str">
            <v>EDMILSON DOS SANTOS GOIS</v>
          </cell>
          <cell r="G2146" t="str">
            <v>09/03/2016</v>
          </cell>
          <cell r="H2146" t="str">
            <v/>
          </cell>
          <cell r="I2146" t="str">
            <v/>
          </cell>
          <cell r="J2146" t="str">
            <v>PESSOA FÍSICA</v>
          </cell>
          <cell r="K2146" t="str">
            <v>281.115.288-17</v>
          </cell>
          <cell r="L2146" t="str">
            <v>CS</v>
          </cell>
          <cell r="M2146" t="str">
            <v>EDMILSON DOS SANTOS GOIS</v>
          </cell>
          <cell r="N2146" t="str">
            <v>ELQ4350</v>
          </cell>
          <cell r="O2146" t="str">
            <v>2010</v>
          </cell>
          <cell r="P2146" t="str">
            <v>19</v>
          </cell>
          <cell r="Q2146" t="str">
            <v>18</v>
          </cell>
        </row>
        <row r="2147">
          <cell r="B2147" t="str">
            <v>0309/16</v>
          </cell>
          <cell r="C2147" t="str">
            <v>2016-0.055.874-3</v>
          </cell>
          <cell r="D2147" t="str">
            <v/>
          </cell>
          <cell r="E2147" t="str">
            <v>09 de março de 2016</v>
          </cell>
          <cell r="F2147" t="str">
            <v>EDSON DOS SANTOS GOIS</v>
          </cell>
          <cell r="G2147" t="str">
            <v>09/03/2016</v>
          </cell>
          <cell r="H2147" t="str">
            <v/>
          </cell>
          <cell r="I2147" t="str">
            <v/>
          </cell>
          <cell r="J2147" t="str">
            <v>PESSOA FÍSICA</v>
          </cell>
          <cell r="K2147" t="str">
            <v>260.051.358-21</v>
          </cell>
          <cell r="L2147" t="str">
            <v>CS</v>
          </cell>
          <cell r="M2147" t="str">
            <v>EDSON DOS SANTOS GOIS</v>
          </cell>
          <cell r="N2147" t="str">
            <v>EQL1560</v>
          </cell>
          <cell r="O2147" t="str">
            <v>2011</v>
          </cell>
          <cell r="P2147" t="str">
            <v>27</v>
          </cell>
          <cell r="Q2147" t="str">
            <v>26</v>
          </cell>
        </row>
        <row r="2148">
          <cell r="B2148" t="str">
            <v>0310/16</v>
          </cell>
          <cell r="C2148" t="str">
            <v>2016-0.055.884-0</v>
          </cell>
          <cell r="D2148" t="str">
            <v/>
          </cell>
          <cell r="E2148" t="str">
            <v>21 de março de 2016</v>
          </cell>
          <cell r="F2148" t="str">
            <v>ELIANE IRACEMA ANDRADE</v>
          </cell>
          <cell r="G2148" t="str">
            <v>21/03/2016</v>
          </cell>
          <cell r="H2148" t="str">
            <v>23/03/2016</v>
          </cell>
          <cell r="I2148" t="str">
            <v>57</v>
          </cell>
          <cell r="J2148" t="str">
            <v>PESSOA FÍSICA</v>
          </cell>
          <cell r="K2148" t="str">
            <v>132.376.718-51</v>
          </cell>
          <cell r="L2148" t="str">
            <v>CS</v>
          </cell>
          <cell r="M2148" t="str">
            <v>ELIANE IRACEMA ANDRADE</v>
          </cell>
          <cell r="N2148" t="str">
            <v>DTD2030</v>
          </cell>
          <cell r="O2148" t="str">
            <v>2007</v>
          </cell>
          <cell r="P2148" t="str">
            <v>29</v>
          </cell>
          <cell r="Q2148" t="str">
            <v>27</v>
          </cell>
        </row>
        <row r="2149">
          <cell r="B2149" t="str">
            <v>0311/16</v>
          </cell>
          <cell r="C2149" t="str">
            <v>2016-0.055.902-2</v>
          </cell>
          <cell r="D2149" t="str">
            <v/>
          </cell>
          <cell r="E2149" t="str">
            <v>09 de março de 2016</v>
          </cell>
          <cell r="F2149" t="str">
            <v>FRANCIMAR LEANDRO</v>
          </cell>
          <cell r="G2149" t="str">
            <v>09/03/2016</v>
          </cell>
          <cell r="H2149" t="str">
            <v/>
          </cell>
          <cell r="I2149" t="str">
            <v/>
          </cell>
          <cell r="J2149" t="str">
            <v>PESSOA FÍSICA</v>
          </cell>
          <cell r="K2149" t="str">
            <v>011.168.208-89</v>
          </cell>
          <cell r="L2149" t="str">
            <v>CS</v>
          </cell>
          <cell r="M2149" t="str">
            <v>FRANCIMAR LEANDRO</v>
          </cell>
          <cell r="N2149" t="str">
            <v>ECT8510</v>
          </cell>
          <cell r="O2149" t="str">
            <v>2008</v>
          </cell>
          <cell r="P2149" t="str">
            <v>19</v>
          </cell>
          <cell r="Q2149" t="str">
            <v>18</v>
          </cell>
        </row>
        <row r="2150">
          <cell r="B2150" t="str">
            <v>0312/16</v>
          </cell>
          <cell r="C2150" t="str">
            <v>2016-0.055.912-0</v>
          </cell>
          <cell r="D2150" t="str">
            <v/>
          </cell>
          <cell r="E2150" t="str">
            <v>09 de março de 2016</v>
          </cell>
          <cell r="F2150" t="str">
            <v>GILBERTO DO CARMO SANTOS</v>
          </cell>
          <cell r="G2150" t="str">
            <v>09/03/2016</v>
          </cell>
          <cell r="H2150" t="str">
            <v/>
          </cell>
          <cell r="I2150" t="str">
            <v/>
          </cell>
          <cell r="J2150" t="str">
            <v>PESSOA FÍSICA</v>
          </cell>
          <cell r="K2150" t="str">
            <v>134.863.178-30</v>
          </cell>
          <cell r="L2150" t="str">
            <v>CS</v>
          </cell>
          <cell r="M2150" t="str">
            <v>GILBERTO DO CARMO SANTOS</v>
          </cell>
          <cell r="N2150" t="str">
            <v>DTE8548</v>
          </cell>
          <cell r="O2150" t="str">
            <v>2009</v>
          </cell>
          <cell r="P2150" t="str">
            <v>10</v>
          </cell>
          <cell r="Q2150" t="str">
            <v>9</v>
          </cell>
        </row>
        <row r="2151">
          <cell r="B2151" t="str">
            <v>0313/16</v>
          </cell>
          <cell r="C2151" t="str">
            <v>2016-0.055.913-8</v>
          </cell>
          <cell r="D2151" t="str">
            <v/>
          </cell>
          <cell r="E2151" t="str">
            <v>09 de março de 2016</v>
          </cell>
          <cell r="F2151" t="str">
            <v>GILBERTO JOSE GOMES</v>
          </cell>
          <cell r="G2151" t="str">
            <v>09/03/2016</v>
          </cell>
          <cell r="H2151" t="str">
            <v/>
          </cell>
          <cell r="I2151" t="str">
            <v/>
          </cell>
          <cell r="J2151" t="str">
            <v>PESSOA FÍSICA</v>
          </cell>
          <cell r="K2151" t="str">
            <v>592.270.878-34</v>
          </cell>
          <cell r="L2151" t="str">
            <v>CS</v>
          </cell>
          <cell r="M2151" t="str">
            <v>GILBERTO JOSE GOMES</v>
          </cell>
          <cell r="N2151" t="str">
            <v>EFU9934</v>
          </cell>
          <cell r="O2151" t="str">
            <v>2010</v>
          </cell>
          <cell r="P2151" t="str">
            <v>19</v>
          </cell>
          <cell r="Q2151" t="str">
            <v>18</v>
          </cell>
        </row>
        <row r="2152">
          <cell r="B2152" t="str">
            <v>0314/16</v>
          </cell>
          <cell r="C2152" t="str">
            <v>2016-0.055.914-6</v>
          </cell>
          <cell r="D2152" t="str">
            <v/>
          </cell>
          <cell r="E2152" t="str">
            <v>09 de março de 2016</v>
          </cell>
          <cell r="F2152" t="str">
            <v>HERINALDO JOAQUIM DE SANTANA</v>
          </cell>
          <cell r="G2152" t="str">
            <v>09/03/2016</v>
          </cell>
          <cell r="H2152" t="str">
            <v/>
          </cell>
          <cell r="I2152" t="str">
            <v/>
          </cell>
          <cell r="J2152" t="str">
            <v>PESSOA FÍSICA</v>
          </cell>
          <cell r="K2152" t="str">
            <v>287.816.368-06</v>
          </cell>
          <cell r="L2152" t="str">
            <v>CS</v>
          </cell>
          <cell r="M2152" t="str">
            <v>HERINALDO JOAQUIM DE SANTANA</v>
          </cell>
          <cell r="N2152" t="str">
            <v>FTE0312</v>
          </cell>
          <cell r="O2152" t="str">
            <v>2014</v>
          </cell>
          <cell r="P2152" t="str">
            <v>10</v>
          </cell>
          <cell r="Q2152" t="str">
            <v>09</v>
          </cell>
        </row>
        <row r="2153">
          <cell r="B2153" t="str">
            <v>0315/16</v>
          </cell>
          <cell r="C2153" t="str">
            <v>2016-0.055.916-2</v>
          </cell>
          <cell r="D2153" t="str">
            <v/>
          </cell>
          <cell r="E2153" t="str">
            <v>11 de março de 2016</v>
          </cell>
          <cell r="F2153" t="str">
            <v>IVONE APARECIDA HESSEL</v>
          </cell>
          <cell r="G2153" t="str">
            <v>11/03/2016</v>
          </cell>
          <cell r="H2153" t="str">
            <v/>
          </cell>
          <cell r="I2153" t="str">
            <v/>
          </cell>
          <cell r="J2153" t="str">
            <v>PESSOA FÍSICA</v>
          </cell>
          <cell r="K2153" t="str">
            <v>048.749.688-48</v>
          </cell>
          <cell r="L2153" t="str">
            <v>CS</v>
          </cell>
          <cell r="M2153" t="str">
            <v>IVONE APARECIDA HESSEL</v>
          </cell>
          <cell r="N2153" t="str">
            <v>DJF6895</v>
          </cell>
          <cell r="O2153" t="str">
            <v>2007</v>
          </cell>
          <cell r="P2153" t="str">
            <v>29</v>
          </cell>
          <cell r="Q2153" t="str">
            <v>27</v>
          </cell>
        </row>
        <row r="2154">
          <cell r="B2154" t="str">
            <v>0316/16</v>
          </cell>
          <cell r="C2154" t="str">
            <v>2016-0.055.920-0</v>
          </cell>
          <cell r="D2154" t="str">
            <v/>
          </cell>
          <cell r="E2154" t="str">
            <v>21 de março de 2016</v>
          </cell>
          <cell r="F2154" t="str">
            <v>JOAO EVANGELISTA PIRES</v>
          </cell>
          <cell r="G2154" t="str">
            <v>21/03/2016</v>
          </cell>
          <cell r="H2154" t="str">
            <v>31/03/2016</v>
          </cell>
          <cell r="I2154" t="str">
            <v>33</v>
          </cell>
          <cell r="J2154" t="str">
            <v>PESSOA FÍSICA</v>
          </cell>
          <cell r="K2154" t="str">
            <v>030.543.288-56</v>
          </cell>
          <cell r="L2154" t="str">
            <v>CS</v>
          </cell>
          <cell r="M2154" t="str">
            <v>JOAO EVANGELISTA PIRES</v>
          </cell>
          <cell r="N2154" t="str">
            <v>DTD3132</v>
          </cell>
          <cell r="O2154" t="str">
            <v>2007</v>
          </cell>
          <cell r="P2154" t="str">
            <v>19</v>
          </cell>
          <cell r="Q2154" t="str">
            <v>18</v>
          </cell>
        </row>
        <row r="2155">
          <cell r="B2155" t="str">
            <v>0317/16</v>
          </cell>
          <cell r="C2155" t="str">
            <v>2016-0.055.923-5</v>
          </cell>
          <cell r="D2155" t="str">
            <v/>
          </cell>
          <cell r="E2155" t="str">
            <v>21 de março de 2016</v>
          </cell>
          <cell r="F2155" t="str">
            <v>JONES HONORIO DA CUNHA</v>
          </cell>
          <cell r="G2155" t="str">
            <v>21/03/2016</v>
          </cell>
          <cell r="H2155" t="str">
            <v>31/03/2016</v>
          </cell>
          <cell r="I2155" t="str">
            <v>33</v>
          </cell>
          <cell r="J2155" t="str">
            <v>PESSOA FÍSICA</v>
          </cell>
          <cell r="K2155" t="str">
            <v>370.347.906-04</v>
          </cell>
          <cell r="L2155" t="str">
            <v>CS</v>
          </cell>
          <cell r="M2155" t="str">
            <v>JONES HONORIO DA CUNHA</v>
          </cell>
          <cell r="N2155" t="str">
            <v>DTC2140</v>
          </cell>
          <cell r="O2155" t="str">
            <v>2007</v>
          </cell>
          <cell r="P2155" t="str">
            <v>29</v>
          </cell>
          <cell r="Q2155" t="str">
            <v>27</v>
          </cell>
        </row>
        <row r="2156">
          <cell r="B2156" t="str">
            <v>0318/16</v>
          </cell>
          <cell r="C2156" t="str">
            <v>2016-0.055.927-8</v>
          </cell>
          <cell r="D2156" t="str">
            <v/>
          </cell>
          <cell r="E2156" t="str">
            <v>09 de março de 2016</v>
          </cell>
          <cell r="F2156" t="str">
            <v>JOSE MOREIRA DA SILVA</v>
          </cell>
          <cell r="G2156" t="str">
            <v>09/03/2016</v>
          </cell>
          <cell r="H2156" t="str">
            <v/>
          </cell>
          <cell r="I2156" t="str">
            <v/>
          </cell>
          <cell r="J2156" t="str">
            <v>PESSOA FÍSICA</v>
          </cell>
          <cell r="K2156" t="str">
            <v>881.209.108-34</v>
          </cell>
          <cell r="L2156" t="str">
            <v>CS</v>
          </cell>
          <cell r="M2156" t="str">
            <v>JOSE MOREIRA DA SILVA</v>
          </cell>
          <cell r="N2156" t="str">
            <v>DTC1015</v>
          </cell>
          <cell r="O2156" t="str">
            <v>2007</v>
          </cell>
          <cell r="P2156" t="str">
            <v>29</v>
          </cell>
          <cell r="Q2156" t="str">
            <v>27</v>
          </cell>
        </row>
        <row r="2157">
          <cell r="B2157" t="str">
            <v>0319/16</v>
          </cell>
          <cell r="C2157" t="str">
            <v>2016-0.055.931-6</v>
          </cell>
          <cell r="D2157" t="str">
            <v/>
          </cell>
          <cell r="E2157" t="str">
            <v>21 de março de 2016</v>
          </cell>
          <cell r="F2157" t="str">
            <v>JOSE RAMON CREO CARAU</v>
          </cell>
          <cell r="G2157" t="str">
            <v>21/03/2016</v>
          </cell>
          <cell r="H2157" t="str">
            <v>31/03/2016</v>
          </cell>
          <cell r="I2157" t="str">
            <v>33</v>
          </cell>
          <cell r="J2157" t="str">
            <v>PESSOA FÍSICA</v>
          </cell>
          <cell r="K2157" t="str">
            <v>014.586.828-11</v>
          </cell>
          <cell r="L2157" t="str">
            <v>CS</v>
          </cell>
          <cell r="M2157" t="str">
            <v>JOSE RAMON CREO CARAU</v>
          </cell>
          <cell r="N2157" t="str">
            <v>DTA0809</v>
          </cell>
          <cell r="O2157" t="str">
            <v>2005</v>
          </cell>
          <cell r="P2157" t="str">
            <v>29</v>
          </cell>
          <cell r="Q2157" t="str">
            <v>27</v>
          </cell>
        </row>
        <row r="2158">
          <cell r="B2158" t="str">
            <v>0320/16</v>
          </cell>
          <cell r="C2158" t="str">
            <v>2016-0.055.934-0</v>
          </cell>
          <cell r="D2158" t="str">
            <v/>
          </cell>
          <cell r="E2158" t="str">
            <v>09 de março de 2016</v>
          </cell>
          <cell r="F2158" t="str">
            <v>LINDALVA MARIA ALVES DOS SANTOS</v>
          </cell>
          <cell r="G2158" t="str">
            <v>09/03/2016</v>
          </cell>
          <cell r="H2158" t="str">
            <v/>
          </cell>
          <cell r="I2158" t="str">
            <v/>
          </cell>
          <cell r="J2158" t="str">
            <v>PESSOA FÍSICA</v>
          </cell>
          <cell r="K2158" t="str">
            <v>078.044.928-20</v>
          </cell>
          <cell r="L2158" t="str">
            <v>CS</v>
          </cell>
          <cell r="M2158" t="str">
            <v>LINDALVA MARIA ALVES DOS SANTOS</v>
          </cell>
          <cell r="N2158" t="str">
            <v>DTC0597</v>
          </cell>
          <cell r="O2158" t="str">
            <v>2007</v>
          </cell>
          <cell r="P2158" t="str">
            <v>29</v>
          </cell>
          <cell r="Q2158" t="str">
            <v>27</v>
          </cell>
        </row>
        <row r="2159">
          <cell r="B2159" t="str">
            <v>0321/16</v>
          </cell>
          <cell r="C2159" t="str">
            <v>2016-0.055.938-3</v>
          </cell>
          <cell r="D2159" t="str">
            <v/>
          </cell>
          <cell r="E2159" t="str">
            <v>09 de março de 2016</v>
          </cell>
          <cell r="F2159" t="str">
            <v>LUCIANO KLEBER SILVA PEREIRA</v>
          </cell>
          <cell r="G2159" t="str">
            <v>09/03/2016</v>
          </cell>
          <cell r="H2159" t="str">
            <v/>
          </cell>
          <cell r="I2159" t="str">
            <v/>
          </cell>
          <cell r="J2159" t="str">
            <v>PESSOA FÍSICA</v>
          </cell>
          <cell r="K2159" t="str">
            <v>317.463.998-05</v>
          </cell>
          <cell r="L2159" t="str">
            <v>CS</v>
          </cell>
          <cell r="M2159" t="str">
            <v>LUCIANO KLEBER SILVA PEREIRA</v>
          </cell>
          <cell r="N2159" t="str">
            <v>FLI6240</v>
          </cell>
          <cell r="O2159" t="str">
            <v>2014</v>
          </cell>
          <cell r="P2159" t="str">
            <v>33</v>
          </cell>
          <cell r="Q2159" t="str">
            <v>32</v>
          </cell>
        </row>
        <row r="2160">
          <cell r="B2160" t="str">
            <v>0322/16</v>
          </cell>
          <cell r="C2160" t="str">
            <v>2016-0.055.946-4</v>
          </cell>
          <cell r="D2160" t="str">
            <v/>
          </cell>
          <cell r="E2160" t="str">
            <v/>
          </cell>
          <cell r="F2160" t="str">
            <v>LUIZ ALBERTO SANTOS BESERRA</v>
          </cell>
          <cell r="G2160" t="str">
            <v/>
          </cell>
          <cell r="H2160" t="str">
            <v/>
          </cell>
          <cell r="I2160" t="str">
            <v/>
          </cell>
          <cell r="J2160" t="str">
            <v>PESSOA FÍSICA</v>
          </cell>
          <cell r="K2160" t="str">
            <v>320.024.008-30</v>
          </cell>
          <cell r="L2160" t="str">
            <v>CS</v>
          </cell>
          <cell r="M2160" t="str">
            <v>LUIZ ALBERTO SANTOS BESERRA</v>
          </cell>
          <cell r="N2160" t="str">
            <v>DTD4479</v>
          </cell>
          <cell r="O2160" t="str">
            <v>2010</v>
          </cell>
          <cell r="P2160" t="str">
            <v>19</v>
          </cell>
          <cell r="Q2160" t="str">
            <v>18</v>
          </cell>
        </row>
        <row r="2161">
          <cell r="B2161" t="str">
            <v>0323/16</v>
          </cell>
          <cell r="C2161" t="str">
            <v>2016-0.055.950-2</v>
          </cell>
          <cell r="D2161" t="str">
            <v/>
          </cell>
          <cell r="E2161" t="str">
            <v>09 de março de 2016</v>
          </cell>
          <cell r="F2161" t="str">
            <v>LUIZ BATISTA DA SILVA</v>
          </cell>
          <cell r="G2161" t="str">
            <v>09/03/2016</v>
          </cell>
          <cell r="H2161" t="str">
            <v/>
          </cell>
          <cell r="I2161" t="str">
            <v/>
          </cell>
          <cell r="J2161" t="str">
            <v>PESSOA FÍSICA</v>
          </cell>
          <cell r="K2161" t="str">
            <v>042.311.858-75</v>
          </cell>
          <cell r="L2161" t="str">
            <v>CS</v>
          </cell>
          <cell r="M2161" t="str">
            <v>LUIZ BATISTA DA SILVA</v>
          </cell>
          <cell r="N2161" t="str">
            <v>DTB0460</v>
          </cell>
          <cell r="O2161" t="str">
            <v>2006</v>
          </cell>
          <cell r="P2161" t="str">
            <v>29</v>
          </cell>
          <cell r="Q2161" t="str">
            <v>27</v>
          </cell>
        </row>
        <row r="2162">
          <cell r="B2162" t="str">
            <v>0324/16</v>
          </cell>
          <cell r="C2162" t="str">
            <v>2016-0.055.952-9</v>
          </cell>
          <cell r="D2162" t="str">
            <v>21/03/2016</v>
          </cell>
          <cell r="E2162" t="str">
            <v>25 de abril de 2016</v>
          </cell>
          <cell r="F2162" t="str">
            <v>LUIZ DA SILVA</v>
          </cell>
          <cell r="G2162" t="str">
            <v>25/04/2016</v>
          </cell>
          <cell r="H2162" t="str">
            <v>27/04/2016</v>
          </cell>
          <cell r="I2162" t="str">
            <v>53</v>
          </cell>
          <cell r="J2162" t="str">
            <v>PESSOA FÍSICA</v>
          </cell>
          <cell r="K2162" t="str">
            <v>780.043.308-00</v>
          </cell>
          <cell r="L2162" t="str">
            <v>CS</v>
          </cell>
          <cell r="M2162" t="str">
            <v>LUIZ DA SILVA</v>
          </cell>
          <cell r="N2162" t="str">
            <v>FGK6302</v>
          </cell>
          <cell r="O2162" t="str">
            <v>2012</v>
          </cell>
          <cell r="P2162" t="str">
            <v>19</v>
          </cell>
          <cell r="Q2162" t="str">
            <v>18</v>
          </cell>
        </row>
        <row r="2163">
          <cell r="B2163" t="str">
            <v>0325/16</v>
          </cell>
          <cell r="C2163" t="str">
            <v>2016-0.055.957-0</v>
          </cell>
          <cell r="D2163" t="str">
            <v/>
          </cell>
          <cell r="E2163" t="str">
            <v>21 de março de 2016</v>
          </cell>
          <cell r="F2163" t="str">
            <v>MARCELO SANTOS</v>
          </cell>
          <cell r="G2163" t="str">
            <v>21/03/2016</v>
          </cell>
          <cell r="H2163" t="str">
            <v/>
          </cell>
          <cell r="I2163" t="str">
            <v/>
          </cell>
          <cell r="J2163" t="str">
            <v>PESSOA FÍSICA</v>
          </cell>
          <cell r="K2163" t="str">
            <v>127.810.848-32</v>
          </cell>
          <cell r="L2163" t="str">
            <v>CS</v>
          </cell>
          <cell r="M2163" t="str">
            <v>MARCELO SANTOS</v>
          </cell>
          <cell r="N2163" t="str">
            <v>DTD1740</v>
          </cell>
          <cell r="O2163" t="str">
            <v>2007</v>
          </cell>
          <cell r="P2163" t="str">
            <v>29</v>
          </cell>
          <cell r="Q2163" t="str">
            <v>27</v>
          </cell>
        </row>
        <row r="2164">
          <cell r="B2164" t="str">
            <v>0326/16</v>
          </cell>
          <cell r="C2164" t="str">
            <v>2016-0.055.960-0</v>
          </cell>
          <cell r="D2164" t="str">
            <v/>
          </cell>
          <cell r="E2164" t="str">
            <v>21 de março de 2016</v>
          </cell>
          <cell r="F2164" t="str">
            <v>MARCIO MARTINS DA SILVA</v>
          </cell>
          <cell r="G2164" t="str">
            <v>21/03/2016</v>
          </cell>
          <cell r="H2164" t="str">
            <v>23/03/2016</v>
          </cell>
          <cell r="I2164" t="str">
            <v>57</v>
          </cell>
          <cell r="J2164" t="str">
            <v>PESSOA FÍSICA</v>
          </cell>
          <cell r="K2164" t="str">
            <v>184.680.178-84</v>
          </cell>
          <cell r="L2164" t="str">
            <v>CS</v>
          </cell>
          <cell r="M2164" t="str">
            <v>MARCIO MARTINS DA SILVA</v>
          </cell>
          <cell r="N2164" t="str">
            <v>DTA0619</v>
          </cell>
          <cell r="O2164" t="str">
            <v>2007</v>
          </cell>
          <cell r="P2164" t="str">
            <v>29</v>
          </cell>
          <cell r="Q2164" t="str">
            <v>27</v>
          </cell>
        </row>
        <row r="2165">
          <cell r="B2165" t="str">
            <v>0327/16</v>
          </cell>
          <cell r="C2165" t="str">
            <v>2016-0.055.965-0</v>
          </cell>
          <cell r="D2165" t="str">
            <v/>
          </cell>
          <cell r="E2165" t="str">
            <v>11 de março de 2016</v>
          </cell>
          <cell r="F2165" t="str">
            <v>MARILENE JOSE DA SILVA</v>
          </cell>
          <cell r="G2165" t="str">
            <v>11/03/2016</v>
          </cell>
          <cell r="H2165" t="str">
            <v/>
          </cell>
          <cell r="I2165" t="str">
            <v/>
          </cell>
          <cell r="J2165" t="str">
            <v>PESSOA FÍSICA</v>
          </cell>
          <cell r="K2165" t="str">
            <v>132.424.868-89</v>
          </cell>
          <cell r="L2165" t="str">
            <v>CS</v>
          </cell>
          <cell r="M2165" t="str">
            <v>MARILENE JOSE DA SILVA</v>
          </cell>
          <cell r="N2165" t="str">
            <v>DPF1082</v>
          </cell>
          <cell r="O2165" t="str">
            <v>2007</v>
          </cell>
          <cell r="P2165" t="str">
            <v>29</v>
          </cell>
          <cell r="Q2165" t="str">
            <v>27</v>
          </cell>
        </row>
        <row r="2166">
          <cell r="B2166" t="str">
            <v>0328/16</v>
          </cell>
          <cell r="C2166" t="str">
            <v>2016-0.055.969-3</v>
          </cell>
          <cell r="D2166" t="str">
            <v/>
          </cell>
          <cell r="E2166" t="str">
            <v>09 de março de 2016</v>
          </cell>
          <cell r="F2166" t="str">
            <v>MIRLENE DE FATIMA SOUZA PIRES</v>
          </cell>
          <cell r="G2166" t="str">
            <v>09/03/2016</v>
          </cell>
          <cell r="H2166" t="str">
            <v/>
          </cell>
          <cell r="I2166" t="str">
            <v/>
          </cell>
          <cell r="J2166" t="str">
            <v>PESSOA FÍSICA</v>
          </cell>
          <cell r="K2166" t="str">
            <v>064.149.798-99</v>
          </cell>
          <cell r="L2166" t="str">
            <v>CS</v>
          </cell>
          <cell r="M2166" t="str">
            <v>MIRLENE DE FATIMA SOUZA PIRES</v>
          </cell>
          <cell r="N2166" t="str">
            <v>DTD3119</v>
          </cell>
          <cell r="O2166" t="str">
            <v>2007</v>
          </cell>
          <cell r="P2166" t="str">
            <v>29</v>
          </cell>
          <cell r="Q2166" t="str">
            <v>27</v>
          </cell>
        </row>
        <row r="2167">
          <cell r="B2167" t="str">
            <v>0329/16</v>
          </cell>
          <cell r="C2167" t="str">
            <v>2016-0.055.970-7</v>
          </cell>
          <cell r="D2167" t="str">
            <v/>
          </cell>
          <cell r="E2167" t="str">
            <v>21 de março de 2016</v>
          </cell>
          <cell r="F2167" t="str">
            <v>REGINALDO ESMERALDO</v>
          </cell>
          <cell r="G2167" t="str">
            <v>21/03/2016</v>
          </cell>
          <cell r="H2167" t="str">
            <v>25/03/2016</v>
          </cell>
          <cell r="I2167" t="str">
            <v>37</v>
          </cell>
          <cell r="J2167" t="str">
            <v>PESSOA FÍSICA</v>
          </cell>
          <cell r="K2167" t="str">
            <v>165.674.308-69</v>
          </cell>
          <cell r="L2167" t="str">
            <v>CS</v>
          </cell>
          <cell r="M2167" t="str">
            <v>REGINALDO ESMERALDO</v>
          </cell>
          <cell r="N2167" t="str">
            <v>EMU1137</v>
          </cell>
          <cell r="O2167" t="str">
            <v>2011</v>
          </cell>
          <cell r="P2167" t="str">
            <v>19</v>
          </cell>
          <cell r="Q2167" t="str">
            <v>18</v>
          </cell>
        </row>
        <row r="2168">
          <cell r="B2168" t="str">
            <v>0330/16</v>
          </cell>
          <cell r="C2168" t="str">
            <v>2016-0.055.973-1</v>
          </cell>
          <cell r="D2168" t="str">
            <v/>
          </cell>
          <cell r="E2168" t="str">
            <v>09 de março de 2016</v>
          </cell>
          <cell r="F2168" t="str">
            <v>RICARDO BEZERRA DA SILVA</v>
          </cell>
          <cell r="G2168" t="str">
            <v>09/03/2016</v>
          </cell>
          <cell r="H2168" t="str">
            <v/>
          </cell>
          <cell r="I2168" t="str">
            <v/>
          </cell>
          <cell r="J2168" t="str">
            <v>PESSOA FÍSICA</v>
          </cell>
          <cell r="K2168" t="str">
            <v>272.847.568-70</v>
          </cell>
          <cell r="L2168" t="str">
            <v>CS</v>
          </cell>
          <cell r="M2168" t="str">
            <v>RICARDO BEZERRA DA SILVA</v>
          </cell>
          <cell r="N2168" t="str">
            <v>DTB7880</v>
          </cell>
          <cell r="O2168" t="str">
            <v>2007</v>
          </cell>
          <cell r="P2168" t="str">
            <v>30</v>
          </cell>
          <cell r="Q2168" t="str">
            <v>29</v>
          </cell>
        </row>
        <row r="2169">
          <cell r="B2169" t="str">
            <v>0331/16</v>
          </cell>
          <cell r="C2169" t="str">
            <v>2016-0.055.976-6</v>
          </cell>
          <cell r="D2169" t="str">
            <v/>
          </cell>
          <cell r="E2169" t="str">
            <v>09 de março de 2016</v>
          </cell>
          <cell r="F2169" t="str">
            <v>RICARDO GUIMARAES PAIVA</v>
          </cell>
          <cell r="G2169" t="str">
            <v>09/03/2016</v>
          </cell>
          <cell r="H2169" t="str">
            <v/>
          </cell>
          <cell r="I2169" t="str">
            <v/>
          </cell>
          <cell r="J2169" t="str">
            <v>PESSOA FÍSICA</v>
          </cell>
          <cell r="K2169" t="str">
            <v>281.930.398-66</v>
          </cell>
          <cell r="L2169" t="str">
            <v>CS</v>
          </cell>
          <cell r="M2169" t="str">
            <v>RICARDO GUIMARAES PAIVA</v>
          </cell>
          <cell r="N2169" t="str">
            <v>DTA4546</v>
          </cell>
          <cell r="O2169" t="str">
            <v>2007</v>
          </cell>
          <cell r="P2169" t="str">
            <v>29</v>
          </cell>
          <cell r="Q2169" t="str">
            <v>27</v>
          </cell>
        </row>
        <row r="2170">
          <cell r="B2170" t="str">
            <v>0332/16</v>
          </cell>
          <cell r="C2170" t="str">
            <v>2016-0.055.978-2</v>
          </cell>
          <cell r="D2170" t="str">
            <v/>
          </cell>
          <cell r="E2170" t="str">
            <v>09 de março de 2016</v>
          </cell>
          <cell r="F2170" t="str">
            <v>RONALDO GUIMARAES DOS SANTOS</v>
          </cell>
          <cell r="G2170" t="str">
            <v>09/03/2016</v>
          </cell>
          <cell r="H2170" t="str">
            <v/>
          </cell>
          <cell r="I2170" t="str">
            <v/>
          </cell>
          <cell r="J2170" t="str">
            <v>PESSOA FÍSICA</v>
          </cell>
          <cell r="K2170" t="str">
            <v>118.534.048-37</v>
          </cell>
          <cell r="L2170" t="str">
            <v>CS</v>
          </cell>
          <cell r="M2170" t="str">
            <v>RONALDO GUIMARAES DOS SANTOS</v>
          </cell>
          <cell r="N2170" t="str">
            <v>DTD1720</v>
          </cell>
          <cell r="O2170" t="str">
            <v>2007</v>
          </cell>
          <cell r="P2170" t="str">
            <v>29</v>
          </cell>
          <cell r="Q2170" t="str">
            <v>27</v>
          </cell>
        </row>
        <row r="2171">
          <cell r="B2171" t="str">
            <v>0333/16</v>
          </cell>
          <cell r="C2171" t="str">
            <v>2016-0.055.980-4</v>
          </cell>
          <cell r="D2171" t="str">
            <v/>
          </cell>
          <cell r="E2171" t="str">
            <v>09 de março de 2016</v>
          </cell>
          <cell r="F2171" t="str">
            <v>ROSEMARY CRISTINA SANTOS</v>
          </cell>
          <cell r="G2171" t="str">
            <v>09/03/2016</v>
          </cell>
          <cell r="H2171" t="str">
            <v/>
          </cell>
          <cell r="I2171" t="str">
            <v/>
          </cell>
          <cell r="J2171" t="str">
            <v>PESSOA FÍSICA</v>
          </cell>
          <cell r="K2171" t="str">
            <v>184.742.488-09</v>
          </cell>
          <cell r="L2171" t="str">
            <v>CS</v>
          </cell>
          <cell r="M2171" t="str">
            <v>ROSEMARY CRISTINA SANTOS</v>
          </cell>
          <cell r="N2171" t="str">
            <v>CZX5889</v>
          </cell>
          <cell r="O2171" t="str">
            <v>2006</v>
          </cell>
          <cell r="P2171" t="str">
            <v>23</v>
          </cell>
          <cell r="Q2171" t="str">
            <v>22</v>
          </cell>
        </row>
        <row r="2172">
          <cell r="B2172" t="str">
            <v>0334/16</v>
          </cell>
          <cell r="C2172" t="str">
            <v>2016-0.055.988-0</v>
          </cell>
          <cell r="D2172" t="str">
            <v/>
          </cell>
          <cell r="E2172" t="str">
            <v>21 de março de 2016</v>
          </cell>
          <cell r="F2172" t="str">
            <v>SIMONE PIERRE MARIANO DE OLIVEIRA</v>
          </cell>
          <cell r="G2172" t="str">
            <v>21/03/2016</v>
          </cell>
          <cell r="H2172" t="str">
            <v>23/03/2016</v>
          </cell>
          <cell r="I2172" t="str">
            <v>57</v>
          </cell>
          <cell r="J2172" t="str">
            <v>PESSOA FÍSICA</v>
          </cell>
          <cell r="K2172" t="str">
            <v>164.880.298-27</v>
          </cell>
          <cell r="L2172" t="str">
            <v>CS</v>
          </cell>
          <cell r="M2172" t="str">
            <v>SIMONE PIERRE MARIANO DE OLIVEIRA</v>
          </cell>
          <cell r="N2172" t="str">
            <v>ELQ1330</v>
          </cell>
          <cell r="O2172" t="str">
            <v>2010</v>
          </cell>
          <cell r="P2172" t="str">
            <v>19</v>
          </cell>
          <cell r="Q2172" t="str">
            <v>18</v>
          </cell>
        </row>
        <row r="2173">
          <cell r="B2173" t="str">
            <v>0335/16</v>
          </cell>
          <cell r="C2173" t="str">
            <v>2016-0.055.990-1</v>
          </cell>
          <cell r="D2173" t="str">
            <v/>
          </cell>
          <cell r="E2173" t="str">
            <v>21 de março de 2016</v>
          </cell>
          <cell r="F2173" t="str">
            <v>VALDETE FRANCISCA DE OLIVEIRA GUERRA</v>
          </cell>
          <cell r="G2173" t="str">
            <v>21/03/2016</v>
          </cell>
          <cell r="H2173" t="str">
            <v>25/03/2016</v>
          </cell>
          <cell r="I2173" t="str">
            <v>37</v>
          </cell>
          <cell r="J2173" t="str">
            <v>PESSOA FÍSICA</v>
          </cell>
          <cell r="K2173" t="str">
            <v>076.949.448-03</v>
          </cell>
          <cell r="L2173" t="str">
            <v>CS</v>
          </cell>
          <cell r="M2173" t="str">
            <v>VALDETE FRANCISCA DE OLIVEIRA GUERRA</v>
          </cell>
          <cell r="N2173" t="str">
            <v>DTC4404</v>
          </cell>
          <cell r="O2173" t="str">
            <v>2007</v>
          </cell>
          <cell r="P2173" t="str">
            <v>29</v>
          </cell>
          <cell r="Q2173" t="str">
            <v>27</v>
          </cell>
        </row>
        <row r="2174">
          <cell r="B2174" t="str">
            <v>0336/16</v>
          </cell>
          <cell r="C2174" t="str">
            <v>2016-0.055.994-4</v>
          </cell>
          <cell r="D2174" t="str">
            <v/>
          </cell>
          <cell r="E2174" t="str">
            <v>21 de março de 2016</v>
          </cell>
          <cell r="F2174" t="str">
            <v>VALTECIO SOUZA PEREIRA</v>
          </cell>
          <cell r="G2174" t="str">
            <v>21/03/2016</v>
          </cell>
          <cell r="H2174" t="str">
            <v/>
          </cell>
          <cell r="I2174" t="str">
            <v/>
          </cell>
          <cell r="J2174" t="str">
            <v>PESSOA FÍSICA</v>
          </cell>
          <cell r="K2174" t="str">
            <v>560.669.885-49</v>
          </cell>
          <cell r="L2174" t="str">
            <v>CS</v>
          </cell>
          <cell r="M2174" t="str">
            <v>VALTECIO SOUZA PEREIRA</v>
          </cell>
          <cell r="N2174" t="str">
            <v>DTC1097</v>
          </cell>
          <cell r="O2174" t="str">
            <v>2007</v>
          </cell>
          <cell r="P2174" t="str">
            <v>29</v>
          </cell>
          <cell r="Q2174" t="str">
            <v>27</v>
          </cell>
        </row>
        <row r="2175">
          <cell r="B2175" t="str">
            <v>0337/16</v>
          </cell>
          <cell r="C2175" t="str">
            <v>2016-0.055.999-5</v>
          </cell>
          <cell r="D2175" t="str">
            <v/>
          </cell>
          <cell r="E2175" t="str">
            <v>21 de março de 2016</v>
          </cell>
          <cell r="F2175" t="str">
            <v>CLEUSA APARECIDA JORDAN</v>
          </cell>
          <cell r="G2175" t="str">
            <v>21/03/2016</v>
          </cell>
          <cell r="H2175" t="str">
            <v/>
          </cell>
          <cell r="I2175" t="str">
            <v/>
          </cell>
          <cell r="J2175" t="str">
            <v>PESSOA FÍSICA</v>
          </cell>
          <cell r="K2175" t="str">
            <v>049.154.408-18</v>
          </cell>
          <cell r="L2175" t="str">
            <v>CS</v>
          </cell>
          <cell r="M2175" t="str">
            <v>CLEUSA APARECIDA JORDAN</v>
          </cell>
          <cell r="N2175" t="str">
            <v>DTD3799</v>
          </cell>
          <cell r="O2175" t="str">
            <v>2007</v>
          </cell>
          <cell r="P2175" t="str">
            <v>29</v>
          </cell>
          <cell r="Q2175" t="str">
            <v>27</v>
          </cell>
        </row>
        <row r="2176">
          <cell r="B2176" t="str">
            <v>0338/16</v>
          </cell>
          <cell r="C2176" t="str">
            <v>2016-0.056.004-7</v>
          </cell>
          <cell r="D2176" t="str">
            <v/>
          </cell>
          <cell r="E2176" t="str">
            <v>28 de março de 2016</v>
          </cell>
          <cell r="F2176" t="str">
            <v>APARECIDA DE LOURDES DOS SANTOS</v>
          </cell>
          <cell r="G2176" t="str">
            <v>28/03/2016</v>
          </cell>
          <cell r="H2176" t="str">
            <v>19/04/2016</v>
          </cell>
          <cell r="I2176" t="str">
            <v>26</v>
          </cell>
          <cell r="J2176" t="str">
            <v>PESSOA FÍSICA</v>
          </cell>
          <cell r="K2176" t="str">
            <v>676.352.458-72</v>
          </cell>
          <cell r="L2176" t="str">
            <v>CS</v>
          </cell>
          <cell r="M2176" t="str">
            <v>APARECIDA DE LOURDES DOS SANTOS</v>
          </cell>
          <cell r="N2176" t="str">
            <v>EFU6597</v>
          </cell>
          <cell r="O2176" t="str">
            <v>2009</v>
          </cell>
          <cell r="P2176" t="str">
            <v>19</v>
          </cell>
          <cell r="Q2176" t="str">
            <v>18</v>
          </cell>
        </row>
        <row r="2177">
          <cell r="B2177" t="str">
            <v>0339/16</v>
          </cell>
          <cell r="C2177" t="str">
            <v>2016-0.056.007-1</v>
          </cell>
          <cell r="D2177" t="str">
            <v/>
          </cell>
          <cell r="E2177" t="str">
            <v>28 de março de 2016</v>
          </cell>
          <cell r="F2177" t="str">
            <v>DALVA ISILDA UDINAL DOS SANTOS</v>
          </cell>
          <cell r="G2177" t="str">
            <v>28/03/2016</v>
          </cell>
          <cell r="H2177" t="str">
            <v>09/04/2016</v>
          </cell>
          <cell r="I2177" t="str">
            <v>32</v>
          </cell>
          <cell r="J2177" t="str">
            <v>PESSOA FÍSICA</v>
          </cell>
          <cell r="K2177" t="str">
            <v>174.845.508-76</v>
          </cell>
          <cell r="L2177" t="str">
            <v>CS</v>
          </cell>
          <cell r="M2177" t="str">
            <v>DALVA ISILDA UDINAL DOS SANTOS</v>
          </cell>
          <cell r="N2177" t="str">
            <v>CZX7069</v>
          </cell>
          <cell r="O2177" t="str">
            <v>2002</v>
          </cell>
          <cell r="P2177" t="str">
            <v>25</v>
          </cell>
          <cell r="Q2177" t="str">
            <v>23</v>
          </cell>
        </row>
        <row r="2178">
          <cell r="B2178" t="str">
            <v>0340/16</v>
          </cell>
          <cell r="C2178" t="str">
            <v>2016-0.056.012-8</v>
          </cell>
          <cell r="D2178" t="str">
            <v/>
          </cell>
          <cell r="E2178" t="str">
            <v>28 de março de 2016</v>
          </cell>
          <cell r="F2178" t="str">
            <v>DANIEL DE SOUSA RODRIGUES</v>
          </cell>
          <cell r="G2178" t="str">
            <v>28/03/2016</v>
          </cell>
          <cell r="H2178" t="str">
            <v>07/04/2016</v>
          </cell>
          <cell r="I2178" t="str">
            <v>18</v>
          </cell>
          <cell r="J2178" t="str">
            <v>PESSOA FÍSICA</v>
          </cell>
          <cell r="K2178" t="str">
            <v>506.057.203-04</v>
          </cell>
          <cell r="L2178" t="str">
            <v>CS</v>
          </cell>
          <cell r="M2178" t="str">
            <v>DANIEL DE SOUSA RODRIGUES</v>
          </cell>
          <cell r="N2178" t="str">
            <v>DTD3118</v>
          </cell>
          <cell r="O2178" t="str">
            <v>2007</v>
          </cell>
          <cell r="P2178" t="str">
            <v>29</v>
          </cell>
          <cell r="Q2178" t="str">
            <v>27</v>
          </cell>
        </row>
        <row r="2179">
          <cell r="B2179" t="str">
            <v>0341/16</v>
          </cell>
          <cell r="C2179" t="str">
            <v>2016-0.055.948-0</v>
          </cell>
          <cell r="D2179" t="str">
            <v/>
          </cell>
          <cell r="E2179" t="str">
            <v>28 de março de 2016</v>
          </cell>
          <cell r="F2179" t="str">
            <v>EDUARDO BASTOS CERQUEIRA</v>
          </cell>
          <cell r="G2179" t="str">
            <v>28/03/2016</v>
          </cell>
          <cell r="H2179" t="str">
            <v>07/04/2016</v>
          </cell>
          <cell r="I2179" t="str">
            <v>18</v>
          </cell>
          <cell r="J2179" t="str">
            <v>PESSOA FÍSICA</v>
          </cell>
          <cell r="K2179" t="str">
            <v>627.943.615-20</v>
          </cell>
          <cell r="L2179" t="str">
            <v>CS</v>
          </cell>
          <cell r="M2179" t="str">
            <v>EDUARDO BASTOS CERQUEIRA</v>
          </cell>
          <cell r="N2179" t="str">
            <v>DTD3188</v>
          </cell>
          <cell r="O2179" t="str">
            <v>2007</v>
          </cell>
          <cell r="P2179" t="str">
            <v>29</v>
          </cell>
          <cell r="Q2179" t="str">
            <v>27</v>
          </cell>
        </row>
        <row r="2180">
          <cell r="B2180" t="str">
            <v>0342/16</v>
          </cell>
          <cell r="C2180" t="str">
            <v>2016-0.055.958-8</v>
          </cell>
          <cell r="D2180" t="str">
            <v/>
          </cell>
          <cell r="E2180" t="str">
            <v>28 de março de 2016</v>
          </cell>
          <cell r="F2180" t="str">
            <v>MARCOS AURELIO DA CONCEICAO</v>
          </cell>
          <cell r="G2180" t="str">
            <v>28/03/2016</v>
          </cell>
          <cell r="H2180" t="str">
            <v>13/04/2016</v>
          </cell>
          <cell r="I2180" t="str">
            <v>49</v>
          </cell>
          <cell r="J2180" t="str">
            <v>PESSOA FÍSICA</v>
          </cell>
          <cell r="K2180" t="str">
            <v>130.328.138-40</v>
          </cell>
          <cell r="L2180" t="str">
            <v>CS</v>
          </cell>
          <cell r="M2180" t="str">
            <v>MARCOS AURELIO DA CONCEICAO</v>
          </cell>
          <cell r="N2180" t="str">
            <v>DTA3827</v>
          </cell>
          <cell r="O2180" t="str">
            <v>2007</v>
          </cell>
          <cell r="P2180" t="str">
            <v>29</v>
          </cell>
          <cell r="Q2180" t="str">
            <v>27</v>
          </cell>
        </row>
        <row r="2181">
          <cell r="B2181" t="str">
            <v>0343/16</v>
          </cell>
          <cell r="C2181" t="str">
            <v>2016-0.055.968-5</v>
          </cell>
          <cell r="D2181" t="str">
            <v/>
          </cell>
          <cell r="E2181" t="str">
            <v>28 de março de 2016</v>
          </cell>
          <cell r="F2181" t="str">
            <v>MARIA DE FATIMA DA SILVEIRA CRISTIANO</v>
          </cell>
          <cell r="G2181" t="str">
            <v>28/03/2016</v>
          </cell>
          <cell r="H2181" t="str">
            <v>07/04/2016</v>
          </cell>
          <cell r="I2181" t="str">
            <v>18</v>
          </cell>
          <cell r="J2181" t="str">
            <v>PESSOA FÍSICA</v>
          </cell>
          <cell r="K2181" t="str">
            <v>184.778.898-05</v>
          </cell>
          <cell r="L2181" t="str">
            <v>CS</v>
          </cell>
          <cell r="M2181" t="str">
            <v>MARIA DE FATIMA DA SILVEIRA CRISTIANO</v>
          </cell>
          <cell r="N2181" t="str">
            <v>EBT1759</v>
          </cell>
          <cell r="O2181" t="str">
            <v>2009</v>
          </cell>
          <cell r="P2181" t="str">
            <v>19</v>
          </cell>
          <cell r="Q2181" t="str">
            <v>18</v>
          </cell>
        </row>
        <row r="2182">
          <cell r="B2182" t="str">
            <v>0344/16</v>
          </cell>
          <cell r="C2182" t="str">
            <v>2016-0.055.971-5</v>
          </cell>
          <cell r="D2182" t="str">
            <v/>
          </cell>
          <cell r="E2182" t="str">
            <v/>
          </cell>
          <cell r="F2182" t="str">
            <v>MARIO LUCIO ALVES</v>
          </cell>
          <cell r="G2182" t="str">
            <v/>
          </cell>
          <cell r="H2182" t="str">
            <v/>
          </cell>
          <cell r="I2182" t="str">
            <v/>
          </cell>
          <cell r="J2182" t="str">
            <v>PESSOA FÍSICA</v>
          </cell>
          <cell r="K2182" t="str">
            <v>043.507.998-00</v>
          </cell>
          <cell r="L2182" t="str">
            <v>CS</v>
          </cell>
          <cell r="M2182" t="str">
            <v>MARIO LUCIO ALVES</v>
          </cell>
          <cell r="N2182" t="str">
            <v>EFV9656</v>
          </cell>
          <cell r="O2182" t="str">
            <v>2010</v>
          </cell>
          <cell r="P2182" t="str">
            <v>19</v>
          </cell>
          <cell r="Q2182" t="str">
            <v>18</v>
          </cell>
        </row>
        <row r="2183">
          <cell r="B2183" t="str">
            <v>0345/16</v>
          </cell>
          <cell r="C2183" t="str">
            <v>2016-0.055.977-4</v>
          </cell>
          <cell r="D2183" t="str">
            <v/>
          </cell>
          <cell r="E2183" t="str">
            <v/>
          </cell>
          <cell r="F2183" t="str">
            <v>NEIDMAR GOMES FERREIRA</v>
          </cell>
          <cell r="G2183" t="str">
            <v/>
          </cell>
          <cell r="H2183" t="str">
            <v/>
          </cell>
          <cell r="I2183" t="str">
            <v/>
          </cell>
          <cell r="J2183" t="str">
            <v>PESSOA FÍSICA</v>
          </cell>
          <cell r="K2183" t="str">
            <v>051.516.018-06</v>
          </cell>
          <cell r="L2183" t="str">
            <v>CS</v>
          </cell>
          <cell r="M2183" t="str">
            <v>NEIDMAR GOMES FERREIRA</v>
          </cell>
          <cell r="N2183" t="str">
            <v>DTC0849</v>
          </cell>
          <cell r="O2183" t="str">
            <v>2007</v>
          </cell>
          <cell r="P2183" t="str">
            <v>29</v>
          </cell>
          <cell r="Q2183" t="str">
            <v>27</v>
          </cell>
        </row>
        <row r="2184">
          <cell r="B2184" t="str">
            <v>0346/16</v>
          </cell>
          <cell r="C2184" t="str">
            <v>2016-0.055.982-0</v>
          </cell>
          <cell r="D2184" t="str">
            <v/>
          </cell>
          <cell r="E2184" t="str">
            <v>28 de março de 2016</v>
          </cell>
          <cell r="F2184" t="str">
            <v>RONALDO PEREIRA MACHADO</v>
          </cell>
          <cell r="G2184" t="str">
            <v>28/03/2016</v>
          </cell>
          <cell r="H2184" t="str">
            <v>07/04/2016</v>
          </cell>
          <cell r="I2184" t="str">
            <v>18</v>
          </cell>
          <cell r="J2184" t="str">
            <v>PESSOA FÍSICA</v>
          </cell>
          <cell r="K2184" t="str">
            <v>135.178.588-54</v>
          </cell>
          <cell r="L2184" t="str">
            <v>CS</v>
          </cell>
          <cell r="M2184" t="str">
            <v>RONALDO PEREIRA MACHADO</v>
          </cell>
          <cell r="N2184" t="str">
            <v>DTA9538</v>
          </cell>
          <cell r="O2184" t="str">
            <v>2007</v>
          </cell>
          <cell r="P2184" t="str">
            <v>29</v>
          </cell>
          <cell r="Q2184" t="str">
            <v>27</v>
          </cell>
        </row>
        <row r="2185">
          <cell r="B2185" t="str">
            <v>0347/16</v>
          </cell>
          <cell r="C2185" t="str">
            <v>2016-0.055.986-3</v>
          </cell>
          <cell r="D2185" t="str">
            <v/>
          </cell>
          <cell r="E2185" t="str">
            <v>28 de março de 2016</v>
          </cell>
          <cell r="F2185" t="str">
            <v>ROSILDA ARAUJO DOS SANTOS</v>
          </cell>
          <cell r="G2185" t="str">
            <v>28/03/2016</v>
          </cell>
          <cell r="H2185" t="str">
            <v>13/04/2016</v>
          </cell>
          <cell r="I2185" t="str">
            <v>49</v>
          </cell>
          <cell r="J2185" t="str">
            <v>PESSOA FÍSICA</v>
          </cell>
          <cell r="K2185" t="str">
            <v>298.948.578-33</v>
          </cell>
          <cell r="L2185" t="str">
            <v>CS</v>
          </cell>
          <cell r="M2185" t="str">
            <v>ROSILDA ARAUJO DOS SANTOS</v>
          </cell>
          <cell r="N2185" t="str">
            <v>EJW0423</v>
          </cell>
          <cell r="O2185" t="str">
            <v>2010</v>
          </cell>
          <cell r="P2185" t="str">
            <v>19</v>
          </cell>
          <cell r="Q2185" t="str">
            <v>18</v>
          </cell>
        </row>
        <row r="2186">
          <cell r="B2186" t="str">
            <v>0348/16</v>
          </cell>
          <cell r="C2186" t="str">
            <v>2016-0.055.991-0</v>
          </cell>
          <cell r="D2186" t="str">
            <v/>
          </cell>
          <cell r="E2186" t="str">
            <v>28 de março de 2016</v>
          </cell>
          <cell r="F2186" t="str">
            <v>VAGNER CRISTIANO SPIGARIOL</v>
          </cell>
          <cell r="G2186" t="str">
            <v>28/03/2016</v>
          </cell>
          <cell r="H2186" t="str">
            <v>07/04/2016</v>
          </cell>
          <cell r="I2186" t="str">
            <v>18</v>
          </cell>
          <cell r="J2186" t="str">
            <v>PESSOA FÍSICA</v>
          </cell>
          <cell r="K2186" t="str">
            <v>290.979.198-00</v>
          </cell>
          <cell r="L2186" t="str">
            <v>CS</v>
          </cell>
          <cell r="M2186" t="str">
            <v>VAGNER CRISTIANO SPIGARIOL</v>
          </cell>
          <cell r="N2186" t="str">
            <v>DTD2998</v>
          </cell>
          <cell r="O2186" t="str">
            <v>2007</v>
          </cell>
          <cell r="P2186" t="str">
            <v>29</v>
          </cell>
          <cell r="Q2186" t="str">
            <v>27</v>
          </cell>
        </row>
        <row r="2187">
          <cell r="B2187" t="str">
            <v>0349/16</v>
          </cell>
          <cell r="C2187" t="str">
            <v>2016-0.058.696-8</v>
          </cell>
          <cell r="D2187" t="str">
            <v/>
          </cell>
          <cell r="E2187" t="str">
            <v>17 de março de 2016</v>
          </cell>
          <cell r="F2187" t="str">
            <v>DOUGLAS DE SOUZA JUNIOR</v>
          </cell>
          <cell r="G2187" t="str">
            <v>17/03/2016</v>
          </cell>
          <cell r="H2187" t="str">
            <v/>
          </cell>
          <cell r="I2187" t="str">
            <v/>
          </cell>
          <cell r="J2187" t="str">
            <v>PESSOA FÍSICA</v>
          </cell>
          <cell r="K2187" t="str">
            <v>032.753.828-70</v>
          </cell>
          <cell r="L2187" t="str">
            <v>JT</v>
          </cell>
          <cell r="M2187" t="str">
            <v>DOUGLAS DE SOUZA JUNIOR</v>
          </cell>
          <cell r="N2187" t="str">
            <v>EZL7176</v>
          </cell>
          <cell r="O2187" t="str">
            <v>2012</v>
          </cell>
          <cell r="P2187" t="str">
            <v>15</v>
          </cell>
          <cell r="Q2187" t="str">
            <v>14</v>
          </cell>
        </row>
        <row r="2188">
          <cell r="B2188" t="str">
            <v>0350/16</v>
          </cell>
          <cell r="C2188" t="str">
            <v>2016-0.058.698-4</v>
          </cell>
          <cell r="D2188" t="str">
            <v>07/03/2016</v>
          </cell>
          <cell r="E2188" t="str">
            <v>07 de março de 2016</v>
          </cell>
          <cell r="F2188" t="str">
            <v>ED CARLOS DOS SANTOS</v>
          </cell>
          <cell r="G2188" t="str">
            <v>07/03/2016</v>
          </cell>
          <cell r="H2188" t="str">
            <v/>
          </cell>
          <cell r="I2188" t="str">
            <v/>
          </cell>
          <cell r="J2188" t="str">
            <v>PESSOA FÍSICA</v>
          </cell>
          <cell r="K2188" t="str">
            <v>132.042.278-04</v>
          </cell>
          <cell r="L2188" t="str">
            <v>IQ</v>
          </cell>
          <cell r="M2188" t="str">
            <v>ED CARLOS DOS SANTOS</v>
          </cell>
          <cell r="N2188" t="str">
            <v>DYF4980</v>
          </cell>
          <cell r="O2188" t="str">
            <v>2007</v>
          </cell>
          <cell r="P2188" t="str">
            <v>29</v>
          </cell>
          <cell r="Q2188" t="str">
            <v>27</v>
          </cell>
        </row>
        <row r="2189">
          <cell r="B2189" t="str">
            <v>0351/16</v>
          </cell>
          <cell r="C2189" t="str">
            <v>2016-0.058.702-6</v>
          </cell>
          <cell r="D2189" t="str">
            <v/>
          </cell>
          <cell r="E2189" t="str">
            <v>14 de março de 2016</v>
          </cell>
          <cell r="F2189" t="str">
            <v>EDUARDO COSTA DE MENDONCA</v>
          </cell>
          <cell r="G2189" t="str">
            <v>14/03/2016</v>
          </cell>
          <cell r="H2189" t="str">
            <v/>
          </cell>
          <cell r="I2189" t="str">
            <v/>
          </cell>
          <cell r="J2189" t="str">
            <v>PESSOA FÍSICA</v>
          </cell>
          <cell r="K2189" t="str">
            <v>136.329.728-77</v>
          </cell>
          <cell r="L2189" t="str">
            <v>SM</v>
          </cell>
          <cell r="M2189" t="str">
            <v>EDUARDO COSTA DE MENDONCA</v>
          </cell>
          <cell r="N2189" t="str">
            <v>EMI1390</v>
          </cell>
          <cell r="O2189" t="str">
            <v>2010</v>
          </cell>
          <cell r="P2189" t="str">
            <v>19</v>
          </cell>
          <cell r="Q2189" t="str">
            <v>18</v>
          </cell>
        </row>
        <row r="2190">
          <cell r="B2190" t="str">
            <v>0352/16</v>
          </cell>
          <cell r="C2190" t="str">
            <v>2016-0.058.706-9</v>
          </cell>
          <cell r="D2190" t="str">
            <v/>
          </cell>
          <cell r="E2190" t="str">
            <v>07 de março de 2016</v>
          </cell>
          <cell r="F2190" t="str">
            <v>FLAVIA MARIA DELFINO DOS SANTOS</v>
          </cell>
          <cell r="G2190" t="str">
            <v>07/03/2016</v>
          </cell>
          <cell r="H2190" t="str">
            <v/>
          </cell>
          <cell r="I2190" t="str">
            <v/>
          </cell>
          <cell r="J2190" t="str">
            <v>PESSOA FÍSICA</v>
          </cell>
          <cell r="K2190" t="str">
            <v>189.748.148-97</v>
          </cell>
          <cell r="L2190" t="str">
            <v>SA</v>
          </cell>
          <cell r="M2190" t="str">
            <v>FLAVIA MARIA DELFINO DOS SANTOS</v>
          </cell>
          <cell r="N2190" t="str">
            <v>EZL4970</v>
          </cell>
          <cell r="O2190" t="str">
            <v>2012</v>
          </cell>
          <cell r="P2190" t="str">
            <v>10</v>
          </cell>
          <cell r="Q2190" t="str">
            <v>9</v>
          </cell>
        </row>
        <row r="2191">
          <cell r="B2191" t="str">
            <v>0353/16</v>
          </cell>
          <cell r="C2191" t="str">
            <v>2016-0.058.709-3</v>
          </cell>
          <cell r="D2191" t="str">
            <v/>
          </cell>
          <cell r="E2191" t="str">
            <v>21 de março de 2016</v>
          </cell>
          <cell r="F2191" t="str">
            <v>FRANCILINO SOARES DE SANTANA</v>
          </cell>
          <cell r="G2191" t="str">
            <v>21/03/2016</v>
          </cell>
          <cell r="H2191" t="str">
            <v>25/03/2016</v>
          </cell>
          <cell r="I2191" t="str">
            <v>37</v>
          </cell>
          <cell r="J2191" t="str">
            <v>PESSOA FÍSICA</v>
          </cell>
          <cell r="K2191" t="str">
            <v>007.886.508-58</v>
          </cell>
          <cell r="L2191" t="str">
            <v>MP</v>
          </cell>
          <cell r="M2191" t="str">
            <v>FRANCILINO SOARES DE SANTANA</v>
          </cell>
          <cell r="N2191" t="str">
            <v>DTC1202</v>
          </cell>
          <cell r="O2191" t="str">
            <v>2008</v>
          </cell>
          <cell r="P2191" t="str">
            <v>19</v>
          </cell>
          <cell r="Q2191" t="str">
            <v>18</v>
          </cell>
        </row>
        <row r="2192">
          <cell r="B2192" t="str">
            <v>0354/16</v>
          </cell>
          <cell r="C2192" t="str">
            <v>2016-0.058.711-5</v>
          </cell>
          <cell r="D2192" t="str">
            <v/>
          </cell>
          <cell r="E2192" t="str">
            <v>15 de março de 2016</v>
          </cell>
          <cell r="F2192" t="str">
            <v>GILVAN SOARES DA SILVA</v>
          </cell>
          <cell r="G2192" t="str">
            <v>15/03/2016</v>
          </cell>
          <cell r="H2192" t="str">
            <v/>
          </cell>
          <cell r="I2192" t="str">
            <v/>
          </cell>
          <cell r="J2192" t="str">
            <v>PESSOA FÍSICA</v>
          </cell>
          <cell r="K2192" t="str">
            <v>920.642.998-15</v>
          </cell>
          <cell r="L2192" t="str">
            <v>PJ</v>
          </cell>
          <cell r="M2192" t="str">
            <v>GILVAN SOARES DA SILVA</v>
          </cell>
          <cell r="N2192" t="str">
            <v>CZX7180</v>
          </cell>
          <cell r="O2192" t="str">
            <v>2002</v>
          </cell>
          <cell r="P2192" t="str">
            <v>25</v>
          </cell>
          <cell r="Q2192" t="str">
            <v>23</v>
          </cell>
        </row>
        <row r="2193">
          <cell r="B2193" t="str">
            <v>0355/16</v>
          </cell>
          <cell r="C2193" t="str">
            <v>2016-0.058.715-8</v>
          </cell>
          <cell r="D2193" t="str">
            <v/>
          </cell>
          <cell r="E2193" t="str">
            <v>21 de março de 2016</v>
          </cell>
          <cell r="F2193" t="str">
            <v>IVONETE DA SILVA MATHEUS</v>
          </cell>
          <cell r="G2193" t="str">
            <v>21/03/2016</v>
          </cell>
          <cell r="H2193" t="str">
            <v>31/03/2016</v>
          </cell>
          <cell r="I2193" t="str">
            <v>33</v>
          </cell>
          <cell r="J2193" t="str">
            <v>PESSOA FÍSICA</v>
          </cell>
          <cell r="K2193" t="str">
            <v>084.863.158-75</v>
          </cell>
          <cell r="L2193" t="str">
            <v>JT</v>
          </cell>
          <cell r="M2193" t="str">
            <v>IVONETE DA SILVA MATHEUS</v>
          </cell>
          <cell r="N2193" t="str">
            <v>DJB7353</v>
          </cell>
          <cell r="O2193" t="str">
            <v>2004</v>
          </cell>
          <cell r="P2193" t="str">
            <v>25</v>
          </cell>
          <cell r="Q2193" t="str">
            <v>23</v>
          </cell>
        </row>
        <row r="2194">
          <cell r="B2194" t="str">
            <v>0356/16</v>
          </cell>
          <cell r="C2194" t="str">
            <v>2016-0.058.719-0</v>
          </cell>
          <cell r="D2194" t="str">
            <v/>
          </cell>
          <cell r="E2194" t="str">
            <v>11 de março de 2016</v>
          </cell>
          <cell r="F2194" t="str">
            <v>JOANA VIEIRA LOPES</v>
          </cell>
          <cell r="G2194" t="str">
            <v>11/03/2016</v>
          </cell>
          <cell r="H2194" t="str">
            <v/>
          </cell>
          <cell r="I2194" t="str">
            <v/>
          </cell>
          <cell r="J2194" t="str">
            <v>PESSOA FÍSICA</v>
          </cell>
          <cell r="K2194" t="str">
            <v>006.106.088-78</v>
          </cell>
          <cell r="L2194" t="str">
            <v>JT</v>
          </cell>
          <cell r="M2194" t="str">
            <v>JOANA VIEIRA LOPES</v>
          </cell>
          <cell r="N2194" t="str">
            <v>DBL1810</v>
          </cell>
          <cell r="O2194" t="str">
            <v>2005</v>
          </cell>
          <cell r="P2194" t="str">
            <v>25</v>
          </cell>
          <cell r="Q2194" t="str">
            <v>23</v>
          </cell>
        </row>
        <row r="2195">
          <cell r="B2195" t="str">
            <v>0357/16</v>
          </cell>
          <cell r="C2195" t="str">
            <v>2016-0.058.727-1</v>
          </cell>
          <cell r="D2195" t="str">
            <v>07/03/2016</v>
          </cell>
          <cell r="E2195" t="str">
            <v>07 de março de 2016</v>
          </cell>
          <cell r="F2195" t="str">
            <v>JOSE CARLOS DE OLIVEIRA SIMOES</v>
          </cell>
          <cell r="G2195" t="str">
            <v>07/03/2016</v>
          </cell>
          <cell r="H2195" t="str">
            <v/>
          </cell>
          <cell r="I2195" t="str">
            <v/>
          </cell>
          <cell r="J2195" t="str">
            <v>PESSOA FÍSICA</v>
          </cell>
          <cell r="K2195" t="str">
            <v>364.475.368-72</v>
          </cell>
          <cell r="L2195" t="str">
            <v>FO</v>
          </cell>
          <cell r="M2195" t="str">
            <v>JOSE CARLOS DE OLIVEIRA SIMOES</v>
          </cell>
          <cell r="N2195" t="str">
            <v>CZX0120</v>
          </cell>
          <cell r="O2195" t="str">
            <v>2002</v>
          </cell>
          <cell r="P2195" t="str">
            <v>25</v>
          </cell>
          <cell r="Q2195" t="str">
            <v>23</v>
          </cell>
        </row>
        <row r="2196">
          <cell r="B2196" t="str">
            <v>0358/16</v>
          </cell>
          <cell r="C2196" t="str">
            <v>2016-0.058.732-8</v>
          </cell>
          <cell r="D2196" t="str">
            <v/>
          </cell>
          <cell r="E2196" t="str">
            <v>11 de março de 2016</v>
          </cell>
          <cell r="F2196" t="str">
            <v>JOSE LOURENCO DA SILVA</v>
          </cell>
          <cell r="G2196" t="str">
            <v>11/03/2016</v>
          </cell>
          <cell r="H2196" t="str">
            <v/>
          </cell>
          <cell r="I2196" t="str">
            <v/>
          </cell>
          <cell r="J2196" t="str">
            <v>PESSOA FÍSICA</v>
          </cell>
          <cell r="K2196" t="str">
            <v>007.854.928-01</v>
          </cell>
          <cell r="L2196" t="str">
            <v>MP</v>
          </cell>
          <cell r="M2196" t="str">
            <v>JOSE LOURENCO DA SILVA</v>
          </cell>
          <cell r="N2196" t="str">
            <v>DJC5842</v>
          </cell>
          <cell r="O2196" t="str">
            <v>2005</v>
          </cell>
          <cell r="P2196" t="str">
            <v>19</v>
          </cell>
          <cell r="Q2196" t="str">
            <v>18</v>
          </cell>
        </row>
        <row r="2197">
          <cell r="B2197" t="str">
            <v>0359/16</v>
          </cell>
          <cell r="C2197" t="str">
            <v>2016-0.058.738-7</v>
          </cell>
          <cell r="D2197" t="str">
            <v/>
          </cell>
          <cell r="E2197" t="str">
            <v>07 de março de 2016</v>
          </cell>
          <cell r="F2197" t="str">
            <v>LUIZ ALBERTO BAPTISTA</v>
          </cell>
          <cell r="G2197" t="str">
            <v>07/03/2016</v>
          </cell>
          <cell r="H2197" t="str">
            <v/>
          </cell>
          <cell r="I2197" t="str">
            <v/>
          </cell>
          <cell r="J2197" t="str">
            <v>PESSOA FÍSICA</v>
          </cell>
          <cell r="K2197" t="str">
            <v>610.307.247-68</v>
          </cell>
          <cell r="L2197" t="str">
            <v>JT</v>
          </cell>
          <cell r="M2197" t="str">
            <v>LUIZ ALBERTO BAPTISTA</v>
          </cell>
          <cell r="N2197" t="str">
            <v>ECT9652</v>
          </cell>
          <cell r="O2197" t="str">
            <v>2008</v>
          </cell>
          <cell r="P2197" t="str">
            <v>19</v>
          </cell>
          <cell r="Q2197" t="str">
            <v>17</v>
          </cell>
        </row>
        <row r="2198">
          <cell r="B2198" t="str">
            <v>0360/16</v>
          </cell>
          <cell r="C2198" t="str">
            <v>2016-0.058.742-5</v>
          </cell>
          <cell r="D2198" t="str">
            <v/>
          </cell>
          <cell r="E2198" t="str">
            <v>14 de março de 2016</v>
          </cell>
          <cell r="F2198" t="str">
            <v>LUIZ CESAR MAIA SAMPAIO</v>
          </cell>
          <cell r="G2198" t="str">
            <v>14/03/2016</v>
          </cell>
          <cell r="H2198" t="str">
            <v/>
          </cell>
          <cell r="I2198" t="str">
            <v/>
          </cell>
          <cell r="J2198" t="str">
            <v>PESSOA FÍSICA</v>
          </cell>
          <cell r="K2198" t="str">
            <v>012.041.998-09</v>
          </cell>
          <cell r="L2198" t="str">
            <v>FO</v>
          </cell>
          <cell r="M2198" t="str">
            <v>LUIZ CESAR MAIA SAMPAIO</v>
          </cell>
          <cell r="N2198" t="str">
            <v>DJF0947</v>
          </cell>
          <cell r="O2198" t="str">
            <v>2005</v>
          </cell>
          <cell r="P2198" t="str">
            <v>25</v>
          </cell>
          <cell r="Q2198" t="str">
            <v>23</v>
          </cell>
        </row>
        <row r="2199">
          <cell r="B2199" t="str">
            <v>0361/16</v>
          </cell>
          <cell r="C2199" t="str">
            <v>2016-0.058.746-8</v>
          </cell>
          <cell r="D2199" t="str">
            <v>07/03/2016</v>
          </cell>
          <cell r="E2199" t="str">
            <v>07 de março de 2016</v>
          </cell>
          <cell r="F2199" t="str">
            <v>LUIZ HONORIO DOS SANTOS</v>
          </cell>
          <cell r="G2199" t="str">
            <v>07/03/2016</v>
          </cell>
          <cell r="H2199" t="str">
            <v/>
          </cell>
          <cell r="I2199" t="str">
            <v/>
          </cell>
          <cell r="J2199" t="str">
            <v>PESSOA FÍSICA</v>
          </cell>
          <cell r="K2199" t="str">
            <v>105.230.938-02</v>
          </cell>
          <cell r="L2199" t="str">
            <v>JT</v>
          </cell>
          <cell r="M2199" t="str">
            <v>LUIZ HONORIO DOS SANTOS</v>
          </cell>
          <cell r="N2199" t="str">
            <v>EQZ7495</v>
          </cell>
          <cell r="O2199" t="str">
            <v>2010</v>
          </cell>
          <cell r="P2199" t="str">
            <v>19</v>
          </cell>
          <cell r="Q2199" t="str">
            <v>18</v>
          </cell>
        </row>
        <row r="2200">
          <cell r="B2200" t="str">
            <v>0362/16</v>
          </cell>
          <cell r="C2200" t="str">
            <v>2016-0.058.749-2</v>
          </cell>
          <cell r="D2200" t="str">
            <v/>
          </cell>
          <cell r="E2200" t="str">
            <v>11 de março de 2016</v>
          </cell>
          <cell r="F2200" t="str">
            <v>LUZIA BERNARDO BEARARI</v>
          </cell>
          <cell r="G2200" t="str">
            <v>11/03/2016</v>
          </cell>
          <cell r="H2200" t="str">
            <v/>
          </cell>
          <cell r="I2200" t="str">
            <v/>
          </cell>
          <cell r="J2200" t="str">
            <v>PESSOA FÍSICA</v>
          </cell>
          <cell r="K2200" t="str">
            <v>279.909.718-95</v>
          </cell>
          <cell r="L2200" t="str">
            <v>FO</v>
          </cell>
          <cell r="M2200" t="str">
            <v>LUZIA BERNARDO BEARARI</v>
          </cell>
          <cell r="N2200" t="str">
            <v>DZX5143</v>
          </cell>
          <cell r="O2200" t="str">
            <v>2007</v>
          </cell>
          <cell r="P2200" t="str">
            <v>29</v>
          </cell>
          <cell r="Q2200" t="str">
            <v>27</v>
          </cell>
        </row>
        <row r="2201">
          <cell r="B2201" t="str">
            <v>0363/16</v>
          </cell>
          <cell r="C2201" t="str">
            <v>2016-0.058.751-4</v>
          </cell>
          <cell r="D2201" t="str">
            <v/>
          </cell>
          <cell r="E2201" t="str">
            <v>21 de março de 2016</v>
          </cell>
          <cell r="F2201" t="str">
            <v>MANOEL DE MORAES NECO</v>
          </cell>
          <cell r="G2201" t="str">
            <v>21/03/2016</v>
          </cell>
          <cell r="H2201" t="str">
            <v>23/03/2016</v>
          </cell>
          <cell r="I2201" t="str">
            <v>57</v>
          </cell>
          <cell r="J2201" t="str">
            <v>PESSOA FÍSICA</v>
          </cell>
          <cell r="K2201" t="str">
            <v>142.068.058-73</v>
          </cell>
          <cell r="L2201" t="str">
            <v>PJ</v>
          </cell>
          <cell r="M2201" t="str">
            <v>MANOEL DE MORAES NECO</v>
          </cell>
          <cell r="N2201" t="str">
            <v>FKE9650</v>
          </cell>
          <cell r="O2201" t="str">
            <v>2013</v>
          </cell>
          <cell r="P2201" t="str">
            <v>19</v>
          </cell>
          <cell r="Q2201" t="str">
            <v>18</v>
          </cell>
        </row>
        <row r="2202">
          <cell r="B2202" t="str">
            <v>0364/16</v>
          </cell>
          <cell r="C2202" t="str">
            <v>2016-0.058.754-9</v>
          </cell>
          <cell r="D2202" t="str">
            <v/>
          </cell>
          <cell r="E2202" t="str">
            <v>21 de março de 2016</v>
          </cell>
          <cell r="F2202" t="str">
            <v>MANOEL VICENTE DA CUNHA FILHO</v>
          </cell>
          <cell r="G2202" t="str">
            <v>21/03/2016</v>
          </cell>
          <cell r="H2202" t="str">
            <v/>
          </cell>
          <cell r="I2202" t="str">
            <v/>
          </cell>
          <cell r="J2202" t="str">
            <v>PESSOA FÍSICA</v>
          </cell>
          <cell r="K2202" t="str">
            <v>140.560.544-87</v>
          </cell>
          <cell r="L2202" t="str">
            <v>JT</v>
          </cell>
          <cell r="M2202" t="str">
            <v>MANOEL VICENTE DA CUNHA FILHO</v>
          </cell>
          <cell r="N2202" t="str">
            <v>EAM6841</v>
          </cell>
          <cell r="O2202" t="str">
            <v>2008</v>
          </cell>
          <cell r="P2202" t="str">
            <v>29</v>
          </cell>
          <cell r="Q2202" t="str">
            <v>27</v>
          </cell>
        </row>
        <row r="2203">
          <cell r="B2203" t="str">
            <v>0365/16</v>
          </cell>
          <cell r="C2203" t="str">
            <v>2016-0.058.756-5</v>
          </cell>
          <cell r="D2203" t="str">
            <v/>
          </cell>
          <cell r="E2203" t="str">
            <v>14 de março de 2016</v>
          </cell>
          <cell r="F2203" t="str">
            <v>MANOEL FERNANDES DE MELO</v>
          </cell>
          <cell r="G2203" t="str">
            <v>14/03/2016</v>
          </cell>
          <cell r="H2203" t="str">
            <v/>
          </cell>
          <cell r="I2203" t="str">
            <v/>
          </cell>
          <cell r="J2203" t="str">
            <v>PESSOA FÍSICA</v>
          </cell>
          <cell r="K2203" t="str">
            <v>132.713.458-64</v>
          </cell>
          <cell r="L2203" t="str">
            <v>JT</v>
          </cell>
          <cell r="M2203" t="str">
            <v>MANOEL FERNANDES DE MELO</v>
          </cell>
          <cell r="N2203" t="str">
            <v>FAE9700</v>
          </cell>
          <cell r="O2203" t="str">
            <v>2012</v>
          </cell>
          <cell r="P2203" t="str">
            <v>19</v>
          </cell>
          <cell r="Q2203" t="str">
            <v>18</v>
          </cell>
        </row>
        <row r="2204">
          <cell r="B2204" t="str">
            <v>0366/16</v>
          </cell>
          <cell r="C2204" t="str">
            <v>2016-0.058.762-0</v>
          </cell>
          <cell r="D2204" t="str">
            <v/>
          </cell>
          <cell r="E2204" t="str">
            <v>14 de março de 2016</v>
          </cell>
          <cell r="F2204" t="str">
            <v>MARCELO EVANGELISTA VIEIRA</v>
          </cell>
          <cell r="G2204" t="str">
            <v>14/03/2016</v>
          </cell>
          <cell r="H2204" t="str">
            <v/>
          </cell>
          <cell r="I2204" t="str">
            <v/>
          </cell>
          <cell r="J2204" t="str">
            <v>PESSOA FÍSICA</v>
          </cell>
          <cell r="K2204" t="str">
            <v>144.082.498-31</v>
          </cell>
          <cell r="L2204" t="str">
            <v>PJ</v>
          </cell>
          <cell r="M2204" t="str">
            <v>MARCELO EVANGELISTA VIEIRA</v>
          </cell>
          <cell r="N2204" t="str">
            <v>DUJ2639</v>
          </cell>
          <cell r="O2204" t="str">
            <v>2008</v>
          </cell>
          <cell r="P2204" t="str">
            <v>19</v>
          </cell>
          <cell r="Q2204" t="str">
            <v>18</v>
          </cell>
        </row>
        <row r="2205">
          <cell r="B2205" t="str">
            <v>0367/16</v>
          </cell>
          <cell r="C2205" t="str">
            <v>2016-0.058.765-4</v>
          </cell>
          <cell r="D2205" t="str">
            <v/>
          </cell>
          <cell r="E2205" t="str">
            <v>21 de março de 2016</v>
          </cell>
          <cell r="F2205" t="str">
            <v>MARCELO JORDAO DE MENDONCA</v>
          </cell>
          <cell r="G2205" t="str">
            <v>21/03/2016</v>
          </cell>
          <cell r="H2205" t="str">
            <v>25/03/2016</v>
          </cell>
          <cell r="I2205" t="str">
            <v>37</v>
          </cell>
          <cell r="J2205" t="str">
            <v>PESSOA FÍSICA</v>
          </cell>
          <cell r="K2205" t="str">
            <v>165.004.278-74</v>
          </cell>
          <cell r="L2205" t="str">
            <v>IQ</v>
          </cell>
          <cell r="M2205" t="str">
            <v>MARCELO JORDAO DE MENDONCA</v>
          </cell>
          <cell r="N2205" t="str">
            <v>CYR9099</v>
          </cell>
          <cell r="O2205" t="str">
            <v>2003</v>
          </cell>
          <cell r="P2205" t="str">
            <v>25</v>
          </cell>
          <cell r="Q2205" t="str">
            <v>23</v>
          </cell>
        </row>
        <row r="2206">
          <cell r="B2206" t="str">
            <v>0368/16</v>
          </cell>
          <cell r="C2206" t="str">
            <v>2016-0.058.769-7</v>
          </cell>
          <cell r="D2206" t="str">
            <v/>
          </cell>
          <cell r="E2206" t="str">
            <v>14 de março de 2016</v>
          </cell>
          <cell r="F2206" t="str">
            <v>MARCIO GOMES</v>
          </cell>
          <cell r="G2206" t="str">
            <v>14/03/2016</v>
          </cell>
          <cell r="H2206" t="str">
            <v/>
          </cell>
          <cell r="I2206" t="str">
            <v/>
          </cell>
          <cell r="J2206" t="str">
            <v>PESSOA FÍSICA</v>
          </cell>
          <cell r="K2206" t="str">
            <v>290.927.498-50</v>
          </cell>
          <cell r="L2206" t="str">
            <v>MP</v>
          </cell>
          <cell r="M2206" t="str">
            <v>MARCIO GOMES</v>
          </cell>
          <cell r="N2206" t="str">
            <v>FHX7743</v>
          </cell>
          <cell r="O2206" t="str">
            <v>2014</v>
          </cell>
          <cell r="P2206" t="str">
            <v>27</v>
          </cell>
          <cell r="Q2206" t="str">
            <v>26</v>
          </cell>
        </row>
        <row r="2207">
          <cell r="B2207" t="str">
            <v>0369/16</v>
          </cell>
          <cell r="C2207" t="str">
            <v>2016-0.058.773-5</v>
          </cell>
          <cell r="D2207" t="str">
            <v/>
          </cell>
          <cell r="E2207" t="str">
            <v>14 de março de 2016</v>
          </cell>
          <cell r="F2207" t="str">
            <v>MARGARETH DA FONSECA</v>
          </cell>
          <cell r="G2207" t="str">
            <v>14/03/2016</v>
          </cell>
          <cell r="H2207" t="str">
            <v/>
          </cell>
          <cell r="I2207" t="str">
            <v/>
          </cell>
          <cell r="J2207" t="str">
            <v>PESSOA FÍSICA</v>
          </cell>
          <cell r="K2207" t="str">
            <v>048.859.608-43</v>
          </cell>
          <cell r="L2207" t="str">
            <v>SA</v>
          </cell>
          <cell r="M2207" t="str">
            <v>MARGARETH DA FONSECA</v>
          </cell>
          <cell r="N2207" t="str">
            <v>DTC7577</v>
          </cell>
          <cell r="O2207" t="str">
            <v>2009</v>
          </cell>
          <cell r="P2207" t="str">
            <v>19</v>
          </cell>
          <cell r="Q2207" t="str">
            <v>18</v>
          </cell>
        </row>
        <row r="2208">
          <cell r="B2208" t="str">
            <v>0370/16</v>
          </cell>
          <cell r="C2208" t="str">
            <v>2016-0.058.777-8</v>
          </cell>
          <cell r="D2208" t="str">
            <v/>
          </cell>
          <cell r="E2208" t="str">
            <v>14 de março de 2016</v>
          </cell>
          <cell r="F2208" t="str">
            <v>MARIA APARECIDA PEREIRA</v>
          </cell>
          <cell r="G2208" t="str">
            <v>14/03/2016</v>
          </cell>
          <cell r="H2208" t="str">
            <v/>
          </cell>
          <cell r="I2208" t="str">
            <v/>
          </cell>
          <cell r="J2208" t="str">
            <v>PESSOA FÍSICA</v>
          </cell>
          <cell r="K2208" t="str">
            <v>054.706.238-90</v>
          </cell>
          <cell r="L2208" t="str">
            <v>SA</v>
          </cell>
          <cell r="M2208" t="str">
            <v>MARIA APARECIDA PEREIRA</v>
          </cell>
          <cell r="N2208" t="str">
            <v>EZB0945</v>
          </cell>
          <cell r="O2208" t="str">
            <v>2011</v>
          </cell>
          <cell r="P2208" t="str">
            <v>18</v>
          </cell>
          <cell r="Q2208" t="str">
            <v>17</v>
          </cell>
        </row>
        <row r="2209">
          <cell r="B2209" t="str">
            <v>0371/16</v>
          </cell>
          <cell r="C2209" t="str">
            <v>2016-0.058.779-4</v>
          </cell>
          <cell r="D2209" t="str">
            <v/>
          </cell>
          <cell r="E2209" t="str">
            <v>14 de março de 2016</v>
          </cell>
          <cell r="F2209" t="str">
            <v>MARIA DA CONCEICAO MOREIRA MARTINS</v>
          </cell>
          <cell r="G2209" t="str">
            <v>14/03/2016</v>
          </cell>
          <cell r="H2209" t="str">
            <v/>
          </cell>
          <cell r="I2209" t="str">
            <v/>
          </cell>
          <cell r="J2209" t="str">
            <v>PESSOA FÍSICA</v>
          </cell>
          <cell r="K2209" t="str">
            <v>034.420.708-05</v>
          </cell>
          <cell r="L2209" t="str">
            <v>FO</v>
          </cell>
          <cell r="M2209" t="str">
            <v>MARIA DA CONCEICAO MOREIRA MARTINS</v>
          </cell>
          <cell r="N2209" t="str">
            <v>DTC1190</v>
          </cell>
          <cell r="O2209" t="str">
            <v>2007</v>
          </cell>
          <cell r="P2209" t="str">
            <v>29</v>
          </cell>
          <cell r="Q2209" t="str">
            <v>27</v>
          </cell>
        </row>
        <row r="2210">
          <cell r="B2210" t="str">
            <v>0372/16</v>
          </cell>
          <cell r="C2210" t="str">
            <v>2016-0.058.783-2</v>
          </cell>
          <cell r="D2210" t="str">
            <v/>
          </cell>
          <cell r="E2210" t="str">
            <v>15 de março de 2016</v>
          </cell>
          <cell r="F2210" t="str">
            <v>MARIA INEZ PAIVA DE ALMEIDA</v>
          </cell>
          <cell r="G2210" t="str">
            <v>15/03/2016</v>
          </cell>
          <cell r="H2210" t="str">
            <v/>
          </cell>
          <cell r="I2210" t="str">
            <v/>
          </cell>
          <cell r="J2210" t="str">
            <v>PESSOA FÍSICA</v>
          </cell>
          <cell r="K2210" t="str">
            <v>022.247.028-33</v>
          </cell>
          <cell r="L2210" t="str">
            <v>PJ</v>
          </cell>
          <cell r="M2210" t="str">
            <v>MARIA INEZ PAIVA DE ALMEIDA</v>
          </cell>
          <cell r="N2210" t="str">
            <v>DJF4288</v>
          </cell>
          <cell r="O2210" t="str">
            <v>2007</v>
          </cell>
          <cell r="P2210" t="str">
            <v>29</v>
          </cell>
          <cell r="Q2210" t="str">
            <v>27</v>
          </cell>
        </row>
        <row r="2211">
          <cell r="B2211" t="str">
            <v>0373/16</v>
          </cell>
          <cell r="C2211" t="str">
            <v>2016-0.058.789-1</v>
          </cell>
          <cell r="D2211" t="str">
            <v/>
          </cell>
          <cell r="E2211" t="str">
            <v>11 de março de 2016</v>
          </cell>
          <cell r="F2211" t="str">
            <v>MARIO BUGHI</v>
          </cell>
          <cell r="G2211" t="str">
            <v>11/03/2016</v>
          </cell>
          <cell r="H2211" t="str">
            <v/>
          </cell>
          <cell r="I2211" t="str">
            <v/>
          </cell>
          <cell r="J2211" t="str">
            <v>PESSOA FÍSICA</v>
          </cell>
          <cell r="K2211" t="str">
            <v>845.606.308-87</v>
          </cell>
          <cell r="L2211" t="str">
            <v>IQ</v>
          </cell>
          <cell r="M2211" t="str">
            <v>MARIO BUGHI</v>
          </cell>
          <cell r="N2211" t="str">
            <v>DTC4193</v>
          </cell>
          <cell r="O2211" t="str">
            <v>2009</v>
          </cell>
          <cell r="P2211" t="str">
            <v>15</v>
          </cell>
          <cell r="Q2211" t="str">
            <v>14</v>
          </cell>
        </row>
        <row r="2212">
          <cell r="B2212" t="str">
            <v>0374/16</v>
          </cell>
          <cell r="C2212" t="str">
            <v>2016-0.058.792-1</v>
          </cell>
          <cell r="D2212" t="str">
            <v/>
          </cell>
          <cell r="E2212" t="str">
            <v>16 de março de 2016</v>
          </cell>
          <cell r="F2212" t="str">
            <v>EDERSON AUGUSTO VIEIRA</v>
          </cell>
          <cell r="G2212" t="str">
            <v>16/03/2016</v>
          </cell>
          <cell r="H2212" t="str">
            <v/>
          </cell>
          <cell r="I2212" t="str">
            <v/>
          </cell>
          <cell r="J2212" t="str">
            <v>PESSOA FÍSICA</v>
          </cell>
          <cell r="K2212" t="str">
            <v>152.274.608-09</v>
          </cell>
          <cell r="L2212" t="str">
            <v>IQ</v>
          </cell>
          <cell r="M2212" t="str">
            <v>EDERSON AUGUSTO VIEIRA</v>
          </cell>
          <cell r="N2212" t="str">
            <v>EZL8859</v>
          </cell>
          <cell r="O2212" t="str">
            <v>2013</v>
          </cell>
          <cell r="P2212" t="str">
            <v>19</v>
          </cell>
          <cell r="Q2212" t="str">
            <v>18</v>
          </cell>
        </row>
        <row r="2213">
          <cell r="B2213" t="str">
            <v>0375/16</v>
          </cell>
          <cell r="C2213" t="str">
            <v>2016-0.058.793-0</v>
          </cell>
          <cell r="D2213" t="str">
            <v/>
          </cell>
          <cell r="E2213" t="str">
            <v>15 de março de 2016</v>
          </cell>
          <cell r="F2213" t="str">
            <v>ELIANA CRISTINA DA CONCEICAO CAMPOS</v>
          </cell>
          <cell r="G2213" t="str">
            <v>15/03/2016</v>
          </cell>
          <cell r="H2213" t="str">
            <v/>
          </cell>
          <cell r="I2213" t="str">
            <v/>
          </cell>
          <cell r="J2213" t="str">
            <v>PESSOA FÍSICA</v>
          </cell>
          <cell r="K2213" t="str">
            <v>076.298.258-62</v>
          </cell>
          <cell r="L2213" t="str">
            <v>IQ</v>
          </cell>
          <cell r="M2213" t="str">
            <v>ELIANA CRISTINA DA CONCEICAO CAMPOS</v>
          </cell>
          <cell r="N2213" t="str">
            <v>DTC1798</v>
          </cell>
          <cell r="O2213" t="str">
            <v>2007</v>
          </cell>
          <cell r="P2213" t="str">
            <v>29</v>
          </cell>
          <cell r="Q2213" t="str">
            <v>27</v>
          </cell>
        </row>
        <row r="2214">
          <cell r="B2214" t="str">
            <v>0376/16</v>
          </cell>
          <cell r="C2214" t="str">
            <v>2016-0.058.799-9</v>
          </cell>
          <cell r="D2214" t="str">
            <v/>
          </cell>
          <cell r="E2214" t="str">
            <v/>
          </cell>
          <cell r="F2214" t="str">
            <v>ELIELSON FERNANDES</v>
          </cell>
          <cell r="G2214" t="str">
            <v/>
          </cell>
          <cell r="H2214" t="str">
            <v/>
          </cell>
          <cell r="I2214" t="str">
            <v/>
          </cell>
          <cell r="J2214" t="str">
            <v>PESSOA FÍSICA</v>
          </cell>
          <cell r="K2214" t="str">
            <v>065.300.558-00</v>
          </cell>
          <cell r="L2214" t="str">
            <v>IQ</v>
          </cell>
          <cell r="M2214" t="str">
            <v>ELIELSON FERNANDES</v>
          </cell>
          <cell r="N2214" t="str">
            <v>DTE8327</v>
          </cell>
          <cell r="O2214" t="str">
            <v>2009</v>
          </cell>
          <cell r="P2214" t="str">
            <v>11</v>
          </cell>
          <cell r="Q2214" t="str">
            <v>10</v>
          </cell>
        </row>
        <row r="2215">
          <cell r="B2215" t="str">
            <v>0377/16</v>
          </cell>
          <cell r="C2215" t="str">
            <v>2016-0.058.805-7</v>
          </cell>
          <cell r="D2215" t="str">
            <v/>
          </cell>
          <cell r="E2215" t="str">
            <v>14 de março de 2016</v>
          </cell>
          <cell r="F2215" t="str">
            <v>MOISES ELIAS DOS SANTOS</v>
          </cell>
          <cell r="G2215" t="str">
            <v>14/03/2016</v>
          </cell>
          <cell r="H2215" t="str">
            <v/>
          </cell>
          <cell r="I2215" t="str">
            <v/>
          </cell>
          <cell r="J2215" t="str">
            <v>PESSOA FÍSICA</v>
          </cell>
          <cell r="K2215" t="str">
            <v>557.865.707-97</v>
          </cell>
          <cell r="L2215" t="str">
            <v>IQ</v>
          </cell>
          <cell r="M2215" t="str">
            <v>MOISES ELIAS DOS SANTOS</v>
          </cell>
          <cell r="N2215" t="str">
            <v>ECT3539</v>
          </cell>
          <cell r="O2215" t="str">
            <v>2008</v>
          </cell>
          <cell r="P2215" t="str">
            <v>29</v>
          </cell>
          <cell r="Q2215" t="str">
            <v>27</v>
          </cell>
        </row>
        <row r="2216">
          <cell r="B2216" t="str">
            <v>0378/16</v>
          </cell>
          <cell r="C2216" t="str">
            <v>2016-0.058.810-3</v>
          </cell>
          <cell r="D2216" t="str">
            <v/>
          </cell>
          <cell r="E2216" t="str">
            <v>07 de março de 2016</v>
          </cell>
          <cell r="F2216" t="str">
            <v>OSVALDO BARROS VICENTE</v>
          </cell>
          <cell r="G2216" t="str">
            <v>07/03/2016</v>
          </cell>
          <cell r="H2216" t="str">
            <v/>
          </cell>
          <cell r="I2216" t="str">
            <v/>
          </cell>
          <cell r="J2216" t="str">
            <v>PESSOA FÍSICA</v>
          </cell>
          <cell r="K2216" t="str">
            <v>302.730.568-91</v>
          </cell>
          <cell r="L2216" t="str">
            <v>IQ</v>
          </cell>
          <cell r="M2216" t="str">
            <v>OSVALDO BARROS VICENTE</v>
          </cell>
          <cell r="N2216" t="str">
            <v>DTC0944</v>
          </cell>
          <cell r="O2216" t="str">
            <v>2007</v>
          </cell>
          <cell r="P2216" t="str">
            <v>29</v>
          </cell>
          <cell r="Q2216" t="str">
            <v>27</v>
          </cell>
        </row>
        <row r="2217">
          <cell r="B2217" t="str">
            <v>0379/16</v>
          </cell>
          <cell r="C2217" t="str">
            <v>2016-0.058.730-1</v>
          </cell>
          <cell r="D2217" t="str">
            <v/>
          </cell>
          <cell r="E2217" t="str">
            <v>15 de março de 2016</v>
          </cell>
          <cell r="F2217" t="str">
            <v>RAIMUNDO DE SOUZA PAULA</v>
          </cell>
          <cell r="G2217" t="str">
            <v>15/03/2016</v>
          </cell>
          <cell r="H2217" t="str">
            <v/>
          </cell>
          <cell r="I2217" t="str">
            <v/>
          </cell>
          <cell r="J2217" t="str">
            <v>PESSOA FÍSICA</v>
          </cell>
          <cell r="K2217" t="str">
            <v>128.482.998-78</v>
          </cell>
          <cell r="L2217" t="str">
            <v>IQ</v>
          </cell>
          <cell r="M2217" t="str">
            <v>RAIMUNDO DE SOUZA PAULA</v>
          </cell>
          <cell r="N2217" t="str">
            <v>DTD3797</v>
          </cell>
          <cell r="O2217" t="str">
            <v>2007</v>
          </cell>
          <cell r="P2217" t="str">
            <v>29</v>
          </cell>
          <cell r="Q2217" t="str">
            <v>27</v>
          </cell>
        </row>
        <row r="2218">
          <cell r="B2218" t="str">
            <v>0380/16</v>
          </cell>
          <cell r="C2218" t="str">
            <v>2016-0.058.735-2</v>
          </cell>
          <cell r="D2218" t="str">
            <v/>
          </cell>
          <cell r="E2218" t="str">
            <v>07 de março de 2016</v>
          </cell>
          <cell r="F2218" t="str">
            <v>CLEBIA MEIRE FERRAZ SILVA</v>
          </cell>
          <cell r="G2218" t="str">
            <v>07/03/2016</v>
          </cell>
          <cell r="H2218" t="str">
            <v/>
          </cell>
          <cell r="I2218" t="str">
            <v/>
          </cell>
          <cell r="J2218" t="str">
            <v>PESSOA FÍSICA</v>
          </cell>
          <cell r="K2218" t="str">
            <v>181.779.128-10</v>
          </cell>
          <cell r="L2218" t="str">
            <v>IQ</v>
          </cell>
          <cell r="M2218" t="str">
            <v>CLEBIA MEIRE FERRAZ SILVA</v>
          </cell>
          <cell r="N2218" t="str">
            <v>DPC3894</v>
          </cell>
          <cell r="O2218" t="str">
            <v>2007</v>
          </cell>
          <cell r="P2218" t="str">
            <v>15</v>
          </cell>
          <cell r="Q2218" t="str">
            <v>13</v>
          </cell>
        </row>
        <row r="2219">
          <cell r="B2219" t="str">
            <v>0381/16</v>
          </cell>
          <cell r="C2219" t="str">
            <v>2016-0.058.740-9</v>
          </cell>
          <cell r="D2219" t="str">
            <v/>
          </cell>
          <cell r="E2219" t="str">
            <v>14 de março de 2016</v>
          </cell>
          <cell r="F2219" t="str">
            <v>MARCOS DONIZETE DEMINCIANA</v>
          </cell>
          <cell r="G2219" t="str">
            <v>14/03/2016</v>
          </cell>
          <cell r="H2219" t="str">
            <v/>
          </cell>
          <cell r="I2219" t="str">
            <v/>
          </cell>
          <cell r="J2219" t="str">
            <v>PESSOA FÍSICA</v>
          </cell>
          <cell r="K2219" t="str">
            <v>134.209.598-77</v>
          </cell>
          <cell r="L2219" t="str">
            <v>IQ</v>
          </cell>
          <cell r="M2219" t="str">
            <v>MARCOS DONIZETE DEMINCIANA</v>
          </cell>
          <cell r="N2219" t="str">
            <v>CZX8563</v>
          </cell>
          <cell r="O2219" t="str">
            <v>2003</v>
          </cell>
          <cell r="P2219" t="str">
            <v>25</v>
          </cell>
          <cell r="Q2219" t="str">
            <v>23</v>
          </cell>
        </row>
        <row r="2220">
          <cell r="B2220" t="str">
            <v>0382/16</v>
          </cell>
          <cell r="C2220" t="str">
            <v>2016-0.058.755-7</v>
          </cell>
          <cell r="D2220" t="str">
            <v/>
          </cell>
          <cell r="E2220" t="str">
            <v>21 de março de 2016</v>
          </cell>
          <cell r="F2220" t="str">
            <v>MARIA APARECIDA LEAO DE ANDRADE SILVA</v>
          </cell>
          <cell r="G2220" t="str">
            <v>21/03/2016</v>
          </cell>
          <cell r="H2220" t="str">
            <v>25/03/2016</v>
          </cell>
          <cell r="I2220" t="str">
            <v>37</v>
          </cell>
          <cell r="J2220" t="str">
            <v>PESSOA FÍSICA</v>
          </cell>
          <cell r="K2220" t="str">
            <v>003.997.478-26</v>
          </cell>
          <cell r="L2220" t="str">
            <v>IQ</v>
          </cell>
          <cell r="M2220" t="str">
            <v>MARIA APARECIDA LEAO DE ANDRADE SILVA</v>
          </cell>
          <cell r="N2220" t="str">
            <v>DTC0649</v>
          </cell>
          <cell r="O2220" t="str">
            <v>2007</v>
          </cell>
          <cell r="P2220" t="str">
            <v>29</v>
          </cell>
          <cell r="Q2220" t="str">
            <v>27</v>
          </cell>
        </row>
        <row r="2221">
          <cell r="B2221" t="str">
            <v>0383/16</v>
          </cell>
          <cell r="C2221" t="str">
            <v>2016-0.058.761-1</v>
          </cell>
          <cell r="D2221" t="str">
            <v/>
          </cell>
          <cell r="E2221" t="str">
            <v>07 de março de 2016</v>
          </cell>
          <cell r="F2221" t="str">
            <v>NILTON VIANA DE ALCANTARA</v>
          </cell>
          <cell r="G2221" t="str">
            <v>07/03/2016</v>
          </cell>
          <cell r="H2221" t="str">
            <v/>
          </cell>
          <cell r="I2221" t="str">
            <v/>
          </cell>
          <cell r="J2221" t="str">
            <v>PESSOA FÍSICA</v>
          </cell>
          <cell r="K2221" t="str">
            <v>768.622.408-20</v>
          </cell>
          <cell r="L2221" t="str">
            <v>IQ</v>
          </cell>
          <cell r="M2221" t="str">
            <v>NILTON VIANA DE ALCANTARA</v>
          </cell>
          <cell r="N2221" t="str">
            <v>GBV1480</v>
          </cell>
          <cell r="O2221" t="str">
            <v>2015</v>
          </cell>
          <cell r="P2221" t="str">
            <v>27</v>
          </cell>
          <cell r="Q2221" t="str">
            <v>26</v>
          </cell>
        </row>
        <row r="2222">
          <cell r="B2222" t="str">
            <v>0384/16</v>
          </cell>
          <cell r="C2222" t="str">
            <v>2016-0.058.768-9</v>
          </cell>
          <cell r="D2222" t="str">
            <v/>
          </cell>
          <cell r="E2222" t="str">
            <v>15 de março de 2016</v>
          </cell>
          <cell r="F2222" t="str">
            <v>ALEXANDRE GIMENES NARANJOS</v>
          </cell>
          <cell r="G2222" t="str">
            <v>15/03/2016</v>
          </cell>
          <cell r="H2222" t="str">
            <v/>
          </cell>
          <cell r="I2222" t="str">
            <v/>
          </cell>
          <cell r="J2222" t="str">
            <v>PESSOA FÍSICA</v>
          </cell>
          <cell r="K2222" t="str">
            <v>284.339.948-32</v>
          </cell>
          <cell r="L2222" t="str">
            <v>IQ</v>
          </cell>
          <cell r="M2222" t="str">
            <v>ALEXANDRE GIMENES NARANJOS</v>
          </cell>
          <cell r="N2222" t="str">
            <v>ELQ1419</v>
          </cell>
          <cell r="O2222" t="str">
            <v>2010</v>
          </cell>
          <cell r="P2222" t="str">
            <v>19</v>
          </cell>
          <cell r="Q2222" t="str">
            <v>18</v>
          </cell>
        </row>
        <row r="2223">
          <cell r="B2223" t="str">
            <v>0385/16</v>
          </cell>
          <cell r="C2223" t="str">
            <v>2016-0.058.787-5</v>
          </cell>
          <cell r="D2223" t="str">
            <v/>
          </cell>
          <cell r="E2223" t="str">
            <v>17 de março de 2016</v>
          </cell>
          <cell r="F2223" t="str">
            <v>EUNICE APARECIDA GERMANO PEREIRA</v>
          </cell>
          <cell r="G2223" t="str">
            <v>17/03/2016</v>
          </cell>
          <cell r="H2223" t="str">
            <v/>
          </cell>
          <cell r="I2223" t="str">
            <v/>
          </cell>
          <cell r="J2223" t="str">
            <v>PESSOA FÍSICA</v>
          </cell>
          <cell r="K2223" t="str">
            <v>008.785.308-60</v>
          </cell>
          <cell r="L2223" t="str">
            <v>IQ</v>
          </cell>
          <cell r="M2223" t="str">
            <v>EUNICE APARECIDA GERMANO PEREIRA</v>
          </cell>
          <cell r="N2223" t="str">
            <v>CZZ1737</v>
          </cell>
          <cell r="O2223" t="str">
            <v>2002</v>
          </cell>
          <cell r="P2223" t="str">
            <v>25</v>
          </cell>
          <cell r="Q2223" t="str">
            <v>23</v>
          </cell>
        </row>
        <row r="2224">
          <cell r="B2224" t="str">
            <v>0386/16</v>
          </cell>
          <cell r="C2224" t="str">
            <v>2016-0.058.836-7</v>
          </cell>
          <cell r="D2224" t="str">
            <v/>
          </cell>
          <cell r="E2224" t="str">
            <v>18 de março de 2016</v>
          </cell>
          <cell r="F2224" t="str">
            <v>PATRICIA DE CASSIA ANDRADE DE SOUSA</v>
          </cell>
          <cell r="G2224" t="str">
            <v>18/03/2016</v>
          </cell>
          <cell r="H2224" t="str">
            <v/>
          </cell>
          <cell r="I2224" t="str">
            <v/>
          </cell>
          <cell r="J2224" t="str">
            <v>PESSOA FÍSICA</v>
          </cell>
          <cell r="K2224" t="str">
            <v>152.402.758-82</v>
          </cell>
          <cell r="L2224" t="str">
            <v>IQ</v>
          </cell>
          <cell r="M2224" t="str">
            <v>PATRICIA DE CASSIA ANDRADE DE SOUSA</v>
          </cell>
          <cell r="N2224" t="str">
            <v>CZX9264</v>
          </cell>
          <cell r="O2224" t="str">
            <v>2006</v>
          </cell>
          <cell r="P2224" t="str">
            <v>25</v>
          </cell>
          <cell r="Q2224" t="str">
            <v>23</v>
          </cell>
        </row>
        <row r="2225">
          <cell r="B2225" t="str">
            <v>0387/16</v>
          </cell>
          <cell r="C2225" t="str">
            <v>2016-0.058.839-1</v>
          </cell>
          <cell r="D2225" t="str">
            <v/>
          </cell>
          <cell r="E2225" t="str">
            <v>07 de março de 2016</v>
          </cell>
          <cell r="F2225" t="str">
            <v>ROBERTO GARCIA FERNANDES</v>
          </cell>
          <cell r="G2225" t="str">
            <v>07/03/2016</v>
          </cell>
          <cell r="H2225" t="str">
            <v/>
          </cell>
          <cell r="I2225" t="str">
            <v/>
          </cell>
          <cell r="J2225" t="str">
            <v>PESSOA FÍSICA</v>
          </cell>
          <cell r="K2225" t="str">
            <v>001.436.318-61</v>
          </cell>
          <cell r="L2225" t="str">
            <v>IQ</v>
          </cell>
          <cell r="M2225" t="str">
            <v>ROBERTO GARCIA FERNANDES</v>
          </cell>
          <cell r="N2225" t="str">
            <v>DTA6492</v>
          </cell>
          <cell r="O2225" t="str">
            <v>2007</v>
          </cell>
          <cell r="P2225" t="str">
            <v>29</v>
          </cell>
          <cell r="Q2225" t="str">
            <v>27</v>
          </cell>
        </row>
        <row r="2226">
          <cell r="B2226" t="str">
            <v>0388/16</v>
          </cell>
          <cell r="C2226" t="str">
            <v>2016-0.058.842-1</v>
          </cell>
          <cell r="D2226" t="str">
            <v/>
          </cell>
          <cell r="E2226" t="str">
            <v>15 de março de 2016</v>
          </cell>
          <cell r="F2226" t="str">
            <v>ECIEL XAVIER DE LIMA</v>
          </cell>
          <cell r="G2226" t="str">
            <v>15/03/2016</v>
          </cell>
          <cell r="H2226" t="str">
            <v/>
          </cell>
          <cell r="I2226" t="str">
            <v/>
          </cell>
          <cell r="J2226" t="str">
            <v>PESSOA FÍSICA</v>
          </cell>
          <cell r="K2226" t="str">
            <v>021.475.318-20</v>
          </cell>
          <cell r="L2226" t="str">
            <v>IQ</v>
          </cell>
          <cell r="M2226" t="str">
            <v>ECIEL XAVIER DE LIMA</v>
          </cell>
          <cell r="N2226" t="str">
            <v>EFU1698</v>
          </cell>
          <cell r="O2226" t="str">
            <v>2010</v>
          </cell>
          <cell r="P2226" t="str">
            <v>19</v>
          </cell>
          <cell r="Q2226" t="str">
            <v>18</v>
          </cell>
        </row>
        <row r="2227">
          <cell r="B2227" t="str">
            <v>0389/16</v>
          </cell>
          <cell r="C2227" t="str">
            <v>2016-0.058.864-2</v>
          </cell>
          <cell r="D2227" t="str">
            <v/>
          </cell>
          <cell r="E2227" t="str">
            <v>15 de março de 2016</v>
          </cell>
          <cell r="F2227" t="str">
            <v>ROBERTO ALVES PEREIRA</v>
          </cell>
          <cell r="G2227" t="str">
            <v>15/03/2016</v>
          </cell>
          <cell r="H2227" t="str">
            <v/>
          </cell>
          <cell r="I2227" t="str">
            <v/>
          </cell>
          <cell r="J2227" t="str">
            <v>PESSOA FÍSICA</v>
          </cell>
          <cell r="K2227" t="str">
            <v>012.746.378-05</v>
          </cell>
          <cell r="L2227" t="str">
            <v>IQ</v>
          </cell>
          <cell r="M2227" t="str">
            <v>ROBERTO ALVES PEREIRA</v>
          </cell>
          <cell r="N2227" t="str">
            <v>DTE7158</v>
          </cell>
          <cell r="O2227" t="str">
            <v>2009</v>
          </cell>
          <cell r="P2227" t="str">
            <v>11</v>
          </cell>
          <cell r="Q2227" t="str">
            <v>10</v>
          </cell>
        </row>
        <row r="2228">
          <cell r="B2228" t="str">
            <v>0390/16</v>
          </cell>
          <cell r="C2228" t="str">
            <v>2016-0.058.867-7</v>
          </cell>
          <cell r="D2228" t="str">
            <v/>
          </cell>
          <cell r="E2228" t="str">
            <v>15 de março de 2016</v>
          </cell>
          <cell r="F2228" t="str">
            <v>JOSE GOLINSKI DOS SANTOS</v>
          </cell>
          <cell r="G2228" t="str">
            <v>15/03/2016</v>
          </cell>
          <cell r="H2228" t="str">
            <v/>
          </cell>
          <cell r="I2228" t="str">
            <v/>
          </cell>
          <cell r="J2228" t="str">
            <v>PESSOA FÍSICA</v>
          </cell>
          <cell r="K2228" t="str">
            <v>918.355.858-68</v>
          </cell>
          <cell r="L2228" t="str">
            <v>IQ</v>
          </cell>
          <cell r="M2228" t="str">
            <v>JOSE GOLINSKI DOS SANTOS</v>
          </cell>
          <cell r="N2228" t="str">
            <v>CZX8731</v>
          </cell>
          <cell r="O2228" t="str">
            <v>2003</v>
          </cell>
          <cell r="P2228" t="str">
            <v>25</v>
          </cell>
          <cell r="Q2228" t="str">
            <v>23</v>
          </cell>
        </row>
        <row r="2229">
          <cell r="B2229" t="str">
            <v>0391/16</v>
          </cell>
          <cell r="C2229" t="str">
            <v>2016-0.058.870-7</v>
          </cell>
          <cell r="D2229" t="str">
            <v/>
          </cell>
          <cell r="E2229" t="str">
            <v>17 de março de 2016</v>
          </cell>
          <cell r="F2229" t="str">
            <v>JOSE AGOSTINHO RODRIGUES DA SILVA</v>
          </cell>
          <cell r="G2229" t="str">
            <v>17/03/2016</v>
          </cell>
          <cell r="H2229" t="str">
            <v/>
          </cell>
          <cell r="I2229" t="str">
            <v/>
          </cell>
          <cell r="J2229" t="str">
            <v>PESSOA FÍSICA</v>
          </cell>
          <cell r="K2229" t="str">
            <v>670.272.458-68</v>
          </cell>
          <cell r="L2229" t="str">
            <v>BT</v>
          </cell>
          <cell r="M2229" t="str">
            <v>JOSE AGOSTINHO RODRIGUES DA SILVA</v>
          </cell>
          <cell r="N2229" t="str">
            <v>DTA7390</v>
          </cell>
          <cell r="O2229" t="str">
            <v>2008</v>
          </cell>
          <cell r="P2229" t="str">
            <v>25</v>
          </cell>
          <cell r="Q2229" t="str">
            <v>23</v>
          </cell>
        </row>
        <row r="2230">
          <cell r="B2230" t="str">
            <v>0392/16</v>
          </cell>
          <cell r="C2230" t="str">
            <v>2016-0.058.874-0</v>
          </cell>
          <cell r="D2230" t="str">
            <v/>
          </cell>
          <cell r="E2230" t="str">
            <v/>
          </cell>
          <cell r="F2230" t="str">
            <v>MARIA DA PAZ RODRIGUES COELHO E ASSIS</v>
          </cell>
          <cell r="G2230" t="str">
            <v/>
          </cell>
          <cell r="H2230" t="str">
            <v/>
          </cell>
          <cell r="I2230" t="str">
            <v/>
          </cell>
          <cell r="J2230" t="str">
            <v>PESSOA FÍSICA</v>
          </cell>
          <cell r="K2230" t="str">
            <v>673.570.833-49</v>
          </cell>
          <cell r="L2230" t="str">
            <v>BT</v>
          </cell>
          <cell r="M2230" t="str">
            <v>MARIA DA PAZ RODRIGUES COELHO E ASSIS</v>
          </cell>
          <cell r="N2230" t="str">
            <v>DTB7341</v>
          </cell>
          <cell r="O2230" t="str">
            <v>2006</v>
          </cell>
          <cell r="P2230" t="str">
            <v>29</v>
          </cell>
          <cell r="Q2230" t="str">
            <v>27</v>
          </cell>
        </row>
        <row r="2231">
          <cell r="B2231" t="str">
            <v>0393/16</v>
          </cell>
          <cell r="C2231" t="str">
            <v>2016-0.058.875-8</v>
          </cell>
          <cell r="D2231" t="str">
            <v>23/02/2016</v>
          </cell>
          <cell r="E2231" t="str">
            <v>21 de março de 2016</v>
          </cell>
          <cell r="F2231" t="str">
            <v>DAVID LOPES BATISTA</v>
          </cell>
          <cell r="G2231" t="str">
            <v>21/03/2016</v>
          </cell>
          <cell r="H2231" t="str">
            <v/>
          </cell>
          <cell r="I2231" t="str">
            <v/>
          </cell>
          <cell r="J2231" t="str">
            <v>PESSOA FÍSICA</v>
          </cell>
          <cell r="K2231" t="str">
            <v>371.840.238-62</v>
          </cell>
          <cell r="L2231" t="str">
            <v>BT</v>
          </cell>
          <cell r="M2231" t="str">
            <v>DAVID LOPES BATISTA</v>
          </cell>
          <cell r="N2231" t="str">
            <v>EFV8920</v>
          </cell>
          <cell r="O2231" t="str">
            <v>2010</v>
          </cell>
          <cell r="P2231" t="str">
            <v>15</v>
          </cell>
          <cell r="Q2231" t="str">
            <v>14</v>
          </cell>
        </row>
        <row r="2232">
          <cell r="B2232" t="str">
            <v>0394/16</v>
          </cell>
          <cell r="C2232" t="str">
            <v>2016-0.058.883-9</v>
          </cell>
          <cell r="D2232" t="str">
            <v>22/02/2016</v>
          </cell>
          <cell r="E2232" t="str">
            <v>29 de fevereiro de 2016</v>
          </cell>
          <cell r="F2232" t="str">
            <v>MARCIO JOSE SANTANA</v>
          </cell>
          <cell r="G2232" t="str">
            <v>29/02/2016</v>
          </cell>
          <cell r="H2232" t="str">
            <v/>
          </cell>
          <cell r="I2232" t="str">
            <v/>
          </cell>
          <cell r="J2232" t="str">
            <v>PESSOA FÍSICA</v>
          </cell>
          <cell r="K2232" t="str">
            <v>177.789.048-96</v>
          </cell>
          <cell r="L2232" t="str">
            <v>BT</v>
          </cell>
          <cell r="M2232" t="str">
            <v>MARCIO JOSE SANTANA</v>
          </cell>
          <cell r="N2232" t="str">
            <v>ELW9824</v>
          </cell>
          <cell r="O2232" t="str">
            <v>2011</v>
          </cell>
          <cell r="P2232" t="str">
            <v>19</v>
          </cell>
          <cell r="Q2232" t="str">
            <v>18</v>
          </cell>
        </row>
        <row r="2233">
          <cell r="B2233" t="str">
            <v>0395/16</v>
          </cell>
          <cell r="C2233" t="str">
            <v>2016-0.058.887-1</v>
          </cell>
          <cell r="D2233" t="str">
            <v>07/03/2016</v>
          </cell>
          <cell r="E2233" t="str">
            <v>07 de março de 2016</v>
          </cell>
          <cell r="F2233" t="str">
            <v>JOAO PAULO DA SILVA</v>
          </cell>
          <cell r="G2233" t="str">
            <v>07/03/2016</v>
          </cell>
          <cell r="H2233" t="str">
            <v/>
          </cell>
          <cell r="I2233" t="str">
            <v/>
          </cell>
          <cell r="J2233" t="str">
            <v>PESSOA FÍSICA</v>
          </cell>
          <cell r="K2233" t="str">
            <v>008.097.148-25</v>
          </cell>
          <cell r="L2233" t="str">
            <v>BT</v>
          </cell>
          <cell r="M2233" t="str">
            <v>JOAO PAULO DA SILVA</v>
          </cell>
          <cell r="N2233" t="str">
            <v>EPH3935</v>
          </cell>
          <cell r="O2233" t="str">
            <v>2010</v>
          </cell>
          <cell r="P2233" t="str">
            <v>19</v>
          </cell>
          <cell r="Q2233" t="str">
            <v>18</v>
          </cell>
        </row>
        <row r="2234">
          <cell r="B2234" t="str">
            <v>0396/16</v>
          </cell>
          <cell r="C2234" t="str">
            <v>2016-0.058.895-2</v>
          </cell>
          <cell r="D2234" t="str">
            <v/>
          </cell>
          <cell r="E2234" t="str">
            <v>15 de março de 2016</v>
          </cell>
          <cell r="F2234" t="str">
            <v>JOSENILDO RODRIGUES DE SOUZA</v>
          </cell>
          <cell r="G2234" t="str">
            <v>15/03/2016</v>
          </cell>
          <cell r="H2234" t="str">
            <v/>
          </cell>
          <cell r="I2234" t="str">
            <v/>
          </cell>
          <cell r="J2234" t="str">
            <v>PESSOA FÍSICA</v>
          </cell>
          <cell r="K2234" t="str">
            <v>130.282.498-80</v>
          </cell>
          <cell r="L2234" t="str">
            <v>BT</v>
          </cell>
          <cell r="M2234" t="str">
            <v>JOSENILDO RODRIGUES DE SOUZA</v>
          </cell>
          <cell r="N2234" t="str">
            <v>ACF0423</v>
          </cell>
          <cell r="O2234" t="str">
            <v>2004</v>
          </cell>
          <cell r="P2234" t="str">
            <v>15</v>
          </cell>
          <cell r="Q2234" t="str">
            <v>13</v>
          </cell>
        </row>
        <row r="2235">
          <cell r="B2235" t="str">
            <v>0397/16</v>
          </cell>
          <cell r="C2235" t="str">
            <v>2016-0.058.899-5</v>
          </cell>
          <cell r="D2235" t="str">
            <v/>
          </cell>
          <cell r="E2235" t="str">
            <v/>
          </cell>
          <cell r="F2235" t="str">
            <v>ANA PAULA MATUTINO DOS SANTOS</v>
          </cell>
          <cell r="G2235" t="str">
            <v/>
          </cell>
          <cell r="H2235" t="str">
            <v/>
          </cell>
          <cell r="I2235" t="str">
            <v/>
          </cell>
          <cell r="J2235" t="str">
            <v>PESSOA FÍSICA</v>
          </cell>
          <cell r="K2235" t="str">
            <v>129.519.458-92</v>
          </cell>
          <cell r="L2235" t="str">
            <v>BT</v>
          </cell>
          <cell r="M2235" t="str">
            <v>ANA PAULA MATUTINO DOS SANTOS</v>
          </cell>
          <cell r="N2235" t="str">
            <v>EFV0179</v>
          </cell>
          <cell r="O2235" t="str">
            <v>2010</v>
          </cell>
          <cell r="P2235" t="str">
            <v>19</v>
          </cell>
          <cell r="Q2235" t="str">
            <v>18</v>
          </cell>
        </row>
        <row r="2236">
          <cell r="B2236" t="str">
            <v>0398/16</v>
          </cell>
          <cell r="C2236" t="str">
            <v>2016-0.058.901-0</v>
          </cell>
          <cell r="D2236" t="str">
            <v/>
          </cell>
          <cell r="E2236" t="str">
            <v>21 de março de 2016</v>
          </cell>
          <cell r="F2236" t="str">
            <v>CELINA MARIA DA SILVA</v>
          </cell>
          <cell r="G2236" t="str">
            <v>21/03/2016</v>
          </cell>
          <cell r="H2236" t="str">
            <v>23/03/2016</v>
          </cell>
          <cell r="I2236" t="str">
            <v>57</v>
          </cell>
          <cell r="J2236" t="str">
            <v>PESSOA FÍSICA</v>
          </cell>
          <cell r="K2236" t="str">
            <v>990.674.638-68</v>
          </cell>
          <cell r="L2236" t="str">
            <v>BT</v>
          </cell>
          <cell r="M2236" t="str">
            <v>CELINA MARIA DA SILVA</v>
          </cell>
          <cell r="N2236" t="str">
            <v>AQD7149</v>
          </cell>
          <cell r="O2236" t="str">
            <v>2007</v>
          </cell>
          <cell r="P2236" t="str">
            <v>15</v>
          </cell>
          <cell r="Q2236" t="str">
            <v>14</v>
          </cell>
        </row>
        <row r="2237">
          <cell r="B2237" t="str">
            <v>0399/16</v>
          </cell>
          <cell r="C2237" t="str">
            <v>2016-0.058.903-7</v>
          </cell>
          <cell r="D2237" t="str">
            <v/>
          </cell>
          <cell r="E2237" t="str">
            <v/>
          </cell>
          <cell r="F2237" t="str">
            <v>FERNANDO PEREIRA</v>
          </cell>
          <cell r="G2237" t="str">
            <v/>
          </cell>
          <cell r="H2237" t="str">
            <v/>
          </cell>
          <cell r="I2237" t="str">
            <v/>
          </cell>
          <cell r="J2237" t="str">
            <v>PESSOA FÍSICA</v>
          </cell>
          <cell r="K2237" t="str">
            <v>274.617.958-05</v>
          </cell>
          <cell r="L2237" t="str">
            <v>BT</v>
          </cell>
          <cell r="M2237" t="str">
            <v>FERNANDO PEREIRA</v>
          </cell>
          <cell r="N2237" t="str">
            <v>DTD8444</v>
          </cell>
          <cell r="O2237" t="str">
            <v>2009</v>
          </cell>
          <cell r="P2237" t="str">
            <v>11</v>
          </cell>
          <cell r="Q2237" t="str">
            <v>10</v>
          </cell>
        </row>
        <row r="2238">
          <cell r="B2238" t="str">
            <v>0400/16</v>
          </cell>
          <cell r="C2238" t="str">
            <v>2016-0.058.906-1</v>
          </cell>
          <cell r="D2238" t="str">
            <v/>
          </cell>
          <cell r="E2238" t="str">
            <v>16 de março de 2016</v>
          </cell>
          <cell r="F2238" t="str">
            <v>HENRIQUE DA SILVA ALFERES</v>
          </cell>
          <cell r="G2238" t="str">
            <v>16/03/2016</v>
          </cell>
          <cell r="H2238" t="str">
            <v/>
          </cell>
          <cell r="I2238" t="str">
            <v/>
          </cell>
          <cell r="J2238" t="str">
            <v>PESSOA FÍSICA</v>
          </cell>
          <cell r="K2238" t="str">
            <v>103.769.888-60</v>
          </cell>
          <cell r="L2238" t="str">
            <v>BT</v>
          </cell>
          <cell r="M2238" t="str">
            <v>HENRIQUE DA SILVA ALFERES</v>
          </cell>
          <cell r="N2238" t="str">
            <v>CZX2578</v>
          </cell>
          <cell r="O2238" t="str">
            <v>2002</v>
          </cell>
          <cell r="P2238" t="str">
            <v>25</v>
          </cell>
          <cell r="Q2238" t="str">
            <v>23</v>
          </cell>
        </row>
        <row r="2239">
          <cell r="B2239" t="str">
            <v>0401/16</v>
          </cell>
          <cell r="C2239" t="str">
            <v>2016-0.058.830-8</v>
          </cell>
          <cell r="D2239" t="str">
            <v/>
          </cell>
          <cell r="E2239" t="str">
            <v>16 de março de 2016</v>
          </cell>
          <cell r="F2239" t="str">
            <v>ANTONINHO MATIAS</v>
          </cell>
          <cell r="G2239" t="str">
            <v>16/03/2016</v>
          </cell>
          <cell r="H2239" t="str">
            <v/>
          </cell>
          <cell r="I2239" t="str">
            <v/>
          </cell>
          <cell r="J2239" t="str">
            <v>PESSOA FÍSICA</v>
          </cell>
          <cell r="K2239" t="str">
            <v>107.528.628-04</v>
          </cell>
          <cell r="L2239" t="str">
            <v>BT</v>
          </cell>
          <cell r="M2239" t="str">
            <v>ANTONINHO MATIAS</v>
          </cell>
          <cell r="N2239" t="str">
            <v>DJB9200</v>
          </cell>
          <cell r="O2239" t="str">
            <v>2003</v>
          </cell>
          <cell r="P2239" t="str">
            <v>25</v>
          </cell>
          <cell r="Q2239" t="str">
            <v>23</v>
          </cell>
        </row>
        <row r="2240">
          <cell r="B2240" t="str">
            <v>0402/16</v>
          </cell>
          <cell r="C2240" t="str">
            <v>2016-0.058.838-3</v>
          </cell>
          <cell r="D2240" t="str">
            <v/>
          </cell>
          <cell r="E2240" t="str">
            <v>17 de março de 2016</v>
          </cell>
          <cell r="F2240" t="str">
            <v>LAERCIO ALVES DA CUNHA</v>
          </cell>
          <cell r="G2240" t="str">
            <v>17/03/2016</v>
          </cell>
          <cell r="H2240" t="str">
            <v/>
          </cell>
          <cell r="I2240" t="str">
            <v/>
          </cell>
          <cell r="J2240" t="str">
            <v>PESSOA FÍSICA</v>
          </cell>
          <cell r="K2240" t="str">
            <v>004.249.078-28</v>
          </cell>
          <cell r="L2240" t="str">
            <v>BT</v>
          </cell>
          <cell r="M2240" t="str">
            <v>LAERCIO ALVES DA CUNHA</v>
          </cell>
          <cell r="N2240" t="str">
            <v>CZZ2059</v>
          </cell>
          <cell r="O2240" t="str">
            <v>2002</v>
          </cell>
          <cell r="P2240" t="str">
            <v>25</v>
          </cell>
          <cell r="Q2240" t="str">
            <v>23</v>
          </cell>
        </row>
        <row r="2241">
          <cell r="B2241" t="str">
            <v>0403/16</v>
          </cell>
          <cell r="C2241" t="str">
            <v>2016-0.059.805-2</v>
          </cell>
          <cell r="D2241" t="str">
            <v/>
          </cell>
          <cell r="E2241" t="str">
            <v>07 de março de 2016</v>
          </cell>
          <cell r="F2241" t="str">
            <v>MESAQUE ANTUNES DA SILVA</v>
          </cell>
          <cell r="G2241" t="str">
            <v>07/03/2016</v>
          </cell>
          <cell r="H2241" t="str">
            <v>23/03/2016</v>
          </cell>
          <cell r="I2241" t="str">
            <v>57</v>
          </cell>
          <cell r="J2241" t="str">
            <v>PESSOA FÍSICA</v>
          </cell>
          <cell r="K2241" t="str">
            <v>088.814.668-05</v>
          </cell>
          <cell r="L2241" t="str">
            <v>SA</v>
          </cell>
          <cell r="M2241" t="str">
            <v>MESAQUE ANTUNES DA SILVA</v>
          </cell>
          <cell r="N2241" t="str">
            <v>DJF8105</v>
          </cell>
          <cell r="O2241" t="str">
            <v>2008</v>
          </cell>
          <cell r="P2241" t="str">
            <v>19</v>
          </cell>
          <cell r="Q2241" t="str">
            <v>18</v>
          </cell>
        </row>
        <row r="2242">
          <cell r="B2242" t="str">
            <v>0404/16</v>
          </cell>
          <cell r="C2242" t="str">
            <v>2016-0.059.810-9</v>
          </cell>
          <cell r="D2242" t="str">
            <v>07/03/2016</v>
          </cell>
          <cell r="E2242" t="str">
            <v>26 de abril de 2016</v>
          </cell>
          <cell r="F2242" t="str">
            <v>JERRY RODRIGUES DOS SANTOS</v>
          </cell>
          <cell r="G2242" t="str">
            <v>26/04/2016</v>
          </cell>
          <cell r="H2242" t="str">
            <v>27/04/2016</v>
          </cell>
          <cell r="I2242" t="str">
            <v>53</v>
          </cell>
          <cell r="J2242" t="str">
            <v>PESSOA FÍSICA</v>
          </cell>
          <cell r="K2242" t="str">
            <v>212.752.428-47</v>
          </cell>
          <cell r="L2242" t="str">
            <v>JT</v>
          </cell>
          <cell r="M2242" t="str">
            <v>JERRY RODRIGUES DOS SANTOS</v>
          </cell>
          <cell r="N2242" t="str">
            <v>DTC4850</v>
          </cell>
          <cell r="O2242" t="str">
            <v>2008</v>
          </cell>
          <cell r="P2242" t="str">
            <v>25</v>
          </cell>
          <cell r="Q2242" t="str">
            <v>23</v>
          </cell>
        </row>
        <row r="2243">
          <cell r="B2243" t="str">
            <v>0405/16</v>
          </cell>
          <cell r="C2243" t="str">
            <v>2016-0.059.815-0</v>
          </cell>
          <cell r="D2243" t="str">
            <v/>
          </cell>
          <cell r="E2243" t="str">
            <v>07 de março de 2016</v>
          </cell>
          <cell r="F2243" t="str">
            <v>ROGERIO FRANCO DE SA</v>
          </cell>
          <cell r="G2243" t="str">
            <v>07/03/2016</v>
          </cell>
          <cell r="H2243" t="str">
            <v>23/03/2016</v>
          </cell>
          <cell r="I2243" t="str">
            <v>57</v>
          </cell>
          <cell r="J2243" t="str">
            <v>PESSOA FÍSICA</v>
          </cell>
          <cell r="K2243" t="str">
            <v>022.889.418-20</v>
          </cell>
          <cell r="L2243" t="str">
            <v>JT</v>
          </cell>
          <cell r="M2243" t="str">
            <v>ROGERIO FRANCO DE SA</v>
          </cell>
          <cell r="N2243" t="str">
            <v>DAJ6757</v>
          </cell>
          <cell r="O2243" t="str">
            <v>2002</v>
          </cell>
          <cell r="P2243" t="str">
            <v>25</v>
          </cell>
          <cell r="Q2243" t="str">
            <v>23</v>
          </cell>
        </row>
        <row r="2244">
          <cell r="B2244" t="str">
            <v>0406/16</v>
          </cell>
          <cell r="C2244" t="str">
            <v>2016-0.059.821-4</v>
          </cell>
          <cell r="D2244" t="str">
            <v/>
          </cell>
          <cell r="E2244" t="str">
            <v>07 de março de 2016</v>
          </cell>
          <cell r="F2244" t="str">
            <v>WALDIR VIVIAN CAGNE</v>
          </cell>
          <cell r="G2244" t="str">
            <v>07/03/2016</v>
          </cell>
          <cell r="H2244" t="str">
            <v/>
          </cell>
          <cell r="I2244" t="str">
            <v/>
          </cell>
          <cell r="J2244" t="str">
            <v>PESSOA FÍSICA</v>
          </cell>
          <cell r="K2244" t="str">
            <v>040.173.328-97</v>
          </cell>
          <cell r="L2244" t="str">
            <v>PJ</v>
          </cell>
          <cell r="M2244" t="str">
            <v>WALDIR VIVIAN CAGNE</v>
          </cell>
          <cell r="N2244" t="str">
            <v>EFV0185</v>
          </cell>
          <cell r="O2244" t="str">
            <v>2010</v>
          </cell>
          <cell r="P2244" t="str">
            <v>19</v>
          </cell>
          <cell r="Q2244" t="str">
            <v>18</v>
          </cell>
        </row>
        <row r="2245">
          <cell r="B2245" t="str">
            <v>0407/16</v>
          </cell>
          <cell r="C2245" t="str">
            <v>2016-0.059.828-1</v>
          </cell>
          <cell r="D2245" t="str">
            <v/>
          </cell>
          <cell r="E2245" t="str">
            <v>21 de março de 2016</v>
          </cell>
          <cell r="F2245" t="str">
            <v>PAULO SERGIO DOS SANTOS</v>
          </cell>
          <cell r="G2245" t="str">
            <v>21/03/2016</v>
          </cell>
          <cell r="H2245" t="str">
            <v>23/03/2016</v>
          </cell>
          <cell r="I2245" t="str">
            <v>57</v>
          </cell>
          <cell r="J2245" t="str">
            <v>PESSOA FÍSICA</v>
          </cell>
          <cell r="K2245" t="str">
            <v>006.568.668-37</v>
          </cell>
          <cell r="L2245" t="str">
            <v>SA</v>
          </cell>
          <cell r="M2245" t="str">
            <v>PAULO SERGIO DOS SANTOS</v>
          </cell>
          <cell r="N2245" t="str">
            <v>FDR1404</v>
          </cell>
          <cell r="O2245" t="str">
            <v>2013</v>
          </cell>
          <cell r="P2245" t="str">
            <v>15</v>
          </cell>
          <cell r="Q2245" t="str">
            <v>14</v>
          </cell>
        </row>
        <row r="2246">
          <cell r="B2246" t="str">
            <v>0408/16</v>
          </cell>
          <cell r="C2246" t="str">
            <v>2016-0.059.832-0</v>
          </cell>
          <cell r="D2246" t="str">
            <v/>
          </cell>
          <cell r="E2246" t="str">
            <v>14 de março de 2016</v>
          </cell>
          <cell r="F2246" t="str">
            <v>VALDEMIR VILELA SOARES</v>
          </cell>
          <cell r="G2246" t="str">
            <v>14/03/2016</v>
          </cell>
          <cell r="H2246" t="str">
            <v/>
          </cell>
          <cell r="I2246" t="str">
            <v/>
          </cell>
          <cell r="J2246" t="str">
            <v>PESSOA FÍSICA</v>
          </cell>
          <cell r="K2246" t="str">
            <v>104.438.028-40</v>
          </cell>
          <cell r="L2246" t="str">
            <v>SA</v>
          </cell>
          <cell r="M2246" t="str">
            <v>VALDEMIR VILELA SOARES</v>
          </cell>
          <cell r="N2246" t="str">
            <v>DJF2290</v>
          </cell>
          <cell r="O2246" t="str">
            <v>2006</v>
          </cell>
          <cell r="P2246" t="str">
            <v>25</v>
          </cell>
          <cell r="Q2246" t="str">
            <v>23</v>
          </cell>
        </row>
        <row r="2247">
          <cell r="B2247" t="str">
            <v>0409/16</v>
          </cell>
          <cell r="C2247" t="str">
            <v>2016-0.059.846-0</v>
          </cell>
          <cell r="D2247" t="str">
            <v/>
          </cell>
          <cell r="E2247" t="str">
            <v>14 de março de 2016</v>
          </cell>
          <cell r="F2247" t="str">
            <v>VANDA SABINO LISERRA</v>
          </cell>
          <cell r="G2247" t="str">
            <v>14/03/2016</v>
          </cell>
          <cell r="H2247" t="str">
            <v/>
          </cell>
          <cell r="I2247" t="str">
            <v/>
          </cell>
          <cell r="J2247" t="str">
            <v>PESSOA FÍSICA</v>
          </cell>
          <cell r="K2247" t="str">
            <v>128.387.868-22</v>
          </cell>
          <cell r="L2247" t="str">
            <v>PJ</v>
          </cell>
          <cell r="M2247" t="str">
            <v>VANDA SABINO LISERRA</v>
          </cell>
          <cell r="N2247" t="str">
            <v>DTA9429</v>
          </cell>
          <cell r="O2247" t="str">
            <v>2008</v>
          </cell>
          <cell r="P2247" t="str">
            <v>30</v>
          </cell>
          <cell r="Q2247" t="str">
            <v>29</v>
          </cell>
        </row>
        <row r="2248">
          <cell r="B2248" t="str">
            <v>0410/16</v>
          </cell>
          <cell r="C2248" t="str">
            <v>2016-0.059.851-6</v>
          </cell>
          <cell r="D2248" t="str">
            <v/>
          </cell>
          <cell r="E2248" t="str">
            <v>14 de março de 2016</v>
          </cell>
          <cell r="F2248" t="str">
            <v>MAURICIO BARBOSA DE LIMA</v>
          </cell>
          <cell r="G2248" t="str">
            <v>14/03/2016</v>
          </cell>
          <cell r="H2248" t="str">
            <v/>
          </cell>
          <cell r="I2248" t="str">
            <v/>
          </cell>
          <cell r="J2248" t="str">
            <v>PESSOA FÍSICA</v>
          </cell>
          <cell r="K2248" t="str">
            <v>064.122.908-93</v>
          </cell>
          <cell r="L2248" t="str">
            <v>SA</v>
          </cell>
          <cell r="M2248" t="str">
            <v>MAURICIO BARBOSA DE LIMA</v>
          </cell>
          <cell r="N2248" t="str">
            <v>DTA0069</v>
          </cell>
          <cell r="O2248" t="str">
            <v>2008</v>
          </cell>
          <cell r="P2248" t="str">
            <v>29</v>
          </cell>
          <cell r="Q2248" t="str">
            <v>27</v>
          </cell>
        </row>
        <row r="2249">
          <cell r="B2249" t="str">
            <v>0411/16</v>
          </cell>
          <cell r="C2249" t="str">
            <v>2016-0.059.855-9</v>
          </cell>
          <cell r="D2249" t="str">
            <v/>
          </cell>
          <cell r="E2249" t="str">
            <v>14 de março de 2016</v>
          </cell>
          <cell r="F2249" t="str">
            <v>ROSELI DE CARVALHO COUTO</v>
          </cell>
          <cell r="G2249" t="str">
            <v>14/03/2016</v>
          </cell>
          <cell r="H2249" t="str">
            <v/>
          </cell>
          <cell r="I2249" t="str">
            <v/>
          </cell>
          <cell r="J2249" t="str">
            <v>PESSOA FÍSICA</v>
          </cell>
          <cell r="K2249" t="str">
            <v>146.785.698-39</v>
          </cell>
          <cell r="L2249" t="str">
            <v>SM</v>
          </cell>
          <cell r="M2249" t="str">
            <v>ROSELI DE CARVALHO COUTO</v>
          </cell>
          <cell r="N2249" t="str">
            <v>CZZ5838</v>
          </cell>
          <cell r="O2249" t="str">
            <v>2003</v>
          </cell>
          <cell r="P2249" t="str">
            <v>25</v>
          </cell>
          <cell r="Q2249" t="str">
            <v>23</v>
          </cell>
        </row>
        <row r="2250">
          <cell r="B2250" t="str">
            <v>0412/16</v>
          </cell>
          <cell r="C2250" t="str">
            <v>2016-0.059.858-3</v>
          </cell>
          <cell r="D2250" t="str">
            <v/>
          </cell>
          <cell r="E2250" t="str">
            <v>14 de março de 2016</v>
          </cell>
          <cell r="F2250" t="str">
            <v>SONIA MARIA BARBOSA CORREA</v>
          </cell>
          <cell r="G2250" t="str">
            <v>14/03/2016</v>
          </cell>
          <cell r="H2250" t="str">
            <v>23/03/2016</v>
          </cell>
          <cell r="I2250" t="str">
            <v>57</v>
          </cell>
          <cell r="J2250" t="str">
            <v>PESSOA FÍSICA</v>
          </cell>
          <cell r="K2250" t="str">
            <v>086.444.278-57</v>
          </cell>
          <cell r="L2250" t="str">
            <v>SA</v>
          </cell>
          <cell r="M2250" t="str">
            <v>SONIA MARIA BARBOSA CORREA</v>
          </cell>
          <cell r="N2250" t="str">
            <v>FAS8690</v>
          </cell>
          <cell r="O2250" t="str">
            <v>2009</v>
          </cell>
          <cell r="P2250" t="str">
            <v>11</v>
          </cell>
          <cell r="Q2250" t="str">
            <v>10</v>
          </cell>
        </row>
        <row r="2251">
          <cell r="B2251" t="str">
            <v>0413/16</v>
          </cell>
          <cell r="C2251" t="str">
            <v>2016-0.059.860-5</v>
          </cell>
          <cell r="D2251" t="str">
            <v/>
          </cell>
          <cell r="E2251" t="str">
            <v>14 de março de 2016</v>
          </cell>
          <cell r="F2251" t="str">
            <v>SERGIO AUGUSTO LOPES</v>
          </cell>
          <cell r="G2251" t="str">
            <v>14/03/2016</v>
          </cell>
          <cell r="H2251" t="str">
            <v/>
          </cell>
          <cell r="I2251" t="str">
            <v/>
          </cell>
          <cell r="J2251" t="str">
            <v>PESSOA FÍSICA</v>
          </cell>
          <cell r="K2251" t="str">
            <v>579.989.498-72</v>
          </cell>
          <cell r="L2251" t="str">
            <v>MP</v>
          </cell>
          <cell r="M2251" t="str">
            <v>SERGIO AUGUSTO LOPES</v>
          </cell>
          <cell r="N2251" t="str">
            <v>DTC0268</v>
          </cell>
          <cell r="O2251" t="str">
            <v>2007</v>
          </cell>
          <cell r="P2251" t="str">
            <v>29</v>
          </cell>
          <cell r="Q2251" t="str">
            <v>27</v>
          </cell>
        </row>
        <row r="2252">
          <cell r="B2252" t="str">
            <v>0414/16</v>
          </cell>
          <cell r="C2252" t="str">
            <v>2016-0.059.864-8</v>
          </cell>
          <cell r="D2252" t="str">
            <v/>
          </cell>
          <cell r="E2252" t="str">
            <v>14 de março de 2016</v>
          </cell>
          <cell r="F2252" t="str">
            <v>ROBERTO AUGUSTO DA SILVA</v>
          </cell>
          <cell r="G2252" t="str">
            <v>14/03/2016</v>
          </cell>
          <cell r="H2252" t="str">
            <v/>
          </cell>
          <cell r="I2252" t="str">
            <v/>
          </cell>
          <cell r="J2252" t="str">
            <v>PESSOA FÍSICA</v>
          </cell>
          <cell r="K2252" t="str">
            <v>542.145.646-34</v>
          </cell>
          <cell r="L2252" t="str">
            <v>MP</v>
          </cell>
          <cell r="M2252" t="str">
            <v>ROBERTO AUGUSTO DA SILVA</v>
          </cell>
          <cell r="N2252" t="str">
            <v>DAJ7955</v>
          </cell>
          <cell r="O2252" t="str">
            <v>2010</v>
          </cell>
          <cell r="P2252" t="str">
            <v>19</v>
          </cell>
          <cell r="Q2252" t="str">
            <v>18</v>
          </cell>
        </row>
        <row r="2253">
          <cell r="B2253" t="str">
            <v>0415/16</v>
          </cell>
          <cell r="C2253" t="str">
            <v>2016-0.059.866-4</v>
          </cell>
          <cell r="D2253" t="str">
            <v/>
          </cell>
          <cell r="E2253" t="str">
            <v>04 de abril de 2016</v>
          </cell>
          <cell r="F2253" t="str">
            <v>GILBERTO DONIZETTI PEREIRA</v>
          </cell>
          <cell r="G2253" t="str">
            <v>04/04/2016</v>
          </cell>
          <cell r="H2253" t="str">
            <v>09/04/2016</v>
          </cell>
          <cell r="I2253" t="str">
            <v>32</v>
          </cell>
          <cell r="J2253" t="str">
            <v>PESSOA FÍSICA</v>
          </cell>
          <cell r="K2253" t="str">
            <v>760.822.108-91</v>
          </cell>
          <cell r="L2253" t="str">
            <v>SM</v>
          </cell>
          <cell r="M2253" t="str">
            <v>GILBERTO DONIZETTI PEREIRA</v>
          </cell>
          <cell r="N2253" t="str">
            <v>DTD3838</v>
          </cell>
          <cell r="O2253" t="str">
            <v>2007</v>
          </cell>
          <cell r="P2253" t="str">
            <v>29</v>
          </cell>
          <cell r="Q2253" t="str">
            <v>27</v>
          </cell>
        </row>
        <row r="2254">
          <cell r="B2254" t="str">
            <v>0416/16</v>
          </cell>
          <cell r="C2254" t="str">
            <v>2016-0.059.871-0</v>
          </cell>
          <cell r="D2254" t="str">
            <v/>
          </cell>
          <cell r="E2254" t="str">
            <v>14 de março de 2016</v>
          </cell>
          <cell r="F2254" t="str">
            <v>JULIANA CRISTHINA DE LIRA</v>
          </cell>
          <cell r="G2254" t="str">
            <v>14/03/2016</v>
          </cell>
          <cell r="H2254" t="str">
            <v/>
          </cell>
          <cell r="I2254" t="str">
            <v/>
          </cell>
          <cell r="J2254" t="str">
            <v>PESSOA FÍSICA</v>
          </cell>
          <cell r="K2254" t="str">
            <v>332.769.508-39</v>
          </cell>
          <cell r="L2254" t="str">
            <v>PE</v>
          </cell>
          <cell r="M2254" t="str">
            <v>JULIANA CRISTHINA DE LIRA</v>
          </cell>
          <cell r="N2254" t="str">
            <v>FJP7919</v>
          </cell>
          <cell r="O2254" t="str">
            <v>2013</v>
          </cell>
          <cell r="P2254" t="str">
            <v>19</v>
          </cell>
          <cell r="Q2254" t="str">
            <v>18</v>
          </cell>
        </row>
        <row r="2255">
          <cell r="B2255" t="str">
            <v>0417/16</v>
          </cell>
          <cell r="C2255" t="str">
            <v>2016-0.059.872-9</v>
          </cell>
          <cell r="D2255" t="str">
            <v/>
          </cell>
          <cell r="E2255" t="str">
            <v>20 de abril de 2016</v>
          </cell>
          <cell r="F2255" t="str">
            <v>VALDIR SILVERIO DE LIMA</v>
          </cell>
          <cell r="G2255" t="str">
            <v>20/04/2016</v>
          </cell>
          <cell r="H2255" t="str">
            <v>21/04/2016</v>
          </cell>
          <cell r="I2255" t="str">
            <v>94</v>
          </cell>
          <cell r="J2255" t="str">
            <v>PESSOA FÍSICA</v>
          </cell>
          <cell r="K2255" t="str">
            <v>021.900.738-12</v>
          </cell>
          <cell r="L2255" t="str">
            <v>PE</v>
          </cell>
          <cell r="M2255" t="str">
            <v>VALDIR SILVERIO DE LIMA</v>
          </cell>
          <cell r="N2255" t="str">
            <v>EFW7018</v>
          </cell>
          <cell r="O2255" t="str">
            <v>2010</v>
          </cell>
          <cell r="P2255" t="str">
            <v>19</v>
          </cell>
          <cell r="Q2255" t="str">
            <v>18</v>
          </cell>
        </row>
        <row r="2256">
          <cell r="B2256" t="str">
            <v>0418/16</v>
          </cell>
          <cell r="C2256" t="str">
            <v>2016-0.059.915-6</v>
          </cell>
          <cell r="D2256" t="str">
            <v/>
          </cell>
          <cell r="E2256" t="str">
            <v>29 de fevereiro de 2016</v>
          </cell>
          <cell r="F2256" t="str">
            <v>HAROLDO JOSE LEOTERIO</v>
          </cell>
          <cell r="G2256" t="str">
            <v>29/02/2016</v>
          </cell>
          <cell r="H2256" t="str">
            <v/>
          </cell>
          <cell r="I2256" t="str">
            <v/>
          </cell>
          <cell r="J2256" t="str">
            <v>PESSOA FÍSICA</v>
          </cell>
          <cell r="K2256" t="str">
            <v>074.939.708-07</v>
          </cell>
          <cell r="L2256" t="str">
            <v>CL</v>
          </cell>
          <cell r="M2256" t="str">
            <v>HAROLDO JOSE LEOTERIO</v>
          </cell>
          <cell r="N2256" t="str">
            <v>DTC3472</v>
          </cell>
          <cell r="O2256" t="str">
            <v>2007</v>
          </cell>
          <cell r="P2256" t="str">
            <v>29</v>
          </cell>
          <cell r="Q2256" t="str">
            <v>27</v>
          </cell>
        </row>
        <row r="2257">
          <cell r="B2257" t="str">
            <v>0419/16</v>
          </cell>
          <cell r="C2257" t="str">
            <v>2016-0.059.916-4</v>
          </cell>
          <cell r="D2257" t="str">
            <v>17/02/2016</v>
          </cell>
          <cell r="E2257" t="str">
            <v>29 de fevereiro de 2016</v>
          </cell>
          <cell r="F2257" t="str">
            <v>IZABEL APARECIDA ANTUNES DE ALMEIDA</v>
          </cell>
          <cell r="G2257" t="str">
            <v>29/02/2016</v>
          </cell>
          <cell r="H2257" t="str">
            <v/>
          </cell>
          <cell r="I2257" t="str">
            <v/>
          </cell>
          <cell r="J2257" t="str">
            <v>PESSOA FÍSICA</v>
          </cell>
          <cell r="K2257" t="str">
            <v>076.302.498-88</v>
          </cell>
          <cell r="L2257" t="str">
            <v>PE</v>
          </cell>
          <cell r="M2257" t="str">
            <v>IZABEL APARECIDA ANTUNES DE ALMEIDA</v>
          </cell>
          <cell r="N2257" t="str">
            <v>DTC3388</v>
          </cell>
          <cell r="O2257" t="str">
            <v>2007</v>
          </cell>
          <cell r="P2257" t="str">
            <v>30</v>
          </cell>
          <cell r="Q2257" t="str">
            <v>28</v>
          </cell>
        </row>
        <row r="2258">
          <cell r="B2258" t="str">
            <v>0420/16</v>
          </cell>
          <cell r="C2258" t="str">
            <v>2016-0.059.940-7</v>
          </cell>
          <cell r="D2258" t="str">
            <v/>
          </cell>
          <cell r="E2258" t="str">
            <v>04 de abril de 2016</v>
          </cell>
          <cell r="F2258" t="str">
            <v>NIVALDO LOURENCATO</v>
          </cell>
          <cell r="G2258" t="str">
            <v>04/04/2016</v>
          </cell>
          <cell r="H2258" t="str">
            <v>09/04/2016</v>
          </cell>
          <cell r="I2258" t="str">
            <v>32</v>
          </cell>
          <cell r="J2258" t="str">
            <v>PESSOA FÍSICA</v>
          </cell>
          <cell r="K2258" t="str">
            <v>073.338.608-33</v>
          </cell>
          <cell r="L2258" t="str">
            <v>PE</v>
          </cell>
          <cell r="M2258" t="str">
            <v>NIVALDO LOURENCATO</v>
          </cell>
          <cell r="N2258" t="str">
            <v>DTD1468</v>
          </cell>
          <cell r="O2258" t="str">
            <v>2007</v>
          </cell>
          <cell r="P2258" t="str">
            <v>29</v>
          </cell>
          <cell r="Q2258" t="str">
            <v>27</v>
          </cell>
        </row>
        <row r="2259">
          <cell r="B2259" t="str">
            <v>0421/16</v>
          </cell>
          <cell r="C2259" t="str">
            <v>2016-0.059.960-1</v>
          </cell>
          <cell r="D2259" t="str">
            <v>19/02/2016</v>
          </cell>
          <cell r="E2259" t="str">
            <v>29 de fevereiro de 2016</v>
          </cell>
          <cell r="F2259" t="str">
            <v>EDNO PIERRE DOS SANTOS</v>
          </cell>
          <cell r="G2259" t="str">
            <v>29/02/2016</v>
          </cell>
          <cell r="H2259" t="str">
            <v/>
          </cell>
          <cell r="I2259" t="str">
            <v/>
          </cell>
          <cell r="J2259" t="str">
            <v>PESSOA FÍSICA</v>
          </cell>
          <cell r="K2259" t="str">
            <v>012.716.218-60</v>
          </cell>
          <cell r="L2259" t="str">
            <v>G</v>
          </cell>
          <cell r="M2259" t="str">
            <v>EDNO PIERRE DOS SANTOS</v>
          </cell>
          <cell r="N2259" t="str">
            <v>EDN0319</v>
          </cell>
          <cell r="O2259" t="str">
            <v>2002</v>
          </cell>
          <cell r="P2259" t="str">
            <v>25</v>
          </cell>
          <cell r="Q2259" t="str">
            <v>23</v>
          </cell>
        </row>
        <row r="2260">
          <cell r="B2260" t="str">
            <v>0422/16</v>
          </cell>
          <cell r="C2260" t="str">
            <v>2016-0.059.963-6</v>
          </cell>
          <cell r="D2260" t="str">
            <v/>
          </cell>
          <cell r="E2260" t="str">
            <v>21 de março de 2016</v>
          </cell>
          <cell r="F2260" t="str">
            <v>CLAYTON MAXIMO DA SILVA</v>
          </cell>
          <cell r="G2260" t="str">
            <v>21/03/2016</v>
          </cell>
          <cell r="H2260" t="str">
            <v>25/03/2016</v>
          </cell>
          <cell r="I2260" t="str">
            <v>37</v>
          </cell>
          <cell r="J2260" t="str">
            <v>PESSOA FÍSICA</v>
          </cell>
          <cell r="K2260" t="str">
            <v>288.177.048-73</v>
          </cell>
          <cell r="L2260" t="str">
            <v>SM</v>
          </cell>
          <cell r="M2260" t="str">
            <v>CLAYTON MAXIMO DA SILVA</v>
          </cell>
          <cell r="N2260" t="str">
            <v>ECT4960</v>
          </cell>
          <cell r="O2260" t="str">
            <v>2008</v>
          </cell>
          <cell r="P2260" t="str">
            <v>29</v>
          </cell>
          <cell r="Q2260" t="str">
            <v>28</v>
          </cell>
        </row>
        <row r="2261">
          <cell r="B2261" t="str">
            <v>0423/16</v>
          </cell>
          <cell r="C2261" t="str">
            <v>2016-0.059.966-0</v>
          </cell>
          <cell r="D2261" t="str">
            <v/>
          </cell>
          <cell r="E2261" t="str">
            <v>11 de abril de 2016</v>
          </cell>
          <cell r="F2261" t="str">
            <v>ANA LUCIA ALBUQUERQUE PEREIRA</v>
          </cell>
          <cell r="G2261" t="str">
            <v>11/04/2016</v>
          </cell>
          <cell r="H2261" t="str">
            <v>21/04/2016</v>
          </cell>
          <cell r="I2261" t="str">
            <v>94</v>
          </cell>
          <cell r="J2261" t="str">
            <v>PESSOA FÍSICA</v>
          </cell>
          <cell r="K2261" t="str">
            <v>084.789.628-59</v>
          </cell>
          <cell r="L2261" t="str">
            <v>SA</v>
          </cell>
          <cell r="M2261" t="str">
            <v>ANA LUCIA ALBUQUERQUE PEREIRA</v>
          </cell>
          <cell r="N2261" t="str">
            <v>CZX8595</v>
          </cell>
          <cell r="O2261" t="str">
            <v>2001</v>
          </cell>
          <cell r="P2261" t="str">
            <v>25</v>
          </cell>
          <cell r="Q2261" t="str">
            <v>23</v>
          </cell>
        </row>
        <row r="2262">
          <cell r="B2262" t="str">
            <v>0424/16</v>
          </cell>
          <cell r="C2262" t="str">
            <v>2016-0.059.973-3</v>
          </cell>
          <cell r="D2262" t="str">
            <v>04/04/2016</v>
          </cell>
          <cell r="E2262" t="str">
            <v>25 de abril de 2016</v>
          </cell>
          <cell r="F2262" t="str">
            <v>AUDENI ALVES DO NASCIMENTO</v>
          </cell>
          <cell r="G2262" t="str">
            <v>25/04/2016</v>
          </cell>
          <cell r="H2262" t="str">
            <v>27/04/2016</v>
          </cell>
          <cell r="I2262" t="str">
            <v>53</v>
          </cell>
          <cell r="J2262" t="str">
            <v>PESSOA FÍSICA</v>
          </cell>
          <cell r="K2262" t="str">
            <v>042.704.858-33</v>
          </cell>
          <cell r="L2262" t="str">
            <v>SA</v>
          </cell>
          <cell r="M2262" t="str">
            <v>AUDENI ALVES DO NASCIMENTO</v>
          </cell>
          <cell r="N2262" t="str">
            <v>DTE9740</v>
          </cell>
          <cell r="O2262" t="str">
            <v>2009</v>
          </cell>
          <cell r="P2262" t="str">
            <v>19</v>
          </cell>
          <cell r="Q2262" t="str">
            <v>18</v>
          </cell>
        </row>
        <row r="2263">
          <cell r="B2263" t="str">
            <v>0425/16</v>
          </cell>
          <cell r="C2263" t="str">
            <v>2016-0.059.977-6</v>
          </cell>
          <cell r="D2263" t="str">
            <v/>
          </cell>
          <cell r="E2263" t="str">
            <v>11 de abril de 2016</v>
          </cell>
          <cell r="F2263" t="str">
            <v>GERALDO DA SILVA LIMA</v>
          </cell>
          <cell r="G2263" t="str">
            <v>11/04/2016</v>
          </cell>
          <cell r="H2263" t="str">
            <v>21/04/2016</v>
          </cell>
          <cell r="I2263" t="str">
            <v>94</v>
          </cell>
          <cell r="J2263" t="str">
            <v>PESSOA FÍSICA</v>
          </cell>
          <cell r="K2263" t="str">
            <v>666.552.268-72</v>
          </cell>
          <cell r="L2263" t="str">
            <v>SA</v>
          </cell>
          <cell r="M2263" t="str">
            <v>GERALDO DA SILVA LIMA</v>
          </cell>
          <cell r="N2263" t="str">
            <v>CZX9267</v>
          </cell>
          <cell r="O2263" t="str">
            <v>2002</v>
          </cell>
          <cell r="P2263" t="str">
            <v>25</v>
          </cell>
          <cell r="Q2263" t="str">
            <v>23</v>
          </cell>
        </row>
        <row r="2264">
          <cell r="B2264" t="str">
            <v>0426/16</v>
          </cell>
          <cell r="C2264" t="str">
            <v>2016-0.059.980-6</v>
          </cell>
          <cell r="D2264" t="str">
            <v/>
          </cell>
          <cell r="E2264" t="str">
            <v>04 de abril de 2016</v>
          </cell>
          <cell r="F2264" t="str">
            <v>ROSANGELA GONCALVES FERREIRA</v>
          </cell>
          <cell r="G2264" t="str">
            <v>04/04/2016</v>
          </cell>
          <cell r="H2264" t="str">
            <v>21/04/2016</v>
          </cell>
          <cell r="I2264" t="str">
            <v>94</v>
          </cell>
          <cell r="J2264" t="str">
            <v>PESSOA FÍSICA</v>
          </cell>
          <cell r="K2264" t="str">
            <v>313.016.268-21</v>
          </cell>
          <cell r="L2264" t="str">
            <v>SA</v>
          </cell>
          <cell r="M2264" t="str">
            <v>ROSANGELA GONCALVES FERREIRA</v>
          </cell>
          <cell r="N2264" t="str">
            <v>DTC6411</v>
          </cell>
          <cell r="O2264" t="str">
            <v>2009</v>
          </cell>
          <cell r="P2264" t="str">
            <v>19</v>
          </cell>
          <cell r="Q2264" t="str">
            <v>18</v>
          </cell>
        </row>
        <row r="2265">
          <cell r="B2265" t="str">
            <v>0427/16</v>
          </cell>
          <cell r="C2265" t="str">
            <v>2016-0.059.985-7</v>
          </cell>
          <cell r="D2265" t="str">
            <v>15/02/2016</v>
          </cell>
          <cell r="E2265" t="str">
            <v/>
          </cell>
          <cell r="F2265" t="str">
            <v>MARIA VILANI DA SILVA RODRIGUES</v>
          </cell>
          <cell r="G2265" t="str">
            <v/>
          </cell>
          <cell r="H2265" t="str">
            <v/>
          </cell>
          <cell r="I2265" t="str">
            <v/>
          </cell>
          <cell r="J2265" t="str">
            <v>PESSOA FÍSICA</v>
          </cell>
          <cell r="K2265" t="str">
            <v>153.148.008-02</v>
          </cell>
          <cell r="L2265" t="str">
            <v>SA</v>
          </cell>
          <cell r="M2265" t="str">
            <v>MARIA VILANI DA SILVA RODRIGUES</v>
          </cell>
          <cell r="N2265" t="str">
            <v>FCG0042</v>
          </cell>
          <cell r="O2265" t="str">
            <v>2015</v>
          </cell>
          <cell r="P2265" t="str">
            <v>19</v>
          </cell>
          <cell r="Q2265" t="str">
            <v>18</v>
          </cell>
        </row>
        <row r="2266">
          <cell r="B2266" t="str">
            <v>0428/16</v>
          </cell>
          <cell r="C2266" t="str">
            <v>2016-0.059.987-3</v>
          </cell>
          <cell r="D2266" t="str">
            <v/>
          </cell>
          <cell r="E2266" t="str">
            <v/>
          </cell>
          <cell r="F2266" t="str">
            <v>GILDOVAL PEDRO CAVALCANTE</v>
          </cell>
          <cell r="G2266" t="str">
            <v/>
          </cell>
          <cell r="H2266" t="str">
            <v/>
          </cell>
          <cell r="I2266" t="str">
            <v/>
          </cell>
          <cell r="J2266" t="str">
            <v>PESSOA FÍSICA</v>
          </cell>
          <cell r="K2266" t="str">
            <v>118.545.448-96</v>
          </cell>
          <cell r="L2266" t="str">
            <v>SA</v>
          </cell>
          <cell r="M2266" t="str">
            <v>GILDOVAL PEDRO CAVALCANTE</v>
          </cell>
          <cell r="N2266" t="str">
            <v>FQQ4150</v>
          </cell>
          <cell r="O2266" t="str">
            <v>2013</v>
          </cell>
          <cell r="P2266" t="str">
            <v>19</v>
          </cell>
          <cell r="Q2266" t="str">
            <v>18</v>
          </cell>
        </row>
        <row r="2267">
          <cell r="B2267" t="str">
            <v>0429/16</v>
          </cell>
          <cell r="C2267" t="str">
            <v>2016-0.059.995-4</v>
          </cell>
          <cell r="D2267" t="str">
            <v/>
          </cell>
          <cell r="E2267" t="str">
            <v/>
          </cell>
          <cell r="F2267" t="str">
            <v>JESUSNILDO SILVA SACRAMENTO</v>
          </cell>
          <cell r="G2267" t="str">
            <v/>
          </cell>
          <cell r="H2267" t="str">
            <v/>
          </cell>
          <cell r="I2267" t="str">
            <v/>
          </cell>
          <cell r="J2267" t="str">
            <v>PESSOA FÍSICA</v>
          </cell>
          <cell r="K2267" t="str">
            <v>043.821.038-78</v>
          </cell>
          <cell r="L2267" t="str">
            <v>SA</v>
          </cell>
          <cell r="M2267" t="str">
            <v>JESUSNILDO SILVA SACRAMENTO</v>
          </cell>
          <cell r="N2267" t="str">
            <v>DTC1109</v>
          </cell>
          <cell r="O2267" t="str">
            <v>2007</v>
          </cell>
          <cell r="P2267" t="str">
            <v>29</v>
          </cell>
          <cell r="Q2267" t="str">
            <v>27</v>
          </cell>
        </row>
        <row r="2268">
          <cell r="B2268" t="str">
            <v>0430/16</v>
          </cell>
          <cell r="C2268" t="str">
            <v>2016-0.059.997-0</v>
          </cell>
          <cell r="D2268" t="str">
            <v/>
          </cell>
          <cell r="E2268" t="str">
            <v>07 de março de 2016</v>
          </cell>
          <cell r="F2268" t="str">
            <v>MARCELO GIL SALES PEREIRA</v>
          </cell>
          <cell r="G2268" t="str">
            <v>07/03/2016</v>
          </cell>
          <cell r="H2268" t="str">
            <v/>
          </cell>
          <cell r="I2268" t="str">
            <v/>
          </cell>
          <cell r="J2268" t="str">
            <v>PESSOA FÍSICA</v>
          </cell>
          <cell r="K2268" t="str">
            <v>118.428.998-05</v>
          </cell>
          <cell r="L2268" t="str">
            <v>SA</v>
          </cell>
          <cell r="M2268" t="str">
            <v>MARCELO GIL SALES PEREIRA</v>
          </cell>
          <cell r="N2268" t="str">
            <v>DLF4729</v>
          </cell>
          <cell r="O2268" t="str">
            <v>2009</v>
          </cell>
          <cell r="P2268" t="str">
            <v>19</v>
          </cell>
          <cell r="Q2268" t="str">
            <v>18</v>
          </cell>
        </row>
        <row r="2269">
          <cell r="B2269" t="str">
            <v>0431/16</v>
          </cell>
          <cell r="C2269" t="str">
            <v>2016-0.059.999-7</v>
          </cell>
          <cell r="D2269" t="str">
            <v/>
          </cell>
          <cell r="E2269" t="str">
            <v>01 de abril de 2016</v>
          </cell>
          <cell r="F2269" t="str">
            <v>ADILSON DE TOLEDO</v>
          </cell>
          <cell r="G2269" t="str">
            <v>01/04/2016</v>
          </cell>
          <cell r="H2269" t="str">
            <v>02/04/2016</v>
          </cell>
          <cell r="I2269" t="str">
            <v>41</v>
          </cell>
          <cell r="J2269" t="str">
            <v>PESSOA FÍSICA</v>
          </cell>
          <cell r="K2269" t="str">
            <v>806.296.878-20</v>
          </cell>
          <cell r="L2269" t="str">
            <v>MP</v>
          </cell>
          <cell r="M2269" t="str">
            <v>ADILSON DE TOLEDO</v>
          </cell>
          <cell r="N2269" t="str">
            <v>EFW4699</v>
          </cell>
          <cell r="O2269" t="str">
            <v>2010</v>
          </cell>
          <cell r="P2269" t="str">
            <v>19</v>
          </cell>
          <cell r="Q2269" t="str">
            <v>18</v>
          </cell>
        </row>
        <row r="2270">
          <cell r="B2270" t="str">
            <v>0432/16</v>
          </cell>
          <cell r="C2270" t="str">
            <v>2016-0.060.004-9</v>
          </cell>
          <cell r="D2270" t="str">
            <v>21/03/2016</v>
          </cell>
          <cell r="E2270" t="str">
            <v>25 de abril de 2016</v>
          </cell>
          <cell r="F2270" t="str">
            <v>NOEL DA SILVA LEME</v>
          </cell>
          <cell r="G2270" t="str">
            <v>25/04/2016</v>
          </cell>
          <cell r="H2270" t="str">
            <v>27/04/2016</v>
          </cell>
          <cell r="I2270" t="str">
            <v>53</v>
          </cell>
          <cell r="J2270" t="str">
            <v>PESSOA FÍSICA</v>
          </cell>
          <cell r="K2270" t="str">
            <v>013.641.108-81</v>
          </cell>
          <cell r="L2270" t="str">
            <v>MP</v>
          </cell>
          <cell r="M2270" t="str">
            <v>NOEL DA SILVA LEME</v>
          </cell>
          <cell r="N2270" t="str">
            <v>DTA6092</v>
          </cell>
          <cell r="O2270" t="str">
            <v>2007</v>
          </cell>
          <cell r="P2270" t="str">
            <v>29</v>
          </cell>
          <cell r="Q2270" t="str">
            <v>27</v>
          </cell>
        </row>
        <row r="2271">
          <cell r="B2271" t="str">
            <v>0433/16</v>
          </cell>
          <cell r="C2271" t="str">
            <v>2016-0.060.008-1</v>
          </cell>
          <cell r="D2271" t="str">
            <v>04/04/2016</v>
          </cell>
          <cell r="E2271" t="str">
            <v>25 de abril de 2016</v>
          </cell>
          <cell r="F2271" t="str">
            <v>RUDNEI FERREIRA DE PAULA</v>
          </cell>
          <cell r="G2271" t="str">
            <v>25/04/2016</v>
          </cell>
          <cell r="H2271" t="str">
            <v>27/04/2016</v>
          </cell>
          <cell r="I2271" t="str">
            <v>54</v>
          </cell>
          <cell r="J2271" t="str">
            <v>PESSOA FÍSICA</v>
          </cell>
          <cell r="K2271" t="str">
            <v>290.635.958-08</v>
          </cell>
          <cell r="L2271" t="str">
            <v>MP</v>
          </cell>
          <cell r="M2271" t="str">
            <v>RUDNEI FERREIRA DE PAULA</v>
          </cell>
          <cell r="N2271" t="str">
            <v>EFV5495</v>
          </cell>
          <cell r="O2271" t="str">
            <v>2010</v>
          </cell>
          <cell r="P2271" t="str">
            <v>15</v>
          </cell>
          <cell r="Q2271" t="str">
            <v>14</v>
          </cell>
        </row>
        <row r="2272">
          <cell r="B2272" t="str">
            <v>0434/16</v>
          </cell>
          <cell r="C2272" t="str">
            <v>2016-0.060.010-3</v>
          </cell>
          <cell r="D2272" t="str">
            <v/>
          </cell>
          <cell r="E2272" t="str">
            <v/>
          </cell>
          <cell r="F2272" t="str">
            <v>LEONOR JORVALINA DATO PEREIRA</v>
          </cell>
          <cell r="G2272" t="str">
            <v/>
          </cell>
          <cell r="H2272" t="str">
            <v/>
          </cell>
          <cell r="I2272" t="str">
            <v/>
          </cell>
          <cell r="J2272" t="str">
            <v>PESSOA FÍSICA</v>
          </cell>
          <cell r="K2272" t="str">
            <v>077.099.808-99</v>
          </cell>
          <cell r="L2272" t="str">
            <v>MP</v>
          </cell>
          <cell r="M2272" t="str">
            <v>LEONOR JORVALINA DATO PEREIRA</v>
          </cell>
          <cell r="N2272" t="str">
            <v>EFW3559</v>
          </cell>
          <cell r="O2272" t="str">
            <v>2010</v>
          </cell>
          <cell r="P2272" t="str">
            <v>19</v>
          </cell>
          <cell r="Q2272" t="str">
            <v>18</v>
          </cell>
        </row>
        <row r="2273">
          <cell r="B2273" t="str">
            <v>0435/16</v>
          </cell>
          <cell r="C2273" t="str">
            <v>2016-0.060.013-8</v>
          </cell>
          <cell r="D2273" t="str">
            <v/>
          </cell>
          <cell r="E2273" t="str">
            <v>11 de abril de 2016</v>
          </cell>
          <cell r="F2273" t="str">
            <v>MANOEL FRANCISCO DE ASSIS</v>
          </cell>
          <cell r="G2273" t="str">
            <v>11/04/2016</v>
          </cell>
          <cell r="H2273" t="str">
            <v>21/04/2016</v>
          </cell>
          <cell r="I2273" t="str">
            <v>94</v>
          </cell>
          <cell r="J2273" t="str">
            <v>PESSOA FÍSICA</v>
          </cell>
          <cell r="K2273" t="str">
            <v>405.252.448-91</v>
          </cell>
          <cell r="L2273" t="str">
            <v>MP</v>
          </cell>
          <cell r="M2273" t="str">
            <v>MANOEL FRANCISCO DE ASSIS</v>
          </cell>
          <cell r="N2273" t="str">
            <v>DTD3886</v>
          </cell>
          <cell r="O2273" t="str">
            <v>2008</v>
          </cell>
          <cell r="P2273" t="str">
            <v>19</v>
          </cell>
          <cell r="Q2273" t="str">
            <v>18</v>
          </cell>
        </row>
        <row r="2274">
          <cell r="B2274" t="str">
            <v>0436/16</v>
          </cell>
          <cell r="C2274" t="str">
            <v>2016-0.060.017-0</v>
          </cell>
          <cell r="D2274" t="str">
            <v/>
          </cell>
          <cell r="E2274" t="str">
            <v>28 de março de 2016</v>
          </cell>
          <cell r="F2274" t="str">
            <v>ARLETE DE VILMA DA LUZ</v>
          </cell>
          <cell r="G2274" t="str">
            <v>28/03/2016</v>
          </cell>
          <cell r="H2274" t="str">
            <v>31/03/2016</v>
          </cell>
          <cell r="I2274" t="str">
            <v>33</v>
          </cell>
          <cell r="J2274" t="str">
            <v>PESSOA FÍSICA</v>
          </cell>
          <cell r="K2274" t="str">
            <v>077.095.808-74</v>
          </cell>
          <cell r="L2274" t="str">
            <v>MP</v>
          </cell>
          <cell r="M2274" t="str">
            <v>ARLETE DE VILMA DA LUZ</v>
          </cell>
          <cell r="N2274" t="str">
            <v>DTE8892</v>
          </cell>
          <cell r="O2274" t="str">
            <v>2009</v>
          </cell>
          <cell r="P2274" t="str">
            <v>19</v>
          </cell>
          <cell r="Q2274" t="str">
            <v>18</v>
          </cell>
        </row>
        <row r="2275">
          <cell r="B2275" t="str">
            <v>0437/16</v>
          </cell>
          <cell r="C2275" t="str">
            <v>2016-0.060.018-9</v>
          </cell>
          <cell r="D2275" t="str">
            <v/>
          </cell>
          <cell r="E2275" t="str">
            <v>08 de abril de 2016</v>
          </cell>
          <cell r="F2275" t="str">
            <v>ALCEU CLOVIS CASIMIRO</v>
          </cell>
          <cell r="G2275" t="str">
            <v>08/04/2016</v>
          </cell>
          <cell r="H2275" t="str">
            <v>09/04/2016</v>
          </cell>
          <cell r="I2275" t="str">
            <v>32</v>
          </cell>
          <cell r="J2275" t="str">
            <v>PESSOA FÍSICA</v>
          </cell>
          <cell r="K2275" t="str">
            <v>641.117.768-68</v>
          </cell>
          <cell r="L2275" t="str">
            <v>MP</v>
          </cell>
          <cell r="M2275" t="str">
            <v>ALCEU CLOVIS CASIMIRO</v>
          </cell>
          <cell r="N2275" t="str">
            <v>ELW1306</v>
          </cell>
          <cell r="O2275" t="str">
            <v>2011</v>
          </cell>
          <cell r="P2275" t="str">
            <v>15</v>
          </cell>
          <cell r="Q2275" t="str">
            <v>14</v>
          </cell>
        </row>
        <row r="2276">
          <cell r="B2276" t="str">
            <v>0438/16</v>
          </cell>
          <cell r="C2276" t="str">
            <v>2016-0.060.021-9</v>
          </cell>
          <cell r="D2276" t="str">
            <v/>
          </cell>
          <cell r="E2276" t="str">
            <v/>
          </cell>
          <cell r="F2276" t="str">
            <v>WILSON PEREIRA DA CRUZ</v>
          </cell>
          <cell r="G2276" t="str">
            <v/>
          </cell>
          <cell r="H2276" t="str">
            <v/>
          </cell>
          <cell r="I2276" t="str">
            <v/>
          </cell>
          <cell r="J2276" t="str">
            <v>PESSOA FÍSICA</v>
          </cell>
          <cell r="K2276" t="str">
            <v>088.268.328-46</v>
          </cell>
          <cell r="L2276" t="str">
            <v>MP</v>
          </cell>
          <cell r="M2276" t="str">
            <v>WILSON PEREIRA DA CRUZ</v>
          </cell>
          <cell r="N2276" t="str">
            <v>DTC0297</v>
          </cell>
          <cell r="O2276" t="str">
            <v>2008</v>
          </cell>
          <cell r="P2276" t="str">
            <v>29</v>
          </cell>
          <cell r="Q2276" t="str">
            <v>27</v>
          </cell>
        </row>
        <row r="2277">
          <cell r="B2277" t="str">
            <v>0439/16</v>
          </cell>
          <cell r="C2277" t="str">
            <v>2016-0.060.024-3</v>
          </cell>
          <cell r="D2277" t="str">
            <v/>
          </cell>
          <cell r="E2277" t="str">
            <v>11 de abril de 2016</v>
          </cell>
          <cell r="F2277" t="str">
            <v>CLAUDIO ALEXANDRE DE ABREU</v>
          </cell>
          <cell r="G2277" t="str">
            <v>11/04/2016</v>
          </cell>
          <cell r="H2277" t="str">
            <v>19/04/2016</v>
          </cell>
          <cell r="I2277" t="str">
            <v>26</v>
          </cell>
          <cell r="J2277" t="str">
            <v>PESSOA FÍSICA</v>
          </cell>
          <cell r="K2277" t="str">
            <v>127.480.078-16</v>
          </cell>
          <cell r="L2277" t="str">
            <v>MP</v>
          </cell>
          <cell r="M2277" t="str">
            <v>CLAUDIO ALEXANDRE DE ABREU</v>
          </cell>
          <cell r="N2277" t="str">
            <v>EES4582</v>
          </cell>
          <cell r="O2277" t="str">
            <v>2008</v>
          </cell>
          <cell r="P2277" t="str">
            <v>19</v>
          </cell>
          <cell r="Q2277" t="str">
            <v>18</v>
          </cell>
        </row>
        <row r="2278">
          <cell r="B2278" t="str">
            <v>0440/16</v>
          </cell>
          <cell r="C2278" t="str">
            <v>2016-0.060.028-6</v>
          </cell>
          <cell r="D2278" t="str">
            <v>04/04/2016</v>
          </cell>
          <cell r="E2278" t="str">
            <v>26 de abril de 2016</v>
          </cell>
          <cell r="F2278" t="str">
            <v>GENIVAL DE JESUS</v>
          </cell>
          <cell r="G2278" t="str">
            <v>26/04/2016</v>
          </cell>
          <cell r="H2278" t="str">
            <v>27/04/2016</v>
          </cell>
          <cell r="I2278" t="str">
            <v>54</v>
          </cell>
          <cell r="J2278" t="str">
            <v>PESSOA FÍSICA</v>
          </cell>
          <cell r="K2278" t="str">
            <v>946.933.078-15</v>
          </cell>
          <cell r="L2278" t="str">
            <v>MP</v>
          </cell>
          <cell r="M2278" t="str">
            <v>GENIVAL DE JESUS</v>
          </cell>
          <cell r="N2278" t="str">
            <v>DTE0199</v>
          </cell>
          <cell r="O2278" t="str">
            <v>2007</v>
          </cell>
          <cell r="P2278" t="str">
            <v>29</v>
          </cell>
          <cell r="Q2278" t="str">
            <v>27</v>
          </cell>
        </row>
        <row r="2279">
          <cell r="B2279" t="str">
            <v>0441/16</v>
          </cell>
          <cell r="C2279" t="str">
            <v>2016-0.060.029-4</v>
          </cell>
          <cell r="D2279" t="str">
            <v/>
          </cell>
          <cell r="E2279" t="str">
            <v>07 de abril de 2016</v>
          </cell>
          <cell r="F2279" t="str">
            <v>FABRICIO RORIZ ZIROLDO</v>
          </cell>
          <cell r="G2279" t="str">
            <v>07/04/2016</v>
          </cell>
          <cell r="H2279" t="str">
            <v>09/04/2016</v>
          </cell>
          <cell r="I2279" t="str">
            <v>33</v>
          </cell>
          <cell r="J2279" t="str">
            <v>PESSOA FÍSICA</v>
          </cell>
          <cell r="K2279" t="str">
            <v>289.949.418-00</v>
          </cell>
          <cell r="L2279" t="str">
            <v>MP</v>
          </cell>
          <cell r="M2279" t="str">
            <v>FABRICIO RORIZ ZIROLDO</v>
          </cell>
          <cell r="N2279" t="str">
            <v>DTD3861</v>
          </cell>
          <cell r="O2279" t="str">
            <v>2009</v>
          </cell>
          <cell r="P2279" t="str">
            <v>19</v>
          </cell>
          <cell r="Q2279" t="str">
            <v>18</v>
          </cell>
        </row>
        <row r="2280">
          <cell r="B2280" t="str">
            <v>0442/16</v>
          </cell>
          <cell r="C2280" t="str">
            <v>2016-0.060.032-4</v>
          </cell>
          <cell r="D2280" t="str">
            <v/>
          </cell>
          <cell r="E2280" t="str">
            <v>14 de março de 2016</v>
          </cell>
          <cell r="F2280" t="str">
            <v>JOAO CARDOZO DE LIMA</v>
          </cell>
          <cell r="G2280" t="str">
            <v>14/03/2016</v>
          </cell>
          <cell r="H2280" t="str">
            <v>23/03/2016</v>
          </cell>
          <cell r="I2280" t="str">
            <v>57</v>
          </cell>
          <cell r="J2280" t="str">
            <v>PESSOA FÍSICA</v>
          </cell>
          <cell r="K2280" t="str">
            <v>013.494.528-07</v>
          </cell>
          <cell r="L2280" t="str">
            <v>MP</v>
          </cell>
          <cell r="M2280" t="str">
            <v>JOAO CARDOZO DE LIMA</v>
          </cell>
          <cell r="N2280" t="str">
            <v>FJP7925</v>
          </cell>
          <cell r="O2280" t="str">
            <v>2013</v>
          </cell>
          <cell r="P2280" t="str">
            <v>19</v>
          </cell>
          <cell r="Q2280" t="str">
            <v>18</v>
          </cell>
        </row>
        <row r="2281">
          <cell r="B2281" t="str">
            <v>0443/16</v>
          </cell>
          <cell r="C2281" t="str">
            <v>2016-0.060.036-7</v>
          </cell>
          <cell r="D2281" t="str">
            <v/>
          </cell>
          <cell r="E2281" t="str">
            <v>15 de abril de 2016</v>
          </cell>
          <cell r="F2281" t="str">
            <v>JOSE PINHEIRO DA SILVA</v>
          </cell>
          <cell r="G2281" t="str">
            <v>15/04/2016</v>
          </cell>
          <cell r="H2281" t="str">
            <v>19/04/2016</v>
          </cell>
          <cell r="I2281" t="str">
            <v>26</v>
          </cell>
          <cell r="J2281" t="str">
            <v>PESSOA FÍSICA</v>
          </cell>
          <cell r="K2281" t="str">
            <v>129.864.558-16</v>
          </cell>
          <cell r="L2281" t="str">
            <v>PJ</v>
          </cell>
          <cell r="M2281" t="str">
            <v>JOSE PINHEIRO DA SILVA</v>
          </cell>
          <cell r="N2281" t="str">
            <v>EUT7629</v>
          </cell>
          <cell r="O2281" t="str">
            <v>2011</v>
          </cell>
          <cell r="P2281" t="str">
            <v>27</v>
          </cell>
          <cell r="Q2281" t="str">
            <v>26</v>
          </cell>
        </row>
        <row r="2282">
          <cell r="B2282" t="str">
            <v>0444/16</v>
          </cell>
          <cell r="C2282" t="str">
            <v>2016-0.060.038-3</v>
          </cell>
          <cell r="D2282" t="str">
            <v/>
          </cell>
          <cell r="E2282" t="str">
            <v>28 de março de 2016</v>
          </cell>
          <cell r="F2282" t="str">
            <v>JOSE ORLANDO ALVES DOS SANTOS</v>
          </cell>
          <cell r="G2282" t="str">
            <v>28/03/2016</v>
          </cell>
          <cell r="H2282" t="str">
            <v>02/04/2016</v>
          </cell>
          <cell r="I2282" t="str">
            <v>41</v>
          </cell>
          <cell r="J2282" t="str">
            <v>PESSOA FÍSICA</v>
          </cell>
          <cell r="K2282" t="str">
            <v>010.335.258-98</v>
          </cell>
          <cell r="L2282" t="str">
            <v>PJ</v>
          </cell>
          <cell r="M2282" t="str">
            <v>JOSE ORLANDO ALVES DOS SANTOS</v>
          </cell>
          <cell r="N2282" t="str">
            <v>CZX8732</v>
          </cell>
          <cell r="O2282" t="str">
            <v>2003</v>
          </cell>
          <cell r="P2282" t="str">
            <v>25</v>
          </cell>
          <cell r="Q2282" t="str">
            <v>23</v>
          </cell>
        </row>
        <row r="2283">
          <cell r="B2283" t="str">
            <v>0445/16</v>
          </cell>
          <cell r="C2283" t="str">
            <v>2016-0.060.040-5</v>
          </cell>
          <cell r="D2283" t="str">
            <v>01/02/2016</v>
          </cell>
          <cell r="E2283" t="str">
            <v>29 de fevereiro de 2016</v>
          </cell>
          <cell r="F2283" t="str">
            <v>CELSO ALVES BATISTA</v>
          </cell>
          <cell r="G2283" t="str">
            <v>29/02/2016</v>
          </cell>
          <cell r="H2283" t="str">
            <v/>
          </cell>
          <cell r="I2283" t="str">
            <v/>
          </cell>
          <cell r="J2283" t="str">
            <v>PESSOA FÍSICA</v>
          </cell>
          <cell r="K2283" t="str">
            <v>063.820.078-46</v>
          </cell>
          <cell r="L2283" t="str">
            <v>CS</v>
          </cell>
          <cell r="M2283" t="str">
            <v>CELSO ALVES BATISTA</v>
          </cell>
          <cell r="N2283" t="str">
            <v>CZZ2677</v>
          </cell>
          <cell r="O2283" t="str">
            <v>2002</v>
          </cell>
          <cell r="P2283" t="str">
            <v>25</v>
          </cell>
          <cell r="Q2283" t="str">
            <v>23</v>
          </cell>
        </row>
        <row r="2284">
          <cell r="B2284" t="str">
            <v>0446/16</v>
          </cell>
          <cell r="C2284" t="str">
            <v>2016-0.060.042-1</v>
          </cell>
          <cell r="D2284" t="str">
            <v>11/02/2016</v>
          </cell>
          <cell r="E2284" t="str">
            <v>29 de fevereiro de 2016</v>
          </cell>
          <cell r="F2284" t="str">
            <v>VICENTE ANTONIO FRANCISCO DE OLIVEIRA</v>
          </cell>
          <cell r="G2284" t="str">
            <v>29/02/2016</v>
          </cell>
          <cell r="H2284" t="str">
            <v/>
          </cell>
          <cell r="I2284" t="str">
            <v/>
          </cell>
          <cell r="J2284" t="str">
            <v>PESSOA FÍSICA</v>
          </cell>
          <cell r="K2284" t="str">
            <v>092.428.098-02</v>
          </cell>
          <cell r="L2284" t="str">
            <v>CS</v>
          </cell>
          <cell r="M2284" t="str">
            <v>VICENTE ANTONIO FRANCISCO DE OLIVEIRA</v>
          </cell>
          <cell r="N2284" t="str">
            <v>EFV2129</v>
          </cell>
          <cell r="O2284" t="str">
            <v>2010</v>
          </cell>
          <cell r="P2284" t="str">
            <v>19</v>
          </cell>
          <cell r="Q2284" t="str">
            <v>18</v>
          </cell>
        </row>
        <row r="2285">
          <cell r="B2285" t="str">
            <v>0447/16</v>
          </cell>
          <cell r="C2285" t="str">
            <v>2016-0.060.044-8</v>
          </cell>
          <cell r="D2285" t="str">
            <v/>
          </cell>
          <cell r="E2285" t="str">
            <v>21 de março de 2016</v>
          </cell>
          <cell r="F2285" t="str">
            <v>SIDNEI ROBERSON GALVAO</v>
          </cell>
          <cell r="G2285" t="str">
            <v>21/03/2016</v>
          </cell>
          <cell r="H2285" t="str">
            <v>25/03/2016</v>
          </cell>
          <cell r="I2285" t="str">
            <v>37</v>
          </cell>
          <cell r="J2285" t="str">
            <v>PESSOA FÍSICA</v>
          </cell>
          <cell r="K2285" t="str">
            <v>040.834.038-02</v>
          </cell>
          <cell r="L2285" t="str">
            <v>CS</v>
          </cell>
          <cell r="M2285" t="str">
            <v>SIDNEI ROBERSON GALVAO</v>
          </cell>
          <cell r="N2285" t="str">
            <v>DJB9916</v>
          </cell>
          <cell r="O2285" t="str">
            <v>2004</v>
          </cell>
          <cell r="P2285" t="str">
            <v>32</v>
          </cell>
          <cell r="Q2285" t="str">
            <v>30</v>
          </cell>
        </row>
        <row r="2286">
          <cell r="B2286" t="str">
            <v>0448/16</v>
          </cell>
          <cell r="C2286" t="str">
            <v>2016-0.060.060-0</v>
          </cell>
          <cell r="D2286" t="str">
            <v/>
          </cell>
          <cell r="E2286" t="str">
            <v>14 de março de 2016</v>
          </cell>
          <cell r="F2286" t="str">
            <v>GEDEON BERNARDINO DE SENA</v>
          </cell>
          <cell r="G2286" t="str">
            <v>14/03/2016</v>
          </cell>
          <cell r="H2286" t="str">
            <v>23/03/2016</v>
          </cell>
          <cell r="I2286" t="str">
            <v>57</v>
          </cell>
          <cell r="J2286" t="str">
            <v>PESSOA FÍSICA</v>
          </cell>
          <cell r="K2286" t="str">
            <v>128.360.298-97</v>
          </cell>
          <cell r="L2286" t="str">
            <v>CS</v>
          </cell>
          <cell r="M2286" t="str">
            <v>GEDEON BERNARDINO DE SENA</v>
          </cell>
          <cell r="N2286" t="str">
            <v>DTB6447</v>
          </cell>
          <cell r="O2286" t="str">
            <v>2007</v>
          </cell>
          <cell r="P2286" t="str">
            <v>29</v>
          </cell>
          <cell r="Q2286" t="str">
            <v>27</v>
          </cell>
        </row>
        <row r="2287">
          <cell r="B2287" t="str">
            <v>0449/16</v>
          </cell>
          <cell r="C2287" t="str">
            <v>2016-0.060.062-6</v>
          </cell>
          <cell r="D2287" t="str">
            <v/>
          </cell>
          <cell r="E2287" t="str">
            <v>28 de março de 2016</v>
          </cell>
          <cell r="F2287" t="str">
            <v>RAIMUNDO MENDES DE SOUZA</v>
          </cell>
          <cell r="G2287" t="str">
            <v>28/03/2016</v>
          </cell>
          <cell r="H2287" t="str">
            <v>19/04/2016</v>
          </cell>
          <cell r="I2287" t="str">
            <v>26</v>
          </cell>
          <cell r="J2287" t="str">
            <v>PESSOA FÍSICA</v>
          </cell>
          <cell r="K2287" t="str">
            <v>522.500.246-34</v>
          </cell>
          <cell r="L2287" t="str">
            <v>CS</v>
          </cell>
          <cell r="M2287" t="str">
            <v>RAIMUNDO MENDES DE SOUZA</v>
          </cell>
          <cell r="N2287" t="str">
            <v>DTA1830</v>
          </cell>
          <cell r="O2287" t="str">
            <v>2007</v>
          </cell>
          <cell r="P2287" t="str">
            <v>25</v>
          </cell>
          <cell r="Q2287" t="str">
            <v>23</v>
          </cell>
        </row>
        <row r="2288">
          <cell r="B2288" t="str">
            <v>0450/16</v>
          </cell>
          <cell r="C2288" t="str">
            <v>2016-0.060.063-4</v>
          </cell>
          <cell r="D2288" t="str">
            <v>28/03/2016</v>
          </cell>
          <cell r="E2288" t="str">
            <v>18 de abril de 2016</v>
          </cell>
          <cell r="F2288" t="str">
            <v>JOAO ELIEZER DA SILVA</v>
          </cell>
          <cell r="G2288" t="str">
            <v>18/04/2016</v>
          </cell>
          <cell r="H2288" t="str">
            <v>21/04/2016</v>
          </cell>
          <cell r="I2288" t="str">
            <v>94</v>
          </cell>
          <cell r="J2288" t="str">
            <v>PESSOA FÍSICA</v>
          </cell>
          <cell r="K2288" t="str">
            <v>534.190.658-68</v>
          </cell>
          <cell r="L2288" t="str">
            <v>CS</v>
          </cell>
          <cell r="M2288" t="str">
            <v>JOAO ELIEZER DA SILVA</v>
          </cell>
          <cell r="N2288" t="str">
            <v>DTD2847</v>
          </cell>
          <cell r="O2288" t="str">
            <v>2007</v>
          </cell>
          <cell r="P2288" t="str">
            <v>29</v>
          </cell>
          <cell r="Q2288" t="str">
            <v>27</v>
          </cell>
        </row>
        <row r="2289">
          <cell r="B2289" t="str">
            <v>0451/16</v>
          </cell>
          <cell r="C2289" t="str">
            <v>2016-0.060.068-5</v>
          </cell>
          <cell r="D2289" t="str">
            <v>28/03/2016</v>
          </cell>
          <cell r="E2289" t="str">
            <v>20 de abril de 2016</v>
          </cell>
          <cell r="F2289" t="str">
            <v>MILTON PEREIRA DE CARVALHO</v>
          </cell>
          <cell r="G2289" t="str">
            <v>20/04/2016</v>
          </cell>
          <cell r="H2289" t="str">
            <v>21/04/2016</v>
          </cell>
          <cell r="I2289" t="str">
            <v>95</v>
          </cell>
          <cell r="J2289" t="str">
            <v>PESSOA FÍSICA</v>
          </cell>
          <cell r="K2289" t="str">
            <v>767.114.558-00</v>
          </cell>
          <cell r="L2289" t="str">
            <v>CS</v>
          </cell>
          <cell r="M2289" t="str">
            <v>MILTON PEREIRA DE CARVALHO</v>
          </cell>
          <cell r="N2289" t="str">
            <v>DTA7669</v>
          </cell>
          <cell r="O2289" t="str">
            <v>2007</v>
          </cell>
          <cell r="P2289" t="str">
            <v>29</v>
          </cell>
          <cell r="Q2289" t="str">
            <v>27</v>
          </cell>
        </row>
        <row r="2290">
          <cell r="B2290" t="str">
            <v>0452/16</v>
          </cell>
          <cell r="C2290" t="str">
            <v>2016-0.060.071-5</v>
          </cell>
          <cell r="D2290" t="str">
            <v>28/03/2016</v>
          </cell>
          <cell r="E2290" t="str">
            <v>20 de abril de 2016</v>
          </cell>
          <cell r="F2290" t="str">
            <v>JOAO DANTAS DE MENDONCA</v>
          </cell>
          <cell r="G2290" t="str">
            <v>20/04/2016</v>
          </cell>
          <cell r="H2290" t="str">
            <v>21/04/2016</v>
          </cell>
          <cell r="I2290" t="str">
            <v>95</v>
          </cell>
          <cell r="J2290" t="str">
            <v>PESSOA FÍSICA</v>
          </cell>
          <cell r="K2290" t="str">
            <v>644.961.478-15</v>
          </cell>
          <cell r="L2290" t="str">
            <v>CS</v>
          </cell>
          <cell r="M2290" t="str">
            <v>JOAO DANTAS DE MENDONCA</v>
          </cell>
          <cell r="N2290" t="str">
            <v>DTB2090</v>
          </cell>
          <cell r="O2290" t="str">
            <v>2006</v>
          </cell>
          <cell r="P2290" t="str">
            <v>25</v>
          </cell>
          <cell r="Q2290" t="str">
            <v>23</v>
          </cell>
        </row>
        <row r="2291">
          <cell r="B2291" t="str">
            <v>0453/16</v>
          </cell>
          <cell r="C2291" t="str">
            <v>2016-0.060.073-1</v>
          </cell>
          <cell r="D2291" t="str">
            <v/>
          </cell>
          <cell r="E2291" t="str">
            <v>21 de março de 2016</v>
          </cell>
          <cell r="F2291" t="str">
            <v>EDSON BATISTA DE LIMA</v>
          </cell>
          <cell r="G2291" t="str">
            <v>21/03/2016</v>
          </cell>
          <cell r="H2291" t="str">
            <v>23/03/2016</v>
          </cell>
          <cell r="I2291" t="str">
            <v>58</v>
          </cell>
          <cell r="J2291" t="str">
            <v>PESSOA FÍSICA</v>
          </cell>
          <cell r="K2291" t="str">
            <v>257.631.948-37</v>
          </cell>
          <cell r="L2291" t="str">
            <v>CS</v>
          </cell>
          <cell r="M2291" t="str">
            <v>EDSON BATISTA DE LIMA</v>
          </cell>
          <cell r="N2291" t="str">
            <v>DVL4120</v>
          </cell>
          <cell r="O2291" t="str">
            <v>2007</v>
          </cell>
          <cell r="P2291" t="str">
            <v>29</v>
          </cell>
          <cell r="Q2291" t="str">
            <v>27</v>
          </cell>
        </row>
        <row r="2292">
          <cell r="B2292" t="str">
            <v>0454/16</v>
          </cell>
          <cell r="C2292" t="str">
            <v>2016-0.060.075-8</v>
          </cell>
          <cell r="D2292" t="str">
            <v/>
          </cell>
          <cell r="E2292" t="str">
            <v>14 de março de 2016</v>
          </cell>
          <cell r="F2292" t="str">
            <v>OSMAR DOS SANTOS SOUSA</v>
          </cell>
          <cell r="G2292" t="str">
            <v>14/03/2016</v>
          </cell>
          <cell r="H2292" t="str">
            <v/>
          </cell>
          <cell r="I2292" t="str">
            <v/>
          </cell>
          <cell r="J2292" t="str">
            <v>PESSOA FÍSICA</v>
          </cell>
          <cell r="K2292" t="str">
            <v>148.933.278-28</v>
          </cell>
          <cell r="L2292" t="str">
            <v>CS</v>
          </cell>
          <cell r="M2292" t="str">
            <v>OSMAR DOS SANTOS SOUSA</v>
          </cell>
          <cell r="N2292" t="str">
            <v>DTA6798</v>
          </cell>
          <cell r="O2292" t="str">
            <v>2007</v>
          </cell>
          <cell r="P2292" t="str">
            <v>29</v>
          </cell>
          <cell r="Q2292" t="str">
            <v>27</v>
          </cell>
        </row>
        <row r="2293">
          <cell r="B2293" t="str">
            <v>0455/16</v>
          </cell>
          <cell r="C2293" t="str">
            <v>2016-0.060.076-6</v>
          </cell>
          <cell r="D2293" t="str">
            <v/>
          </cell>
          <cell r="E2293" t="str">
            <v>14 de março de 2016</v>
          </cell>
          <cell r="F2293" t="str">
            <v>SEVERINO AVELINO BATISTA FILHO</v>
          </cell>
          <cell r="G2293" t="str">
            <v>14/03/2016</v>
          </cell>
          <cell r="H2293" t="str">
            <v/>
          </cell>
          <cell r="I2293" t="str">
            <v/>
          </cell>
          <cell r="J2293" t="str">
            <v>PESSOA FÍSICA</v>
          </cell>
          <cell r="K2293" t="str">
            <v>026.970.634-80</v>
          </cell>
          <cell r="L2293" t="str">
            <v>CS</v>
          </cell>
          <cell r="M2293" t="str">
            <v>SEVERINO AVELINO BATISTA FILHO</v>
          </cell>
          <cell r="N2293" t="str">
            <v>DTD4357</v>
          </cell>
          <cell r="O2293" t="str">
            <v>2007</v>
          </cell>
          <cell r="P2293" t="str">
            <v>29</v>
          </cell>
          <cell r="Q2293" t="str">
            <v>27</v>
          </cell>
        </row>
        <row r="2294">
          <cell r="B2294" t="str">
            <v>0456/16</v>
          </cell>
          <cell r="C2294" t="str">
            <v>2016-0.060.077-4</v>
          </cell>
          <cell r="D2294" t="str">
            <v/>
          </cell>
          <cell r="E2294" t="str">
            <v>14 de março de 2016</v>
          </cell>
          <cell r="F2294" t="str">
            <v>ADEMICIO LINS DE ARAUJO</v>
          </cell>
          <cell r="G2294" t="str">
            <v>14/03/2016</v>
          </cell>
          <cell r="H2294" t="str">
            <v/>
          </cell>
          <cell r="I2294" t="str">
            <v/>
          </cell>
          <cell r="J2294" t="str">
            <v>PESSOA FÍSICA</v>
          </cell>
          <cell r="K2294" t="str">
            <v>430.773.744-04</v>
          </cell>
          <cell r="L2294" t="str">
            <v>CS</v>
          </cell>
          <cell r="M2294" t="str">
            <v>ADEMICIO LINS DE ARAUJO</v>
          </cell>
          <cell r="N2294" t="str">
            <v>EFV5429</v>
          </cell>
          <cell r="O2294" t="str">
            <v>2010</v>
          </cell>
          <cell r="P2294" t="str">
            <v>39</v>
          </cell>
          <cell r="Q2294" t="str">
            <v>38</v>
          </cell>
        </row>
        <row r="2295">
          <cell r="B2295" t="str">
            <v>0457/16</v>
          </cell>
          <cell r="C2295" t="str">
            <v>2016-0.060.085-5</v>
          </cell>
          <cell r="D2295" t="str">
            <v/>
          </cell>
          <cell r="E2295" t="str">
            <v>30 de março de 2016</v>
          </cell>
          <cell r="F2295" t="str">
            <v>EDUARDO ARCANJO DO AMARAL</v>
          </cell>
          <cell r="G2295" t="str">
            <v>30/03/2016</v>
          </cell>
          <cell r="H2295" t="str">
            <v>31/03/2016</v>
          </cell>
          <cell r="I2295" t="str">
            <v>33</v>
          </cell>
          <cell r="J2295" t="str">
            <v>PESSOA FÍSICA</v>
          </cell>
          <cell r="K2295" t="str">
            <v>291.788.598-08</v>
          </cell>
          <cell r="L2295" t="str">
            <v>MP</v>
          </cell>
          <cell r="M2295" t="str">
            <v>EDUARDO ARCANJO DO AMARAL</v>
          </cell>
          <cell r="N2295" t="str">
            <v>CUC0332</v>
          </cell>
          <cell r="O2295" t="str">
            <v>2012</v>
          </cell>
          <cell r="P2295" t="str">
            <v>19</v>
          </cell>
          <cell r="Q2295" t="str">
            <v>18</v>
          </cell>
        </row>
        <row r="2296">
          <cell r="B2296" t="str">
            <v>0458/16</v>
          </cell>
          <cell r="C2296" t="str">
            <v>2016-0.060.086-3</v>
          </cell>
          <cell r="D2296" t="str">
            <v>04/04/2016</v>
          </cell>
          <cell r="E2296" t="str">
            <v>26 de abril de 2016</v>
          </cell>
          <cell r="F2296" t="str">
            <v>SIDNEY DA SILVA MARASCA</v>
          </cell>
          <cell r="G2296" t="str">
            <v>26/04/2016</v>
          </cell>
          <cell r="H2296" t="str">
            <v>27/04/2016</v>
          </cell>
          <cell r="I2296" t="str">
            <v>54</v>
          </cell>
          <cell r="J2296" t="str">
            <v>PESSOA FÍSICA</v>
          </cell>
          <cell r="K2296" t="str">
            <v>015.635.818-25</v>
          </cell>
          <cell r="L2296" t="str">
            <v>MP</v>
          </cell>
          <cell r="M2296" t="str">
            <v>SIDNEY DA SILVA MARASCA</v>
          </cell>
          <cell r="N2296" t="str">
            <v>DTD0318</v>
          </cell>
          <cell r="O2296" t="str">
            <v>2007</v>
          </cell>
          <cell r="P2296" t="str">
            <v>29</v>
          </cell>
          <cell r="Q2296" t="str">
            <v>27</v>
          </cell>
        </row>
        <row r="2297">
          <cell r="B2297" t="str">
            <v>0459/16</v>
          </cell>
          <cell r="C2297" t="str">
            <v>2016-0.060.098-7</v>
          </cell>
          <cell r="D2297" t="str">
            <v/>
          </cell>
          <cell r="E2297" t="str">
            <v>04 de abril de 2016</v>
          </cell>
          <cell r="F2297" t="str">
            <v>JOSE ANDRADE CUNHA</v>
          </cell>
          <cell r="G2297" t="str">
            <v>04/04/2016</v>
          </cell>
          <cell r="H2297" t="str">
            <v>19/04/2016</v>
          </cell>
          <cell r="I2297" t="str">
            <v>26</v>
          </cell>
          <cell r="J2297" t="str">
            <v>PESSOA FÍSICA</v>
          </cell>
          <cell r="K2297" t="str">
            <v>326.928.975-87</v>
          </cell>
          <cell r="L2297" t="str">
            <v>MP</v>
          </cell>
          <cell r="M2297" t="str">
            <v>JOSE ANDRADE CUNHA</v>
          </cell>
          <cell r="N2297" t="str">
            <v>CZX6653</v>
          </cell>
          <cell r="O2297" t="str">
            <v>2002</v>
          </cell>
          <cell r="P2297" t="str">
            <v>25</v>
          </cell>
          <cell r="Q2297" t="str">
            <v>23</v>
          </cell>
        </row>
        <row r="2298">
          <cell r="B2298" t="str">
            <v>0460/16</v>
          </cell>
          <cell r="C2298" t="str">
            <v>2016-0.060.101-0</v>
          </cell>
          <cell r="D2298" t="str">
            <v/>
          </cell>
          <cell r="E2298" t="str">
            <v>21 de março de 2016</v>
          </cell>
          <cell r="F2298" t="str">
            <v>AURENILDES VIEIRA DE ANDRADE SERRA</v>
          </cell>
          <cell r="G2298" t="str">
            <v>21/03/2016</v>
          </cell>
          <cell r="H2298" t="str">
            <v>23/03/2016</v>
          </cell>
          <cell r="I2298" t="str">
            <v>58</v>
          </cell>
          <cell r="J2298" t="str">
            <v>PESSOA FÍSICA</v>
          </cell>
          <cell r="K2298" t="str">
            <v>135.243.238-20</v>
          </cell>
          <cell r="L2298" t="str">
            <v>MP</v>
          </cell>
          <cell r="M2298" t="str">
            <v>AURENILDES VIEIRA DE ANDRADE SERRA</v>
          </cell>
          <cell r="N2298" t="str">
            <v>DJC7448</v>
          </cell>
          <cell r="O2298" t="str">
            <v>2007</v>
          </cell>
          <cell r="P2298" t="str">
            <v>25</v>
          </cell>
          <cell r="Q2298" t="str">
            <v>23</v>
          </cell>
        </row>
        <row r="2299">
          <cell r="B2299" t="str">
            <v>0461/16</v>
          </cell>
          <cell r="C2299" t="str">
            <v>2016-0.060.103-7</v>
          </cell>
          <cell r="D2299" t="str">
            <v/>
          </cell>
          <cell r="E2299" t="str">
            <v>11 de abril de 2016</v>
          </cell>
          <cell r="F2299" t="str">
            <v>ISMAEL DE SOUZA MONTEIRO</v>
          </cell>
          <cell r="G2299" t="str">
            <v>11/04/2016</v>
          </cell>
          <cell r="H2299" t="str">
            <v>21/04/2016</v>
          </cell>
          <cell r="I2299" t="str">
            <v>95</v>
          </cell>
          <cell r="J2299" t="str">
            <v>PESSOA FÍSICA</v>
          </cell>
          <cell r="K2299" t="str">
            <v>135.269.758-09</v>
          </cell>
          <cell r="L2299" t="str">
            <v>MP</v>
          </cell>
          <cell r="M2299" t="str">
            <v>ISMAEL DE SOUZA MONTEIRO</v>
          </cell>
          <cell r="N2299" t="str">
            <v>DTC1070</v>
          </cell>
          <cell r="O2299" t="str">
            <v>2007</v>
          </cell>
          <cell r="P2299" t="str">
            <v>29</v>
          </cell>
          <cell r="Q2299" t="str">
            <v>27</v>
          </cell>
        </row>
        <row r="2300">
          <cell r="B2300" t="str">
            <v>0462/16</v>
          </cell>
          <cell r="C2300" t="str">
            <v>2016-0.060.104-5</v>
          </cell>
          <cell r="D2300" t="str">
            <v>04/04/2016</v>
          </cell>
          <cell r="E2300" t="str">
            <v>26 de abril de 2016</v>
          </cell>
          <cell r="F2300" t="str">
            <v>JOSE CARLOS CASIMIRO</v>
          </cell>
          <cell r="G2300" t="str">
            <v>26/04/2016</v>
          </cell>
          <cell r="H2300" t="str">
            <v>27/04/2016</v>
          </cell>
          <cell r="I2300" t="str">
            <v>54</v>
          </cell>
          <cell r="J2300" t="str">
            <v>PESSOA FÍSICA</v>
          </cell>
          <cell r="K2300" t="str">
            <v>655.445.958-87</v>
          </cell>
          <cell r="L2300" t="str">
            <v>MP</v>
          </cell>
          <cell r="M2300" t="str">
            <v>JOSE CARLOS CASIMIRO</v>
          </cell>
          <cell r="N2300" t="str">
            <v>EFW1170</v>
          </cell>
          <cell r="O2300" t="str">
            <v>2008</v>
          </cell>
          <cell r="P2300" t="str">
            <v>19</v>
          </cell>
          <cell r="Q2300" t="str">
            <v>17</v>
          </cell>
        </row>
        <row r="2301">
          <cell r="B2301" t="str">
            <v>0463/16</v>
          </cell>
          <cell r="C2301" t="str">
            <v>2016-0.060.106-1</v>
          </cell>
          <cell r="D2301" t="str">
            <v/>
          </cell>
          <cell r="E2301" t="str">
            <v/>
          </cell>
          <cell r="F2301" t="str">
            <v>ROGERIO APARECIDO MIRIANI</v>
          </cell>
          <cell r="G2301" t="str">
            <v/>
          </cell>
          <cell r="H2301" t="str">
            <v/>
          </cell>
          <cell r="I2301" t="str">
            <v/>
          </cell>
          <cell r="J2301" t="str">
            <v>PESSOA FÍSICA</v>
          </cell>
          <cell r="K2301" t="str">
            <v>294.139.998-48</v>
          </cell>
          <cell r="L2301" t="str">
            <v>MP</v>
          </cell>
          <cell r="M2301" t="str">
            <v>ROGERIO APARECIDO MIRIANI</v>
          </cell>
          <cell r="N2301" t="str">
            <v>DTD7315</v>
          </cell>
          <cell r="O2301" t="str">
            <v>2009</v>
          </cell>
          <cell r="P2301" t="str">
            <v>19</v>
          </cell>
          <cell r="Q2301" t="str">
            <v>18</v>
          </cell>
        </row>
        <row r="2302">
          <cell r="B2302" t="str">
            <v>0464/16</v>
          </cell>
          <cell r="C2302" t="str">
            <v>2016-0.060.107-0</v>
          </cell>
          <cell r="D2302" t="str">
            <v/>
          </cell>
          <cell r="E2302" t="str">
            <v>04 de abril de 2016</v>
          </cell>
          <cell r="F2302" t="str">
            <v>ROSANGELA DE FATIMA SANTOS</v>
          </cell>
          <cell r="G2302" t="str">
            <v>04/04/2016</v>
          </cell>
          <cell r="H2302" t="str">
            <v>19/04/2016</v>
          </cell>
          <cell r="I2302" t="str">
            <v>26</v>
          </cell>
          <cell r="J2302" t="str">
            <v>PESSOA FÍSICA</v>
          </cell>
          <cell r="K2302" t="str">
            <v>146.486.478-07</v>
          </cell>
          <cell r="L2302" t="str">
            <v>MP</v>
          </cell>
          <cell r="M2302" t="str">
            <v>ROSANGELA DE FATIMA SANTOS</v>
          </cell>
          <cell r="N2302" t="str">
            <v>DTC9879</v>
          </cell>
          <cell r="O2302" t="str">
            <v>2008</v>
          </cell>
          <cell r="P2302" t="str">
            <v>29</v>
          </cell>
          <cell r="Q2302" t="str">
            <v>27</v>
          </cell>
        </row>
        <row r="2303">
          <cell r="B2303" t="str">
            <v>0465/16</v>
          </cell>
          <cell r="C2303" t="str">
            <v>2016-0.059.944-0</v>
          </cell>
          <cell r="D2303" t="str">
            <v/>
          </cell>
          <cell r="E2303" t="str">
            <v/>
          </cell>
          <cell r="F2303" t="str">
            <v>OSMAR FIRMINO BARBOSA</v>
          </cell>
          <cell r="G2303" t="str">
            <v/>
          </cell>
          <cell r="H2303" t="str">
            <v/>
          </cell>
          <cell r="I2303" t="str">
            <v/>
          </cell>
          <cell r="J2303" t="str">
            <v>PESSOA FÍSICA</v>
          </cell>
          <cell r="K2303" t="str">
            <v>599.021.596-72</v>
          </cell>
          <cell r="L2303" t="str">
            <v>MP</v>
          </cell>
          <cell r="M2303" t="str">
            <v>OSMAR FIRMINO BARBOSA</v>
          </cell>
          <cell r="N2303" t="str">
            <v>DTC3762</v>
          </cell>
          <cell r="O2303" t="str">
            <v>2009</v>
          </cell>
          <cell r="P2303" t="str">
            <v>19</v>
          </cell>
          <cell r="Q2303" t="str">
            <v>18</v>
          </cell>
        </row>
        <row r="2304">
          <cell r="B2304" t="str">
            <v>0466/16</v>
          </cell>
          <cell r="C2304" t="str">
            <v>2016-0.059.948-2</v>
          </cell>
          <cell r="D2304" t="str">
            <v/>
          </cell>
          <cell r="E2304" t="str">
            <v>21 de março de 2016</v>
          </cell>
          <cell r="F2304" t="str">
            <v>ISRAEL HIRAOKA MARQUES</v>
          </cell>
          <cell r="G2304" t="str">
            <v>21/03/2016</v>
          </cell>
          <cell r="H2304" t="str">
            <v>25/03/2016</v>
          </cell>
          <cell r="I2304" t="str">
            <v>37</v>
          </cell>
          <cell r="J2304" t="str">
            <v>PESSOA FÍSICA</v>
          </cell>
          <cell r="K2304" t="str">
            <v>299.440.738-81</v>
          </cell>
          <cell r="L2304" t="str">
            <v>MP</v>
          </cell>
          <cell r="M2304" t="str">
            <v>ISRAEL HIRAOKA MARQUES</v>
          </cell>
          <cell r="N2304" t="str">
            <v>ECT8378</v>
          </cell>
          <cell r="O2304" t="str">
            <v>2009</v>
          </cell>
          <cell r="P2304" t="str">
            <v>29</v>
          </cell>
          <cell r="Q2304" t="str">
            <v>27</v>
          </cell>
        </row>
        <row r="2305">
          <cell r="B2305" t="str">
            <v>0467/16</v>
          </cell>
          <cell r="C2305" t="str">
            <v>2016-0.059.951-2</v>
          </cell>
          <cell r="D2305" t="str">
            <v/>
          </cell>
          <cell r="E2305" t="str">
            <v>04 de abril de 2016</v>
          </cell>
          <cell r="F2305" t="str">
            <v>ALAN ROCHA</v>
          </cell>
          <cell r="G2305" t="str">
            <v>04/04/2016</v>
          </cell>
          <cell r="H2305" t="str">
            <v>21/04/2016</v>
          </cell>
          <cell r="I2305" t="str">
            <v>95</v>
          </cell>
          <cell r="J2305" t="str">
            <v>PESSOA FÍSICA</v>
          </cell>
          <cell r="K2305" t="str">
            <v>276.080.978-17</v>
          </cell>
          <cell r="L2305" t="str">
            <v>MP</v>
          </cell>
          <cell r="M2305" t="str">
            <v>ALAN ROCHA</v>
          </cell>
          <cell r="N2305" t="str">
            <v>ECT1120</v>
          </cell>
          <cell r="O2305" t="str">
            <v>2008</v>
          </cell>
          <cell r="P2305" t="str">
            <v>29</v>
          </cell>
          <cell r="Q2305" t="str">
            <v>27</v>
          </cell>
        </row>
        <row r="2306">
          <cell r="B2306" t="str">
            <v>0468/16</v>
          </cell>
          <cell r="C2306" t="str">
            <v>2016-0.059.954-7</v>
          </cell>
          <cell r="D2306" t="str">
            <v/>
          </cell>
          <cell r="E2306" t="str">
            <v>29 de fevereiro de 2016</v>
          </cell>
          <cell r="F2306" t="str">
            <v>ERIVALDO GOMES DA SILVA</v>
          </cell>
          <cell r="G2306" t="str">
            <v>29/02/2016</v>
          </cell>
          <cell r="H2306" t="str">
            <v/>
          </cell>
          <cell r="I2306" t="str">
            <v/>
          </cell>
          <cell r="J2306" t="str">
            <v>PESSOA FÍSICA</v>
          </cell>
          <cell r="K2306" t="str">
            <v>064.550.258-81</v>
          </cell>
          <cell r="L2306" t="str">
            <v>G</v>
          </cell>
          <cell r="M2306" t="str">
            <v>ERIVALDO GOMES DA SILVA</v>
          </cell>
          <cell r="N2306" t="str">
            <v>DTE9302</v>
          </cell>
          <cell r="O2306" t="str">
            <v>2009</v>
          </cell>
          <cell r="P2306" t="str">
            <v>19</v>
          </cell>
          <cell r="Q2306" t="str">
            <v>18</v>
          </cell>
        </row>
        <row r="2307">
          <cell r="B2307" t="str">
            <v>0469/16</v>
          </cell>
          <cell r="C2307" t="str">
            <v>2016-0.059.955-5</v>
          </cell>
          <cell r="D2307" t="str">
            <v/>
          </cell>
          <cell r="E2307" t="str">
            <v>14 de março de 2016</v>
          </cell>
          <cell r="F2307" t="str">
            <v>MARLENE APARECIDA SANTOS</v>
          </cell>
          <cell r="G2307" t="str">
            <v>14/03/2016</v>
          </cell>
          <cell r="H2307" t="str">
            <v/>
          </cell>
          <cell r="I2307" t="str">
            <v/>
          </cell>
          <cell r="J2307" t="str">
            <v>PESSOA FÍSICA</v>
          </cell>
          <cell r="K2307" t="str">
            <v>687.663.608-97</v>
          </cell>
          <cell r="L2307" t="str">
            <v>G</v>
          </cell>
          <cell r="M2307" t="str">
            <v>MARLENE APARECIDA SANTOS</v>
          </cell>
          <cell r="N2307" t="str">
            <v>EFV3358</v>
          </cell>
          <cell r="O2307" t="str">
            <v>2009</v>
          </cell>
          <cell r="P2307" t="str">
            <v>18</v>
          </cell>
          <cell r="Q2307" t="str">
            <v>17</v>
          </cell>
        </row>
        <row r="2308">
          <cell r="B2308" t="str">
            <v>0470/16</v>
          </cell>
          <cell r="C2308" t="str">
            <v>2016-0.059.958-0</v>
          </cell>
          <cell r="D2308" t="str">
            <v/>
          </cell>
          <cell r="E2308" t="str">
            <v>21 de março de 2016</v>
          </cell>
          <cell r="F2308" t="str">
            <v>NORMA DOS SANTOS DA SILVA</v>
          </cell>
          <cell r="G2308" t="str">
            <v>21/03/2016</v>
          </cell>
          <cell r="H2308" t="str">
            <v>23/03/2016</v>
          </cell>
          <cell r="I2308" t="str">
            <v>58</v>
          </cell>
          <cell r="J2308" t="str">
            <v>PESSOA FÍSICA</v>
          </cell>
          <cell r="K2308" t="str">
            <v>116.540.298-07</v>
          </cell>
          <cell r="L2308" t="str">
            <v>G</v>
          </cell>
          <cell r="M2308" t="str">
            <v>NORMA DOS SANTOS DA SILVA</v>
          </cell>
          <cell r="N2308" t="str">
            <v>CZX9325</v>
          </cell>
          <cell r="O2308" t="str">
            <v>2003</v>
          </cell>
          <cell r="P2308" t="str">
            <v>25</v>
          </cell>
          <cell r="Q2308" t="str">
            <v>23</v>
          </cell>
        </row>
        <row r="2309">
          <cell r="B2309" t="str">
            <v>0471/16</v>
          </cell>
          <cell r="C2309" t="str">
            <v>2016-0.059.965-2</v>
          </cell>
          <cell r="D2309" t="str">
            <v/>
          </cell>
          <cell r="E2309" t="str">
            <v>14 de março de 2016</v>
          </cell>
          <cell r="F2309" t="str">
            <v>ELIANA PEREIRA SILVA DE FARIA</v>
          </cell>
          <cell r="G2309" t="str">
            <v>14/03/2016</v>
          </cell>
          <cell r="H2309" t="str">
            <v/>
          </cell>
          <cell r="I2309" t="str">
            <v/>
          </cell>
          <cell r="J2309" t="str">
            <v>PESSOA FÍSICA</v>
          </cell>
          <cell r="K2309" t="str">
            <v>127.184.278-50</v>
          </cell>
          <cell r="L2309" t="str">
            <v>G</v>
          </cell>
          <cell r="M2309" t="str">
            <v>ELIANA PEREIRA SILVA DE FARIA</v>
          </cell>
          <cell r="N2309" t="str">
            <v>CZX6227</v>
          </cell>
          <cell r="O2309" t="str">
            <v>2002</v>
          </cell>
          <cell r="P2309" t="str">
            <v>25</v>
          </cell>
          <cell r="Q2309" t="str">
            <v>23</v>
          </cell>
        </row>
        <row r="2310">
          <cell r="B2310" t="str">
            <v>0472/16</v>
          </cell>
          <cell r="C2310" t="str">
            <v>2016-0.059.970-9</v>
          </cell>
          <cell r="D2310" t="str">
            <v>14/03/2016</v>
          </cell>
          <cell r="E2310" t="str">
            <v>06 de abril de 2016</v>
          </cell>
          <cell r="F2310" t="str">
            <v>SIDNEIA APARECIDA DE ARRUDA PERSSET</v>
          </cell>
          <cell r="G2310" t="str">
            <v>06/04/2016</v>
          </cell>
          <cell r="H2310" t="str">
            <v>07/04/2016</v>
          </cell>
          <cell r="I2310" t="str">
            <v>18</v>
          </cell>
          <cell r="J2310" t="str">
            <v>PESSOA FÍSICA</v>
          </cell>
          <cell r="K2310" t="str">
            <v>084.518.868-25</v>
          </cell>
          <cell r="L2310" t="str">
            <v>G</v>
          </cell>
          <cell r="M2310" t="str">
            <v>SIDNEIA APARECIDA DE ARRUDA PERSSET</v>
          </cell>
          <cell r="N2310" t="str">
            <v>CUC6929</v>
          </cell>
          <cell r="O2310" t="str">
            <v>2008</v>
          </cell>
          <cell r="P2310" t="str">
            <v>39</v>
          </cell>
          <cell r="Q2310" t="str">
            <v>37</v>
          </cell>
        </row>
        <row r="2311">
          <cell r="B2311" t="str">
            <v>0473/16</v>
          </cell>
          <cell r="C2311" t="str">
            <v>2016-0.059.981-4</v>
          </cell>
          <cell r="D2311" t="str">
            <v/>
          </cell>
          <cell r="E2311" t="str">
            <v>04 de abril de 2016</v>
          </cell>
          <cell r="F2311" t="str">
            <v>ALMIR RODRIGUES DE SOUSA</v>
          </cell>
          <cell r="G2311" t="str">
            <v>04/04/2016</v>
          </cell>
          <cell r="H2311" t="str">
            <v>09/04/2016</v>
          </cell>
          <cell r="I2311" t="str">
            <v>33</v>
          </cell>
          <cell r="J2311" t="str">
            <v>PESSOA FÍSICA</v>
          </cell>
          <cell r="K2311" t="str">
            <v>222.072.958-34</v>
          </cell>
          <cell r="L2311" t="str">
            <v>G</v>
          </cell>
          <cell r="M2311" t="str">
            <v>ALMIR RODRIGUES DE SOUSA</v>
          </cell>
          <cell r="N2311" t="str">
            <v>EZL6178</v>
          </cell>
          <cell r="O2311" t="str">
            <v>2011</v>
          </cell>
          <cell r="P2311" t="str">
            <v>19</v>
          </cell>
          <cell r="Q2311" t="str">
            <v>18</v>
          </cell>
        </row>
        <row r="2312">
          <cell r="B2312" t="str">
            <v>0474/16</v>
          </cell>
          <cell r="C2312" t="str">
            <v>2016-0.059.984-9</v>
          </cell>
          <cell r="D2312" t="str">
            <v/>
          </cell>
          <cell r="E2312" t="str">
            <v>14 de março de 2016</v>
          </cell>
          <cell r="F2312" t="str">
            <v>JOSE LEANDRO DE MELO</v>
          </cell>
          <cell r="G2312" t="str">
            <v>14/03/2016</v>
          </cell>
          <cell r="H2312" t="str">
            <v/>
          </cell>
          <cell r="I2312" t="str">
            <v/>
          </cell>
          <cell r="J2312" t="str">
            <v>PESSOA FÍSICA</v>
          </cell>
          <cell r="K2312" t="str">
            <v>050.885.928-09</v>
          </cell>
          <cell r="L2312" t="str">
            <v>G</v>
          </cell>
          <cell r="M2312" t="str">
            <v>JOSE LEANDRO DE MELO</v>
          </cell>
          <cell r="N2312" t="str">
            <v>CZX8729</v>
          </cell>
          <cell r="O2312" t="str">
            <v>2002</v>
          </cell>
          <cell r="P2312" t="str">
            <v>25</v>
          </cell>
          <cell r="Q2312" t="str">
            <v>23</v>
          </cell>
        </row>
        <row r="2313">
          <cell r="B2313" t="str">
            <v>0475/16</v>
          </cell>
          <cell r="C2313" t="str">
            <v>2016-0.059.990-3</v>
          </cell>
          <cell r="D2313" t="str">
            <v/>
          </cell>
          <cell r="E2313" t="str">
            <v>21 de março de 2016</v>
          </cell>
          <cell r="F2313" t="str">
            <v>EDUARDO MARSURA DOS SANTOS</v>
          </cell>
          <cell r="G2313" t="str">
            <v>21/03/2016</v>
          </cell>
          <cell r="H2313" t="str">
            <v>23/03/2016</v>
          </cell>
          <cell r="I2313" t="str">
            <v>58</v>
          </cell>
          <cell r="J2313" t="str">
            <v>PESSOA FÍSICA</v>
          </cell>
          <cell r="K2313" t="str">
            <v>113.468.308-19</v>
          </cell>
          <cell r="L2313" t="str">
            <v>G</v>
          </cell>
          <cell r="M2313" t="str">
            <v>EDUARDO MARSURA DOS SANTOS</v>
          </cell>
          <cell r="N2313" t="str">
            <v>EUV7153</v>
          </cell>
          <cell r="O2313" t="str">
            <v>2011</v>
          </cell>
          <cell r="P2313" t="str">
            <v>19</v>
          </cell>
          <cell r="Q2313" t="str">
            <v>18</v>
          </cell>
        </row>
        <row r="2314">
          <cell r="B2314" t="str">
            <v>0476/16</v>
          </cell>
          <cell r="C2314" t="str">
            <v>2016-0.059.993-8</v>
          </cell>
          <cell r="D2314" t="str">
            <v/>
          </cell>
          <cell r="E2314" t="str">
            <v>20 de abril de 2016</v>
          </cell>
          <cell r="F2314" t="str">
            <v>ANTONIO VALFRIDO DOS SANTOS</v>
          </cell>
          <cell r="G2314" t="str">
            <v>20/04/2016</v>
          </cell>
          <cell r="H2314" t="str">
            <v>21/04/2016</v>
          </cell>
          <cell r="I2314" t="str">
            <v>95</v>
          </cell>
          <cell r="J2314" t="str">
            <v>PESSOA FÍSICA</v>
          </cell>
          <cell r="K2314" t="str">
            <v>197.367.974-49</v>
          </cell>
          <cell r="L2314" t="str">
            <v>G</v>
          </cell>
          <cell r="M2314" t="str">
            <v>ANTONIO VALFRIDO DOS SANTOS</v>
          </cell>
          <cell r="N2314" t="str">
            <v>DTA7548</v>
          </cell>
          <cell r="O2314" t="str">
            <v>2009</v>
          </cell>
          <cell r="P2314" t="str">
            <v>19</v>
          </cell>
          <cell r="Q2314" t="str">
            <v>18</v>
          </cell>
        </row>
        <row r="2315">
          <cell r="B2315" t="str">
            <v>0477/16</v>
          </cell>
          <cell r="C2315" t="str">
            <v>2016-0.059.996-2</v>
          </cell>
          <cell r="D2315" t="str">
            <v/>
          </cell>
          <cell r="E2315" t="str">
            <v>19 de abril de 2016</v>
          </cell>
          <cell r="F2315" t="str">
            <v>EDUARDO ROMUALDO</v>
          </cell>
          <cell r="G2315" t="str">
            <v>19/04/2016</v>
          </cell>
          <cell r="H2315" t="str">
            <v>21/04/2016</v>
          </cell>
          <cell r="I2315" t="str">
            <v>95</v>
          </cell>
          <cell r="J2315" t="str">
            <v>PESSOA FÍSICA</v>
          </cell>
          <cell r="K2315" t="str">
            <v>186.935.608-08</v>
          </cell>
          <cell r="L2315" t="str">
            <v>G</v>
          </cell>
          <cell r="M2315" t="str">
            <v>EDUARDO ROMUALDO</v>
          </cell>
          <cell r="N2315" t="str">
            <v>CZX8751</v>
          </cell>
          <cell r="O2315" t="str">
            <v>2002</v>
          </cell>
          <cell r="P2315" t="str">
            <v>25</v>
          </cell>
          <cell r="Q2315" t="str">
            <v>23</v>
          </cell>
        </row>
        <row r="2316">
          <cell r="B2316" t="str">
            <v>0478/16</v>
          </cell>
          <cell r="C2316" t="str">
            <v>2016-0.060.000-6</v>
          </cell>
          <cell r="D2316" t="str">
            <v/>
          </cell>
          <cell r="E2316" t="str">
            <v>14 de março de 2016</v>
          </cell>
          <cell r="F2316" t="str">
            <v>JOSE CICERO RODRIGUES DE ALMEIDA</v>
          </cell>
          <cell r="G2316" t="str">
            <v>14/03/2016</v>
          </cell>
          <cell r="H2316" t="str">
            <v>23/03/2016</v>
          </cell>
          <cell r="I2316" t="str">
            <v>58</v>
          </cell>
          <cell r="J2316" t="str">
            <v>PESSOA FÍSICA</v>
          </cell>
          <cell r="K2316" t="str">
            <v>953.084.408-59</v>
          </cell>
          <cell r="L2316" t="str">
            <v>G</v>
          </cell>
          <cell r="M2316" t="str">
            <v>JOSE CICERO RODRIGUES DE ALMEIDA</v>
          </cell>
          <cell r="N2316" t="str">
            <v>ECT3010</v>
          </cell>
          <cell r="O2316" t="str">
            <v>2008</v>
          </cell>
          <cell r="P2316" t="str">
            <v>29</v>
          </cell>
          <cell r="Q2316" t="str">
            <v>27</v>
          </cell>
        </row>
        <row r="2317">
          <cell r="B2317" t="str">
            <v>0479/16</v>
          </cell>
          <cell r="C2317" t="str">
            <v>2016-0.060.003-0</v>
          </cell>
          <cell r="D2317" t="str">
            <v/>
          </cell>
          <cell r="E2317" t="str">
            <v>15 de abril de 2016</v>
          </cell>
          <cell r="F2317" t="str">
            <v>LOURINALDO PONTES DE OLIVEIRA</v>
          </cell>
          <cell r="G2317" t="str">
            <v>15/04/2016</v>
          </cell>
          <cell r="H2317" t="str">
            <v>19/04/2016</v>
          </cell>
          <cell r="I2317" t="str">
            <v>27</v>
          </cell>
          <cell r="J2317" t="str">
            <v>PESSOA FÍSICA</v>
          </cell>
          <cell r="K2317" t="str">
            <v>888.421.694-04</v>
          </cell>
          <cell r="L2317" t="str">
            <v>G</v>
          </cell>
          <cell r="M2317" t="str">
            <v>LOURINALDO PONTES DE OLIVEIRA</v>
          </cell>
          <cell r="N2317" t="str">
            <v>CXA5649</v>
          </cell>
          <cell r="O2317" t="str">
            <v>2002</v>
          </cell>
          <cell r="P2317" t="str">
            <v>24</v>
          </cell>
          <cell r="Q2317" t="str">
            <v>23</v>
          </cell>
        </row>
        <row r="2318">
          <cell r="B2318" t="str">
            <v>0480/16</v>
          </cell>
          <cell r="C2318" t="str">
            <v>2016-0.060.006-5</v>
          </cell>
          <cell r="D2318" t="str">
            <v/>
          </cell>
          <cell r="E2318" t="str">
            <v>14 de março de 2016</v>
          </cell>
          <cell r="F2318" t="str">
            <v>ANTONIO ROBERTO GOMES</v>
          </cell>
          <cell r="G2318" t="str">
            <v>14/03/2016</v>
          </cell>
          <cell r="H2318" t="str">
            <v>23/03/2016</v>
          </cell>
          <cell r="I2318" t="str">
            <v>58</v>
          </cell>
          <cell r="J2318" t="str">
            <v>PESSOA FÍSICA</v>
          </cell>
          <cell r="K2318" t="str">
            <v>065.762.018-18</v>
          </cell>
          <cell r="L2318" t="str">
            <v>G</v>
          </cell>
          <cell r="M2318" t="str">
            <v>ANTONIO ROBERTO GOMES</v>
          </cell>
          <cell r="N2318" t="str">
            <v>DTD4303</v>
          </cell>
          <cell r="O2318" t="str">
            <v>2007</v>
          </cell>
          <cell r="P2318" t="str">
            <v>29</v>
          </cell>
          <cell r="Q2318" t="str">
            <v>27</v>
          </cell>
        </row>
        <row r="2319">
          <cell r="B2319" t="str">
            <v>0481/16</v>
          </cell>
          <cell r="C2319" t="str">
            <v>2016-0.060.015-4</v>
          </cell>
          <cell r="D2319" t="str">
            <v/>
          </cell>
          <cell r="E2319" t="str">
            <v>21 de março de 2016</v>
          </cell>
          <cell r="F2319" t="str">
            <v>ALEXANDRE MARSURA DOS SANTOS</v>
          </cell>
          <cell r="G2319" t="str">
            <v>21/03/2016</v>
          </cell>
          <cell r="H2319" t="str">
            <v>23/03/2016</v>
          </cell>
          <cell r="I2319" t="str">
            <v>58</v>
          </cell>
          <cell r="J2319" t="str">
            <v>PESSOA FÍSICA</v>
          </cell>
          <cell r="K2319" t="str">
            <v>092.946.618-73</v>
          </cell>
          <cell r="L2319" t="str">
            <v>G</v>
          </cell>
          <cell r="M2319" t="str">
            <v>ALEXANDRE MARSURA DOS SANTOS</v>
          </cell>
          <cell r="N2319" t="str">
            <v>DTC3970</v>
          </cell>
          <cell r="O2319" t="str">
            <v>2007</v>
          </cell>
          <cell r="P2319" t="str">
            <v>25</v>
          </cell>
          <cell r="Q2319" t="str">
            <v>23</v>
          </cell>
        </row>
        <row r="2320">
          <cell r="B2320" t="str">
            <v>0482/16</v>
          </cell>
          <cell r="C2320" t="str">
            <v>2016-0.060.019-7</v>
          </cell>
          <cell r="D2320" t="str">
            <v/>
          </cell>
          <cell r="E2320" t="str">
            <v>14 de março de 2016</v>
          </cell>
          <cell r="F2320" t="str">
            <v>ANGELICA SILVA YAMAGUTI</v>
          </cell>
          <cell r="G2320" t="str">
            <v>14/03/2016</v>
          </cell>
          <cell r="H2320" t="str">
            <v>23/03/2016</v>
          </cell>
          <cell r="I2320" t="str">
            <v>58</v>
          </cell>
          <cell r="J2320" t="str">
            <v>PESSOA FÍSICA</v>
          </cell>
          <cell r="K2320" t="str">
            <v>280.728.058-78</v>
          </cell>
          <cell r="L2320" t="str">
            <v>G</v>
          </cell>
          <cell r="M2320" t="str">
            <v>ANGELICA SILVA YAMAGUTI</v>
          </cell>
          <cell r="N2320" t="str">
            <v>DTC4210</v>
          </cell>
          <cell r="O2320" t="str">
            <v>2007</v>
          </cell>
          <cell r="P2320" t="str">
            <v>29</v>
          </cell>
          <cell r="Q2320" t="str">
            <v>27</v>
          </cell>
        </row>
        <row r="2321">
          <cell r="B2321" t="str">
            <v>0483/16</v>
          </cell>
          <cell r="C2321" t="str">
            <v>2016-0.060.026-0</v>
          </cell>
          <cell r="D2321" t="str">
            <v/>
          </cell>
          <cell r="E2321" t="str">
            <v>15 de abril de 2016</v>
          </cell>
          <cell r="F2321" t="str">
            <v>MANOEL ALVES DE QUEIROZ</v>
          </cell>
          <cell r="G2321" t="str">
            <v>15/04/2016</v>
          </cell>
          <cell r="H2321" t="str">
            <v>19/04/2016</v>
          </cell>
          <cell r="I2321" t="str">
            <v>27</v>
          </cell>
          <cell r="J2321" t="str">
            <v>PESSOA FÍSICA</v>
          </cell>
          <cell r="K2321" t="str">
            <v>666.812.948-04</v>
          </cell>
          <cell r="L2321" t="str">
            <v>G</v>
          </cell>
          <cell r="M2321" t="str">
            <v>MANOEL ALVES DE QUEIROZ</v>
          </cell>
          <cell r="N2321" t="str">
            <v>EFU9899</v>
          </cell>
          <cell r="O2321" t="str">
            <v>2009</v>
          </cell>
          <cell r="P2321" t="str">
            <v>19</v>
          </cell>
          <cell r="Q2321" t="str">
            <v>18</v>
          </cell>
        </row>
        <row r="2322">
          <cell r="B2322" t="str">
            <v>0484/16</v>
          </cell>
          <cell r="C2322" t="str">
            <v>2016-0.061.575-5</v>
          </cell>
          <cell r="D2322" t="str">
            <v/>
          </cell>
          <cell r="E2322" t="str">
            <v>14 de março de 2016</v>
          </cell>
          <cell r="F2322" t="str">
            <v>ORANI SOLANGE DE SOUZA CAIRES</v>
          </cell>
          <cell r="G2322" t="str">
            <v>14/03/2016</v>
          </cell>
          <cell r="H2322" t="str">
            <v>25/03/2016</v>
          </cell>
          <cell r="I2322" t="str">
            <v>37</v>
          </cell>
          <cell r="J2322" t="str">
            <v>PESSOA FÍSICA</v>
          </cell>
          <cell r="K2322" t="str">
            <v>255.363.308-45</v>
          </cell>
          <cell r="L2322" t="str">
            <v>MP</v>
          </cell>
          <cell r="M2322" t="str">
            <v>ORANI SOLANGE DE SOUZA CAIRES</v>
          </cell>
          <cell r="N2322" t="str">
            <v>CZX5058</v>
          </cell>
          <cell r="O2322" t="str">
            <v>2002</v>
          </cell>
          <cell r="P2322" t="str">
            <v>25</v>
          </cell>
          <cell r="Q2322" t="str">
            <v>23</v>
          </cell>
        </row>
        <row r="2323">
          <cell r="B2323" t="str">
            <v>0485/16</v>
          </cell>
          <cell r="C2323" t="str">
            <v>2016-0.061.577-1</v>
          </cell>
          <cell r="D2323" t="str">
            <v/>
          </cell>
          <cell r="E2323" t="str">
            <v>18 de março de 2016</v>
          </cell>
          <cell r="F2323" t="str">
            <v>ANTONIO DOS SANTOS</v>
          </cell>
          <cell r="G2323" t="str">
            <v>18/03/2016</v>
          </cell>
          <cell r="H2323" t="str">
            <v/>
          </cell>
          <cell r="I2323" t="str">
            <v/>
          </cell>
          <cell r="J2323" t="str">
            <v>PESSOA FÍSICA</v>
          </cell>
          <cell r="K2323" t="str">
            <v>100.248.368-93</v>
          </cell>
          <cell r="L2323" t="str">
            <v>MP</v>
          </cell>
          <cell r="M2323" t="str">
            <v>ANTONIO DOS SANTOS</v>
          </cell>
          <cell r="N2323" t="str">
            <v>FAN0279</v>
          </cell>
          <cell r="O2323" t="str">
            <v>2014</v>
          </cell>
          <cell r="P2323" t="str">
            <v>36</v>
          </cell>
          <cell r="Q2323" t="str">
            <v>35</v>
          </cell>
        </row>
        <row r="2324">
          <cell r="B2324" t="str">
            <v>0486/16</v>
          </cell>
          <cell r="C2324" t="str">
            <v>2016-0.061.582-8</v>
          </cell>
          <cell r="D2324" t="str">
            <v/>
          </cell>
          <cell r="E2324" t="str">
            <v>21 de março de 2016</v>
          </cell>
          <cell r="F2324" t="str">
            <v>JOSE ROBERTO DA SILVA</v>
          </cell>
          <cell r="G2324" t="str">
            <v>21/03/2016</v>
          </cell>
          <cell r="H2324" t="str">
            <v>25/03/2016</v>
          </cell>
          <cell r="I2324" t="str">
            <v>37</v>
          </cell>
          <cell r="J2324" t="str">
            <v>PESSOA FÍSICA</v>
          </cell>
          <cell r="K2324" t="str">
            <v>256.027.658-59</v>
          </cell>
          <cell r="L2324" t="str">
            <v>MP</v>
          </cell>
          <cell r="M2324" t="str">
            <v>JOSE ROBERTO DA SILVA</v>
          </cell>
          <cell r="N2324" t="str">
            <v>FWK0150</v>
          </cell>
          <cell r="O2324" t="str">
            <v>2015</v>
          </cell>
          <cell r="P2324" t="str">
            <v>19</v>
          </cell>
          <cell r="Q2324" t="str">
            <v>18</v>
          </cell>
        </row>
        <row r="2325">
          <cell r="B2325" t="str">
            <v>0487/16</v>
          </cell>
          <cell r="C2325" t="str">
            <v>2016-0.061.587-9</v>
          </cell>
          <cell r="D2325" t="str">
            <v/>
          </cell>
          <cell r="E2325" t="str">
            <v/>
          </cell>
          <cell r="F2325" t="str">
            <v>MARCIA LOVITTO</v>
          </cell>
          <cell r="G2325" t="str">
            <v/>
          </cell>
          <cell r="H2325" t="str">
            <v/>
          </cell>
          <cell r="I2325" t="str">
            <v/>
          </cell>
          <cell r="J2325" t="str">
            <v>PESSOA FÍSICA</v>
          </cell>
          <cell r="K2325" t="str">
            <v>132.873.338-60</v>
          </cell>
          <cell r="L2325" t="str">
            <v>MP</v>
          </cell>
          <cell r="M2325" t="str">
            <v>MARCIA LOVITTO</v>
          </cell>
          <cell r="N2325" t="str">
            <v>DJE3760</v>
          </cell>
          <cell r="O2325" t="str">
            <v>2005</v>
          </cell>
          <cell r="P2325" t="str">
            <v>15</v>
          </cell>
          <cell r="Q2325" t="str">
            <v>14</v>
          </cell>
        </row>
        <row r="2326">
          <cell r="B2326" t="str">
            <v>0488/16</v>
          </cell>
          <cell r="C2326" t="str">
            <v>2016-0.061.590-9</v>
          </cell>
          <cell r="D2326" t="str">
            <v>04/04/2016</v>
          </cell>
          <cell r="E2326" t="str">
            <v>26 de abril de 2016</v>
          </cell>
          <cell r="F2326" t="str">
            <v>WANDERLEY DA SILVA MARASCA</v>
          </cell>
          <cell r="G2326" t="str">
            <v>26/04/2016</v>
          </cell>
          <cell r="H2326" t="str">
            <v>27/04/2016</v>
          </cell>
          <cell r="I2326" t="str">
            <v>54</v>
          </cell>
          <cell r="J2326" t="str">
            <v>PESSOA FÍSICA</v>
          </cell>
          <cell r="K2326" t="str">
            <v>934.624.848-34</v>
          </cell>
          <cell r="L2326" t="str">
            <v>MP</v>
          </cell>
          <cell r="M2326" t="str">
            <v>WANDERLEY DA SILVA MARASCA</v>
          </cell>
          <cell r="N2326" t="str">
            <v>ECT5708</v>
          </cell>
          <cell r="O2326" t="str">
            <v>2008</v>
          </cell>
          <cell r="P2326" t="str">
            <v>29</v>
          </cell>
          <cell r="Q2326" t="str">
            <v>27</v>
          </cell>
        </row>
        <row r="2327">
          <cell r="B2327" t="str">
            <v>0489/16</v>
          </cell>
          <cell r="C2327" t="str">
            <v>2016-0.061.593-3</v>
          </cell>
          <cell r="D2327" t="str">
            <v/>
          </cell>
          <cell r="E2327" t="str">
            <v/>
          </cell>
          <cell r="F2327" t="str">
            <v>JOANA DARC TURETTA</v>
          </cell>
          <cell r="G2327" t="str">
            <v/>
          </cell>
          <cell r="H2327" t="str">
            <v/>
          </cell>
          <cell r="I2327" t="str">
            <v/>
          </cell>
          <cell r="J2327" t="str">
            <v>PESSOA FÍSICA</v>
          </cell>
          <cell r="K2327" t="str">
            <v>146.782.128-41</v>
          </cell>
          <cell r="L2327" t="str">
            <v>MP</v>
          </cell>
          <cell r="M2327" t="str">
            <v>JOANA DARC TURETTA</v>
          </cell>
          <cell r="N2327" t="str">
            <v>DTC0079</v>
          </cell>
          <cell r="O2327" t="str">
            <v>2008</v>
          </cell>
          <cell r="P2327" t="str">
            <v>18</v>
          </cell>
          <cell r="Q2327" t="str">
            <v>17</v>
          </cell>
        </row>
        <row r="2328">
          <cell r="B2328" t="str">
            <v>0490/16</v>
          </cell>
          <cell r="C2328" t="str">
            <v>2016-0.061.596-8</v>
          </cell>
          <cell r="D2328" t="str">
            <v/>
          </cell>
          <cell r="E2328" t="str">
            <v>04 de abril de 2016</v>
          </cell>
          <cell r="F2328" t="str">
            <v>ROSARIO ISAIAS CATANANTE MARTINS</v>
          </cell>
          <cell r="G2328" t="str">
            <v>04/04/2016</v>
          </cell>
          <cell r="H2328" t="str">
            <v>07/04/2016</v>
          </cell>
          <cell r="I2328" t="str">
            <v>18</v>
          </cell>
          <cell r="J2328" t="str">
            <v>PESSOA FÍSICA</v>
          </cell>
          <cell r="K2328" t="str">
            <v>686.315.108-15</v>
          </cell>
          <cell r="L2328" t="str">
            <v>MP</v>
          </cell>
          <cell r="M2328" t="str">
            <v>ROSARIO ISAIAS CATANANTE MARTINS</v>
          </cell>
          <cell r="N2328" t="str">
            <v>CZX2190</v>
          </cell>
          <cell r="O2328" t="str">
            <v>2002</v>
          </cell>
          <cell r="P2328" t="str">
            <v>25</v>
          </cell>
          <cell r="Q2328" t="str">
            <v>23</v>
          </cell>
        </row>
        <row r="2329">
          <cell r="B2329" t="str">
            <v>0491/16</v>
          </cell>
          <cell r="C2329" t="str">
            <v>2016-0.061.601-8</v>
          </cell>
          <cell r="D2329" t="str">
            <v/>
          </cell>
          <cell r="E2329" t="str">
            <v>29 de fevereiro de 2016</v>
          </cell>
          <cell r="F2329" t="str">
            <v>ADALBERTO PEREIRA MARQUES FILHO</v>
          </cell>
          <cell r="G2329" t="str">
            <v>29/02/2016</v>
          </cell>
          <cell r="H2329" t="str">
            <v/>
          </cell>
          <cell r="I2329" t="str">
            <v/>
          </cell>
          <cell r="J2329" t="str">
            <v>PESSOA FÍSICA</v>
          </cell>
          <cell r="K2329" t="str">
            <v>302.158.948-04</v>
          </cell>
          <cell r="L2329" t="str">
            <v>PE</v>
          </cell>
          <cell r="M2329" t="str">
            <v>ADALBERTO PEREIRA MARQUES FILHO</v>
          </cell>
          <cell r="N2329" t="str">
            <v>DTD0060</v>
          </cell>
          <cell r="O2329" t="str">
            <v>2007</v>
          </cell>
          <cell r="P2329" t="str">
            <v>29</v>
          </cell>
          <cell r="Q2329" t="str">
            <v>27</v>
          </cell>
        </row>
        <row r="2330">
          <cell r="B2330" t="str">
            <v>0492/16</v>
          </cell>
          <cell r="C2330" t="str">
            <v>2016-0.061.620-4</v>
          </cell>
          <cell r="D2330" t="str">
            <v/>
          </cell>
          <cell r="E2330" t="str">
            <v>29 de fevereiro de 2016</v>
          </cell>
          <cell r="F2330" t="str">
            <v>ANTONIO CAMILO DE SOUZA</v>
          </cell>
          <cell r="G2330" t="str">
            <v>29/02/2016</v>
          </cell>
          <cell r="H2330" t="str">
            <v/>
          </cell>
          <cell r="I2330" t="str">
            <v/>
          </cell>
          <cell r="J2330" t="str">
            <v>PESSOA FÍSICA</v>
          </cell>
          <cell r="K2330" t="str">
            <v>673.203.098-15</v>
          </cell>
          <cell r="L2330" t="str">
            <v>CL</v>
          </cell>
          <cell r="M2330" t="str">
            <v>ANTONIO CAMILO DE SOUZA</v>
          </cell>
          <cell r="N2330" t="str">
            <v>CZX6029</v>
          </cell>
          <cell r="O2330" t="str">
            <v>2002</v>
          </cell>
          <cell r="P2330" t="str">
            <v>25</v>
          </cell>
          <cell r="Q2330" t="str">
            <v>23</v>
          </cell>
        </row>
        <row r="2331">
          <cell r="B2331" t="str">
            <v>0493/16</v>
          </cell>
          <cell r="C2331" t="str">
            <v>2016-0.061.622-0</v>
          </cell>
          <cell r="D2331" t="str">
            <v/>
          </cell>
          <cell r="E2331" t="str">
            <v>07 de março de 2016</v>
          </cell>
          <cell r="F2331" t="str">
            <v>FRANCISCO SILVA FILHO</v>
          </cell>
          <cell r="G2331" t="str">
            <v>07/03/2016</v>
          </cell>
          <cell r="H2331" t="str">
            <v/>
          </cell>
          <cell r="I2331" t="str">
            <v/>
          </cell>
          <cell r="J2331" t="str">
            <v>PESSOA FÍSICA</v>
          </cell>
          <cell r="K2331" t="str">
            <v>213.812.338-30</v>
          </cell>
          <cell r="L2331" t="str">
            <v>PJ</v>
          </cell>
          <cell r="M2331" t="str">
            <v>FRANCISCO SILVA FILHO</v>
          </cell>
          <cell r="N2331" t="str">
            <v>EWO9613</v>
          </cell>
          <cell r="O2331" t="str">
            <v>2011</v>
          </cell>
          <cell r="P2331" t="str">
            <v>27</v>
          </cell>
          <cell r="Q2331" t="str">
            <v>26</v>
          </cell>
        </row>
        <row r="2332">
          <cell r="B2332" t="str">
            <v>0494/16</v>
          </cell>
          <cell r="C2332" t="str">
            <v>2016-0.061.623-9</v>
          </cell>
          <cell r="D2332" t="str">
            <v/>
          </cell>
          <cell r="E2332" t="str">
            <v>07 de março de 2016</v>
          </cell>
          <cell r="F2332" t="str">
            <v>SONIA MARIA DE ARAUJO</v>
          </cell>
          <cell r="G2332" t="str">
            <v>07/03/2016</v>
          </cell>
          <cell r="H2332" t="str">
            <v/>
          </cell>
          <cell r="I2332" t="str">
            <v/>
          </cell>
          <cell r="J2332" t="str">
            <v>PESSOA FÍSICA</v>
          </cell>
          <cell r="K2332" t="str">
            <v>043.500.698-36</v>
          </cell>
          <cell r="L2332" t="str">
            <v>PE</v>
          </cell>
          <cell r="M2332" t="str">
            <v>SONIA MARIA DE ARAUJO</v>
          </cell>
          <cell r="N2332" t="str">
            <v>DTC4899</v>
          </cell>
          <cell r="O2332" t="str">
            <v>2008</v>
          </cell>
          <cell r="P2332" t="str">
            <v>29</v>
          </cell>
          <cell r="Q2332" t="str">
            <v>27</v>
          </cell>
        </row>
        <row r="2333">
          <cell r="B2333" t="str">
            <v>0495/16</v>
          </cell>
          <cell r="C2333" t="str">
            <v>2016-0.061.626-3</v>
          </cell>
          <cell r="D2333" t="str">
            <v>09/03/2016</v>
          </cell>
          <cell r="E2333" t="str">
            <v/>
          </cell>
          <cell r="F2333" t="str">
            <v>JOSILDO DE ALMEIDA SANTANA</v>
          </cell>
          <cell r="G2333" t="str">
            <v/>
          </cell>
          <cell r="H2333" t="str">
            <v/>
          </cell>
          <cell r="I2333" t="str">
            <v/>
          </cell>
          <cell r="J2333" t="str">
            <v>PESSOA FÍSICA</v>
          </cell>
          <cell r="K2333" t="str">
            <v>542.602.995-49</v>
          </cell>
          <cell r="L2333" t="str">
            <v>IQ</v>
          </cell>
          <cell r="M2333" t="str">
            <v>JOSILDO DE ALMEIDA SANTANA</v>
          </cell>
          <cell r="N2333" t="str">
            <v>CZX6190</v>
          </cell>
          <cell r="O2333" t="str">
            <v>2002</v>
          </cell>
          <cell r="P2333" t="str">
            <v>25</v>
          </cell>
          <cell r="Q2333" t="str">
            <v>23</v>
          </cell>
        </row>
        <row r="2334">
          <cell r="B2334" t="str">
            <v>0496/16</v>
          </cell>
          <cell r="C2334" t="str">
            <v>2016-0.061.629-8</v>
          </cell>
          <cell r="D2334" t="str">
            <v/>
          </cell>
          <cell r="E2334" t="str">
            <v>14 de março de 2016</v>
          </cell>
          <cell r="F2334" t="str">
            <v>MARIA APARECIDA NUNES PEREIRA PINHEIRO</v>
          </cell>
          <cell r="G2334" t="str">
            <v>14/03/2016</v>
          </cell>
          <cell r="H2334" t="str">
            <v>23/03/2016</v>
          </cell>
          <cell r="I2334" t="str">
            <v>58</v>
          </cell>
          <cell r="J2334" t="str">
            <v>PESSOA FÍSICA</v>
          </cell>
          <cell r="K2334" t="str">
            <v>007.833.168-44</v>
          </cell>
          <cell r="L2334" t="str">
            <v>SM</v>
          </cell>
          <cell r="M2334" t="str">
            <v>MARIA APARECIDA NUNES PEREIRA PINHEIRO</v>
          </cell>
          <cell r="N2334" t="str">
            <v>DPS3285</v>
          </cell>
          <cell r="O2334" t="str">
            <v>2004</v>
          </cell>
          <cell r="P2334" t="str">
            <v>25</v>
          </cell>
          <cell r="Q2334" t="str">
            <v>23</v>
          </cell>
        </row>
        <row r="2335">
          <cell r="B2335" t="str">
            <v>0497/16</v>
          </cell>
          <cell r="C2335" t="str">
            <v>2016-0.061.633-6</v>
          </cell>
          <cell r="D2335" t="str">
            <v/>
          </cell>
          <cell r="E2335" t="str">
            <v>14 de março de 2016</v>
          </cell>
          <cell r="F2335" t="str">
            <v>RITA DE CASSIA FARIA</v>
          </cell>
          <cell r="G2335" t="str">
            <v>14/03/2016</v>
          </cell>
          <cell r="H2335" t="str">
            <v/>
          </cell>
          <cell r="I2335" t="str">
            <v/>
          </cell>
          <cell r="J2335" t="str">
            <v>PESSOA FÍSICA</v>
          </cell>
          <cell r="K2335" t="str">
            <v>034.651.408-85</v>
          </cell>
          <cell r="L2335" t="str">
            <v>PE</v>
          </cell>
          <cell r="M2335" t="str">
            <v>RITA DE CASSIA FARIA</v>
          </cell>
          <cell r="N2335" t="str">
            <v>CZX5117</v>
          </cell>
          <cell r="O2335" t="str">
            <v>2002</v>
          </cell>
          <cell r="P2335" t="str">
            <v>25</v>
          </cell>
          <cell r="Q2335" t="str">
            <v>23</v>
          </cell>
        </row>
        <row r="2336">
          <cell r="B2336" t="str">
            <v>0498/16</v>
          </cell>
          <cell r="C2336" t="str">
            <v>2016-0.061.637-9</v>
          </cell>
          <cell r="D2336" t="str">
            <v/>
          </cell>
          <cell r="E2336" t="str">
            <v>14 de março de 2016</v>
          </cell>
          <cell r="F2336" t="str">
            <v>INES BARRETO XAVIER DE BARROS</v>
          </cell>
          <cell r="G2336" t="str">
            <v>14/03/2016</v>
          </cell>
          <cell r="H2336" t="str">
            <v>23/03/2016</v>
          </cell>
          <cell r="I2336" t="str">
            <v>58</v>
          </cell>
          <cell r="J2336" t="str">
            <v>PESSOA FÍSICA</v>
          </cell>
          <cell r="K2336" t="str">
            <v>106.402.898-51</v>
          </cell>
          <cell r="L2336" t="str">
            <v>PE</v>
          </cell>
          <cell r="M2336" t="str">
            <v>INES BARRETO XAVIER DE BARROS</v>
          </cell>
          <cell r="N2336" t="str">
            <v>DTD4309</v>
          </cell>
          <cell r="O2336" t="str">
            <v>2008</v>
          </cell>
          <cell r="P2336" t="str">
            <v>29</v>
          </cell>
          <cell r="Q2336" t="str">
            <v>27</v>
          </cell>
        </row>
        <row r="2337">
          <cell r="B2337" t="str">
            <v>0499/16</v>
          </cell>
          <cell r="C2337" t="str">
            <v>2016-0.061.651-4</v>
          </cell>
          <cell r="D2337" t="str">
            <v/>
          </cell>
          <cell r="E2337" t="str">
            <v>14 de março de 2016</v>
          </cell>
          <cell r="F2337" t="str">
            <v>EZEQUIEL PICARELLI DE CAMPOS</v>
          </cell>
          <cell r="G2337" t="str">
            <v>14/03/2016</v>
          </cell>
          <cell r="H2337" t="str">
            <v>23/03/2016</v>
          </cell>
          <cell r="I2337" t="str">
            <v>58</v>
          </cell>
          <cell r="J2337" t="str">
            <v>PESSOA FÍSICA</v>
          </cell>
          <cell r="K2337" t="str">
            <v>322.082.279-72</v>
          </cell>
          <cell r="L2337" t="str">
            <v>PE</v>
          </cell>
          <cell r="M2337" t="str">
            <v>EZEQUIEL PICARELLI DE CAMPOS</v>
          </cell>
          <cell r="N2337" t="str">
            <v>CZZ7522</v>
          </cell>
          <cell r="O2337" t="str">
            <v>2003</v>
          </cell>
          <cell r="P2337" t="str">
            <v>25</v>
          </cell>
          <cell r="Q2337" t="str">
            <v>23</v>
          </cell>
        </row>
        <row r="2338">
          <cell r="B2338" t="str">
            <v>0500/16</v>
          </cell>
          <cell r="C2338" t="str">
            <v>2016-0.061.653-0</v>
          </cell>
          <cell r="D2338" t="str">
            <v/>
          </cell>
          <cell r="E2338" t="str">
            <v>14 de março de 2016</v>
          </cell>
          <cell r="F2338" t="str">
            <v>ROSELI DA SILVA PORTO DANIELI</v>
          </cell>
          <cell r="G2338" t="str">
            <v>14/03/2016</v>
          </cell>
          <cell r="H2338" t="str">
            <v>25/03/2016</v>
          </cell>
          <cell r="I2338" t="str">
            <v>37</v>
          </cell>
          <cell r="J2338" t="str">
            <v>PESSOA FÍSICA</v>
          </cell>
          <cell r="K2338" t="str">
            <v>267.340.098-23</v>
          </cell>
          <cell r="L2338" t="str">
            <v>PE</v>
          </cell>
          <cell r="M2338" t="str">
            <v>ROSELI DA SILVA PORTO DANIELI</v>
          </cell>
          <cell r="N2338" t="str">
            <v>EFU7226</v>
          </cell>
          <cell r="O2338" t="str">
            <v>2009</v>
          </cell>
          <cell r="P2338" t="str">
            <v>19</v>
          </cell>
          <cell r="Q2338" t="str">
            <v>18</v>
          </cell>
        </row>
        <row r="2339">
          <cell r="B2339" t="str">
            <v>0501/16</v>
          </cell>
          <cell r="C2339" t="str">
            <v>2016-0.061.654-9</v>
          </cell>
          <cell r="D2339" t="str">
            <v/>
          </cell>
          <cell r="E2339" t="str">
            <v>14 de março de 2016</v>
          </cell>
          <cell r="F2339" t="str">
            <v>SIDNEI BIANCHI</v>
          </cell>
          <cell r="G2339" t="str">
            <v>14/03/2016</v>
          </cell>
          <cell r="H2339" t="str">
            <v>23/03/2016</v>
          </cell>
          <cell r="I2339" t="str">
            <v>58</v>
          </cell>
          <cell r="J2339" t="str">
            <v>PESSOA FÍSICA</v>
          </cell>
          <cell r="K2339" t="str">
            <v>012.373.668-44</v>
          </cell>
          <cell r="L2339" t="str">
            <v>PE</v>
          </cell>
          <cell r="M2339" t="str">
            <v>SIDNEI BIANCHI</v>
          </cell>
          <cell r="N2339" t="str">
            <v>CZZ1986</v>
          </cell>
          <cell r="O2339" t="str">
            <v>2001</v>
          </cell>
          <cell r="P2339" t="str">
            <v>15</v>
          </cell>
          <cell r="Q2339" t="str">
            <v>13</v>
          </cell>
        </row>
        <row r="2340">
          <cell r="B2340" t="str">
            <v>0502/16</v>
          </cell>
          <cell r="C2340" t="str">
            <v>2016-0.061.656-5</v>
          </cell>
          <cell r="D2340" t="str">
            <v/>
          </cell>
          <cell r="E2340" t="str">
            <v/>
          </cell>
          <cell r="F2340" t="str">
            <v>REJANE MARIA DE SANTANA SANTOS</v>
          </cell>
          <cell r="G2340" t="str">
            <v/>
          </cell>
          <cell r="H2340" t="str">
            <v/>
          </cell>
          <cell r="I2340" t="str">
            <v/>
          </cell>
          <cell r="J2340" t="str">
            <v>PESSOA FÍSICA</v>
          </cell>
          <cell r="K2340" t="str">
            <v>613.050.734-87</v>
          </cell>
          <cell r="L2340" t="str">
            <v>BT</v>
          </cell>
          <cell r="M2340" t="str">
            <v>REJANE MARIA DE SANTANA SANTOS</v>
          </cell>
          <cell r="N2340" t="str">
            <v>CZZ1644</v>
          </cell>
          <cell r="O2340" t="str">
            <v>2003</v>
          </cell>
          <cell r="P2340" t="str">
            <v>25</v>
          </cell>
          <cell r="Q2340" t="str">
            <v>23</v>
          </cell>
        </row>
        <row r="2341">
          <cell r="B2341" t="str">
            <v>0503/16</v>
          </cell>
          <cell r="C2341" t="str">
            <v>2016-0.061.666-2</v>
          </cell>
          <cell r="D2341" t="str">
            <v/>
          </cell>
          <cell r="E2341" t="str">
            <v>08 de abril de 2016</v>
          </cell>
          <cell r="F2341" t="str">
            <v>JOSE ANDRE DOS SANTOS</v>
          </cell>
          <cell r="G2341" t="str">
            <v>08/04/2016</v>
          </cell>
          <cell r="H2341" t="str">
            <v>09/04/2016</v>
          </cell>
          <cell r="I2341" t="str">
            <v>33</v>
          </cell>
          <cell r="J2341" t="str">
            <v>PESSOA FÍSICA</v>
          </cell>
          <cell r="K2341" t="str">
            <v>107.228.278-06</v>
          </cell>
          <cell r="L2341" t="str">
            <v>BT</v>
          </cell>
          <cell r="M2341" t="str">
            <v>JOSE ANDRE DOS SANTOS</v>
          </cell>
          <cell r="N2341" t="str">
            <v>CZX2574</v>
          </cell>
          <cell r="O2341" t="str">
            <v>2002</v>
          </cell>
          <cell r="P2341" t="str">
            <v>25</v>
          </cell>
          <cell r="Q2341" t="str">
            <v>23</v>
          </cell>
        </row>
        <row r="2342">
          <cell r="B2342" t="str">
            <v>0504/16</v>
          </cell>
          <cell r="C2342" t="str">
            <v>2016-0.061.670-0</v>
          </cell>
          <cell r="D2342" t="str">
            <v>21/03/2016</v>
          </cell>
          <cell r="E2342" t="str">
            <v>15 de abril de 2016</v>
          </cell>
          <cell r="F2342" t="str">
            <v>ADEMIR CAROLINO</v>
          </cell>
          <cell r="G2342" t="str">
            <v>15/04/2016</v>
          </cell>
          <cell r="H2342" t="str">
            <v>19/04/2016</v>
          </cell>
          <cell r="I2342" t="str">
            <v>27</v>
          </cell>
          <cell r="J2342" t="str">
            <v>PESSOA FÍSICA</v>
          </cell>
          <cell r="K2342" t="str">
            <v>115.090.618-94</v>
          </cell>
          <cell r="L2342" t="str">
            <v>SM</v>
          </cell>
          <cell r="M2342" t="str">
            <v>ADEMIR CAROLINO</v>
          </cell>
          <cell r="N2342" t="str">
            <v>EFW5719</v>
          </cell>
          <cell r="O2342" t="str">
            <v>2010</v>
          </cell>
          <cell r="P2342" t="str">
            <v>19</v>
          </cell>
          <cell r="Q2342" t="str">
            <v>18</v>
          </cell>
        </row>
        <row r="2343">
          <cell r="B2343" t="str">
            <v>0505/16</v>
          </cell>
          <cell r="C2343" t="str">
            <v>2016-0.061.672-7</v>
          </cell>
          <cell r="D2343" t="str">
            <v/>
          </cell>
          <cell r="E2343" t="str">
            <v>14 de março de 2016</v>
          </cell>
          <cell r="F2343" t="str">
            <v>ADIR GARCIA VOLCOV</v>
          </cell>
          <cell r="G2343" t="str">
            <v>14/03/2016</v>
          </cell>
          <cell r="H2343" t="str">
            <v/>
          </cell>
          <cell r="I2343" t="str">
            <v/>
          </cell>
          <cell r="J2343" t="str">
            <v>PESSOA FÍSICA</v>
          </cell>
          <cell r="K2343" t="str">
            <v>801.292.508-72</v>
          </cell>
          <cell r="L2343" t="str">
            <v>SM</v>
          </cell>
          <cell r="M2343" t="str">
            <v>ADIR GARCIA VOLCOV</v>
          </cell>
          <cell r="N2343" t="str">
            <v>CYR9139</v>
          </cell>
          <cell r="O2343" t="str">
            <v>2002</v>
          </cell>
          <cell r="P2343" t="str">
            <v>25</v>
          </cell>
          <cell r="Q2343" t="str">
            <v>23</v>
          </cell>
        </row>
        <row r="2344">
          <cell r="B2344" t="str">
            <v>0506/16</v>
          </cell>
          <cell r="C2344" t="str">
            <v>2016-0.061.674-3</v>
          </cell>
          <cell r="D2344" t="str">
            <v/>
          </cell>
          <cell r="E2344" t="str">
            <v>21 de março de 2016</v>
          </cell>
          <cell r="F2344" t="str">
            <v>ANDRE CARVALHO DA SILVA</v>
          </cell>
          <cell r="G2344" t="str">
            <v>21/03/2016</v>
          </cell>
          <cell r="H2344" t="str">
            <v>23/03/2016</v>
          </cell>
          <cell r="I2344" t="str">
            <v>58</v>
          </cell>
          <cell r="J2344" t="str">
            <v>PESSOA FÍSICA</v>
          </cell>
          <cell r="K2344" t="str">
            <v>329.787.628-02</v>
          </cell>
          <cell r="L2344" t="str">
            <v>SM</v>
          </cell>
          <cell r="M2344" t="str">
            <v>ANDRE CARVALHO DA SILVA</v>
          </cell>
          <cell r="N2344" t="str">
            <v>ELQ7332</v>
          </cell>
          <cell r="O2344" t="str">
            <v>2010</v>
          </cell>
          <cell r="P2344" t="str">
            <v>40</v>
          </cell>
          <cell r="Q2344" t="str">
            <v>39</v>
          </cell>
        </row>
        <row r="2345">
          <cell r="B2345" t="str">
            <v>0507/16</v>
          </cell>
          <cell r="C2345" t="str">
            <v>2016-0.061.676-0</v>
          </cell>
          <cell r="D2345" t="str">
            <v/>
          </cell>
          <cell r="E2345" t="str">
            <v>17 de março de 2016</v>
          </cell>
          <cell r="F2345" t="str">
            <v>ANGELINA PAULINO RODRIGUES</v>
          </cell>
          <cell r="G2345" t="str">
            <v>17/03/2016</v>
          </cell>
          <cell r="H2345" t="str">
            <v/>
          </cell>
          <cell r="I2345" t="str">
            <v/>
          </cell>
          <cell r="J2345" t="str">
            <v>PESSOA FÍSICA</v>
          </cell>
          <cell r="K2345" t="str">
            <v>356.905.928-62</v>
          </cell>
          <cell r="L2345" t="str">
            <v>SM</v>
          </cell>
          <cell r="M2345" t="str">
            <v>ANGELINA PAULINO RODRIGUES</v>
          </cell>
          <cell r="N2345" t="str">
            <v>CZX5013</v>
          </cell>
          <cell r="O2345" t="str">
            <v>2002</v>
          </cell>
          <cell r="P2345" t="str">
            <v>25</v>
          </cell>
          <cell r="Q2345" t="str">
            <v>23</v>
          </cell>
        </row>
        <row r="2346">
          <cell r="B2346" t="str">
            <v>0508/16</v>
          </cell>
          <cell r="C2346" t="str">
            <v>2016-0.061.679-4</v>
          </cell>
          <cell r="D2346" t="str">
            <v/>
          </cell>
          <cell r="E2346" t="str">
            <v>17 de março de 2016</v>
          </cell>
          <cell r="F2346" t="str">
            <v>ANTONIO ANICETO FERNANDES</v>
          </cell>
          <cell r="G2346" t="str">
            <v>17/03/2016</v>
          </cell>
          <cell r="H2346" t="str">
            <v/>
          </cell>
          <cell r="I2346" t="str">
            <v/>
          </cell>
          <cell r="J2346" t="str">
            <v>PESSOA FÍSICA</v>
          </cell>
          <cell r="K2346" t="str">
            <v>161.709.206-10</v>
          </cell>
          <cell r="L2346" t="str">
            <v>SM</v>
          </cell>
          <cell r="M2346" t="str">
            <v>ANTONIO ANICETO FERNANDES</v>
          </cell>
          <cell r="N2346" t="str">
            <v>DTC1023</v>
          </cell>
          <cell r="O2346" t="str">
            <v>2007</v>
          </cell>
          <cell r="P2346" t="str">
            <v>29</v>
          </cell>
          <cell r="Q2346" t="str">
            <v>27</v>
          </cell>
        </row>
        <row r="2347">
          <cell r="B2347" t="str">
            <v>0509/16</v>
          </cell>
          <cell r="C2347" t="str">
            <v>2016-0.061.681-6</v>
          </cell>
          <cell r="D2347" t="str">
            <v/>
          </cell>
          <cell r="E2347" t="str">
            <v>14 de março de 2016</v>
          </cell>
          <cell r="F2347" t="str">
            <v>ANTONIO CARLOS DE SOUZA</v>
          </cell>
          <cell r="G2347" t="str">
            <v>14/03/2016</v>
          </cell>
          <cell r="H2347" t="str">
            <v/>
          </cell>
          <cell r="I2347" t="str">
            <v/>
          </cell>
          <cell r="J2347" t="str">
            <v>PESSOA FÍSICA</v>
          </cell>
          <cell r="K2347" t="str">
            <v>703.978.058-53</v>
          </cell>
          <cell r="L2347" t="str">
            <v>SM</v>
          </cell>
          <cell r="M2347" t="str">
            <v>ANTONIO CARLOS DE SOUZA</v>
          </cell>
          <cell r="N2347" t="str">
            <v>ELQ6789</v>
          </cell>
          <cell r="O2347" t="str">
            <v>2010</v>
          </cell>
          <cell r="P2347" t="str">
            <v>19</v>
          </cell>
          <cell r="Q2347" t="str">
            <v>18</v>
          </cell>
        </row>
        <row r="2348">
          <cell r="B2348" t="str">
            <v>0510/16</v>
          </cell>
          <cell r="C2348" t="str">
            <v>2016-0.061.686-7</v>
          </cell>
          <cell r="D2348" t="str">
            <v/>
          </cell>
          <cell r="E2348" t="str">
            <v>18 de março de 2016</v>
          </cell>
          <cell r="F2348" t="str">
            <v>ANTONIO CARLOS DOS SANTOS</v>
          </cell>
          <cell r="G2348" t="str">
            <v>18/03/2016</v>
          </cell>
          <cell r="H2348" t="str">
            <v/>
          </cell>
          <cell r="I2348" t="str">
            <v/>
          </cell>
          <cell r="J2348" t="str">
            <v>PESSOA FÍSICA</v>
          </cell>
          <cell r="K2348" t="str">
            <v>060.056.098-82</v>
          </cell>
          <cell r="L2348" t="str">
            <v>SM</v>
          </cell>
          <cell r="M2348" t="str">
            <v>ANTONIO CARLOS DOS SANTOS</v>
          </cell>
          <cell r="N2348" t="str">
            <v>CYR3846</v>
          </cell>
          <cell r="O2348" t="str">
            <v>2001</v>
          </cell>
          <cell r="P2348" t="str">
            <v>18</v>
          </cell>
          <cell r="Q2348" t="str">
            <v>16</v>
          </cell>
        </row>
        <row r="2349">
          <cell r="B2349" t="str">
            <v>0511/16</v>
          </cell>
          <cell r="C2349" t="str">
            <v>2016-0.061.689-1</v>
          </cell>
          <cell r="D2349" t="str">
            <v/>
          </cell>
          <cell r="E2349" t="str">
            <v>17 de março de 2016</v>
          </cell>
          <cell r="F2349" t="str">
            <v>CARLOS PEREIRA DOS SANTOS</v>
          </cell>
          <cell r="G2349" t="str">
            <v>17/03/2016</v>
          </cell>
          <cell r="H2349" t="str">
            <v/>
          </cell>
          <cell r="I2349" t="str">
            <v/>
          </cell>
          <cell r="J2349" t="str">
            <v>PESSOA FÍSICA</v>
          </cell>
          <cell r="K2349" t="str">
            <v>075.273.588-82</v>
          </cell>
          <cell r="L2349" t="str">
            <v>SM</v>
          </cell>
          <cell r="M2349" t="str">
            <v>CARLOS PEREIRA DOS SANTOS</v>
          </cell>
          <cell r="N2349" t="str">
            <v>ELW9365</v>
          </cell>
          <cell r="O2349" t="str">
            <v>2009</v>
          </cell>
          <cell r="P2349" t="str">
            <v>19</v>
          </cell>
          <cell r="Q2349" t="str">
            <v>18</v>
          </cell>
        </row>
        <row r="2350">
          <cell r="B2350" t="str">
            <v>0512/16</v>
          </cell>
          <cell r="C2350" t="str">
            <v>2016-0.061.691-3</v>
          </cell>
          <cell r="D2350" t="str">
            <v/>
          </cell>
          <cell r="E2350" t="str">
            <v>17 de março de 2016</v>
          </cell>
          <cell r="F2350" t="str">
            <v>CLAUDIO SIMOES RIBEIRO</v>
          </cell>
          <cell r="G2350" t="str">
            <v>17/03/2016</v>
          </cell>
          <cell r="H2350" t="str">
            <v/>
          </cell>
          <cell r="I2350" t="str">
            <v/>
          </cell>
          <cell r="J2350" t="str">
            <v>PESSOA FÍSICA</v>
          </cell>
          <cell r="K2350" t="str">
            <v>920.525.256-53</v>
          </cell>
          <cell r="L2350" t="str">
            <v>SM</v>
          </cell>
          <cell r="M2350" t="str">
            <v>CLAUDIO SIMOES RIBEIRO</v>
          </cell>
          <cell r="N2350" t="str">
            <v>DAJ9930</v>
          </cell>
          <cell r="O2350" t="str">
            <v>2008</v>
          </cell>
          <cell r="P2350" t="str">
            <v>29</v>
          </cell>
          <cell r="Q2350" t="str">
            <v>28</v>
          </cell>
        </row>
        <row r="2351">
          <cell r="B2351" t="str">
            <v>0513/16</v>
          </cell>
          <cell r="C2351" t="str">
            <v>2016-0.061.693-0</v>
          </cell>
          <cell r="D2351" t="str">
            <v/>
          </cell>
          <cell r="E2351" t="str">
            <v>17 de março de 2016</v>
          </cell>
          <cell r="F2351" t="str">
            <v>CLAUDIONOR MACHADO</v>
          </cell>
          <cell r="G2351" t="str">
            <v>17/03/2016</v>
          </cell>
          <cell r="H2351" t="str">
            <v/>
          </cell>
          <cell r="I2351" t="str">
            <v/>
          </cell>
          <cell r="J2351" t="str">
            <v>PESSOA FÍSICA</v>
          </cell>
          <cell r="K2351" t="str">
            <v>014.255.138-40</v>
          </cell>
          <cell r="L2351" t="str">
            <v>SM</v>
          </cell>
          <cell r="M2351" t="str">
            <v>CLAUDIONOR MACHADO</v>
          </cell>
          <cell r="N2351" t="str">
            <v>DDU4631</v>
          </cell>
          <cell r="O2351" t="str">
            <v>2001</v>
          </cell>
          <cell r="P2351" t="str">
            <v>25</v>
          </cell>
          <cell r="Q2351" t="str">
            <v>23</v>
          </cell>
        </row>
        <row r="2352">
          <cell r="B2352" t="str">
            <v>0514/16</v>
          </cell>
          <cell r="C2352" t="str">
            <v>2016-0.061.695-6</v>
          </cell>
          <cell r="D2352" t="str">
            <v/>
          </cell>
          <cell r="E2352" t="str">
            <v>18 de março de 2016</v>
          </cell>
          <cell r="F2352" t="str">
            <v>EDUARDO VALENTIM TAVEIROS</v>
          </cell>
          <cell r="G2352" t="str">
            <v>18/03/2016</v>
          </cell>
          <cell r="H2352" t="str">
            <v/>
          </cell>
          <cell r="I2352" t="str">
            <v/>
          </cell>
          <cell r="J2352" t="str">
            <v>PESSOA FÍSICA</v>
          </cell>
          <cell r="K2352" t="str">
            <v>176.442.738-67</v>
          </cell>
          <cell r="L2352" t="str">
            <v>SM</v>
          </cell>
          <cell r="M2352" t="str">
            <v>EDUARDO VALENTIM TAVEIROS</v>
          </cell>
          <cell r="N2352" t="str">
            <v>EBA6472</v>
          </cell>
          <cell r="O2352" t="str">
            <v>2007</v>
          </cell>
          <cell r="P2352" t="str">
            <v>29</v>
          </cell>
          <cell r="Q2352" t="str">
            <v>27</v>
          </cell>
        </row>
        <row r="2353">
          <cell r="B2353" t="str">
            <v>0515/16</v>
          </cell>
          <cell r="C2353" t="str">
            <v>2016-0.061.698-0</v>
          </cell>
          <cell r="D2353" t="str">
            <v/>
          </cell>
          <cell r="E2353" t="str">
            <v>18 de março de 2016</v>
          </cell>
          <cell r="F2353" t="str">
            <v>ERIC DE SOUZA</v>
          </cell>
          <cell r="G2353" t="str">
            <v>18/03/2016</v>
          </cell>
          <cell r="H2353" t="str">
            <v/>
          </cell>
          <cell r="I2353" t="str">
            <v/>
          </cell>
          <cell r="J2353" t="str">
            <v>PESSOA FÍSICA</v>
          </cell>
          <cell r="K2353" t="str">
            <v>220.542.158-13</v>
          </cell>
          <cell r="L2353" t="str">
            <v>SM</v>
          </cell>
          <cell r="M2353" t="str">
            <v>ERIC DE SOUZA</v>
          </cell>
          <cell r="N2353" t="str">
            <v>CZX4962</v>
          </cell>
          <cell r="O2353" t="str">
            <v>2002</v>
          </cell>
          <cell r="P2353" t="str">
            <v>25</v>
          </cell>
          <cell r="Q2353" t="str">
            <v>24</v>
          </cell>
        </row>
        <row r="2354">
          <cell r="B2354" t="str">
            <v>0516/16</v>
          </cell>
          <cell r="C2354" t="str">
            <v>2016-0.061.700-6</v>
          </cell>
          <cell r="D2354" t="str">
            <v/>
          </cell>
          <cell r="E2354" t="str">
            <v>04 de abril de 2016</v>
          </cell>
          <cell r="F2354" t="str">
            <v>FLORISVAL SOUZA CRUZ</v>
          </cell>
          <cell r="G2354" t="str">
            <v>04/04/2016</v>
          </cell>
          <cell r="H2354" t="str">
            <v>09/04/2016</v>
          </cell>
          <cell r="I2354" t="str">
            <v>33</v>
          </cell>
          <cell r="J2354" t="str">
            <v>PESSOA FÍSICA</v>
          </cell>
          <cell r="K2354" t="str">
            <v>077.418.298-90</v>
          </cell>
          <cell r="L2354" t="str">
            <v>SM</v>
          </cell>
          <cell r="M2354" t="str">
            <v>FLORISVAL SOUZA CRUZ</v>
          </cell>
          <cell r="N2354" t="str">
            <v>EFV1290</v>
          </cell>
          <cell r="O2354" t="str">
            <v>2009</v>
          </cell>
          <cell r="P2354" t="str">
            <v>15</v>
          </cell>
          <cell r="Q2354" t="str">
            <v>14</v>
          </cell>
        </row>
        <row r="2355">
          <cell r="B2355" t="str">
            <v>0517/16</v>
          </cell>
          <cell r="C2355" t="str">
            <v>2016-0.061.702-2</v>
          </cell>
          <cell r="D2355" t="str">
            <v/>
          </cell>
          <cell r="E2355" t="str">
            <v>29 de fevereiro de 2016</v>
          </cell>
          <cell r="F2355" t="str">
            <v>JAIME JARA</v>
          </cell>
          <cell r="G2355" t="str">
            <v>29/02/2016</v>
          </cell>
          <cell r="H2355" t="str">
            <v/>
          </cell>
          <cell r="I2355" t="str">
            <v/>
          </cell>
          <cell r="J2355" t="str">
            <v>PESSOA FÍSICA</v>
          </cell>
          <cell r="K2355" t="str">
            <v>047.810.198-89</v>
          </cell>
          <cell r="L2355" t="str">
            <v>SM</v>
          </cell>
          <cell r="M2355" t="str">
            <v>JAIME JARA</v>
          </cell>
          <cell r="N2355" t="str">
            <v>CZX5106</v>
          </cell>
          <cell r="O2355" t="str">
            <v>2002</v>
          </cell>
          <cell r="P2355" t="str">
            <v>25</v>
          </cell>
          <cell r="Q2355" t="str">
            <v>23</v>
          </cell>
        </row>
        <row r="2356">
          <cell r="B2356" t="str">
            <v>0518/16</v>
          </cell>
          <cell r="C2356" t="str">
            <v>2016-0.061.705-7</v>
          </cell>
          <cell r="D2356" t="str">
            <v/>
          </cell>
          <cell r="E2356" t="str">
            <v>21 de março de 2016</v>
          </cell>
          <cell r="F2356" t="str">
            <v>JOSE FRANCISCO DE LIMA</v>
          </cell>
          <cell r="G2356" t="str">
            <v>21/03/2016</v>
          </cell>
          <cell r="H2356" t="str">
            <v>23/03/2016</v>
          </cell>
          <cell r="I2356" t="str">
            <v>58</v>
          </cell>
          <cell r="J2356" t="str">
            <v>PESSOA FÍSICA</v>
          </cell>
          <cell r="K2356" t="str">
            <v>353.051.933-20</v>
          </cell>
          <cell r="L2356" t="str">
            <v>SM</v>
          </cell>
          <cell r="M2356" t="str">
            <v>JOSE FRANCISCO DE LIMA</v>
          </cell>
          <cell r="N2356" t="str">
            <v>FFE2827</v>
          </cell>
          <cell r="O2356" t="str">
            <v>2012</v>
          </cell>
          <cell r="P2356" t="str">
            <v>19</v>
          </cell>
          <cell r="Q2356" t="str">
            <v>18</v>
          </cell>
        </row>
        <row r="2357">
          <cell r="B2357" t="str">
            <v>0519/16</v>
          </cell>
          <cell r="C2357" t="str">
            <v>2016-0.061.707-3</v>
          </cell>
          <cell r="D2357" t="str">
            <v/>
          </cell>
          <cell r="E2357" t="str">
            <v>21 de março de 2016</v>
          </cell>
          <cell r="F2357" t="str">
            <v>JOSE LENILDO MACIEL</v>
          </cell>
          <cell r="G2357" t="str">
            <v>21/03/2016</v>
          </cell>
          <cell r="H2357" t="str">
            <v>23/03/2016</v>
          </cell>
          <cell r="I2357" t="str">
            <v>58</v>
          </cell>
          <cell r="J2357" t="str">
            <v>PESSOA FÍSICA</v>
          </cell>
          <cell r="K2357" t="str">
            <v>132.864.008-66</v>
          </cell>
          <cell r="L2357" t="str">
            <v>SM</v>
          </cell>
          <cell r="M2357" t="str">
            <v>JOSE LENILDO MACIEL</v>
          </cell>
          <cell r="N2357" t="str">
            <v>GBU8109</v>
          </cell>
          <cell r="O2357" t="str">
            <v>2015</v>
          </cell>
          <cell r="P2357" t="str">
            <v>19</v>
          </cell>
          <cell r="Q2357" t="str">
            <v>18</v>
          </cell>
        </row>
        <row r="2358">
          <cell r="B2358" t="str">
            <v>0520/16</v>
          </cell>
          <cell r="C2358" t="str">
            <v>2016-0.061.712-0</v>
          </cell>
          <cell r="D2358" t="str">
            <v/>
          </cell>
          <cell r="E2358" t="str">
            <v>04 de abril de 2016</v>
          </cell>
          <cell r="F2358" t="str">
            <v>LEIDIANA FERREIRA</v>
          </cell>
          <cell r="G2358" t="str">
            <v>04/04/2016</v>
          </cell>
          <cell r="H2358" t="str">
            <v>21/04/2016</v>
          </cell>
          <cell r="I2358" t="str">
            <v>95</v>
          </cell>
          <cell r="J2358" t="str">
            <v>PESSOA FÍSICA</v>
          </cell>
          <cell r="K2358" t="str">
            <v>293.339.728-54</v>
          </cell>
          <cell r="L2358" t="str">
            <v>SM</v>
          </cell>
          <cell r="M2358" t="str">
            <v>LEIDIANA FERREIRA</v>
          </cell>
          <cell r="N2358" t="str">
            <v>CYR2457</v>
          </cell>
          <cell r="O2358" t="str">
            <v>2002</v>
          </cell>
          <cell r="P2358" t="str">
            <v>25</v>
          </cell>
          <cell r="Q2358" t="str">
            <v>23</v>
          </cell>
        </row>
        <row r="2359">
          <cell r="B2359" t="str">
            <v>0521/16</v>
          </cell>
          <cell r="C2359" t="str">
            <v>2016-0.061.713-8</v>
          </cell>
          <cell r="D2359" t="str">
            <v/>
          </cell>
          <cell r="E2359" t="str">
            <v>17 de março de 2016</v>
          </cell>
          <cell r="F2359" t="str">
            <v>LEVI BARBOSA DOS SANTOS</v>
          </cell>
          <cell r="G2359" t="str">
            <v>17/03/2016</v>
          </cell>
          <cell r="H2359" t="str">
            <v/>
          </cell>
          <cell r="I2359" t="str">
            <v/>
          </cell>
          <cell r="J2359" t="str">
            <v>PESSOA FÍSICA</v>
          </cell>
          <cell r="K2359" t="str">
            <v>048.174.048-17</v>
          </cell>
          <cell r="L2359" t="str">
            <v>SM</v>
          </cell>
          <cell r="M2359" t="str">
            <v>LEVI BARBOSA DOS SANTOS</v>
          </cell>
          <cell r="N2359" t="str">
            <v>DAJ1959</v>
          </cell>
          <cell r="O2359" t="str">
            <v>2002</v>
          </cell>
          <cell r="P2359" t="str">
            <v>25</v>
          </cell>
          <cell r="Q2359" t="str">
            <v>23</v>
          </cell>
        </row>
        <row r="2360">
          <cell r="B2360" t="str">
            <v>0522/16</v>
          </cell>
          <cell r="C2360" t="str">
            <v>2016-0.061.718-9</v>
          </cell>
          <cell r="D2360" t="str">
            <v/>
          </cell>
          <cell r="E2360" t="str">
            <v>07 de março de 2016</v>
          </cell>
          <cell r="F2360" t="str">
            <v>LUCIANO DA SILVA MENDES</v>
          </cell>
          <cell r="G2360" t="str">
            <v>07/03/2016</v>
          </cell>
          <cell r="H2360" t="str">
            <v/>
          </cell>
          <cell r="I2360" t="str">
            <v/>
          </cell>
          <cell r="J2360" t="str">
            <v>PESSOA FÍSICA</v>
          </cell>
          <cell r="K2360" t="str">
            <v>147.104.898-58</v>
          </cell>
          <cell r="L2360" t="str">
            <v>SM</v>
          </cell>
          <cell r="M2360" t="str">
            <v>LUCIANO DA SILVA MENDES</v>
          </cell>
          <cell r="N2360" t="str">
            <v>DTC1019</v>
          </cell>
          <cell r="O2360" t="str">
            <v>2007</v>
          </cell>
          <cell r="P2360" t="str">
            <v>29</v>
          </cell>
          <cell r="Q2360" t="str">
            <v>27</v>
          </cell>
        </row>
        <row r="2361">
          <cell r="B2361" t="str">
            <v>0523/16</v>
          </cell>
          <cell r="C2361" t="str">
            <v>2016-0.061.720-0</v>
          </cell>
          <cell r="D2361" t="str">
            <v/>
          </cell>
          <cell r="E2361" t="str">
            <v>14 de março de 2016</v>
          </cell>
          <cell r="F2361" t="str">
            <v>MARCIO ROBERTO DE SANTANA</v>
          </cell>
          <cell r="G2361" t="str">
            <v>14/03/2016</v>
          </cell>
          <cell r="H2361" t="str">
            <v>23/03/2016</v>
          </cell>
          <cell r="I2361" t="str">
            <v>58</v>
          </cell>
          <cell r="J2361" t="str">
            <v>PESSOA FÍSICA</v>
          </cell>
          <cell r="K2361" t="str">
            <v>126.613.678-96</v>
          </cell>
          <cell r="L2361" t="str">
            <v>SM</v>
          </cell>
          <cell r="M2361" t="str">
            <v>MARCIO ROBERTO DE SANTANA</v>
          </cell>
          <cell r="N2361" t="str">
            <v>DHU1289</v>
          </cell>
          <cell r="O2361" t="str">
            <v>2003</v>
          </cell>
          <cell r="P2361" t="str">
            <v>25</v>
          </cell>
          <cell r="Q2361" t="str">
            <v>23</v>
          </cell>
        </row>
        <row r="2362">
          <cell r="B2362" t="str">
            <v>0524/16</v>
          </cell>
          <cell r="C2362" t="str">
            <v>2016-0.061.722-7</v>
          </cell>
          <cell r="D2362" t="str">
            <v/>
          </cell>
          <cell r="E2362" t="str">
            <v>21 de março de 2016</v>
          </cell>
          <cell r="F2362" t="str">
            <v>MARIA ESTEVA DE AMORIM SOARES</v>
          </cell>
          <cell r="G2362" t="str">
            <v>21/03/2016</v>
          </cell>
          <cell r="H2362" t="str">
            <v>23/03/2016</v>
          </cell>
          <cell r="I2362" t="str">
            <v>58</v>
          </cell>
          <cell r="J2362" t="str">
            <v>PESSOA FÍSICA</v>
          </cell>
          <cell r="K2362" t="str">
            <v>993.682.508-04</v>
          </cell>
          <cell r="L2362" t="str">
            <v>SM</v>
          </cell>
          <cell r="M2362" t="str">
            <v>MARIA ESTEVA DE AMORIM SOARES</v>
          </cell>
          <cell r="N2362" t="str">
            <v>EZC2308</v>
          </cell>
          <cell r="O2362" t="str">
            <v>2011</v>
          </cell>
          <cell r="P2362" t="str">
            <v>27</v>
          </cell>
          <cell r="Q2362" t="str">
            <v>26</v>
          </cell>
        </row>
        <row r="2363">
          <cell r="B2363" t="str">
            <v>0525/16</v>
          </cell>
          <cell r="C2363" t="str">
            <v>2016-0.061.724-3</v>
          </cell>
          <cell r="D2363" t="str">
            <v/>
          </cell>
          <cell r="E2363" t="str">
            <v/>
          </cell>
          <cell r="F2363" t="str">
            <v>MARIA LUCIA MOREIRA DA SILVA</v>
          </cell>
          <cell r="G2363" t="str">
            <v/>
          </cell>
          <cell r="H2363" t="str">
            <v/>
          </cell>
          <cell r="I2363" t="str">
            <v/>
          </cell>
          <cell r="J2363" t="str">
            <v>PESSOA FÍSICA</v>
          </cell>
          <cell r="K2363" t="str">
            <v>275.709.178-63</v>
          </cell>
          <cell r="L2363" t="str">
            <v>SM</v>
          </cell>
          <cell r="M2363" t="str">
            <v>MARIA LUCIA MOREIRA DA SILVA</v>
          </cell>
          <cell r="N2363" t="str">
            <v>DTD3826</v>
          </cell>
          <cell r="O2363" t="str">
            <v>2008</v>
          </cell>
          <cell r="P2363" t="str">
            <v>19</v>
          </cell>
          <cell r="Q2363" t="str">
            <v>18</v>
          </cell>
        </row>
        <row r="2364">
          <cell r="B2364" t="str">
            <v>0526/16</v>
          </cell>
          <cell r="C2364" t="str">
            <v>2016-0.061.730-8</v>
          </cell>
          <cell r="D2364" t="str">
            <v/>
          </cell>
          <cell r="E2364" t="str">
            <v>21 de março de 2016</v>
          </cell>
          <cell r="F2364" t="str">
            <v>OSVALDO MASSATOSHI YAMADA</v>
          </cell>
          <cell r="G2364" t="str">
            <v>21/03/2016</v>
          </cell>
          <cell r="H2364" t="str">
            <v>23/03/2016</v>
          </cell>
          <cell r="I2364" t="str">
            <v>58</v>
          </cell>
          <cell r="J2364" t="str">
            <v>PESSOA FÍSICA</v>
          </cell>
          <cell r="K2364" t="str">
            <v>035.801.948-60</v>
          </cell>
          <cell r="L2364" t="str">
            <v>SM</v>
          </cell>
          <cell r="M2364" t="str">
            <v>OSVALDO MASSATOSHI YAMADA</v>
          </cell>
          <cell r="N2364" t="str">
            <v>CZX4580</v>
          </cell>
          <cell r="O2364" t="str">
            <v>2003</v>
          </cell>
          <cell r="P2364" t="str">
            <v>25</v>
          </cell>
          <cell r="Q2364" t="str">
            <v>23</v>
          </cell>
        </row>
        <row r="2365">
          <cell r="B2365" t="str">
            <v>0527/16</v>
          </cell>
          <cell r="C2365" t="str">
            <v>2016-0.061.733-2</v>
          </cell>
          <cell r="D2365" t="str">
            <v/>
          </cell>
          <cell r="E2365" t="str">
            <v/>
          </cell>
          <cell r="F2365" t="str">
            <v>PAULO SERGIO VITAL</v>
          </cell>
          <cell r="G2365" t="str">
            <v/>
          </cell>
          <cell r="H2365" t="str">
            <v/>
          </cell>
          <cell r="I2365" t="str">
            <v/>
          </cell>
          <cell r="J2365" t="str">
            <v>PESSOA FÍSICA</v>
          </cell>
          <cell r="K2365" t="str">
            <v>089.102.248-19</v>
          </cell>
          <cell r="L2365" t="str">
            <v>SM</v>
          </cell>
          <cell r="M2365" t="str">
            <v>PAULO SERGIO VITAL</v>
          </cell>
          <cell r="N2365" t="str">
            <v>EXO0448</v>
          </cell>
          <cell r="O2365" t="str">
            <v>2012</v>
          </cell>
          <cell r="P2365" t="str">
            <v>15</v>
          </cell>
          <cell r="Q2365" t="str">
            <v>14</v>
          </cell>
        </row>
        <row r="2366">
          <cell r="B2366" t="str">
            <v>0528/16</v>
          </cell>
          <cell r="C2366" t="str">
            <v>2016-0.061.738-3</v>
          </cell>
          <cell r="D2366" t="str">
            <v/>
          </cell>
          <cell r="E2366" t="str">
            <v>07 de março de 2016</v>
          </cell>
          <cell r="F2366" t="str">
            <v>RONALDO PAULO DA SILVA</v>
          </cell>
          <cell r="G2366" t="str">
            <v>07/03/2016</v>
          </cell>
          <cell r="H2366" t="str">
            <v/>
          </cell>
          <cell r="I2366" t="str">
            <v/>
          </cell>
          <cell r="J2366" t="str">
            <v>PESSOA FÍSICA</v>
          </cell>
          <cell r="K2366" t="str">
            <v>260.706.048-65</v>
          </cell>
          <cell r="L2366" t="str">
            <v>SM</v>
          </cell>
          <cell r="M2366" t="str">
            <v>RONALDO PAULO DA SILVA</v>
          </cell>
          <cell r="N2366" t="str">
            <v>EFU9917</v>
          </cell>
          <cell r="O2366" t="str">
            <v>2010</v>
          </cell>
          <cell r="P2366" t="str">
            <v>19</v>
          </cell>
          <cell r="Q2366" t="str">
            <v>18</v>
          </cell>
        </row>
        <row r="2367">
          <cell r="B2367" t="str">
            <v>0529/16</v>
          </cell>
          <cell r="C2367" t="str">
            <v>2016-0.061.742-1</v>
          </cell>
          <cell r="D2367" t="str">
            <v>28/03/2016</v>
          </cell>
          <cell r="E2367" t="str">
            <v>13 de abril de 2016</v>
          </cell>
          <cell r="F2367" t="str">
            <v>SAMUEL FELIX DA HORA</v>
          </cell>
          <cell r="G2367" t="str">
            <v>13/04/2016</v>
          </cell>
          <cell r="H2367" t="str">
            <v>19/04/2016</v>
          </cell>
          <cell r="I2367" t="str">
            <v>27</v>
          </cell>
          <cell r="J2367" t="str">
            <v>PESSOA FÍSICA</v>
          </cell>
          <cell r="K2367" t="str">
            <v>557.434.475-00</v>
          </cell>
          <cell r="L2367" t="str">
            <v>SM</v>
          </cell>
          <cell r="M2367" t="str">
            <v>SAMUEL FELIX DA HORA</v>
          </cell>
          <cell r="N2367" t="str">
            <v>FJP7947</v>
          </cell>
          <cell r="O2367" t="str">
            <v>2013</v>
          </cell>
          <cell r="P2367" t="str">
            <v>19</v>
          </cell>
          <cell r="Q2367" t="str">
            <v>18</v>
          </cell>
        </row>
        <row r="2368">
          <cell r="B2368" t="str">
            <v>0530/16</v>
          </cell>
          <cell r="C2368" t="str">
            <v>2016-0.061.745-6</v>
          </cell>
          <cell r="D2368" t="str">
            <v/>
          </cell>
          <cell r="E2368" t="str">
            <v>04 de abril de 2016</v>
          </cell>
          <cell r="F2368" t="str">
            <v>SARA SERINO</v>
          </cell>
          <cell r="G2368" t="str">
            <v>04/04/2016</v>
          </cell>
          <cell r="H2368" t="str">
            <v>19/04/2016</v>
          </cell>
          <cell r="I2368" t="str">
            <v>27</v>
          </cell>
          <cell r="J2368" t="str">
            <v>PESSOA FÍSICA</v>
          </cell>
          <cell r="K2368" t="str">
            <v>021.321.908-52</v>
          </cell>
          <cell r="L2368" t="str">
            <v>SM</v>
          </cell>
          <cell r="M2368" t="str">
            <v>SARA SERINO</v>
          </cell>
          <cell r="N2368" t="str">
            <v>ECT9633</v>
          </cell>
          <cell r="O2368" t="str">
            <v>2009</v>
          </cell>
          <cell r="P2368" t="str">
            <v>19</v>
          </cell>
          <cell r="Q2368" t="str">
            <v>18</v>
          </cell>
        </row>
        <row r="2369">
          <cell r="B2369" t="str">
            <v>0531/16</v>
          </cell>
          <cell r="C2369" t="str">
            <v>2016-0.061.748-0</v>
          </cell>
          <cell r="D2369" t="str">
            <v/>
          </cell>
          <cell r="E2369" t="str">
            <v>01 de abril de 2016</v>
          </cell>
          <cell r="F2369" t="str">
            <v>SHIRLEI ALVES DA SILVA VALE</v>
          </cell>
          <cell r="G2369" t="str">
            <v>01/04/2016</v>
          </cell>
          <cell r="H2369" t="str">
            <v>02/04/2016</v>
          </cell>
          <cell r="I2369" t="str">
            <v>41</v>
          </cell>
          <cell r="J2369" t="str">
            <v>PESSOA FÍSICA</v>
          </cell>
          <cell r="K2369" t="str">
            <v>115.135.348-58</v>
          </cell>
          <cell r="L2369" t="str">
            <v>SM</v>
          </cell>
          <cell r="M2369" t="str">
            <v>SHIRLEI ALVES DA SILVA VALE</v>
          </cell>
          <cell r="N2369" t="str">
            <v>FFN2450</v>
          </cell>
          <cell r="O2369" t="str">
            <v>2012</v>
          </cell>
          <cell r="P2369" t="str">
            <v>19</v>
          </cell>
          <cell r="Q2369" t="str">
            <v>18</v>
          </cell>
        </row>
        <row r="2370">
          <cell r="B2370" t="str">
            <v>0532/16</v>
          </cell>
          <cell r="C2370" t="str">
            <v>2016-0.061.755-3</v>
          </cell>
          <cell r="D2370" t="str">
            <v/>
          </cell>
          <cell r="E2370" t="str">
            <v/>
          </cell>
          <cell r="F2370" t="str">
            <v>SILVANA DE BELLO CABRAL SANTOS</v>
          </cell>
          <cell r="G2370" t="str">
            <v/>
          </cell>
          <cell r="H2370" t="str">
            <v/>
          </cell>
          <cell r="I2370" t="str">
            <v/>
          </cell>
          <cell r="J2370" t="str">
            <v>PESSOA FÍSICA</v>
          </cell>
          <cell r="K2370" t="str">
            <v>922.264.858-72</v>
          </cell>
          <cell r="L2370" t="str">
            <v>SM</v>
          </cell>
          <cell r="M2370" t="str">
            <v>SILVANA DE BELLO CABRAL SANTOS</v>
          </cell>
          <cell r="N2370" t="str">
            <v>DRB2384</v>
          </cell>
          <cell r="O2370" t="str">
            <v>2007</v>
          </cell>
          <cell r="P2370" t="str">
            <v>29</v>
          </cell>
          <cell r="Q2370" t="str">
            <v>27</v>
          </cell>
        </row>
        <row r="2371">
          <cell r="B2371" t="str">
            <v>0533/16</v>
          </cell>
          <cell r="C2371" t="str">
            <v>2016-0.061.759-6</v>
          </cell>
          <cell r="D2371" t="str">
            <v/>
          </cell>
          <cell r="E2371" t="str">
            <v/>
          </cell>
          <cell r="F2371" t="str">
            <v>TEREZINHA DE LOURDES PACIFICO DA SILVA</v>
          </cell>
          <cell r="G2371" t="str">
            <v/>
          </cell>
          <cell r="H2371" t="str">
            <v/>
          </cell>
          <cell r="I2371" t="str">
            <v/>
          </cell>
          <cell r="J2371" t="str">
            <v>PESSOA FÍSICA</v>
          </cell>
          <cell r="K2371" t="str">
            <v>147.686.308-39</v>
          </cell>
          <cell r="L2371" t="str">
            <v>SM</v>
          </cell>
          <cell r="M2371" t="str">
            <v>TEREZINHA DE LOURDES PACIFICO DA SILVA</v>
          </cell>
          <cell r="N2371" t="str">
            <v>DTA3743</v>
          </cell>
          <cell r="O2371" t="str">
            <v>2008</v>
          </cell>
          <cell r="P2371" t="str">
            <v>25</v>
          </cell>
          <cell r="Q2371" t="str">
            <v>23</v>
          </cell>
        </row>
        <row r="2372">
          <cell r="B2372" t="str">
            <v>0534/16</v>
          </cell>
          <cell r="C2372" t="str">
            <v>2016-0.061.760-0</v>
          </cell>
          <cell r="D2372" t="str">
            <v/>
          </cell>
          <cell r="E2372" t="str">
            <v>18 de abril de 2016</v>
          </cell>
          <cell r="F2372" t="str">
            <v>ULISSES GOMES BASTOS</v>
          </cell>
          <cell r="G2372" t="str">
            <v>18/04/2016</v>
          </cell>
          <cell r="H2372" t="str">
            <v>21/04/2016</v>
          </cell>
          <cell r="I2372" t="str">
            <v>95</v>
          </cell>
          <cell r="J2372" t="str">
            <v>PESSOA FÍSICA</v>
          </cell>
          <cell r="K2372" t="str">
            <v>683.215.118-72</v>
          </cell>
          <cell r="L2372" t="str">
            <v>SM</v>
          </cell>
          <cell r="M2372" t="str">
            <v>ULISSES GOMES BASTOS</v>
          </cell>
          <cell r="N2372" t="str">
            <v>DTE4099</v>
          </cell>
          <cell r="O2372" t="str">
            <v>2009</v>
          </cell>
          <cell r="P2372" t="str">
            <v>29</v>
          </cell>
          <cell r="Q2372" t="str">
            <v>27</v>
          </cell>
        </row>
        <row r="2373">
          <cell r="B2373" t="str">
            <v>0535/16</v>
          </cell>
          <cell r="C2373" t="str">
            <v>2016-0.061.767-7</v>
          </cell>
          <cell r="D2373" t="str">
            <v/>
          </cell>
          <cell r="E2373" t="str">
            <v/>
          </cell>
          <cell r="F2373" t="str">
            <v>VALENTIM COSTELINI NETO</v>
          </cell>
          <cell r="G2373" t="str">
            <v/>
          </cell>
          <cell r="H2373" t="str">
            <v/>
          </cell>
          <cell r="I2373" t="str">
            <v/>
          </cell>
          <cell r="J2373" t="str">
            <v>PESSOA FÍSICA</v>
          </cell>
          <cell r="K2373" t="str">
            <v>010.903.838-00</v>
          </cell>
          <cell r="L2373" t="str">
            <v>SM</v>
          </cell>
          <cell r="M2373" t="str">
            <v>VALENTIM COSTELINI NETO</v>
          </cell>
          <cell r="N2373" t="str">
            <v>DBM8589</v>
          </cell>
          <cell r="O2373" t="str">
            <v>2007</v>
          </cell>
          <cell r="P2373" t="str">
            <v>30</v>
          </cell>
          <cell r="Q2373" t="str">
            <v>28</v>
          </cell>
        </row>
        <row r="2374">
          <cell r="B2374" t="str">
            <v>0536/16</v>
          </cell>
          <cell r="C2374" t="str">
            <v>2016-0.063.001-0</v>
          </cell>
          <cell r="D2374" t="str">
            <v/>
          </cell>
          <cell r="E2374" t="str">
            <v>21 de março de2016</v>
          </cell>
          <cell r="F2374" t="str">
            <v>ROSALI APARECIDA POLI GOMES</v>
          </cell>
          <cell r="G2374" t="str">
            <v>21/03/2016</v>
          </cell>
          <cell r="H2374" t="str">
            <v/>
          </cell>
          <cell r="I2374" t="str">
            <v/>
          </cell>
          <cell r="J2374" t="str">
            <v>PESSOA FÍSICA</v>
          </cell>
          <cell r="K2374" t="str">
            <v>011.433.068-99</v>
          </cell>
          <cell r="L2374" t="str">
            <v>MP</v>
          </cell>
          <cell r="M2374" t="str">
            <v>ROSALI APARECIDA POLI GOMES</v>
          </cell>
          <cell r="N2374" t="str">
            <v>APT9156</v>
          </cell>
          <cell r="O2374" t="str">
            <v>2008</v>
          </cell>
          <cell r="P2374" t="str">
            <v>39</v>
          </cell>
          <cell r="Q2374" t="str">
            <v>38</v>
          </cell>
        </row>
        <row r="2375">
          <cell r="B2375" t="str">
            <v>0537/16</v>
          </cell>
          <cell r="C2375" t="str">
            <v>2016-0.063.003-7</v>
          </cell>
          <cell r="D2375" t="str">
            <v/>
          </cell>
          <cell r="E2375" t="str">
            <v>22 de março de 2016</v>
          </cell>
          <cell r="F2375" t="str">
            <v>MARIA AUXILIADORA ALVES MACHADO</v>
          </cell>
          <cell r="G2375" t="str">
            <v>22/03/2016</v>
          </cell>
          <cell r="H2375" t="str">
            <v>23/03/2016</v>
          </cell>
          <cell r="I2375" t="str">
            <v>58</v>
          </cell>
          <cell r="J2375" t="str">
            <v>PESSOA FÍSICA</v>
          </cell>
          <cell r="K2375" t="str">
            <v>562.503.204-15</v>
          </cell>
          <cell r="L2375" t="str">
            <v>FO</v>
          </cell>
          <cell r="M2375" t="str">
            <v>MARIA AUXILIADORA ALVES MACHADO</v>
          </cell>
          <cell r="N2375" t="str">
            <v>EKV7807</v>
          </cell>
          <cell r="O2375" t="str">
            <v>2009</v>
          </cell>
          <cell r="P2375" t="str">
            <v>19</v>
          </cell>
          <cell r="Q2375" t="str">
            <v>18</v>
          </cell>
        </row>
        <row r="2376">
          <cell r="B2376" t="str">
            <v>0538/16</v>
          </cell>
          <cell r="C2376" t="str">
            <v>2016-0.063.005-3</v>
          </cell>
          <cell r="D2376" t="str">
            <v/>
          </cell>
          <cell r="E2376" t="str">
            <v>22 de março de 2016</v>
          </cell>
          <cell r="F2376" t="str">
            <v>REINALDO DOS SANTOS PEREIRA</v>
          </cell>
          <cell r="G2376" t="str">
            <v>22/03/2016</v>
          </cell>
          <cell r="H2376" t="str">
            <v>25/03/2016</v>
          </cell>
          <cell r="I2376" t="str">
            <v>37</v>
          </cell>
          <cell r="J2376" t="str">
            <v>PESSOA FÍSICA</v>
          </cell>
          <cell r="K2376" t="str">
            <v>355.423.495-87</v>
          </cell>
          <cell r="L2376" t="str">
            <v>FO</v>
          </cell>
          <cell r="M2376" t="str">
            <v>REINALDO DOS SANTOS PEREIRA</v>
          </cell>
          <cell r="N2376" t="str">
            <v>ELQ8353</v>
          </cell>
          <cell r="O2376" t="str">
            <v>2011</v>
          </cell>
          <cell r="P2376" t="str">
            <v>15</v>
          </cell>
          <cell r="Q2376" t="str">
            <v>14</v>
          </cell>
        </row>
        <row r="2377">
          <cell r="B2377" t="str">
            <v>0539/16</v>
          </cell>
          <cell r="C2377" t="str">
            <v>2016-0.063.020-7</v>
          </cell>
          <cell r="D2377" t="str">
            <v/>
          </cell>
          <cell r="E2377" t="str">
            <v>23 de março de 2016</v>
          </cell>
          <cell r="F2377" t="str">
            <v>MARIA REGINA LEME MOLINA</v>
          </cell>
          <cell r="G2377" t="str">
            <v>23/03/2016</v>
          </cell>
          <cell r="H2377" t="str">
            <v>25/03/2016</v>
          </cell>
          <cell r="I2377" t="str">
            <v>37</v>
          </cell>
          <cell r="J2377" t="str">
            <v>PESSOA FÍSICA</v>
          </cell>
          <cell r="K2377" t="str">
            <v>049.825.818-19</v>
          </cell>
          <cell r="L2377" t="str">
            <v>FO</v>
          </cell>
          <cell r="M2377" t="str">
            <v>MARIA REGINA LEME MOLINA</v>
          </cell>
          <cell r="N2377" t="str">
            <v>EUM1560</v>
          </cell>
          <cell r="O2377" t="str">
            <v>2011</v>
          </cell>
          <cell r="P2377" t="str">
            <v>19</v>
          </cell>
          <cell r="Q2377" t="str">
            <v>18</v>
          </cell>
        </row>
        <row r="2378">
          <cell r="B2378" t="str">
            <v>0540/16</v>
          </cell>
          <cell r="C2378" t="str">
            <v>2016-0.063.038-0</v>
          </cell>
          <cell r="D2378" t="str">
            <v>28/03/2016</v>
          </cell>
          <cell r="E2378" t="str">
            <v>20 de abril de 2016</v>
          </cell>
          <cell r="F2378" t="str">
            <v>ISABEL MENDES RODRIGUES</v>
          </cell>
          <cell r="G2378" t="str">
            <v>20/04/2016</v>
          </cell>
          <cell r="H2378" t="str">
            <v>21/04/2016</v>
          </cell>
          <cell r="I2378" t="str">
            <v>95</v>
          </cell>
          <cell r="J2378" t="str">
            <v>PESSOA FÍSICA</v>
          </cell>
          <cell r="K2378" t="str">
            <v>129.724.138-06</v>
          </cell>
          <cell r="L2378" t="str">
            <v>FO</v>
          </cell>
          <cell r="M2378" t="str">
            <v>ISABEL MENDES RODRIGUES</v>
          </cell>
          <cell r="N2378" t="str">
            <v>FPG2410</v>
          </cell>
          <cell r="O2378" t="str">
            <v>2015</v>
          </cell>
          <cell r="P2378" t="str">
            <v>15</v>
          </cell>
          <cell r="Q2378" t="str">
            <v>14</v>
          </cell>
        </row>
        <row r="2379">
          <cell r="B2379" t="str">
            <v>0541/16</v>
          </cell>
          <cell r="C2379" t="str">
            <v>2016-0.063.046-0</v>
          </cell>
          <cell r="D2379" t="str">
            <v/>
          </cell>
          <cell r="E2379" t="str">
            <v>22 de março de 2016</v>
          </cell>
          <cell r="F2379" t="str">
            <v>REGINALDO DOS SANTOS FREITAS</v>
          </cell>
          <cell r="G2379" t="str">
            <v>22/03/2016</v>
          </cell>
          <cell r="H2379" t="str">
            <v>23/03/2016</v>
          </cell>
          <cell r="I2379" t="str">
            <v>58</v>
          </cell>
          <cell r="J2379" t="str">
            <v>PESSOA FÍSICA</v>
          </cell>
          <cell r="K2379" t="str">
            <v>083.539.738-63</v>
          </cell>
          <cell r="L2379" t="str">
            <v>FO</v>
          </cell>
          <cell r="M2379" t="str">
            <v>REGINALDO DOS SANTOS FREITAS</v>
          </cell>
          <cell r="N2379" t="str">
            <v>CZX6231</v>
          </cell>
          <cell r="O2379" t="str">
            <v>2002</v>
          </cell>
          <cell r="P2379" t="str">
            <v>25</v>
          </cell>
          <cell r="Q2379" t="str">
            <v>23</v>
          </cell>
        </row>
        <row r="2380">
          <cell r="B2380" t="str">
            <v>0542/16</v>
          </cell>
          <cell r="C2380" t="str">
            <v>2016-0.063.049-5</v>
          </cell>
          <cell r="D2380" t="str">
            <v/>
          </cell>
          <cell r="E2380" t="str">
            <v>24 de março de 2016</v>
          </cell>
          <cell r="F2380" t="str">
            <v>LUIZ ANTONIO VIEIRA</v>
          </cell>
          <cell r="G2380" t="str">
            <v>24/03/2016</v>
          </cell>
          <cell r="H2380" t="str">
            <v>25/03/2016</v>
          </cell>
          <cell r="I2380" t="str">
            <v>37</v>
          </cell>
          <cell r="J2380" t="str">
            <v>PESSOA FÍSICA</v>
          </cell>
          <cell r="K2380" t="str">
            <v>688.716.278-49</v>
          </cell>
          <cell r="L2380" t="str">
            <v>FO</v>
          </cell>
          <cell r="M2380" t="str">
            <v>LUIZ ANTONIO VIEIRA</v>
          </cell>
          <cell r="N2380" t="str">
            <v>CZX5081</v>
          </cell>
          <cell r="O2380" t="str">
            <v>2002</v>
          </cell>
          <cell r="P2380" t="str">
            <v>25</v>
          </cell>
          <cell r="Q2380" t="str">
            <v>23</v>
          </cell>
        </row>
        <row r="2381">
          <cell r="B2381" t="str">
            <v>0543/16</v>
          </cell>
          <cell r="C2381" t="str">
            <v>2016-0.063.053-3</v>
          </cell>
          <cell r="D2381" t="str">
            <v/>
          </cell>
          <cell r="E2381" t="str">
            <v>21 de março de 2016</v>
          </cell>
          <cell r="F2381" t="str">
            <v>ALBERTO DE VITO</v>
          </cell>
          <cell r="G2381" t="str">
            <v>21/03/2016</v>
          </cell>
          <cell r="H2381" t="str">
            <v>23/03/2016</v>
          </cell>
          <cell r="I2381" t="str">
            <v>59</v>
          </cell>
          <cell r="J2381" t="str">
            <v>PESSOA FÍSICA</v>
          </cell>
          <cell r="K2381" t="str">
            <v>090.787.388-04</v>
          </cell>
          <cell r="L2381" t="str">
            <v>FO</v>
          </cell>
          <cell r="M2381" t="str">
            <v>ALBERTO DE VITO</v>
          </cell>
          <cell r="N2381" t="str">
            <v>CZX3299</v>
          </cell>
          <cell r="O2381" t="str">
            <v>2002</v>
          </cell>
          <cell r="P2381" t="str">
            <v>25</v>
          </cell>
          <cell r="Q2381" t="str">
            <v>23</v>
          </cell>
        </row>
        <row r="2382">
          <cell r="B2382" t="str">
            <v>0544/16</v>
          </cell>
          <cell r="C2382" t="str">
            <v>2016-0.063.062-2</v>
          </cell>
          <cell r="D2382" t="str">
            <v/>
          </cell>
          <cell r="E2382" t="str">
            <v>12 de abril de 2016</v>
          </cell>
          <cell r="F2382" t="str">
            <v>THAIS SIMAO DO AMARAL</v>
          </cell>
          <cell r="G2382" t="str">
            <v>12/04/2016</v>
          </cell>
          <cell r="H2382" t="str">
            <v>13/04/2016</v>
          </cell>
          <cell r="I2382" t="str">
            <v>49</v>
          </cell>
          <cell r="J2382" t="str">
            <v>PESSOA FÍSICA</v>
          </cell>
          <cell r="K2382" t="str">
            <v>337.938.628-60</v>
          </cell>
          <cell r="L2382" t="str">
            <v>IQ</v>
          </cell>
          <cell r="M2382" t="str">
            <v>THAIS SIMAO DO AMARAL</v>
          </cell>
          <cell r="N2382" t="str">
            <v>EJH4990</v>
          </cell>
          <cell r="O2382" t="str">
            <v>2009</v>
          </cell>
          <cell r="P2382" t="str">
            <v>11</v>
          </cell>
          <cell r="Q2382" t="str">
            <v>10</v>
          </cell>
        </row>
        <row r="2383">
          <cell r="B2383" t="str">
            <v>0545/16</v>
          </cell>
          <cell r="C2383" t="str">
            <v>2016-0.063.072-0</v>
          </cell>
          <cell r="D2383" t="str">
            <v>28/03/2016</v>
          </cell>
          <cell r="E2383" t="str">
            <v>19 de abril de 2016</v>
          </cell>
          <cell r="F2383" t="str">
            <v>ANA CRISTINA FABRI DE LIMA</v>
          </cell>
          <cell r="G2383" t="str">
            <v>19/04/2016</v>
          </cell>
          <cell r="H2383" t="str">
            <v>21/04/2016</v>
          </cell>
          <cell r="I2383" t="str">
            <v>95</v>
          </cell>
          <cell r="J2383" t="str">
            <v>PESSOA FÍSICA</v>
          </cell>
          <cell r="K2383" t="str">
            <v>116.731.748-33</v>
          </cell>
          <cell r="L2383" t="str">
            <v>FO</v>
          </cell>
          <cell r="M2383" t="str">
            <v>ANA CRISTINA FABRI DE LIMA</v>
          </cell>
          <cell r="N2383" t="str">
            <v>CLU1093</v>
          </cell>
          <cell r="O2383" t="str">
            <v>2004</v>
          </cell>
          <cell r="P2383" t="str">
            <v>25</v>
          </cell>
          <cell r="Q2383" t="str">
            <v>23</v>
          </cell>
        </row>
        <row r="2384">
          <cell r="B2384" t="str">
            <v>0546/16</v>
          </cell>
          <cell r="C2384" t="str">
            <v>2016-0.063.076-2</v>
          </cell>
          <cell r="D2384" t="str">
            <v/>
          </cell>
          <cell r="E2384" t="str">
            <v>24 de março de 2016</v>
          </cell>
          <cell r="F2384" t="str">
            <v>IVO MAURICIO ANDRE</v>
          </cell>
          <cell r="G2384" t="str">
            <v>24/03/2016</v>
          </cell>
          <cell r="H2384" t="str">
            <v>25/03/2016</v>
          </cell>
          <cell r="I2384" t="str">
            <v>37</v>
          </cell>
          <cell r="J2384" t="str">
            <v>PESSOA FÍSICA</v>
          </cell>
          <cell r="K2384" t="str">
            <v>536.512.788-91</v>
          </cell>
          <cell r="L2384" t="str">
            <v>FO</v>
          </cell>
          <cell r="M2384" t="str">
            <v>IVO MAURICIO ANDRE</v>
          </cell>
          <cell r="N2384" t="str">
            <v>CZZ1739</v>
          </cell>
          <cell r="O2384" t="str">
            <v>2002</v>
          </cell>
          <cell r="P2384" t="str">
            <v>25</v>
          </cell>
          <cell r="Q2384" t="str">
            <v>23</v>
          </cell>
        </row>
        <row r="2385">
          <cell r="B2385" t="str">
            <v>0547/16</v>
          </cell>
          <cell r="C2385" t="str">
            <v>2016-0.063.091-6</v>
          </cell>
          <cell r="D2385" t="str">
            <v/>
          </cell>
          <cell r="E2385" t="str">
            <v>17 de março de 2016</v>
          </cell>
          <cell r="F2385" t="str">
            <v>ERIVELTO GOMES DA SILVA</v>
          </cell>
          <cell r="G2385" t="str">
            <v>17/03/2016</v>
          </cell>
          <cell r="H2385" t="str">
            <v/>
          </cell>
          <cell r="I2385" t="str">
            <v/>
          </cell>
          <cell r="J2385" t="str">
            <v>PESSOA FÍSICA</v>
          </cell>
          <cell r="K2385" t="str">
            <v>993.137.158-72</v>
          </cell>
          <cell r="L2385" t="str">
            <v>FO</v>
          </cell>
          <cell r="M2385" t="str">
            <v>ERIVELTO GOMES DA SILVA</v>
          </cell>
          <cell r="N2385" t="str">
            <v>DTB9530</v>
          </cell>
          <cell r="O2385" t="str">
            <v>2007</v>
          </cell>
          <cell r="P2385" t="str">
            <v>29</v>
          </cell>
          <cell r="Q2385" t="str">
            <v>27</v>
          </cell>
        </row>
        <row r="2386">
          <cell r="B2386" t="str">
            <v>0548/16</v>
          </cell>
          <cell r="C2386" t="str">
            <v>2016-0.063.103-3</v>
          </cell>
          <cell r="D2386" t="str">
            <v/>
          </cell>
          <cell r="E2386" t="str">
            <v>28 de março de 2016</v>
          </cell>
          <cell r="F2386" t="str">
            <v>ROSELY LIESSI COSTA BALDASSARI</v>
          </cell>
          <cell r="G2386" t="str">
            <v>28/03/2016</v>
          </cell>
          <cell r="H2386" t="str">
            <v>31/03/2016</v>
          </cell>
          <cell r="I2386" t="str">
            <v>33</v>
          </cell>
          <cell r="J2386" t="str">
            <v>PESSOA FÍSICA</v>
          </cell>
          <cell r="K2386" t="str">
            <v>003.411.048-84</v>
          </cell>
          <cell r="L2386" t="str">
            <v>PE</v>
          </cell>
          <cell r="M2386" t="str">
            <v>ROSELY LIESSI COSTA BALDASSARI</v>
          </cell>
          <cell r="N2386" t="str">
            <v>EZL6393</v>
          </cell>
          <cell r="O2386" t="str">
            <v>2011</v>
          </cell>
          <cell r="P2386" t="str">
            <v>19</v>
          </cell>
          <cell r="Q2386" t="str">
            <v>18</v>
          </cell>
        </row>
        <row r="2387">
          <cell r="B2387" t="str">
            <v>0549/16</v>
          </cell>
          <cell r="C2387" t="str">
            <v>2016-0.063.180-7</v>
          </cell>
          <cell r="D2387" t="str">
            <v/>
          </cell>
          <cell r="E2387" t="str">
            <v>24 de março de 2016</v>
          </cell>
          <cell r="F2387" t="str">
            <v>MARIA GRACINETE SOARES BENTO</v>
          </cell>
          <cell r="G2387" t="str">
            <v>24/03/2016</v>
          </cell>
          <cell r="H2387" t="str">
            <v>25/03/2016</v>
          </cell>
          <cell r="I2387" t="str">
            <v>37</v>
          </cell>
          <cell r="J2387" t="str">
            <v>PESSOA FÍSICA</v>
          </cell>
          <cell r="K2387" t="str">
            <v>139.189.788-93</v>
          </cell>
          <cell r="L2387" t="str">
            <v>PE</v>
          </cell>
          <cell r="M2387" t="str">
            <v>MARIA GRACINETE SOARES BENTO</v>
          </cell>
          <cell r="N2387" t="str">
            <v>DJC5650</v>
          </cell>
          <cell r="O2387" t="str">
            <v>2004</v>
          </cell>
          <cell r="P2387" t="str">
            <v>25</v>
          </cell>
          <cell r="Q2387" t="str">
            <v>23</v>
          </cell>
        </row>
        <row r="2388">
          <cell r="B2388" t="str">
            <v>0550/16</v>
          </cell>
          <cell r="C2388" t="str">
            <v>2016-0.063.183-1</v>
          </cell>
          <cell r="D2388" t="str">
            <v/>
          </cell>
          <cell r="E2388" t="str">
            <v/>
          </cell>
          <cell r="F2388" t="str">
            <v>ODAIR DE SOUZA</v>
          </cell>
          <cell r="G2388" t="str">
            <v/>
          </cell>
          <cell r="H2388" t="str">
            <v/>
          </cell>
          <cell r="I2388" t="str">
            <v/>
          </cell>
          <cell r="J2388" t="str">
            <v>PESSOA FÍSICA</v>
          </cell>
          <cell r="K2388" t="str">
            <v>645.775.708-15</v>
          </cell>
          <cell r="L2388" t="str">
            <v>PE</v>
          </cell>
          <cell r="M2388" t="str">
            <v>ODAIR DE SOUZA</v>
          </cell>
          <cell r="N2388" t="str">
            <v>FEG7496</v>
          </cell>
          <cell r="O2388" t="str">
            <v>2012</v>
          </cell>
          <cell r="P2388" t="str">
            <v>19</v>
          </cell>
          <cell r="Q2388" t="str">
            <v>18</v>
          </cell>
        </row>
        <row r="2389">
          <cell r="B2389" t="str">
            <v>0551/16</v>
          </cell>
          <cell r="C2389" t="str">
            <v>2016-0.063.187-4</v>
          </cell>
          <cell r="D2389" t="str">
            <v/>
          </cell>
          <cell r="E2389" t="str">
            <v/>
          </cell>
          <cell r="F2389" t="str">
            <v>LAERTE SANTOS</v>
          </cell>
          <cell r="G2389" t="str">
            <v/>
          </cell>
          <cell r="H2389" t="str">
            <v/>
          </cell>
          <cell r="I2389" t="str">
            <v/>
          </cell>
          <cell r="J2389" t="str">
            <v>PESSOA FÍSICA</v>
          </cell>
          <cell r="K2389" t="str">
            <v>632.865.808-72</v>
          </cell>
          <cell r="L2389" t="str">
            <v>IQ</v>
          </cell>
          <cell r="M2389" t="str">
            <v>LAERTE SANTOS</v>
          </cell>
          <cell r="N2389" t="str">
            <v>DAY8579</v>
          </cell>
          <cell r="O2389" t="str">
            <v>2001</v>
          </cell>
          <cell r="P2389" t="str">
            <v>25</v>
          </cell>
          <cell r="Q2389" t="str">
            <v>23</v>
          </cell>
        </row>
        <row r="2390">
          <cell r="B2390" t="str">
            <v>0552/16</v>
          </cell>
          <cell r="C2390" t="str">
            <v>2016-0.063.192-0</v>
          </cell>
          <cell r="D2390" t="str">
            <v/>
          </cell>
          <cell r="E2390" t="str">
            <v>21 de março de 2016</v>
          </cell>
          <cell r="F2390" t="str">
            <v>ANA LUCIA ROBIRO CLEMENTE</v>
          </cell>
          <cell r="G2390" t="str">
            <v>21/03/2016</v>
          </cell>
          <cell r="H2390" t="str">
            <v>25/03/2016</v>
          </cell>
          <cell r="I2390" t="str">
            <v>38</v>
          </cell>
          <cell r="J2390" t="str">
            <v>PESSOA FÍSICA</v>
          </cell>
          <cell r="K2390" t="str">
            <v>096.183.498-61</v>
          </cell>
          <cell r="L2390" t="str">
            <v>PE</v>
          </cell>
          <cell r="M2390" t="str">
            <v>ANA LUCIA ROBIRO CLEMENTE</v>
          </cell>
          <cell r="N2390" t="str">
            <v>ELW4435</v>
          </cell>
          <cell r="O2390" t="str">
            <v>2013</v>
          </cell>
          <cell r="P2390" t="str">
            <v>18</v>
          </cell>
          <cell r="Q2390" t="str">
            <v>17</v>
          </cell>
        </row>
        <row r="2391">
          <cell r="B2391" t="str">
            <v>0553/16</v>
          </cell>
          <cell r="C2391" t="str">
            <v>2016-0.063.204-8</v>
          </cell>
          <cell r="D2391" t="str">
            <v/>
          </cell>
          <cell r="E2391" t="str">
            <v>24 de março de 2016</v>
          </cell>
          <cell r="F2391" t="str">
            <v>JOSE CARMO DE MENDONCA</v>
          </cell>
          <cell r="G2391" t="str">
            <v>24/03/2016</v>
          </cell>
          <cell r="H2391" t="str">
            <v>25/03/2016</v>
          </cell>
          <cell r="I2391" t="str">
            <v>38</v>
          </cell>
          <cell r="J2391" t="str">
            <v>PESSOA FÍSICA</v>
          </cell>
          <cell r="K2391" t="str">
            <v>329.843.089-72</v>
          </cell>
          <cell r="L2391" t="str">
            <v>JT</v>
          </cell>
          <cell r="M2391" t="str">
            <v>JOSE CARMO DE MENDONCA</v>
          </cell>
          <cell r="N2391" t="str">
            <v>CZX8996</v>
          </cell>
          <cell r="O2391" t="str">
            <v>2003</v>
          </cell>
          <cell r="P2391" t="str">
            <v>25</v>
          </cell>
          <cell r="Q2391" t="str">
            <v>23</v>
          </cell>
        </row>
        <row r="2392">
          <cell r="B2392" t="str">
            <v>0554/16</v>
          </cell>
          <cell r="C2392" t="str">
            <v>2016-0.063.209-9</v>
          </cell>
          <cell r="D2392" t="str">
            <v/>
          </cell>
          <cell r="E2392" t="str">
            <v/>
          </cell>
          <cell r="F2392" t="str">
            <v>ALLAN PEREIRA SAMPAIO</v>
          </cell>
          <cell r="G2392" t="str">
            <v/>
          </cell>
          <cell r="H2392" t="str">
            <v/>
          </cell>
          <cell r="I2392" t="str">
            <v/>
          </cell>
          <cell r="J2392" t="str">
            <v>PESSOA FÍSICA</v>
          </cell>
          <cell r="K2392" t="str">
            <v>285.555.658-98</v>
          </cell>
          <cell r="L2392" t="str">
            <v>PE</v>
          </cell>
          <cell r="M2392" t="str">
            <v>ALLAN PEREIRA SAMPAIO</v>
          </cell>
          <cell r="N2392" t="str">
            <v>DTC6368</v>
          </cell>
          <cell r="O2392" t="str">
            <v>2009</v>
          </cell>
          <cell r="P2392" t="str">
            <v>19</v>
          </cell>
          <cell r="Q2392" t="str">
            <v>18</v>
          </cell>
        </row>
        <row r="2393">
          <cell r="B2393" t="str">
            <v>0555/16</v>
          </cell>
          <cell r="C2393" t="str">
            <v>2016-0.063.219-6</v>
          </cell>
          <cell r="D2393" t="str">
            <v>04/04/2016</v>
          </cell>
          <cell r="E2393" t="str">
            <v>26 de abril de 2016</v>
          </cell>
          <cell r="F2393" t="str">
            <v>ALEXSANDRO CASIMIRO</v>
          </cell>
          <cell r="G2393" t="str">
            <v>26/04/2016</v>
          </cell>
          <cell r="H2393" t="str">
            <v>27/04/2016</v>
          </cell>
          <cell r="I2393" t="str">
            <v>54</v>
          </cell>
          <cell r="J2393" t="str">
            <v>PESSOA FÍSICA</v>
          </cell>
          <cell r="K2393" t="str">
            <v>186.833.968-86</v>
          </cell>
          <cell r="L2393" t="str">
            <v>PE</v>
          </cell>
          <cell r="M2393" t="str">
            <v>ALEXSANDRO CASIMIRO</v>
          </cell>
          <cell r="N2393" t="str">
            <v>EFW1169</v>
          </cell>
          <cell r="O2393" t="str">
            <v>2008</v>
          </cell>
          <cell r="P2393" t="str">
            <v>19</v>
          </cell>
          <cell r="Q2393" t="str">
            <v>18</v>
          </cell>
        </row>
        <row r="2394">
          <cell r="B2394" t="str">
            <v>0556/16</v>
          </cell>
          <cell r="C2394" t="str">
            <v>2016-0.063.222-6</v>
          </cell>
          <cell r="D2394" t="str">
            <v/>
          </cell>
          <cell r="E2394" t="str">
            <v>21 de março de 2016</v>
          </cell>
          <cell r="F2394" t="str">
            <v>ANTONIO MARCOS LOPES</v>
          </cell>
          <cell r="G2394" t="str">
            <v>21/03/2016</v>
          </cell>
          <cell r="H2394" t="str">
            <v/>
          </cell>
          <cell r="I2394" t="str">
            <v/>
          </cell>
          <cell r="J2394" t="str">
            <v>PESSOA FÍSICA</v>
          </cell>
          <cell r="K2394" t="str">
            <v>135.759.608-10</v>
          </cell>
          <cell r="L2394" t="str">
            <v>PE</v>
          </cell>
          <cell r="M2394" t="str">
            <v>ANTONIO MARCOS LOPES</v>
          </cell>
          <cell r="N2394" t="str">
            <v>FCB4208</v>
          </cell>
          <cell r="O2394" t="str">
            <v>2012</v>
          </cell>
          <cell r="P2394" t="str">
            <v>15</v>
          </cell>
          <cell r="Q2394" t="str">
            <v>14</v>
          </cell>
        </row>
        <row r="2395">
          <cell r="B2395" t="str">
            <v>0557/16</v>
          </cell>
          <cell r="C2395" t="str">
            <v>2016-0.063.228-5</v>
          </cell>
          <cell r="D2395" t="str">
            <v/>
          </cell>
          <cell r="E2395" t="str">
            <v>04 de abril de 2016</v>
          </cell>
          <cell r="F2395" t="str">
            <v>GLAUCE DA CONCEICAO INACIO SOUZA</v>
          </cell>
          <cell r="G2395" t="str">
            <v>04/04/2016</v>
          </cell>
          <cell r="H2395" t="str">
            <v>13/04/2016</v>
          </cell>
          <cell r="I2395" t="str">
            <v>49</v>
          </cell>
          <cell r="J2395" t="str">
            <v>PESSOA FÍSICA</v>
          </cell>
          <cell r="K2395" t="str">
            <v>251.813.988-55</v>
          </cell>
          <cell r="L2395" t="str">
            <v>PE</v>
          </cell>
          <cell r="M2395" t="str">
            <v>GLAUCE DA CONCEICAO INACIO SOUZA</v>
          </cell>
          <cell r="N2395" t="str">
            <v>GCI2208</v>
          </cell>
          <cell r="O2395" t="str">
            <v>2011</v>
          </cell>
          <cell r="P2395" t="str">
            <v>19</v>
          </cell>
          <cell r="Q2395" t="str">
            <v>18</v>
          </cell>
        </row>
        <row r="2396">
          <cell r="B2396" t="str">
            <v>0558/16</v>
          </cell>
          <cell r="C2396" t="str">
            <v>2016-0.063.260-9</v>
          </cell>
          <cell r="D2396" t="str">
            <v/>
          </cell>
          <cell r="E2396" t="str">
            <v>24 de março de 2016</v>
          </cell>
          <cell r="F2396" t="str">
            <v>HERBERT DE SIQUEIRA CAMPOS</v>
          </cell>
          <cell r="G2396" t="str">
            <v>24/03/2016</v>
          </cell>
          <cell r="H2396" t="str">
            <v>25/03/2016</v>
          </cell>
          <cell r="I2396" t="str">
            <v>38</v>
          </cell>
          <cell r="J2396" t="str">
            <v>PESSOA FÍSICA</v>
          </cell>
          <cell r="K2396" t="str">
            <v>114.587.388-09</v>
          </cell>
          <cell r="L2396" t="str">
            <v>PE</v>
          </cell>
          <cell r="M2396" t="str">
            <v>HERBERT DE SIQUEIRA CAMPOS</v>
          </cell>
          <cell r="N2396" t="str">
            <v>DTC3977</v>
          </cell>
          <cell r="O2396" t="str">
            <v>2007</v>
          </cell>
          <cell r="P2396" t="str">
            <v>29</v>
          </cell>
          <cell r="Q2396" t="str">
            <v>27</v>
          </cell>
        </row>
        <row r="2397">
          <cell r="B2397" t="str">
            <v>0559/16</v>
          </cell>
          <cell r="C2397" t="str">
            <v>2016-0.063.281-1</v>
          </cell>
          <cell r="D2397" t="str">
            <v/>
          </cell>
          <cell r="E2397" t="str">
            <v/>
          </cell>
          <cell r="F2397" t="str">
            <v>JULIO MARIANO DA CRUZ</v>
          </cell>
          <cell r="G2397" t="str">
            <v/>
          </cell>
          <cell r="H2397" t="str">
            <v/>
          </cell>
          <cell r="I2397" t="str">
            <v/>
          </cell>
          <cell r="J2397" t="str">
            <v>PESSOA FÍSICA</v>
          </cell>
          <cell r="K2397" t="str">
            <v>937.513.388-53</v>
          </cell>
          <cell r="L2397" t="str">
            <v>PE</v>
          </cell>
          <cell r="M2397" t="str">
            <v>JULIO MARIANO DA CRUZ</v>
          </cell>
          <cell r="N2397" t="str">
            <v>DTC4205</v>
          </cell>
          <cell r="O2397" t="str">
            <v>2008</v>
          </cell>
          <cell r="P2397" t="str">
            <v>19</v>
          </cell>
          <cell r="Q2397" t="str">
            <v>18</v>
          </cell>
        </row>
        <row r="2398">
          <cell r="B2398" t="str">
            <v>0560/16</v>
          </cell>
          <cell r="C2398" t="str">
            <v>2016-0.063.343-5</v>
          </cell>
          <cell r="D2398" t="str">
            <v/>
          </cell>
          <cell r="E2398" t="str">
            <v/>
          </cell>
          <cell r="F2398" t="str">
            <v>ARLINDA APARECIDA DA SILVA</v>
          </cell>
          <cell r="G2398" t="str">
            <v/>
          </cell>
          <cell r="H2398" t="str">
            <v/>
          </cell>
          <cell r="I2398" t="str">
            <v/>
          </cell>
          <cell r="J2398" t="str">
            <v>PESSOA FÍSICA</v>
          </cell>
          <cell r="K2398" t="str">
            <v>142.348.338-35</v>
          </cell>
          <cell r="L2398" t="str">
            <v>IQ</v>
          </cell>
          <cell r="M2398" t="str">
            <v>ARLINDA APARECIDA DA SILVA</v>
          </cell>
          <cell r="N2398" t="str">
            <v>EFU5834</v>
          </cell>
          <cell r="O2398" t="str">
            <v>2010</v>
          </cell>
          <cell r="P2398" t="str">
            <v>10</v>
          </cell>
          <cell r="Q2398" t="str">
            <v>9</v>
          </cell>
        </row>
        <row r="2399">
          <cell r="B2399" t="str">
            <v>0561/16</v>
          </cell>
          <cell r="C2399" t="str">
            <v>2016-0.063.350-8</v>
          </cell>
          <cell r="D2399" t="str">
            <v/>
          </cell>
          <cell r="E2399" t="str">
            <v>21 de março de 2016</v>
          </cell>
          <cell r="F2399" t="str">
            <v>ARMANDO FERRAZ DA ROCHA</v>
          </cell>
          <cell r="G2399" t="str">
            <v>21/03/2016</v>
          </cell>
          <cell r="H2399" t="str">
            <v>25/03/2016</v>
          </cell>
          <cell r="I2399" t="str">
            <v>38</v>
          </cell>
          <cell r="J2399" t="str">
            <v>PESSOA FÍSICA</v>
          </cell>
          <cell r="K2399" t="str">
            <v>183.012.258-40</v>
          </cell>
          <cell r="L2399" t="str">
            <v>SA</v>
          </cell>
          <cell r="M2399" t="str">
            <v>ARMANDO FERRAZ DA ROCHA</v>
          </cell>
          <cell r="N2399" t="str">
            <v>DTC4208</v>
          </cell>
          <cell r="O2399" t="str">
            <v>2008</v>
          </cell>
          <cell r="P2399" t="str">
            <v>29</v>
          </cell>
          <cell r="Q2399" t="str">
            <v>27</v>
          </cell>
        </row>
        <row r="2400">
          <cell r="B2400" t="str">
            <v>0562/16</v>
          </cell>
          <cell r="C2400" t="str">
            <v>2016-0.063.358-3</v>
          </cell>
          <cell r="D2400" t="str">
            <v/>
          </cell>
          <cell r="E2400" t="str">
            <v>07 de março de 2016</v>
          </cell>
          <cell r="F2400" t="str">
            <v>OSVALDO DOS SANTOS ROCHA</v>
          </cell>
          <cell r="G2400" t="str">
            <v>07/03/2016</v>
          </cell>
          <cell r="H2400" t="str">
            <v/>
          </cell>
          <cell r="I2400" t="str">
            <v/>
          </cell>
          <cell r="J2400" t="str">
            <v>PESSOA FÍSICA</v>
          </cell>
          <cell r="K2400" t="str">
            <v>001.104.368-73</v>
          </cell>
          <cell r="L2400" t="str">
            <v>SA</v>
          </cell>
          <cell r="M2400" t="str">
            <v>OSVALDO DOS SANTOS ROCHA</v>
          </cell>
          <cell r="N2400" t="str">
            <v>EEZ4990</v>
          </cell>
          <cell r="O2400" t="str">
            <v>2009</v>
          </cell>
          <cell r="P2400" t="str">
            <v>29</v>
          </cell>
          <cell r="Q2400" t="str">
            <v>27</v>
          </cell>
        </row>
        <row r="2401">
          <cell r="B2401" t="str">
            <v>0563/16</v>
          </cell>
          <cell r="C2401" t="str">
            <v>2016-0.063.363-0</v>
          </cell>
          <cell r="D2401" t="str">
            <v/>
          </cell>
          <cell r="E2401" t="str">
            <v>04 de abril de 2016</v>
          </cell>
          <cell r="F2401" t="str">
            <v>JOSE CAMILO DE SOUZA JUNIOR</v>
          </cell>
          <cell r="G2401" t="str">
            <v>04/04/2016</v>
          </cell>
          <cell r="H2401" t="str">
            <v>09/04/2016</v>
          </cell>
          <cell r="I2401" t="str">
            <v>33</v>
          </cell>
          <cell r="J2401" t="str">
            <v>PESSOA FÍSICA</v>
          </cell>
          <cell r="K2401" t="str">
            <v>089.693.728-30</v>
          </cell>
          <cell r="L2401" t="str">
            <v>PE</v>
          </cell>
          <cell r="M2401" t="str">
            <v>JOSE CAMILO DE SOUZA JUNIOR</v>
          </cell>
          <cell r="N2401" t="str">
            <v>ELD6409</v>
          </cell>
          <cell r="O2401" t="str">
            <v>2012</v>
          </cell>
          <cell r="P2401" t="str">
            <v>19</v>
          </cell>
          <cell r="Q2401" t="str">
            <v>18</v>
          </cell>
        </row>
        <row r="2402">
          <cell r="B2402" t="str">
            <v>0564/16</v>
          </cell>
          <cell r="C2402" t="str">
            <v>2016-0.063.369-9</v>
          </cell>
          <cell r="D2402" t="str">
            <v/>
          </cell>
          <cell r="E2402" t="str">
            <v>07 de março de 2016</v>
          </cell>
          <cell r="F2402" t="str">
            <v>SUZI CRISTINA DE OLIVEIRA FRISCIO</v>
          </cell>
          <cell r="G2402" t="str">
            <v>07/03/2016</v>
          </cell>
          <cell r="H2402" t="str">
            <v>23/03/2016</v>
          </cell>
          <cell r="I2402" t="str">
            <v>59</v>
          </cell>
          <cell r="J2402" t="str">
            <v>PESSOA FÍSICA</v>
          </cell>
          <cell r="K2402" t="str">
            <v>294.386.298-31</v>
          </cell>
          <cell r="L2402" t="str">
            <v>SA</v>
          </cell>
          <cell r="M2402" t="str">
            <v>SUZI CRISTINA DE OLIVEIRA FRISCIO</v>
          </cell>
          <cell r="N2402" t="str">
            <v>FAR2939</v>
          </cell>
          <cell r="O2402" t="str">
            <v>2011</v>
          </cell>
          <cell r="P2402" t="str">
            <v>18</v>
          </cell>
          <cell r="Q2402" t="str">
            <v>17</v>
          </cell>
        </row>
        <row r="2403">
          <cell r="B2403" t="str">
            <v>0565/16</v>
          </cell>
          <cell r="C2403" t="str">
            <v>2016-0.063.372-9</v>
          </cell>
          <cell r="D2403" t="str">
            <v/>
          </cell>
          <cell r="E2403" t="str">
            <v>14 de março de 2016</v>
          </cell>
          <cell r="F2403" t="str">
            <v>EDSON DOS SANTOS</v>
          </cell>
          <cell r="G2403" t="str">
            <v>14/03/2016</v>
          </cell>
          <cell r="H2403" t="str">
            <v>25/03/2016</v>
          </cell>
          <cell r="I2403" t="str">
            <v>38</v>
          </cell>
          <cell r="J2403" t="str">
            <v>PESSOA FÍSICA</v>
          </cell>
          <cell r="K2403" t="str">
            <v>131.427.458-90</v>
          </cell>
          <cell r="L2403" t="str">
            <v>SA</v>
          </cell>
          <cell r="M2403" t="str">
            <v>EDSON DOS SANTOS</v>
          </cell>
          <cell r="N2403" t="str">
            <v>DTA1336</v>
          </cell>
          <cell r="O2403" t="str">
            <v>2007</v>
          </cell>
          <cell r="P2403" t="str">
            <v>23</v>
          </cell>
          <cell r="Q2403" t="str">
            <v>22</v>
          </cell>
        </row>
        <row r="2404">
          <cell r="B2404" t="str">
            <v>0566/16</v>
          </cell>
          <cell r="C2404" t="str">
            <v>2016-0.063.392-3</v>
          </cell>
          <cell r="D2404" t="str">
            <v/>
          </cell>
          <cell r="E2404" t="str">
            <v>07 de março de 2016</v>
          </cell>
          <cell r="F2404" t="str">
            <v>MARCIA COUTINHO PEREIRA</v>
          </cell>
          <cell r="G2404" t="str">
            <v>07/03/2016</v>
          </cell>
          <cell r="H2404" t="str">
            <v>23/03/2016</v>
          </cell>
          <cell r="I2404" t="str">
            <v>59</v>
          </cell>
          <cell r="J2404" t="str">
            <v>PESSOA FÍSICA</v>
          </cell>
          <cell r="K2404" t="str">
            <v>268.157.868-03</v>
          </cell>
          <cell r="L2404" t="str">
            <v>SA</v>
          </cell>
          <cell r="M2404" t="str">
            <v>MARCIA COUTINHO PEREIRA</v>
          </cell>
          <cell r="N2404" t="str">
            <v>DTE3929</v>
          </cell>
          <cell r="O2404" t="str">
            <v>2008</v>
          </cell>
          <cell r="P2404" t="str">
            <v>19</v>
          </cell>
          <cell r="Q2404" t="str">
            <v>17</v>
          </cell>
        </row>
        <row r="2405">
          <cell r="B2405" t="str">
            <v>0567/16</v>
          </cell>
          <cell r="C2405" t="str">
            <v>2016-0.063.398-2</v>
          </cell>
          <cell r="D2405" t="str">
            <v/>
          </cell>
          <cell r="E2405" t="str">
            <v>07 de março de 2016</v>
          </cell>
          <cell r="F2405" t="str">
            <v>MARCIO JOSE MARQUES LINS</v>
          </cell>
          <cell r="G2405" t="str">
            <v>07/03/2016</v>
          </cell>
          <cell r="H2405" t="str">
            <v>23/03/2016</v>
          </cell>
          <cell r="I2405" t="str">
            <v>59</v>
          </cell>
          <cell r="J2405" t="str">
            <v>PESSOA FÍSICA</v>
          </cell>
          <cell r="K2405" t="str">
            <v>271.469.628-73</v>
          </cell>
          <cell r="L2405" t="str">
            <v>SA</v>
          </cell>
          <cell r="M2405" t="str">
            <v>MARCIO JOSE MARQUES LINS</v>
          </cell>
          <cell r="N2405" t="str">
            <v>DTE3989</v>
          </cell>
          <cell r="O2405" t="str">
            <v>2008</v>
          </cell>
          <cell r="P2405" t="str">
            <v>19</v>
          </cell>
          <cell r="Q2405" t="str">
            <v>18</v>
          </cell>
        </row>
        <row r="2406">
          <cell r="B2406" t="str">
            <v>0568/16</v>
          </cell>
          <cell r="C2406" t="str">
            <v>2016-0.063.399-0</v>
          </cell>
          <cell r="D2406" t="str">
            <v/>
          </cell>
          <cell r="E2406" t="str">
            <v/>
          </cell>
          <cell r="F2406" t="str">
            <v>EDNA NEVES DA SILVA ROSA</v>
          </cell>
          <cell r="G2406" t="str">
            <v/>
          </cell>
          <cell r="H2406" t="str">
            <v/>
          </cell>
          <cell r="I2406" t="str">
            <v/>
          </cell>
          <cell r="J2406" t="str">
            <v>PESSOA FÍSICA</v>
          </cell>
          <cell r="K2406" t="str">
            <v>073.143.388-25</v>
          </cell>
          <cell r="L2406" t="str">
            <v>SA</v>
          </cell>
          <cell r="M2406" t="str">
            <v>EDNA NEVES DA SILVA ROSA</v>
          </cell>
          <cell r="N2406" t="str">
            <v>ELQ4507</v>
          </cell>
          <cell r="O2406" t="str">
            <v>2010</v>
          </cell>
          <cell r="P2406" t="str">
            <v>15</v>
          </cell>
          <cell r="Q2406" t="str">
            <v>14</v>
          </cell>
        </row>
        <row r="2407">
          <cell r="B2407" t="str">
            <v>0569/16</v>
          </cell>
          <cell r="C2407" t="str">
            <v>2016-0.063.403-2</v>
          </cell>
          <cell r="D2407" t="str">
            <v/>
          </cell>
          <cell r="E2407" t="str">
            <v>21 de março de 2016</v>
          </cell>
          <cell r="F2407" t="str">
            <v>LUIZ MARIO BRASILIENSE</v>
          </cell>
          <cell r="G2407" t="str">
            <v>21/03/2016</v>
          </cell>
          <cell r="H2407" t="str">
            <v>25/03/2016</v>
          </cell>
          <cell r="I2407" t="str">
            <v>38</v>
          </cell>
          <cell r="J2407" t="str">
            <v>PESSOA FÍSICA</v>
          </cell>
          <cell r="K2407" t="str">
            <v>125.721.178-19</v>
          </cell>
          <cell r="L2407" t="str">
            <v>IQ</v>
          </cell>
          <cell r="M2407" t="str">
            <v>LUIZ MARIO BRASILIENSE</v>
          </cell>
          <cell r="N2407" t="str">
            <v>CZX3369</v>
          </cell>
          <cell r="O2407" t="str">
            <v>2002</v>
          </cell>
          <cell r="P2407" t="str">
            <v>25</v>
          </cell>
          <cell r="Q2407" t="str">
            <v>23</v>
          </cell>
        </row>
        <row r="2408">
          <cell r="B2408" t="str">
            <v>0570/16</v>
          </cell>
          <cell r="C2408" t="str">
            <v>2016-0.063.409-1</v>
          </cell>
          <cell r="D2408" t="str">
            <v/>
          </cell>
          <cell r="E2408" t="str">
            <v>21 de março de 2016</v>
          </cell>
          <cell r="F2408" t="str">
            <v>VERA LUCIA DE OLIVEIRA BARBOSA</v>
          </cell>
          <cell r="G2408" t="str">
            <v>21/03/2016</v>
          </cell>
          <cell r="H2408" t="str">
            <v>23/03/2016</v>
          </cell>
          <cell r="I2408" t="str">
            <v>59</v>
          </cell>
          <cell r="J2408" t="str">
            <v>PESSOA FÍSICA</v>
          </cell>
          <cell r="K2408" t="str">
            <v>093.311.928-35</v>
          </cell>
          <cell r="L2408" t="str">
            <v>PJ</v>
          </cell>
          <cell r="M2408" t="str">
            <v>VERA LUCIA DE OLIVEIRA BARBOSA</v>
          </cell>
          <cell r="N2408" t="str">
            <v>ELQ1118</v>
          </cell>
          <cell r="O2408" t="str">
            <v>2010</v>
          </cell>
          <cell r="P2408" t="str">
            <v>18</v>
          </cell>
          <cell r="Q2408" t="str">
            <v>17</v>
          </cell>
        </row>
        <row r="2409">
          <cell r="B2409" t="str">
            <v>0571/16</v>
          </cell>
          <cell r="C2409" t="str">
            <v>2016-0.063.412-1</v>
          </cell>
          <cell r="D2409" t="str">
            <v/>
          </cell>
          <cell r="E2409" t="str">
            <v>21 de março de 2016</v>
          </cell>
          <cell r="F2409" t="str">
            <v>MARIO MORENO</v>
          </cell>
          <cell r="G2409" t="str">
            <v>21/03/2016</v>
          </cell>
          <cell r="H2409" t="str">
            <v>23/03/2016</v>
          </cell>
          <cell r="I2409" t="str">
            <v>59</v>
          </cell>
          <cell r="J2409" t="str">
            <v>PESSOA FÍSICA</v>
          </cell>
          <cell r="K2409" t="str">
            <v>065.986.948-92</v>
          </cell>
          <cell r="L2409" t="str">
            <v>FO</v>
          </cell>
          <cell r="M2409" t="str">
            <v>MARIO MORENO</v>
          </cell>
          <cell r="N2409" t="str">
            <v>CZZ1758</v>
          </cell>
          <cell r="O2409" t="str">
            <v>2002</v>
          </cell>
          <cell r="P2409" t="str">
            <v>25</v>
          </cell>
          <cell r="Q2409" t="str">
            <v>23</v>
          </cell>
        </row>
        <row r="2410">
          <cell r="B2410" t="str">
            <v>0572/16</v>
          </cell>
          <cell r="C2410" t="str">
            <v>2016-0.063.422-9</v>
          </cell>
          <cell r="D2410" t="str">
            <v/>
          </cell>
          <cell r="E2410" t="str">
            <v>28 de março de 2016</v>
          </cell>
          <cell r="F2410" t="str">
            <v>ORLANDO BENTO DA SILVA</v>
          </cell>
          <cell r="G2410" t="str">
            <v>28/03/2016</v>
          </cell>
          <cell r="H2410" t="str">
            <v>31/03/2016</v>
          </cell>
          <cell r="I2410" t="str">
            <v>33</v>
          </cell>
          <cell r="J2410" t="str">
            <v>PESSOA FÍSICA</v>
          </cell>
          <cell r="K2410" t="str">
            <v>060.546.808-70</v>
          </cell>
          <cell r="L2410" t="str">
            <v>FO</v>
          </cell>
          <cell r="M2410" t="str">
            <v>ORLANDO BENTO DA SILVA</v>
          </cell>
          <cell r="N2410" t="str">
            <v>DFV1670</v>
          </cell>
          <cell r="O2410" t="str">
            <v>2008</v>
          </cell>
          <cell r="P2410" t="str">
            <v>15</v>
          </cell>
          <cell r="Q2410" t="str">
            <v>14</v>
          </cell>
        </row>
        <row r="2411">
          <cell r="B2411" t="str">
            <v>0573/16</v>
          </cell>
          <cell r="C2411" t="str">
            <v>2016-0.063.425-3</v>
          </cell>
          <cell r="D2411" t="str">
            <v/>
          </cell>
          <cell r="E2411" t="str">
            <v>04 de abril de 2016</v>
          </cell>
          <cell r="F2411" t="str">
            <v>RICARDO DONIZETI FORTES</v>
          </cell>
          <cell r="G2411" t="str">
            <v>04/04/2016</v>
          </cell>
          <cell r="H2411" t="str">
            <v>13/04/2016</v>
          </cell>
          <cell r="I2411" t="str">
            <v>49</v>
          </cell>
          <cell r="J2411" t="str">
            <v>PESSOA FÍSICA</v>
          </cell>
          <cell r="K2411" t="str">
            <v>087.768.718-86</v>
          </cell>
          <cell r="L2411" t="str">
            <v>JT</v>
          </cell>
          <cell r="M2411" t="str">
            <v>RICARDO DONIZETI FORTES</v>
          </cell>
          <cell r="N2411" t="str">
            <v>ELQ6558</v>
          </cell>
          <cell r="O2411" t="str">
            <v>2010</v>
          </cell>
          <cell r="P2411" t="str">
            <v>15</v>
          </cell>
          <cell r="Q2411" t="str">
            <v>14</v>
          </cell>
        </row>
        <row r="2412">
          <cell r="B2412" t="str">
            <v>0574/16</v>
          </cell>
          <cell r="C2412" t="str">
            <v>2016-0.063.455-5</v>
          </cell>
          <cell r="D2412" t="str">
            <v/>
          </cell>
          <cell r="E2412" t="str">
            <v/>
          </cell>
          <cell r="F2412" t="str">
            <v>CARLOS ROBERTO FERREIRA</v>
          </cell>
          <cell r="G2412" t="str">
            <v/>
          </cell>
          <cell r="H2412" t="str">
            <v/>
          </cell>
          <cell r="I2412" t="str">
            <v/>
          </cell>
          <cell r="J2412" t="str">
            <v>PESSOA FÍSICA</v>
          </cell>
          <cell r="K2412" t="str">
            <v>686.753.728-68</v>
          </cell>
          <cell r="L2412" t="str">
            <v>PJ</v>
          </cell>
          <cell r="M2412" t="str">
            <v>CARLOS ROBERTO FERREIRA</v>
          </cell>
          <cell r="N2412" t="str">
            <v>CYR8227</v>
          </cell>
          <cell r="O2412" t="str">
            <v>2003</v>
          </cell>
          <cell r="P2412" t="str">
            <v>25</v>
          </cell>
          <cell r="Q2412" t="str">
            <v>23</v>
          </cell>
        </row>
        <row r="2413">
          <cell r="B2413" t="str">
            <v>0575/16</v>
          </cell>
          <cell r="C2413" t="str">
            <v>2016-0.063.457-1</v>
          </cell>
          <cell r="D2413" t="str">
            <v/>
          </cell>
          <cell r="E2413" t="str">
            <v>04 de abril de 2016</v>
          </cell>
          <cell r="F2413" t="str">
            <v>JOSE CICERO PEREIRA DA SILVA</v>
          </cell>
          <cell r="G2413" t="str">
            <v>04/04/2016</v>
          </cell>
          <cell r="H2413" t="str">
            <v>07/04/2016</v>
          </cell>
          <cell r="I2413" t="str">
            <v>19</v>
          </cell>
          <cell r="J2413" t="str">
            <v>PESSOA FÍSICA</v>
          </cell>
          <cell r="K2413" t="str">
            <v>182.673.448-10</v>
          </cell>
          <cell r="L2413" t="str">
            <v>PJ</v>
          </cell>
          <cell r="M2413" t="str">
            <v>JOSE CICERO PEREIRA DA SILVA</v>
          </cell>
          <cell r="N2413" t="str">
            <v>FAH0950</v>
          </cell>
          <cell r="O2413" t="str">
            <v>2011</v>
          </cell>
          <cell r="P2413" t="str">
            <v>19</v>
          </cell>
          <cell r="Q2413" t="str">
            <v>18</v>
          </cell>
        </row>
        <row r="2414">
          <cell r="B2414" t="str">
            <v>0576/16</v>
          </cell>
          <cell r="C2414" t="str">
            <v>2016-0.063.459-8</v>
          </cell>
          <cell r="D2414" t="str">
            <v/>
          </cell>
          <cell r="E2414" t="str">
            <v>04 de abril de 2016</v>
          </cell>
          <cell r="F2414" t="str">
            <v>EDUARDO MOREIRA DOS SANTOS</v>
          </cell>
          <cell r="G2414" t="str">
            <v>04/04/2016</v>
          </cell>
          <cell r="H2414" t="str">
            <v>21/04/2016</v>
          </cell>
          <cell r="I2414" t="str">
            <v>95</v>
          </cell>
          <cell r="J2414" t="str">
            <v>PESSOA FÍSICA</v>
          </cell>
          <cell r="K2414" t="str">
            <v>088.700.898-43</v>
          </cell>
          <cell r="L2414" t="str">
            <v>JT</v>
          </cell>
          <cell r="M2414" t="str">
            <v>EDUARDO MOREIRA DOS SANTOS</v>
          </cell>
          <cell r="N2414" t="str">
            <v>EZT9235</v>
          </cell>
          <cell r="O2414" t="str">
            <v>2011</v>
          </cell>
          <cell r="P2414" t="str">
            <v>19</v>
          </cell>
          <cell r="Q2414" t="str">
            <v>18</v>
          </cell>
        </row>
        <row r="2415">
          <cell r="B2415" t="str">
            <v>0577/16</v>
          </cell>
          <cell r="C2415" t="str">
            <v>2016-0.063.461-0</v>
          </cell>
          <cell r="D2415" t="str">
            <v/>
          </cell>
          <cell r="E2415" t="str">
            <v>06 de abril de 2016</v>
          </cell>
          <cell r="F2415" t="str">
            <v>JOSENILTON FELIX DOS ANJOS</v>
          </cell>
          <cell r="G2415" t="str">
            <v>06/04/2016</v>
          </cell>
          <cell r="H2415" t="str">
            <v>07/04/2016</v>
          </cell>
          <cell r="I2415" t="str">
            <v>19</v>
          </cell>
          <cell r="J2415" t="str">
            <v>PESSOA FÍSICA</v>
          </cell>
          <cell r="K2415" t="str">
            <v>094.988.908-38</v>
          </cell>
          <cell r="L2415" t="str">
            <v>MP</v>
          </cell>
          <cell r="M2415" t="str">
            <v>JOSENILTON FELIX DOS ANJOS</v>
          </cell>
          <cell r="N2415" t="str">
            <v>EFW4696</v>
          </cell>
          <cell r="O2415" t="str">
            <v>2010</v>
          </cell>
          <cell r="P2415" t="str">
            <v>15</v>
          </cell>
          <cell r="Q2415" t="str">
            <v>14</v>
          </cell>
        </row>
        <row r="2416">
          <cell r="B2416" t="str">
            <v>0578/16</v>
          </cell>
          <cell r="C2416" t="str">
            <v>2016-0.063.463-6</v>
          </cell>
          <cell r="D2416" t="str">
            <v/>
          </cell>
          <cell r="E2416" t="str">
            <v>11 de abril de 2016</v>
          </cell>
          <cell r="F2416" t="str">
            <v>CELIO MARTINS DOS SANTOS</v>
          </cell>
          <cell r="G2416" t="str">
            <v>11/04/2016</v>
          </cell>
          <cell r="H2416" t="str">
            <v>19/04/2016</v>
          </cell>
          <cell r="I2416" t="str">
            <v>27</v>
          </cell>
          <cell r="J2416" t="str">
            <v>PESSOA FÍSICA</v>
          </cell>
          <cell r="K2416" t="str">
            <v>280.736.548-57</v>
          </cell>
          <cell r="L2416" t="str">
            <v>MP</v>
          </cell>
          <cell r="M2416" t="str">
            <v>CELIO MARTINS DOS SANTOS</v>
          </cell>
          <cell r="N2416" t="str">
            <v>FFS0778</v>
          </cell>
          <cell r="O2416" t="str">
            <v>2013</v>
          </cell>
          <cell r="P2416" t="str">
            <v>19</v>
          </cell>
          <cell r="Q2416" t="str">
            <v>18</v>
          </cell>
        </row>
        <row r="2417">
          <cell r="B2417" t="str">
            <v>0579/16</v>
          </cell>
          <cell r="C2417" t="str">
            <v>2016-0.063.464-4</v>
          </cell>
          <cell r="D2417" t="str">
            <v/>
          </cell>
          <cell r="E2417" t="str">
            <v>04 de abril de 2016</v>
          </cell>
          <cell r="F2417" t="str">
            <v>ANTONIO SOARES DA SILVA</v>
          </cell>
          <cell r="G2417" t="str">
            <v>04/04/2016</v>
          </cell>
          <cell r="H2417" t="str">
            <v>07/04/2016</v>
          </cell>
          <cell r="I2417" t="str">
            <v>19</v>
          </cell>
          <cell r="J2417" t="str">
            <v>PESSOA FÍSICA</v>
          </cell>
          <cell r="K2417" t="str">
            <v>055.442.838-50</v>
          </cell>
          <cell r="L2417" t="str">
            <v>MP</v>
          </cell>
          <cell r="M2417" t="str">
            <v>ANTONIO SOARES DA SILVA</v>
          </cell>
          <cell r="N2417" t="str">
            <v>CYB0098</v>
          </cell>
          <cell r="O2417" t="str">
            <v>2003</v>
          </cell>
          <cell r="P2417" t="str">
            <v>25</v>
          </cell>
          <cell r="Q2417" t="str">
            <v>23</v>
          </cell>
        </row>
        <row r="2418">
          <cell r="B2418" t="str">
            <v>0580/16</v>
          </cell>
          <cell r="C2418" t="str">
            <v>2016-0.063.467-9</v>
          </cell>
          <cell r="D2418" t="str">
            <v/>
          </cell>
          <cell r="E2418" t="str">
            <v>18 de abril de 2016</v>
          </cell>
          <cell r="F2418" t="str">
            <v>IVAN ROGERIO CUEVAS GUTIERREZ</v>
          </cell>
          <cell r="G2418" t="str">
            <v>18/04/2016</v>
          </cell>
          <cell r="H2418" t="str">
            <v>27/04/2016</v>
          </cell>
          <cell r="I2418" t="str">
            <v>54</v>
          </cell>
          <cell r="J2418" t="str">
            <v>PESSOA FÍSICA</v>
          </cell>
          <cell r="K2418" t="str">
            <v>116.720.948-60</v>
          </cell>
          <cell r="L2418" t="str">
            <v>JT</v>
          </cell>
          <cell r="M2418" t="str">
            <v>IVAN ROGERIO CUEVAS GUTIERREZ</v>
          </cell>
          <cell r="N2418" t="str">
            <v>CZX7154</v>
          </cell>
          <cell r="O2418" t="str">
            <v>2003</v>
          </cell>
          <cell r="P2418" t="str">
            <v>25</v>
          </cell>
          <cell r="Q2418" t="str">
            <v>23</v>
          </cell>
        </row>
        <row r="2419">
          <cell r="B2419" t="str">
            <v>0581/16</v>
          </cell>
          <cell r="C2419" t="str">
            <v>2016-0.063.470-9</v>
          </cell>
          <cell r="D2419" t="str">
            <v/>
          </cell>
          <cell r="E2419" t="str">
            <v>24 de março de 2016</v>
          </cell>
          <cell r="F2419" t="str">
            <v>RAIMUNDO APARECIDO DA SILVA</v>
          </cell>
          <cell r="G2419" t="str">
            <v>24/03/2016</v>
          </cell>
          <cell r="H2419" t="str">
            <v>25/03/2016</v>
          </cell>
          <cell r="I2419" t="str">
            <v>38</v>
          </cell>
          <cell r="J2419" t="str">
            <v>PESSOA FÍSICA</v>
          </cell>
          <cell r="K2419" t="str">
            <v>442.157.388-49</v>
          </cell>
          <cell r="L2419" t="str">
            <v>MP</v>
          </cell>
          <cell r="M2419" t="str">
            <v>RAIMUNDO APARECIDO DA SILVA</v>
          </cell>
          <cell r="N2419" t="str">
            <v>EFW1430</v>
          </cell>
          <cell r="O2419" t="str">
            <v>2008</v>
          </cell>
          <cell r="P2419" t="str">
            <v>15</v>
          </cell>
          <cell r="Q2419" t="str">
            <v>14</v>
          </cell>
        </row>
        <row r="2420">
          <cell r="B2420" t="str">
            <v>0582/16</v>
          </cell>
          <cell r="C2420" t="str">
            <v>2016-0.063.473-3</v>
          </cell>
          <cell r="D2420" t="str">
            <v>18/04/2016</v>
          </cell>
          <cell r="E2420" t="str">
            <v>25 de abril de 2016</v>
          </cell>
          <cell r="F2420" t="str">
            <v>MARISA ALVES VIEIRA</v>
          </cell>
          <cell r="G2420" t="str">
            <v>25/04/2016</v>
          </cell>
          <cell r="H2420" t="str">
            <v>27/04/2016</v>
          </cell>
          <cell r="I2420" t="str">
            <v>54</v>
          </cell>
          <cell r="J2420" t="str">
            <v>PESSOA FÍSICA</v>
          </cell>
          <cell r="K2420" t="str">
            <v>173.255.118-92</v>
          </cell>
          <cell r="L2420" t="str">
            <v>JT</v>
          </cell>
          <cell r="M2420" t="str">
            <v>MARISA ALVES VIEIRA</v>
          </cell>
          <cell r="N2420" t="str">
            <v>DTE0930</v>
          </cell>
          <cell r="O2420" t="str">
            <v>2009</v>
          </cell>
          <cell r="P2420" t="str">
            <v>19</v>
          </cell>
          <cell r="Q2420" t="str">
            <v>18</v>
          </cell>
        </row>
        <row r="2421">
          <cell r="B2421" t="str">
            <v>0583/16</v>
          </cell>
          <cell r="C2421" t="str">
            <v>2016-0.063.478-4</v>
          </cell>
          <cell r="D2421" t="str">
            <v/>
          </cell>
          <cell r="E2421" t="str">
            <v/>
          </cell>
          <cell r="F2421" t="str">
            <v>JOSE CARLOS DA ROSA</v>
          </cell>
          <cell r="G2421" t="str">
            <v/>
          </cell>
          <cell r="H2421" t="str">
            <v/>
          </cell>
          <cell r="I2421" t="str">
            <v/>
          </cell>
          <cell r="J2421" t="str">
            <v>PESSOA FÍSICA</v>
          </cell>
          <cell r="K2421" t="str">
            <v>063.934.368-67</v>
          </cell>
          <cell r="L2421" t="str">
            <v>JT</v>
          </cell>
          <cell r="M2421" t="str">
            <v>JOSE CARLOS DA ROSA</v>
          </cell>
          <cell r="N2421" t="str">
            <v>FJH7906</v>
          </cell>
          <cell r="O2421" t="str">
            <v>2014</v>
          </cell>
          <cell r="P2421" t="str">
            <v>27</v>
          </cell>
          <cell r="Q2421" t="str">
            <v>26</v>
          </cell>
        </row>
        <row r="2422">
          <cell r="B2422" t="str">
            <v>0584/16</v>
          </cell>
          <cell r="C2422" t="str">
            <v>2016-0.063.481-4</v>
          </cell>
          <cell r="D2422" t="str">
            <v/>
          </cell>
          <cell r="E2422" t="str">
            <v/>
          </cell>
          <cell r="F2422" t="str">
            <v>MARCEL JOSUE DA SILVA</v>
          </cell>
          <cell r="G2422" t="str">
            <v/>
          </cell>
          <cell r="H2422" t="str">
            <v/>
          </cell>
          <cell r="I2422" t="str">
            <v/>
          </cell>
          <cell r="J2422" t="str">
            <v>PESSOA FÍSICA</v>
          </cell>
          <cell r="K2422" t="str">
            <v>220.164.418-79</v>
          </cell>
          <cell r="L2422" t="str">
            <v>IQ</v>
          </cell>
          <cell r="M2422" t="str">
            <v>MARCEL JOSUE DA SILVA</v>
          </cell>
          <cell r="N2422" t="str">
            <v>ECT5540</v>
          </cell>
          <cell r="O2422" t="str">
            <v>2008</v>
          </cell>
          <cell r="P2422" t="str">
            <v>19</v>
          </cell>
          <cell r="Q2422" t="str">
            <v>18</v>
          </cell>
        </row>
        <row r="2423">
          <cell r="B2423" t="str">
            <v>0585/16</v>
          </cell>
          <cell r="C2423" t="str">
            <v>2016-0.063.483-0</v>
          </cell>
          <cell r="D2423" t="str">
            <v/>
          </cell>
          <cell r="E2423" t="str">
            <v>11 de abril de 2016</v>
          </cell>
          <cell r="F2423" t="str">
            <v>JOAO CARLOS ZONTA</v>
          </cell>
          <cell r="G2423" t="str">
            <v>11/04/2016</v>
          </cell>
          <cell r="H2423" t="str">
            <v>13/04/2016</v>
          </cell>
          <cell r="I2423" t="str">
            <v>49</v>
          </cell>
          <cell r="J2423" t="str">
            <v>PESSOA FÍSICA</v>
          </cell>
          <cell r="K2423" t="str">
            <v>297.818.308-08</v>
          </cell>
          <cell r="L2423" t="str">
            <v>MP</v>
          </cell>
          <cell r="M2423" t="str">
            <v>JOAO CARLOS ZONTA</v>
          </cell>
          <cell r="N2423" t="str">
            <v>EJW0309</v>
          </cell>
          <cell r="O2423" t="str">
            <v>2010</v>
          </cell>
          <cell r="P2423" t="str">
            <v>19</v>
          </cell>
          <cell r="Q2423" t="str">
            <v>18</v>
          </cell>
        </row>
        <row r="2424">
          <cell r="B2424" t="str">
            <v>0586/16</v>
          </cell>
          <cell r="C2424" t="str">
            <v>2016-0.063.489-0</v>
          </cell>
          <cell r="D2424" t="str">
            <v/>
          </cell>
          <cell r="E2424" t="str">
            <v>01 de abril de 2016</v>
          </cell>
          <cell r="F2424" t="str">
            <v>RENIANDER POZATI CORREA</v>
          </cell>
          <cell r="G2424" t="str">
            <v>01/04/2016</v>
          </cell>
          <cell r="H2424" t="str">
            <v>02/04/2016</v>
          </cell>
          <cell r="I2424" t="str">
            <v>41</v>
          </cell>
          <cell r="J2424" t="str">
            <v>PESSOA FÍSICA</v>
          </cell>
          <cell r="K2424" t="str">
            <v>272.041.458-10</v>
          </cell>
          <cell r="L2424" t="str">
            <v>SA</v>
          </cell>
          <cell r="M2424" t="str">
            <v>RENIANDER POZATI CORREA</v>
          </cell>
          <cell r="N2424" t="str">
            <v>DTC4868</v>
          </cell>
          <cell r="O2424" t="str">
            <v>2008</v>
          </cell>
          <cell r="P2424" t="str">
            <v>29</v>
          </cell>
          <cell r="Q2424" t="str">
            <v>27</v>
          </cell>
        </row>
        <row r="2425">
          <cell r="B2425" t="str">
            <v>0587/16</v>
          </cell>
          <cell r="C2425" t="str">
            <v>2016-0.063.493-8</v>
          </cell>
          <cell r="D2425" t="str">
            <v/>
          </cell>
          <cell r="E2425" t="str">
            <v>20 de abril de 2016</v>
          </cell>
          <cell r="F2425" t="str">
            <v>CARLOS ROBERTO DA SILVA OLIVEIRA</v>
          </cell>
          <cell r="G2425" t="str">
            <v>20/04/2016</v>
          </cell>
          <cell r="H2425" t="str">
            <v>21/04/2016</v>
          </cell>
          <cell r="I2425" t="str">
            <v>95</v>
          </cell>
          <cell r="J2425" t="str">
            <v>PESSOA FÍSICA</v>
          </cell>
          <cell r="K2425" t="str">
            <v>153.624.758-86</v>
          </cell>
          <cell r="L2425" t="str">
            <v>SA</v>
          </cell>
          <cell r="M2425" t="str">
            <v>CARLOS ROBERTO DA SILVA OLIVEIRA</v>
          </cell>
          <cell r="N2425" t="str">
            <v>ELQ7960</v>
          </cell>
          <cell r="O2425" t="str">
            <v>2010</v>
          </cell>
          <cell r="P2425" t="str">
            <v>10</v>
          </cell>
          <cell r="Q2425" t="str">
            <v>9</v>
          </cell>
        </row>
        <row r="2426">
          <cell r="B2426" t="str">
            <v>0588/16</v>
          </cell>
          <cell r="C2426" t="str">
            <v>2016-0.063.497-0</v>
          </cell>
          <cell r="D2426" t="str">
            <v/>
          </cell>
          <cell r="E2426" t="str">
            <v>23 de março de 2016</v>
          </cell>
          <cell r="F2426" t="str">
            <v>JOAO LUIS FRISCIO</v>
          </cell>
          <cell r="G2426" t="str">
            <v>23/03/2016</v>
          </cell>
          <cell r="H2426" t="str">
            <v>25/03/2016</v>
          </cell>
          <cell r="I2426" t="str">
            <v>38</v>
          </cell>
          <cell r="J2426" t="str">
            <v>PESSOA FÍSICA</v>
          </cell>
          <cell r="K2426" t="str">
            <v>035.206.578-80</v>
          </cell>
          <cell r="L2426" t="str">
            <v>SA</v>
          </cell>
          <cell r="M2426" t="str">
            <v>JOAO LUIS FRISCIO</v>
          </cell>
          <cell r="N2426" t="str">
            <v>DSI8540</v>
          </cell>
          <cell r="O2426" t="str">
            <v>2006</v>
          </cell>
          <cell r="P2426" t="str">
            <v>25</v>
          </cell>
          <cell r="Q2426" t="str">
            <v>23</v>
          </cell>
        </row>
        <row r="2427">
          <cell r="B2427" t="str">
            <v>0589/16</v>
          </cell>
          <cell r="C2427" t="str">
            <v>2016-0.063.503-9</v>
          </cell>
          <cell r="D2427" t="str">
            <v/>
          </cell>
          <cell r="E2427" t="str">
            <v>24 de março de 2016</v>
          </cell>
          <cell r="F2427" t="str">
            <v>JOSE ANTONIO DA SILVA SANTOS</v>
          </cell>
          <cell r="G2427" t="str">
            <v>24/03/2016</v>
          </cell>
          <cell r="H2427" t="str">
            <v>25/03/2016</v>
          </cell>
          <cell r="I2427" t="str">
            <v>38</v>
          </cell>
          <cell r="J2427" t="str">
            <v>PESSOA FÍSICA</v>
          </cell>
          <cell r="K2427" t="str">
            <v>856.432.548-91</v>
          </cell>
          <cell r="L2427" t="str">
            <v>MP</v>
          </cell>
          <cell r="M2427" t="str">
            <v>JOSE ANTONIO DA SILVA SANTOS</v>
          </cell>
          <cell r="N2427" t="str">
            <v>EBV5390</v>
          </cell>
          <cell r="O2427" t="str">
            <v>2008</v>
          </cell>
          <cell r="P2427" t="str">
            <v>29</v>
          </cell>
          <cell r="Q2427" t="str">
            <v>27</v>
          </cell>
        </row>
        <row r="2428">
          <cell r="B2428" t="str">
            <v>0590/16</v>
          </cell>
          <cell r="C2428" t="str">
            <v>2016-0.063.509-8</v>
          </cell>
          <cell r="D2428" t="str">
            <v/>
          </cell>
          <cell r="E2428" t="str">
            <v>24 de março de 2016</v>
          </cell>
          <cell r="F2428" t="str">
            <v>ANTONIO PEREIRA DOS SANTOS</v>
          </cell>
          <cell r="G2428" t="str">
            <v>24/03/2016</v>
          </cell>
          <cell r="H2428" t="str">
            <v>25/03/2016</v>
          </cell>
          <cell r="I2428" t="str">
            <v>38</v>
          </cell>
          <cell r="J2428" t="str">
            <v>PESSOA FÍSICA</v>
          </cell>
          <cell r="K2428" t="str">
            <v>194.702.118-47</v>
          </cell>
          <cell r="L2428" t="str">
            <v>PJ</v>
          </cell>
          <cell r="M2428" t="str">
            <v>ANTONIO PEREIRA DOS SANTOS</v>
          </cell>
          <cell r="N2428" t="str">
            <v>DJE7530</v>
          </cell>
          <cell r="O2428" t="str">
            <v>2005</v>
          </cell>
          <cell r="P2428" t="str">
            <v>25</v>
          </cell>
          <cell r="Q2428" t="str">
            <v>23</v>
          </cell>
        </row>
        <row r="2429">
          <cell r="B2429" t="str">
            <v>0591/16</v>
          </cell>
          <cell r="C2429" t="str">
            <v>2016-0.063.511-0</v>
          </cell>
          <cell r="D2429" t="str">
            <v/>
          </cell>
          <cell r="E2429" t="str">
            <v>24 de março de 2016</v>
          </cell>
          <cell r="F2429" t="str">
            <v>AGUINALDO SILVEIRA SOUZA JUNIOR</v>
          </cell>
          <cell r="G2429" t="str">
            <v>24/03/2016</v>
          </cell>
          <cell r="H2429" t="str">
            <v>25/03/2016</v>
          </cell>
          <cell r="I2429" t="str">
            <v>38</v>
          </cell>
          <cell r="J2429" t="str">
            <v>PESSOA FÍSICA</v>
          </cell>
          <cell r="K2429" t="str">
            <v>052.648.338-50</v>
          </cell>
          <cell r="L2429" t="str">
            <v>MP</v>
          </cell>
          <cell r="M2429" t="str">
            <v>AGUINALDO SILVEIRA SOUZA JUNIOR</v>
          </cell>
          <cell r="N2429" t="str">
            <v>DBM8590</v>
          </cell>
          <cell r="O2429" t="str">
            <v>2007</v>
          </cell>
          <cell r="P2429" t="str">
            <v>15</v>
          </cell>
          <cell r="Q2429" t="str">
            <v>14</v>
          </cell>
        </row>
        <row r="2430">
          <cell r="B2430" t="str">
            <v>0592/16</v>
          </cell>
          <cell r="C2430" t="str">
            <v>2016-0.063.516-0</v>
          </cell>
          <cell r="D2430" t="str">
            <v/>
          </cell>
          <cell r="E2430" t="str">
            <v>24 de março de 2016</v>
          </cell>
          <cell r="F2430" t="str">
            <v>ROSANGELA RODRIGUES PARADA</v>
          </cell>
          <cell r="G2430" t="str">
            <v>24/03/2016</v>
          </cell>
          <cell r="H2430" t="str">
            <v>25/03/2016</v>
          </cell>
          <cell r="I2430" t="str">
            <v>38</v>
          </cell>
          <cell r="J2430" t="str">
            <v>PESSOA FÍSICA</v>
          </cell>
          <cell r="K2430" t="str">
            <v>092.350.648-99</v>
          </cell>
          <cell r="L2430" t="str">
            <v>JT</v>
          </cell>
          <cell r="M2430" t="str">
            <v>ROSANGELA RODRIGUES PARADA</v>
          </cell>
          <cell r="N2430" t="str">
            <v>DJE3119</v>
          </cell>
          <cell r="O2430" t="str">
            <v>2005</v>
          </cell>
          <cell r="P2430" t="str">
            <v>25</v>
          </cell>
          <cell r="Q2430" t="str">
            <v>23</v>
          </cell>
        </row>
        <row r="2431">
          <cell r="B2431" t="str">
            <v>0593/16</v>
          </cell>
          <cell r="C2431" t="str">
            <v>2016-0.063.520-9</v>
          </cell>
          <cell r="D2431" t="str">
            <v/>
          </cell>
          <cell r="E2431" t="str">
            <v>25 de abril de 2016</v>
          </cell>
          <cell r="F2431" t="str">
            <v>GILDEON RODRIGUES SANTOS</v>
          </cell>
          <cell r="G2431" t="str">
            <v>25/04/2016</v>
          </cell>
          <cell r="H2431" t="str">
            <v>27/04/2016</v>
          </cell>
          <cell r="I2431" t="str">
            <v>54</v>
          </cell>
          <cell r="J2431" t="str">
            <v>PESSOA FÍSICA</v>
          </cell>
          <cell r="K2431" t="str">
            <v>271.348.698-06</v>
          </cell>
          <cell r="L2431" t="str">
            <v>MP</v>
          </cell>
          <cell r="M2431" t="str">
            <v>GILDEON RODRIGUES SANTOS</v>
          </cell>
          <cell r="N2431" t="str">
            <v>EIM5204</v>
          </cell>
          <cell r="O2431" t="str">
            <v>2009</v>
          </cell>
          <cell r="P2431" t="str">
            <v>19</v>
          </cell>
          <cell r="Q2431" t="str">
            <v>18</v>
          </cell>
        </row>
        <row r="2432">
          <cell r="B2432" t="str">
            <v>0594/16</v>
          </cell>
          <cell r="C2432" t="str">
            <v>2016-0.063.553-5</v>
          </cell>
          <cell r="D2432" t="str">
            <v/>
          </cell>
          <cell r="E2432" t="str">
            <v>19 de abril de 2016</v>
          </cell>
          <cell r="F2432" t="str">
            <v>AUDA DOS SANTOS PASSOS GALIANO</v>
          </cell>
          <cell r="G2432" t="str">
            <v>19/04/2016</v>
          </cell>
          <cell r="H2432" t="str">
            <v>21/04/2016</v>
          </cell>
          <cell r="I2432" t="str">
            <v>95</v>
          </cell>
          <cell r="J2432" t="str">
            <v>PESSOA FÍSICA</v>
          </cell>
          <cell r="K2432" t="str">
            <v>094.295.328-20</v>
          </cell>
          <cell r="L2432" t="str">
            <v>JT</v>
          </cell>
          <cell r="M2432" t="str">
            <v>AUDA DOS SANTOS PASSOS GALIANO</v>
          </cell>
          <cell r="N2432" t="str">
            <v>ECT6308</v>
          </cell>
          <cell r="O2432" t="str">
            <v>2008</v>
          </cell>
          <cell r="P2432" t="str">
            <v>19</v>
          </cell>
          <cell r="Q2432" t="str">
            <v>18</v>
          </cell>
        </row>
        <row r="2433">
          <cell r="B2433" t="str">
            <v>0595/16</v>
          </cell>
          <cell r="C2433" t="str">
            <v>2016-0.063.555-1</v>
          </cell>
          <cell r="D2433" t="str">
            <v/>
          </cell>
          <cell r="E2433" t="str">
            <v>28 de março de 2016</v>
          </cell>
          <cell r="F2433" t="str">
            <v>WILLIAMS ROBERTO LIMA</v>
          </cell>
          <cell r="G2433" t="str">
            <v>28/03/2016</v>
          </cell>
          <cell r="H2433" t="str">
            <v>31/03/2016</v>
          </cell>
          <cell r="I2433" t="str">
            <v>33</v>
          </cell>
          <cell r="J2433" t="str">
            <v>PESSOA FÍSICA</v>
          </cell>
          <cell r="K2433" t="str">
            <v>086.913.288-19</v>
          </cell>
          <cell r="L2433" t="str">
            <v>JT</v>
          </cell>
          <cell r="M2433" t="str">
            <v>WILLIAMS ROBERTO LIMA</v>
          </cell>
          <cell r="N2433" t="str">
            <v>ERF9897</v>
          </cell>
          <cell r="O2433" t="str">
            <v>2010</v>
          </cell>
          <cell r="P2433" t="str">
            <v>19</v>
          </cell>
          <cell r="Q2433" t="str">
            <v>18</v>
          </cell>
        </row>
        <row r="2434">
          <cell r="B2434" t="str">
            <v>0597/16</v>
          </cell>
          <cell r="C2434" t="str">
            <v>2016-0.063.596-9</v>
          </cell>
          <cell r="D2434" t="str">
            <v/>
          </cell>
          <cell r="E2434" t="str">
            <v>24 de março de 2016</v>
          </cell>
          <cell r="F2434" t="str">
            <v>FRANCISCO ABDIAS DE CARVALHO</v>
          </cell>
          <cell r="G2434" t="str">
            <v>24/03/2016</v>
          </cell>
          <cell r="H2434" t="str">
            <v>25/03/2016</v>
          </cell>
          <cell r="I2434" t="str">
            <v>38</v>
          </cell>
          <cell r="J2434" t="str">
            <v>PESSOA FÍSICA</v>
          </cell>
          <cell r="K2434" t="str">
            <v>107.451.508-02</v>
          </cell>
          <cell r="L2434" t="str">
            <v>PJ</v>
          </cell>
          <cell r="M2434" t="str">
            <v>FRANCISCO ABDIAS DE CARVALHO</v>
          </cell>
          <cell r="N2434" t="str">
            <v>DZX5174</v>
          </cell>
          <cell r="O2434" t="str">
            <v>2007</v>
          </cell>
          <cell r="P2434" t="str">
            <v>29</v>
          </cell>
          <cell r="Q2434" t="str">
            <v>27</v>
          </cell>
        </row>
        <row r="2435">
          <cell r="B2435" t="str">
            <v>0598/16</v>
          </cell>
          <cell r="C2435" t="str">
            <v>2016-0.063.601-9</v>
          </cell>
          <cell r="D2435" t="str">
            <v/>
          </cell>
          <cell r="E2435" t="str">
            <v>24 de março de 2016</v>
          </cell>
          <cell r="F2435" t="str">
            <v>CELSO ROSSIGNOLI</v>
          </cell>
          <cell r="G2435" t="str">
            <v>24/03/2016</v>
          </cell>
          <cell r="H2435" t="str">
            <v>25/03/2016</v>
          </cell>
          <cell r="I2435" t="str">
            <v>38</v>
          </cell>
          <cell r="J2435" t="str">
            <v>PESSOA FÍSICA</v>
          </cell>
          <cell r="K2435" t="str">
            <v>038.607.568-93</v>
          </cell>
          <cell r="L2435" t="str">
            <v>JT</v>
          </cell>
          <cell r="M2435" t="str">
            <v>CELSO ROSSIGNOLI</v>
          </cell>
          <cell r="N2435" t="str">
            <v>DJF9870</v>
          </cell>
          <cell r="O2435" t="str">
            <v>2006</v>
          </cell>
          <cell r="P2435" t="str">
            <v>23</v>
          </cell>
          <cell r="Q2435" t="str">
            <v>22</v>
          </cell>
        </row>
        <row r="2436">
          <cell r="B2436" t="str">
            <v>0599/16</v>
          </cell>
          <cell r="C2436" t="str">
            <v>2016-0.063.606-0</v>
          </cell>
          <cell r="D2436" t="str">
            <v/>
          </cell>
          <cell r="E2436" t="str">
            <v>24 de março de 2016</v>
          </cell>
          <cell r="F2436" t="str">
            <v>FATIMA DA CONCEICAO BREZAN SHIRAIVA</v>
          </cell>
          <cell r="G2436" t="str">
            <v>24/03/2016</v>
          </cell>
          <cell r="H2436" t="str">
            <v>25/03/2016</v>
          </cell>
          <cell r="I2436" t="str">
            <v>38</v>
          </cell>
          <cell r="J2436" t="str">
            <v>PESSOA FÍSICA</v>
          </cell>
          <cell r="K2436" t="str">
            <v>921.023.448-00</v>
          </cell>
          <cell r="L2436" t="str">
            <v>JT</v>
          </cell>
          <cell r="M2436" t="str">
            <v>FATIMA DA CONCEICAO BREZAN SHIRAIVA</v>
          </cell>
          <cell r="N2436" t="str">
            <v>CYR5209</v>
          </cell>
          <cell r="O2436" t="str">
            <v>2003</v>
          </cell>
          <cell r="P2436" t="str">
            <v>25</v>
          </cell>
          <cell r="Q2436" t="str">
            <v>23</v>
          </cell>
        </row>
        <row r="2437">
          <cell r="B2437" t="str">
            <v>0600/16</v>
          </cell>
          <cell r="C2437" t="str">
            <v>2016-0.063.785-6</v>
          </cell>
          <cell r="D2437" t="str">
            <v/>
          </cell>
          <cell r="E2437" t="str">
            <v/>
          </cell>
          <cell r="F2437" t="str">
            <v>MAGNO DA SILVA PEDRO</v>
          </cell>
          <cell r="G2437" t="str">
            <v/>
          </cell>
          <cell r="H2437" t="str">
            <v/>
          </cell>
          <cell r="I2437" t="str">
            <v/>
          </cell>
          <cell r="J2437" t="str">
            <v>PESSOA FÍSICA</v>
          </cell>
          <cell r="K2437" t="str">
            <v>187.973.488-56</v>
          </cell>
          <cell r="L2437" t="str">
            <v>JT</v>
          </cell>
          <cell r="M2437" t="str">
            <v>MAGNO DA SILVA PEDRO</v>
          </cell>
          <cell r="N2437" t="str">
            <v>FFN7049</v>
          </cell>
          <cell r="O2437" t="str">
            <v>2012</v>
          </cell>
          <cell r="P2437" t="str">
            <v>19</v>
          </cell>
          <cell r="Q2437" t="str">
            <v>18</v>
          </cell>
        </row>
        <row r="2438">
          <cell r="B2438" t="str">
            <v>0601/16</v>
          </cell>
          <cell r="C2438" t="str">
            <v>2016-0.063.802-0</v>
          </cell>
          <cell r="D2438" t="str">
            <v/>
          </cell>
          <cell r="E2438" t="str">
            <v>11 de abril de 2016</v>
          </cell>
          <cell r="F2438" t="str">
            <v>WELLINGTON DO NASCIMENTO JUNIOR</v>
          </cell>
          <cell r="G2438" t="str">
            <v>11/04/2016</v>
          </cell>
          <cell r="H2438" t="str">
            <v>13/04/2016</v>
          </cell>
          <cell r="I2438" t="str">
            <v>49</v>
          </cell>
          <cell r="J2438" t="str">
            <v>PESSOA FÍSICA</v>
          </cell>
          <cell r="K2438" t="str">
            <v>074.206.588-03</v>
          </cell>
          <cell r="L2438" t="str">
            <v>JT</v>
          </cell>
          <cell r="M2438" t="str">
            <v>WELLINGTON DO NASCIMENTO JUNIOR</v>
          </cell>
          <cell r="N2438" t="str">
            <v>EEH3090</v>
          </cell>
          <cell r="O2438" t="str">
            <v>2009</v>
          </cell>
          <cell r="P2438" t="str">
            <v>29</v>
          </cell>
          <cell r="Q2438" t="str">
            <v>27</v>
          </cell>
        </row>
        <row r="2439">
          <cell r="B2439" t="str">
            <v>0602/16</v>
          </cell>
          <cell r="C2439" t="str">
            <v>2016-0.063.841-0</v>
          </cell>
          <cell r="D2439" t="str">
            <v/>
          </cell>
          <cell r="E2439" t="str">
            <v>24 de março de 2016</v>
          </cell>
          <cell r="F2439" t="str">
            <v>JAIR PORTELA RODRIGUES</v>
          </cell>
          <cell r="G2439" t="str">
            <v>24/03/2016</v>
          </cell>
          <cell r="H2439" t="str">
            <v>25/03/2016</v>
          </cell>
          <cell r="I2439" t="str">
            <v>38</v>
          </cell>
          <cell r="J2439" t="str">
            <v>PESSOA FÍSICA</v>
          </cell>
          <cell r="K2439" t="str">
            <v>012.750.358-76</v>
          </cell>
          <cell r="L2439" t="str">
            <v>MP</v>
          </cell>
          <cell r="M2439" t="str">
            <v>JAIR PORTELA RODRIGUES</v>
          </cell>
          <cell r="N2439" t="str">
            <v>EJW0393</v>
          </cell>
          <cell r="O2439" t="str">
            <v>2010</v>
          </cell>
          <cell r="P2439" t="str">
            <v>15</v>
          </cell>
          <cell r="Q2439" t="str">
            <v>14</v>
          </cell>
        </row>
        <row r="2440">
          <cell r="B2440" t="str">
            <v>0603/16</v>
          </cell>
          <cell r="C2440" t="str">
            <v>2016-0.063.876-3</v>
          </cell>
          <cell r="D2440" t="str">
            <v/>
          </cell>
          <cell r="E2440" t="str">
            <v>24 de março de 2016</v>
          </cell>
          <cell r="F2440" t="str">
            <v>ROBERTO JARDIM SILVESTRE</v>
          </cell>
          <cell r="G2440" t="str">
            <v>24/03/2016</v>
          </cell>
          <cell r="H2440" t="str">
            <v>25/03/2016</v>
          </cell>
          <cell r="I2440" t="str">
            <v>38</v>
          </cell>
          <cell r="J2440" t="str">
            <v>PESSOA FÍSICA</v>
          </cell>
          <cell r="K2440" t="str">
            <v>125.753.858-65</v>
          </cell>
          <cell r="L2440" t="str">
            <v>MP</v>
          </cell>
          <cell r="M2440" t="str">
            <v>ROBERTO JARDIM SILVESTRE</v>
          </cell>
          <cell r="N2440" t="str">
            <v>EKV8964</v>
          </cell>
          <cell r="O2440" t="str">
            <v>2010</v>
          </cell>
          <cell r="P2440" t="str">
            <v>19</v>
          </cell>
          <cell r="Q2440" t="str">
            <v>18</v>
          </cell>
        </row>
        <row r="2441">
          <cell r="B2441" t="str">
            <v>0604/16</v>
          </cell>
          <cell r="C2441" t="str">
            <v>2016-0.063.881-0</v>
          </cell>
          <cell r="D2441" t="str">
            <v/>
          </cell>
          <cell r="E2441" t="str">
            <v/>
          </cell>
          <cell r="F2441" t="str">
            <v>UILIAM RAMOS</v>
          </cell>
          <cell r="G2441" t="str">
            <v/>
          </cell>
          <cell r="H2441" t="str">
            <v/>
          </cell>
          <cell r="I2441" t="str">
            <v/>
          </cell>
          <cell r="J2441" t="str">
            <v>PESSOA FÍSICA</v>
          </cell>
          <cell r="K2441" t="str">
            <v>144.020.828-03</v>
          </cell>
          <cell r="L2441" t="str">
            <v>PJ</v>
          </cell>
          <cell r="M2441" t="str">
            <v>UILIAM RAMOS</v>
          </cell>
          <cell r="N2441" t="str">
            <v>CZX1015</v>
          </cell>
          <cell r="O2441" t="str">
            <v>2002</v>
          </cell>
          <cell r="P2441" t="str">
            <v>25</v>
          </cell>
          <cell r="Q2441" t="str">
            <v>23</v>
          </cell>
        </row>
        <row r="2442">
          <cell r="B2442" t="str">
            <v>0605/16</v>
          </cell>
          <cell r="C2442" t="str">
            <v>2016-0.063.884-4</v>
          </cell>
          <cell r="D2442" t="str">
            <v/>
          </cell>
          <cell r="E2442" t="str">
            <v>28 de março de 2016</v>
          </cell>
          <cell r="F2442" t="str">
            <v>FRANCISCO MARCILIO DE OLIVEIRA BARROS</v>
          </cell>
          <cell r="G2442" t="str">
            <v>28/03/2016</v>
          </cell>
          <cell r="H2442" t="str">
            <v>31/03/2016</v>
          </cell>
          <cell r="I2442" t="str">
            <v>34</v>
          </cell>
          <cell r="J2442" t="str">
            <v>PESSOA FÍSICA</v>
          </cell>
          <cell r="K2442" t="str">
            <v>151.350.318-98</v>
          </cell>
          <cell r="L2442" t="str">
            <v>JT</v>
          </cell>
          <cell r="M2442" t="str">
            <v xml:space="preserve">FRANCISCO MARCILIO DE OLIVEIRA BARROS </v>
          </cell>
          <cell r="N2442" t="str">
            <v>DTA5379</v>
          </cell>
          <cell r="O2442" t="str">
            <v>2007</v>
          </cell>
          <cell r="P2442" t="str">
            <v>11</v>
          </cell>
          <cell r="Q2442" t="str">
            <v>10</v>
          </cell>
        </row>
        <row r="2443">
          <cell r="B2443" t="str">
            <v>0606/16</v>
          </cell>
          <cell r="C2443" t="str">
            <v>2016-0.063.891-7</v>
          </cell>
          <cell r="D2443" t="str">
            <v/>
          </cell>
          <cell r="E2443" t="str">
            <v>24 de março de 2016</v>
          </cell>
          <cell r="F2443" t="str">
            <v>AILTON ANTENORE</v>
          </cell>
          <cell r="G2443" t="str">
            <v>24/03/2016</v>
          </cell>
          <cell r="H2443" t="str">
            <v>25/03/2016</v>
          </cell>
          <cell r="I2443" t="str">
            <v>38</v>
          </cell>
          <cell r="J2443" t="str">
            <v>PESSOA FÍSICA</v>
          </cell>
          <cell r="K2443" t="str">
            <v>481.476.139-20</v>
          </cell>
          <cell r="L2443" t="str">
            <v>MP</v>
          </cell>
          <cell r="M2443" t="str">
            <v>AILTON ANTENORE</v>
          </cell>
          <cell r="N2443" t="str">
            <v>EYN7665</v>
          </cell>
          <cell r="O2443" t="str">
            <v>2011</v>
          </cell>
          <cell r="P2443" t="str">
            <v>19</v>
          </cell>
          <cell r="Q2443" t="str">
            <v>18</v>
          </cell>
        </row>
        <row r="2444">
          <cell r="B2444" t="str">
            <v>0607/16</v>
          </cell>
          <cell r="C2444" t="str">
            <v>2016-0.063.895-0</v>
          </cell>
          <cell r="D2444" t="str">
            <v/>
          </cell>
          <cell r="E2444" t="str">
            <v>24 de março de 2016</v>
          </cell>
          <cell r="F2444" t="str">
            <v>EMERSON LUCIANO DE SOUZA</v>
          </cell>
          <cell r="G2444" t="str">
            <v>24/03/2016</v>
          </cell>
          <cell r="H2444" t="str">
            <v>25/03/2016</v>
          </cell>
          <cell r="I2444" t="str">
            <v>38</v>
          </cell>
          <cell r="J2444" t="str">
            <v>PESSOA FÍSICA</v>
          </cell>
          <cell r="K2444" t="str">
            <v>143.262.628-00</v>
          </cell>
          <cell r="L2444" t="str">
            <v>JT</v>
          </cell>
          <cell r="M2444" t="str">
            <v>EMERSON LUCIANO DE SOUZA</v>
          </cell>
          <cell r="N2444" t="str">
            <v>ELQ2152</v>
          </cell>
          <cell r="O2444" t="str">
            <v>2011</v>
          </cell>
          <cell r="P2444" t="str">
            <v>19</v>
          </cell>
          <cell r="Q2444" t="str">
            <v>18</v>
          </cell>
        </row>
        <row r="2445">
          <cell r="B2445" t="str">
            <v>0608/16</v>
          </cell>
          <cell r="C2445" t="str">
            <v>2016-0.063.915-8</v>
          </cell>
          <cell r="D2445" t="str">
            <v/>
          </cell>
          <cell r="E2445" t="str">
            <v>24 de março de 2016</v>
          </cell>
          <cell r="F2445" t="str">
            <v>RICARDO MANSINI CARDOSO</v>
          </cell>
          <cell r="G2445" t="str">
            <v>24/03/2016</v>
          </cell>
          <cell r="H2445" t="str">
            <v>25/03/2016</v>
          </cell>
          <cell r="I2445" t="str">
            <v>39</v>
          </cell>
          <cell r="J2445" t="str">
            <v>PESSOA FÍSICA</v>
          </cell>
          <cell r="K2445" t="str">
            <v>293.090.748-76</v>
          </cell>
          <cell r="L2445" t="str">
            <v>PJ</v>
          </cell>
          <cell r="M2445" t="str">
            <v>RICARDO MANSINI CARDOSO</v>
          </cell>
          <cell r="N2445" t="str">
            <v>ECT8577</v>
          </cell>
          <cell r="O2445" t="str">
            <v>2008</v>
          </cell>
          <cell r="P2445" t="str">
            <v>19</v>
          </cell>
          <cell r="Q2445" t="str">
            <v>18</v>
          </cell>
        </row>
        <row r="2446">
          <cell r="B2446" t="str">
            <v>0609/16</v>
          </cell>
          <cell r="C2446" t="str">
            <v>2016-0.063.918-2</v>
          </cell>
          <cell r="D2446" t="str">
            <v>23/02/2016</v>
          </cell>
          <cell r="E2446" t="str">
            <v>22 de março de 2016</v>
          </cell>
          <cell r="F2446" t="str">
            <v>ANTONIO CARLOS PEREIRA</v>
          </cell>
          <cell r="G2446" t="str">
            <v>22/03/2016</v>
          </cell>
          <cell r="H2446" t="str">
            <v>23/03/2016</v>
          </cell>
          <cell r="I2446" t="str">
            <v>59</v>
          </cell>
          <cell r="J2446" t="str">
            <v>PESSOA FÍSICA</v>
          </cell>
          <cell r="K2446" t="str">
            <v>015.601.538-22</v>
          </cell>
          <cell r="L2446" t="str">
            <v>PJ</v>
          </cell>
          <cell r="M2446" t="str">
            <v>ANTONIO CARLOS PEREIRA</v>
          </cell>
          <cell r="N2446" t="str">
            <v>LTN0902</v>
          </cell>
          <cell r="O2446" t="str">
            <v>2005</v>
          </cell>
          <cell r="P2446" t="str">
            <v>15</v>
          </cell>
          <cell r="Q2446" t="str">
            <v>14</v>
          </cell>
        </row>
        <row r="2447">
          <cell r="B2447" t="str">
            <v>0610/16</v>
          </cell>
          <cell r="C2447" t="str">
            <v>2016-0.063.924-7</v>
          </cell>
          <cell r="D2447" t="str">
            <v/>
          </cell>
          <cell r="E2447" t="str">
            <v>14 de março de 2016</v>
          </cell>
          <cell r="F2447" t="str">
            <v>VANDERLEI DA SILVA LOPES</v>
          </cell>
          <cell r="G2447" t="str">
            <v>14/03/2016</v>
          </cell>
          <cell r="H2447" t="str">
            <v>25/03/2016</v>
          </cell>
          <cell r="I2447" t="str">
            <v>39</v>
          </cell>
          <cell r="J2447" t="str">
            <v>PESSOA FÍSICA</v>
          </cell>
          <cell r="K2447" t="str">
            <v>175.825.998-10</v>
          </cell>
          <cell r="L2447" t="str">
            <v>PJ</v>
          </cell>
          <cell r="M2447" t="str">
            <v>VANDERLEI DA SILVA LOPES</v>
          </cell>
          <cell r="N2447" t="str">
            <v>EWO7550</v>
          </cell>
          <cell r="O2447" t="str">
            <v>2011</v>
          </cell>
          <cell r="P2447" t="str">
            <v>27</v>
          </cell>
          <cell r="Q2447" t="str">
            <v>26</v>
          </cell>
        </row>
        <row r="2448">
          <cell r="B2448" t="str">
            <v>0611/16</v>
          </cell>
          <cell r="C2448" t="str">
            <v>2016-0.063.928-0</v>
          </cell>
          <cell r="D2448" t="str">
            <v>29/02/2016</v>
          </cell>
          <cell r="E2448" t="str">
            <v>22 de março de 2016</v>
          </cell>
          <cell r="F2448" t="str">
            <v>MARCIA STRACIERI D'OLIVEIRA</v>
          </cell>
          <cell r="G2448" t="str">
            <v>22/03/2016</v>
          </cell>
          <cell r="H2448" t="str">
            <v>23/03/2016</v>
          </cell>
          <cell r="I2448" t="str">
            <v>59</v>
          </cell>
          <cell r="J2448" t="str">
            <v>PESSOA FÍSICA</v>
          </cell>
          <cell r="K2448" t="str">
            <v>101.481.588-62</v>
          </cell>
          <cell r="L2448" t="str">
            <v>PJ</v>
          </cell>
          <cell r="M2448" t="str">
            <v>MARCIA STRACIERI D'OLIVEIRA</v>
          </cell>
          <cell r="N2448" t="str">
            <v>DJF2650</v>
          </cell>
          <cell r="O2448" t="str">
            <v>2005</v>
          </cell>
          <cell r="P2448" t="str">
            <v>23</v>
          </cell>
          <cell r="Q2448" t="str">
            <v>22</v>
          </cell>
        </row>
        <row r="2449">
          <cell r="B2449" t="str">
            <v>0612/16</v>
          </cell>
          <cell r="C2449" t="str">
            <v>2016-0.063.934-4</v>
          </cell>
          <cell r="D2449" t="str">
            <v>24/02/2016</v>
          </cell>
          <cell r="E2449" t="str">
            <v>15 de abril de 2016</v>
          </cell>
          <cell r="F2449" t="str">
            <v>ROSALIA DE JESUS SANTOS</v>
          </cell>
          <cell r="G2449" t="str">
            <v>15/04/2016</v>
          </cell>
          <cell r="H2449" t="str">
            <v>19/04/2016</v>
          </cell>
          <cell r="I2449" t="str">
            <v>27</v>
          </cell>
          <cell r="J2449" t="str">
            <v>PESSOA FÍSICA</v>
          </cell>
          <cell r="K2449" t="str">
            <v>116.131.748-10</v>
          </cell>
          <cell r="L2449" t="str">
            <v>PJ</v>
          </cell>
          <cell r="M2449" t="str">
            <v>ROSALIA DE JESUS SANTOS</v>
          </cell>
          <cell r="N2449" t="str">
            <v>ELW7234</v>
          </cell>
          <cell r="O2449" t="str">
            <v>2011</v>
          </cell>
          <cell r="P2449" t="str">
            <v>19</v>
          </cell>
          <cell r="Q2449" t="str">
            <v>18</v>
          </cell>
        </row>
        <row r="2450">
          <cell r="B2450" t="str">
            <v>0613/16</v>
          </cell>
          <cell r="C2450" t="str">
            <v>2016-0.063.936-0</v>
          </cell>
          <cell r="D2450" t="str">
            <v/>
          </cell>
          <cell r="E2450" t="str">
            <v>14 de março de 2016</v>
          </cell>
          <cell r="F2450" t="str">
            <v>UMBELINA CIPRIANA ROSA</v>
          </cell>
          <cell r="G2450" t="str">
            <v>14/03/2016</v>
          </cell>
          <cell r="H2450" t="str">
            <v>23/03/2016</v>
          </cell>
          <cell r="I2450" t="str">
            <v>59</v>
          </cell>
          <cell r="J2450" t="str">
            <v>PESSOA FÍSICA</v>
          </cell>
          <cell r="K2450" t="str">
            <v>032.691.718-70</v>
          </cell>
          <cell r="L2450" t="str">
            <v>PJ</v>
          </cell>
          <cell r="M2450" t="str">
            <v>UMBELINA CIPRIANA ROSA</v>
          </cell>
          <cell r="N2450" t="str">
            <v>DTB6864</v>
          </cell>
          <cell r="O2450" t="str">
            <v>2008</v>
          </cell>
          <cell r="P2450" t="str">
            <v>19</v>
          </cell>
          <cell r="Q2450" t="str">
            <v>18</v>
          </cell>
        </row>
        <row r="2451">
          <cell r="B2451" t="str">
            <v>0614/16</v>
          </cell>
          <cell r="C2451" t="str">
            <v>2016-0.063.939-5</v>
          </cell>
          <cell r="D2451" t="str">
            <v/>
          </cell>
          <cell r="E2451" t="str">
            <v>07 de março de 2016</v>
          </cell>
          <cell r="F2451" t="str">
            <v>MARCIO PAULO MATHIAS</v>
          </cell>
          <cell r="G2451" t="str">
            <v>07/03/2016</v>
          </cell>
          <cell r="H2451" t="str">
            <v>23/03/2016</v>
          </cell>
          <cell r="I2451" t="str">
            <v>59</v>
          </cell>
          <cell r="J2451" t="str">
            <v>PESSOA FÍSICA</v>
          </cell>
          <cell r="K2451" t="str">
            <v>126.762.548-12</v>
          </cell>
          <cell r="L2451" t="str">
            <v>PJ</v>
          </cell>
          <cell r="M2451" t="str">
            <v>MARCIO PAULO MATHIAS</v>
          </cell>
          <cell r="N2451" t="str">
            <v>DTC3540</v>
          </cell>
          <cell r="O2451" t="str">
            <v>2007</v>
          </cell>
          <cell r="P2451" t="str">
            <v>29</v>
          </cell>
          <cell r="Q2451" t="str">
            <v>27</v>
          </cell>
        </row>
        <row r="2452">
          <cell r="B2452" t="str">
            <v>0615/16</v>
          </cell>
          <cell r="C2452" t="str">
            <v>2016-0.063.023-1</v>
          </cell>
          <cell r="D2452" t="str">
            <v/>
          </cell>
          <cell r="E2452" t="str">
            <v>07 de março de 2016</v>
          </cell>
          <cell r="F2452" t="str">
            <v>JOSEFA PEREIRA SILVA CUSTODIO</v>
          </cell>
          <cell r="G2452" t="str">
            <v>07/03/2016</v>
          </cell>
          <cell r="H2452" t="str">
            <v>23/03/2016</v>
          </cell>
          <cell r="I2452" t="str">
            <v>59</v>
          </cell>
          <cell r="J2452" t="str">
            <v>PESSOA FÍSICA</v>
          </cell>
          <cell r="K2452" t="str">
            <v>053.644.118-93</v>
          </cell>
          <cell r="L2452" t="str">
            <v>PJ</v>
          </cell>
          <cell r="M2452" t="str">
            <v>JOSEFA PEREIRA SILVA CUSTODIO</v>
          </cell>
          <cell r="N2452" t="str">
            <v>DJF1508</v>
          </cell>
          <cell r="O2452" t="str">
            <v>2006</v>
          </cell>
          <cell r="P2452" t="str">
            <v>25</v>
          </cell>
          <cell r="Q2452" t="str">
            <v>23</v>
          </cell>
        </row>
        <row r="2453">
          <cell r="B2453" t="str">
            <v>0616/16</v>
          </cell>
          <cell r="C2453" t="str">
            <v>2016-0.063.033-9</v>
          </cell>
          <cell r="D2453" t="str">
            <v/>
          </cell>
          <cell r="E2453" t="str">
            <v>07 de março de 2016</v>
          </cell>
          <cell r="F2453" t="str">
            <v>DECIO DE MIRANDA GARCIA</v>
          </cell>
          <cell r="G2453" t="str">
            <v>07/03/2016</v>
          </cell>
          <cell r="H2453" t="str">
            <v>25/03/2016</v>
          </cell>
          <cell r="I2453" t="str">
            <v>39</v>
          </cell>
          <cell r="J2453" t="str">
            <v>PESSOA FÍSICA</v>
          </cell>
          <cell r="K2453" t="str">
            <v>040.339.858-40</v>
          </cell>
          <cell r="L2453" t="str">
            <v>PJ</v>
          </cell>
          <cell r="M2453" t="str">
            <v>DECIO DE MIRANDA GARCIA</v>
          </cell>
          <cell r="N2453" t="str">
            <v>CPV2014</v>
          </cell>
          <cell r="O2453" t="str">
            <v>2001</v>
          </cell>
          <cell r="P2453" t="str">
            <v>34</v>
          </cell>
          <cell r="Q2453" t="str">
            <v>33</v>
          </cell>
        </row>
        <row r="2454">
          <cell r="B2454" t="str">
            <v>0617/16</v>
          </cell>
          <cell r="C2454" t="str">
            <v>2016-0.063.044-4</v>
          </cell>
          <cell r="D2454" t="str">
            <v>02/03/2016</v>
          </cell>
          <cell r="E2454" t="str">
            <v>23 de março de 2016</v>
          </cell>
          <cell r="F2454" t="str">
            <v>MARCOS GONCALVES DIAS</v>
          </cell>
          <cell r="G2454" t="str">
            <v>23/03/2016</v>
          </cell>
          <cell r="H2454" t="str">
            <v>25/03/2016</v>
          </cell>
          <cell r="I2454" t="str">
            <v>39</v>
          </cell>
          <cell r="J2454" t="str">
            <v>PESSOA FÍSICA</v>
          </cell>
          <cell r="K2454" t="str">
            <v>820.074.464-72</v>
          </cell>
          <cell r="L2454" t="str">
            <v>PJ</v>
          </cell>
          <cell r="M2454" t="str">
            <v>MARCOS GONCALVES DIAS</v>
          </cell>
          <cell r="N2454" t="str">
            <v>DTE6240</v>
          </cell>
          <cell r="O2454" t="str">
            <v>2008</v>
          </cell>
          <cell r="P2454" t="str">
            <v>19</v>
          </cell>
          <cell r="Q2454" t="str">
            <v>18</v>
          </cell>
        </row>
        <row r="2455">
          <cell r="B2455" t="str">
            <v>0618/16</v>
          </cell>
          <cell r="C2455" t="str">
            <v>2016-0.063.047-9</v>
          </cell>
          <cell r="D2455" t="str">
            <v>29/02/2016</v>
          </cell>
          <cell r="E2455" t="str">
            <v>21 de março de 2016</v>
          </cell>
          <cell r="F2455" t="str">
            <v>ROBERTO CARLOS RODRIGUES</v>
          </cell>
          <cell r="G2455" t="str">
            <v>21/03/2016</v>
          </cell>
          <cell r="H2455" t="str">
            <v>23/03/2016</v>
          </cell>
          <cell r="I2455" t="str">
            <v>59</v>
          </cell>
          <cell r="J2455" t="str">
            <v>PESSOA FÍSICA</v>
          </cell>
          <cell r="K2455" t="str">
            <v>084.415.208-01</v>
          </cell>
          <cell r="L2455" t="str">
            <v>PJ</v>
          </cell>
          <cell r="M2455" t="str">
            <v>ROBERTO CARLOS RODRIGUES</v>
          </cell>
          <cell r="N2455" t="str">
            <v>EFV2250</v>
          </cell>
          <cell r="O2455" t="str">
            <v>2010</v>
          </cell>
          <cell r="P2455" t="str">
            <v>19</v>
          </cell>
          <cell r="Q2455" t="str">
            <v>18</v>
          </cell>
        </row>
        <row r="2456">
          <cell r="B2456" t="str">
            <v>0619/16</v>
          </cell>
          <cell r="C2456" t="str">
            <v>2016-0.063.056-8</v>
          </cell>
          <cell r="D2456" t="str">
            <v>19/02/2016</v>
          </cell>
          <cell r="E2456" t="str">
            <v>13 de abril de 2016</v>
          </cell>
          <cell r="F2456" t="str">
            <v>MARILUCE GALVAO DA SILVA</v>
          </cell>
          <cell r="G2456" t="str">
            <v>13/04/2016</v>
          </cell>
          <cell r="H2456" t="str">
            <v>19/04/2016</v>
          </cell>
          <cell r="I2456" t="str">
            <v>27</v>
          </cell>
          <cell r="J2456" t="str">
            <v>PESSOA FÍSICA</v>
          </cell>
          <cell r="K2456" t="str">
            <v>289.009.678-51</v>
          </cell>
          <cell r="L2456" t="str">
            <v>PJ</v>
          </cell>
          <cell r="M2456" t="str">
            <v>MARILUCE GALVAO DA SILVA</v>
          </cell>
          <cell r="N2456" t="str">
            <v>EFU6309</v>
          </cell>
          <cell r="O2456" t="str">
            <v>2009</v>
          </cell>
          <cell r="P2456" t="str">
            <v>19</v>
          </cell>
          <cell r="Q2456" t="str">
            <v>17</v>
          </cell>
        </row>
        <row r="2457">
          <cell r="B2457" t="str">
            <v>0620/16</v>
          </cell>
          <cell r="C2457" t="str">
            <v>2016-0.063.067-3</v>
          </cell>
          <cell r="D2457" t="str">
            <v/>
          </cell>
          <cell r="E2457" t="str">
            <v/>
          </cell>
          <cell r="F2457" t="str">
            <v>ANTONIO CARLOS SARAIVA</v>
          </cell>
          <cell r="G2457" t="str">
            <v/>
          </cell>
          <cell r="H2457" t="str">
            <v/>
          </cell>
          <cell r="I2457" t="str">
            <v/>
          </cell>
          <cell r="J2457" t="str">
            <v>PESSOA FÍSICA</v>
          </cell>
          <cell r="K2457" t="str">
            <v>108.205.788-60</v>
          </cell>
          <cell r="L2457" t="str">
            <v>SA</v>
          </cell>
          <cell r="M2457" t="str">
            <v>ANTONIO CARLOS SARAIVA</v>
          </cell>
          <cell r="N2457" t="str">
            <v>CZZ2570</v>
          </cell>
          <cell r="O2457" t="str">
            <v>2003</v>
          </cell>
          <cell r="P2457" t="str">
            <v>25</v>
          </cell>
          <cell r="Q2457" t="str">
            <v>23</v>
          </cell>
        </row>
        <row r="2458">
          <cell r="B2458" t="str">
            <v>0621/16</v>
          </cell>
          <cell r="C2458" t="str">
            <v>2016-0.063.073-8</v>
          </cell>
          <cell r="D2458" t="str">
            <v/>
          </cell>
          <cell r="E2458" t="str">
            <v/>
          </cell>
          <cell r="F2458" t="str">
            <v>ELIZANGELA GONCALVES DANIEL</v>
          </cell>
          <cell r="G2458" t="str">
            <v/>
          </cell>
          <cell r="H2458" t="str">
            <v/>
          </cell>
          <cell r="I2458" t="str">
            <v/>
          </cell>
          <cell r="J2458" t="str">
            <v>PESSOA FÍSICA</v>
          </cell>
          <cell r="K2458" t="str">
            <v>146.951.718-30</v>
          </cell>
          <cell r="L2458" t="str">
            <v>SA</v>
          </cell>
          <cell r="M2458" t="str">
            <v>ELIZANGELA GONCALVES DANIEL</v>
          </cell>
          <cell r="N2458" t="str">
            <v>EFU8256</v>
          </cell>
          <cell r="O2458" t="str">
            <v>2009</v>
          </cell>
          <cell r="P2458" t="str">
            <v>19</v>
          </cell>
          <cell r="Q2458" t="str">
            <v>18</v>
          </cell>
        </row>
        <row r="2459">
          <cell r="B2459" t="str">
            <v>0622/16</v>
          </cell>
          <cell r="C2459" t="str">
            <v>2016-0.063.080-0</v>
          </cell>
          <cell r="D2459" t="str">
            <v/>
          </cell>
          <cell r="E2459" t="str">
            <v/>
          </cell>
          <cell r="F2459" t="str">
            <v>JANETE APARECIDA DA SILVA GAUNA</v>
          </cell>
          <cell r="G2459" t="str">
            <v/>
          </cell>
          <cell r="H2459" t="str">
            <v/>
          </cell>
          <cell r="I2459" t="str">
            <v/>
          </cell>
          <cell r="J2459" t="str">
            <v>PESSOA FÍSICA</v>
          </cell>
          <cell r="K2459" t="str">
            <v>075.470.578-10</v>
          </cell>
          <cell r="L2459" t="str">
            <v>SA</v>
          </cell>
          <cell r="M2459" t="str">
            <v>JANETE APARECIDA DA SILVA GAUNA</v>
          </cell>
          <cell r="N2459" t="str">
            <v>DTD4279</v>
          </cell>
          <cell r="O2459" t="str">
            <v>2007</v>
          </cell>
          <cell r="P2459" t="str">
            <v>29</v>
          </cell>
          <cell r="Q2459" t="str">
            <v>27</v>
          </cell>
        </row>
        <row r="2460">
          <cell r="B2460" t="str">
            <v>0623/16</v>
          </cell>
          <cell r="C2460" t="str">
            <v>2016-0.063.090-8</v>
          </cell>
          <cell r="D2460" t="str">
            <v/>
          </cell>
          <cell r="E2460" t="str">
            <v>14 de março de 2016</v>
          </cell>
          <cell r="F2460" t="str">
            <v>ABDIAS FREIRE ROCHA</v>
          </cell>
          <cell r="G2460" t="str">
            <v>14/03/2016</v>
          </cell>
          <cell r="H2460" t="str">
            <v>25/03/2016</v>
          </cell>
          <cell r="I2460" t="str">
            <v>39</v>
          </cell>
          <cell r="J2460" t="str">
            <v>PESSOA FÍSICA</v>
          </cell>
          <cell r="K2460" t="str">
            <v>754.871.368-15</v>
          </cell>
          <cell r="L2460" t="str">
            <v>SA</v>
          </cell>
          <cell r="M2460" t="str">
            <v>ABDIAS FREIRE ROCHA</v>
          </cell>
          <cell r="N2460" t="str">
            <v>EFW0930</v>
          </cell>
          <cell r="O2460" t="str">
            <v>2008</v>
          </cell>
          <cell r="P2460" t="str">
            <v>29</v>
          </cell>
          <cell r="Q2460" t="str">
            <v>27</v>
          </cell>
        </row>
        <row r="2461">
          <cell r="B2461" t="str">
            <v>0624/16</v>
          </cell>
          <cell r="C2461" t="str">
            <v>2016-0.063.096-7</v>
          </cell>
          <cell r="D2461" t="str">
            <v/>
          </cell>
          <cell r="E2461" t="str">
            <v>14 de março de 2016</v>
          </cell>
          <cell r="F2461" t="str">
            <v>AMANDA DA COSTA TEIXEIRA</v>
          </cell>
          <cell r="G2461" t="str">
            <v>14/03/2016</v>
          </cell>
          <cell r="H2461" t="str">
            <v>25/03/2016</v>
          </cell>
          <cell r="I2461" t="str">
            <v>39</v>
          </cell>
          <cell r="J2461" t="str">
            <v>PESSOA FÍSICA</v>
          </cell>
          <cell r="K2461" t="str">
            <v>342.776.148-76</v>
          </cell>
          <cell r="L2461" t="str">
            <v>SA</v>
          </cell>
          <cell r="M2461" t="str">
            <v>AMANDA DA COSTA TEIXEIRA</v>
          </cell>
          <cell r="N2461" t="str">
            <v>EUP6589</v>
          </cell>
          <cell r="O2461" t="str">
            <v>2011</v>
          </cell>
          <cell r="P2461" t="str">
            <v>18</v>
          </cell>
          <cell r="Q2461" t="str">
            <v>17</v>
          </cell>
        </row>
        <row r="2462">
          <cell r="B2462" t="str">
            <v>0625/16</v>
          </cell>
          <cell r="C2462" t="str">
            <v>2016-0.063.101-7</v>
          </cell>
          <cell r="D2462" t="str">
            <v/>
          </cell>
          <cell r="E2462" t="str">
            <v>29 de fevereiro de 2016</v>
          </cell>
          <cell r="F2462" t="str">
            <v>ARIONALDO RODRIGUES DE LIMA</v>
          </cell>
          <cell r="G2462" t="str">
            <v>29/02/2016</v>
          </cell>
          <cell r="H2462" t="str">
            <v/>
          </cell>
          <cell r="I2462" t="str">
            <v/>
          </cell>
          <cell r="J2462" t="str">
            <v>PESSOA FÍSICA</v>
          </cell>
          <cell r="K2462" t="str">
            <v>600.814.814-20</v>
          </cell>
          <cell r="L2462" t="str">
            <v>SA</v>
          </cell>
          <cell r="M2462" t="str">
            <v>ARIONALDO RODRIGUES DE LIMA</v>
          </cell>
          <cell r="N2462" t="str">
            <v>FAW8330</v>
          </cell>
          <cell r="O2462" t="str">
            <v>2012</v>
          </cell>
          <cell r="P2462" t="str">
            <v>19</v>
          </cell>
          <cell r="Q2462" t="str">
            <v>18</v>
          </cell>
        </row>
        <row r="2463">
          <cell r="B2463" t="str">
            <v>0626/16</v>
          </cell>
          <cell r="C2463" t="str">
            <v>2016-0.063.113-0</v>
          </cell>
          <cell r="D2463" t="str">
            <v/>
          </cell>
          <cell r="E2463" t="str">
            <v>24 de março de 2016</v>
          </cell>
          <cell r="F2463" t="str">
            <v>BRUNO CANDIANI PARIS</v>
          </cell>
          <cell r="G2463" t="str">
            <v>24/03/2016</v>
          </cell>
          <cell r="H2463" t="str">
            <v>25/03/2016</v>
          </cell>
          <cell r="I2463" t="str">
            <v>39</v>
          </cell>
          <cell r="J2463" t="str">
            <v>PESSOA FÍSICA</v>
          </cell>
          <cell r="K2463" t="str">
            <v>376.843.808-26</v>
          </cell>
          <cell r="L2463" t="str">
            <v>SA</v>
          </cell>
          <cell r="M2463" t="str">
            <v>BRUNO CANDIANI PARIS</v>
          </cell>
          <cell r="N2463" t="str">
            <v>FNX8919</v>
          </cell>
          <cell r="O2463" t="str">
            <v>2014</v>
          </cell>
          <cell r="P2463" t="str">
            <v>10</v>
          </cell>
          <cell r="Q2463" t="str">
            <v>9</v>
          </cell>
        </row>
        <row r="2464">
          <cell r="B2464" t="str">
            <v>0627/16</v>
          </cell>
          <cell r="C2464" t="str">
            <v>2016-0.063.117-3</v>
          </cell>
          <cell r="D2464" t="str">
            <v/>
          </cell>
          <cell r="E2464" t="str">
            <v>24 de março de 2016</v>
          </cell>
          <cell r="F2464" t="str">
            <v>BRUNO FERREIRA DE ARAUJO</v>
          </cell>
          <cell r="G2464" t="str">
            <v>24/03/2016</v>
          </cell>
          <cell r="H2464" t="str">
            <v>25/03/2016</v>
          </cell>
          <cell r="I2464" t="str">
            <v>39</v>
          </cell>
          <cell r="J2464" t="str">
            <v>PESSOA FÍSICA</v>
          </cell>
          <cell r="K2464" t="str">
            <v>283.270.818-88</v>
          </cell>
          <cell r="L2464" t="str">
            <v>SA</v>
          </cell>
          <cell r="M2464" t="str">
            <v>BRUNO FERREIRA DE ARAUJO</v>
          </cell>
          <cell r="N2464" t="str">
            <v>FKY6140</v>
          </cell>
          <cell r="O2464" t="str">
            <v>2015</v>
          </cell>
          <cell r="P2464" t="str">
            <v>19</v>
          </cell>
          <cell r="Q2464" t="str">
            <v>18</v>
          </cell>
        </row>
        <row r="2465">
          <cell r="B2465" t="str">
            <v>0628/16</v>
          </cell>
          <cell r="C2465" t="str">
            <v>2016-0.063.124-6</v>
          </cell>
          <cell r="D2465" t="str">
            <v>29/02/2016</v>
          </cell>
          <cell r="E2465" t="str">
            <v>22 de março de 2016</v>
          </cell>
          <cell r="F2465" t="str">
            <v>DELFIM JOSE JACOME MORAIS</v>
          </cell>
          <cell r="G2465" t="str">
            <v>22/03/2016</v>
          </cell>
          <cell r="H2465" t="str">
            <v>23/03/2016</v>
          </cell>
          <cell r="I2465" t="str">
            <v>59</v>
          </cell>
          <cell r="J2465" t="str">
            <v>PESSOA FÍSICA</v>
          </cell>
          <cell r="K2465" t="str">
            <v>503.742.068-72</v>
          </cell>
          <cell r="L2465" t="str">
            <v>SA</v>
          </cell>
          <cell r="M2465" t="str">
            <v>DELFIM JOSE JACOME MORAIS</v>
          </cell>
          <cell r="N2465" t="str">
            <v>EMO5260</v>
          </cell>
          <cell r="O2465" t="str">
            <v>2009</v>
          </cell>
          <cell r="P2465" t="str">
            <v>19</v>
          </cell>
          <cell r="Q2465" t="str">
            <v>18</v>
          </cell>
        </row>
        <row r="2466">
          <cell r="B2466" t="str">
            <v>0629/16</v>
          </cell>
          <cell r="C2466" t="str">
            <v>2016-0.063.126-2</v>
          </cell>
          <cell r="D2466" t="str">
            <v/>
          </cell>
          <cell r="E2466" t="str">
            <v>18 de abril de 2016</v>
          </cell>
          <cell r="F2466" t="str">
            <v>EDILSON MANOEL DE SANTANA</v>
          </cell>
          <cell r="G2466" t="str">
            <v>18/04/2016</v>
          </cell>
          <cell r="H2466" t="str">
            <v/>
          </cell>
          <cell r="I2466" t="str">
            <v/>
          </cell>
          <cell r="J2466" t="str">
            <v>PESSOA FÍSICA</v>
          </cell>
          <cell r="K2466" t="str">
            <v>652.491.514-34</v>
          </cell>
          <cell r="L2466" t="str">
            <v>SA</v>
          </cell>
          <cell r="M2466" t="str">
            <v>EDILSON MANOEL DE SANTANA</v>
          </cell>
          <cell r="N2466" t="str">
            <v>DLR4873</v>
          </cell>
          <cell r="O2466" t="str">
            <v>2003</v>
          </cell>
          <cell r="P2466" t="str">
            <v>25</v>
          </cell>
          <cell r="Q2466" t="str">
            <v>23</v>
          </cell>
        </row>
        <row r="2467">
          <cell r="B2467" t="str">
            <v>0630/16</v>
          </cell>
          <cell r="C2467" t="str">
            <v>2016-0.063.129-7</v>
          </cell>
          <cell r="D2467" t="str">
            <v/>
          </cell>
          <cell r="E2467" t="str">
            <v>28 de março de 2016</v>
          </cell>
          <cell r="F2467" t="str">
            <v>EDINEIDE FELIX ANDREZA</v>
          </cell>
          <cell r="G2467" t="str">
            <v>28/03/2016</v>
          </cell>
          <cell r="H2467" t="str">
            <v>31/03/2016</v>
          </cell>
          <cell r="I2467" t="str">
            <v>34</v>
          </cell>
          <cell r="J2467" t="str">
            <v>PESSOA FÍSICA</v>
          </cell>
          <cell r="K2467" t="str">
            <v>065.203.178-10</v>
          </cell>
          <cell r="L2467" t="str">
            <v>SA</v>
          </cell>
          <cell r="M2467" t="str">
            <v>EDINEIDE FELIX ANDREZA</v>
          </cell>
          <cell r="N2467" t="str">
            <v>MRR1322</v>
          </cell>
          <cell r="O2467" t="str">
            <v>2007</v>
          </cell>
          <cell r="P2467" t="str">
            <v>15</v>
          </cell>
          <cell r="Q2467" t="str">
            <v>14</v>
          </cell>
        </row>
        <row r="2468">
          <cell r="B2468" t="str">
            <v>0631/16</v>
          </cell>
          <cell r="C2468" t="str">
            <v>2016-0.063.133-5</v>
          </cell>
          <cell r="D2468" t="str">
            <v/>
          </cell>
          <cell r="E2468" t="str">
            <v>07 de março de 2016</v>
          </cell>
          <cell r="F2468" t="str">
            <v>FRANCISCO PARISI NETO</v>
          </cell>
          <cell r="G2468" t="str">
            <v>07/03/2016</v>
          </cell>
          <cell r="H2468" t="str">
            <v>23/03/2016</v>
          </cell>
          <cell r="I2468" t="str">
            <v>59</v>
          </cell>
          <cell r="J2468" t="str">
            <v>PESSOA FÍSICA</v>
          </cell>
          <cell r="K2468" t="str">
            <v>125.881.538-95</v>
          </cell>
          <cell r="L2468" t="str">
            <v>JT</v>
          </cell>
          <cell r="M2468" t="str">
            <v>FRANCISCO PARISI NETO</v>
          </cell>
          <cell r="N2468" t="str">
            <v>CZX5778</v>
          </cell>
          <cell r="O2468" t="str">
            <v>2002</v>
          </cell>
          <cell r="P2468" t="str">
            <v>25</v>
          </cell>
          <cell r="Q2468" t="str">
            <v>23</v>
          </cell>
        </row>
        <row r="2469">
          <cell r="B2469" t="str">
            <v>0632/16</v>
          </cell>
          <cell r="C2469" t="str">
            <v>2016-0.063.139-4</v>
          </cell>
          <cell r="D2469" t="str">
            <v/>
          </cell>
          <cell r="E2469" t="str">
            <v>14 de março de 2016</v>
          </cell>
          <cell r="F2469" t="str">
            <v>ELCIO JOSE DE AZEVEDO</v>
          </cell>
          <cell r="G2469" t="str">
            <v>14/03/2016</v>
          </cell>
          <cell r="H2469" t="str">
            <v>23/03/2016</v>
          </cell>
          <cell r="I2469" t="str">
            <v>59</v>
          </cell>
          <cell r="J2469" t="str">
            <v>PESSOA FÍSICA</v>
          </cell>
          <cell r="K2469" t="str">
            <v>014.398.198-66</v>
          </cell>
          <cell r="L2469" t="str">
            <v>SA</v>
          </cell>
          <cell r="M2469" t="str">
            <v>ELCIO JOSE DE AZEVEDO</v>
          </cell>
          <cell r="N2469" t="str">
            <v>CUD3375</v>
          </cell>
          <cell r="O2469" t="str">
            <v>2011</v>
          </cell>
          <cell r="P2469" t="str">
            <v>15</v>
          </cell>
          <cell r="Q2469" t="str">
            <v>14</v>
          </cell>
        </row>
        <row r="2470">
          <cell r="B2470" t="str">
            <v>0633/16</v>
          </cell>
          <cell r="C2470" t="str">
            <v>2016-0.063.145-9</v>
          </cell>
          <cell r="D2470" t="str">
            <v/>
          </cell>
          <cell r="E2470" t="str">
            <v>24 de março de 2016</v>
          </cell>
          <cell r="F2470" t="str">
            <v>FRANCISCO GONCALVES FERREIRA</v>
          </cell>
          <cell r="G2470" t="str">
            <v>24/03/2016</v>
          </cell>
          <cell r="H2470" t="str">
            <v>25/03/2016</v>
          </cell>
          <cell r="I2470" t="str">
            <v>39</v>
          </cell>
          <cell r="J2470" t="str">
            <v>PESSOA FÍSICA</v>
          </cell>
          <cell r="K2470" t="str">
            <v>537.884.278-68</v>
          </cell>
          <cell r="L2470" t="str">
            <v xml:space="preserve">SA </v>
          </cell>
          <cell r="M2470" t="str">
            <v>FRANCISCO GONCALVES FERREIRA</v>
          </cell>
          <cell r="N2470" t="str">
            <v>CZX2484</v>
          </cell>
          <cell r="O2470" t="str">
            <v>2003</v>
          </cell>
          <cell r="P2470" t="str">
            <v>25</v>
          </cell>
          <cell r="Q2470" t="str">
            <v>23</v>
          </cell>
        </row>
        <row r="2471">
          <cell r="B2471" t="str">
            <v>0634/16</v>
          </cell>
          <cell r="C2471" t="str">
            <v>2016-0.063.157-2</v>
          </cell>
          <cell r="D2471" t="str">
            <v/>
          </cell>
          <cell r="E2471" t="str">
            <v>24 de março de 2016</v>
          </cell>
          <cell r="F2471" t="str">
            <v>HENRIQUE GRACIANO DE SOUZA</v>
          </cell>
          <cell r="G2471" t="str">
            <v>24/03/2016</v>
          </cell>
          <cell r="H2471" t="str">
            <v>25/03/2016</v>
          </cell>
          <cell r="I2471" t="str">
            <v>39</v>
          </cell>
          <cell r="J2471" t="str">
            <v>PESSOA FÍSICA</v>
          </cell>
          <cell r="K2471" t="str">
            <v>119.612.698-48</v>
          </cell>
          <cell r="L2471" t="str">
            <v>SA</v>
          </cell>
          <cell r="M2471" t="str">
            <v>HENRIQUE GRACIANO DE SOUZA</v>
          </cell>
          <cell r="N2471" t="str">
            <v>DTD1091</v>
          </cell>
          <cell r="O2471" t="str">
            <v>2008</v>
          </cell>
          <cell r="P2471" t="str">
            <v>29</v>
          </cell>
          <cell r="Q2471" t="str">
            <v>27</v>
          </cell>
        </row>
        <row r="2472">
          <cell r="B2472" t="str">
            <v>0635/16</v>
          </cell>
          <cell r="C2472" t="str">
            <v>2016-0.063.164-5</v>
          </cell>
          <cell r="D2472" t="str">
            <v/>
          </cell>
          <cell r="E2472" t="str">
            <v>24 de março de 2016</v>
          </cell>
          <cell r="F2472" t="str">
            <v>JANDIRA MOREIRA DOS SANTOS TEIXEIRA</v>
          </cell>
          <cell r="G2472" t="str">
            <v>24/03/2016</v>
          </cell>
          <cell r="H2472" t="str">
            <v>25/03/2016</v>
          </cell>
          <cell r="I2472" t="str">
            <v>39</v>
          </cell>
          <cell r="J2472" t="str">
            <v>PESSOA FÍSICA</v>
          </cell>
          <cell r="K2472" t="str">
            <v>087.267.208-50</v>
          </cell>
          <cell r="L2472" t="str">
            <v xml:space="preserve">SA </v>
          </cell>
          <cell r="M2472" t="str">
            <v>JANDIRA MOREIRA DOS SANTOS TEIXEIRA</v>
          </cell>
          <cell r="N2472" t="str">
            <v>CYR5458</v>
          </cell>
          <cell r="O2472" t="str">
            <v>2001</v>
          </cell>
          <cell r="P2472" t="str">
            <v>25</v>
          </cell>
          <cell r="Q2472" t="str">
            <v>23</v>
          </cell>
        </row>
        <row r="2473">
          <cell r="B2473" t="str">
            <v>0636/16</v>
          </cell>
          <cell r="C2473" t="str">
            <v>2016-0.063.177-7</v>
          </cell>
          <cell r="D2473" t="str">
            <v/>
          </cell>
          <cell r="E2473" t="str">
            <v/>
          </cell>
          <cell r="F2473" t="str">
            <v>JOSE BORGES DA SILVA NETO</v>
          </cell>
          <cell r="G2473" t="str">
            <v/>
          </cell>
          <cell r="H2473" t="str">
            <v/>
          </cell>
          <cell r="I2473" t="str">
            <v/>
          </cell>
          <cell r="J2473" t="str">
            <v>PESSOA FÍSICA</v>
          </cell>
          <cell r="K2473" t="str">
            <v>090.816.648-67</v>
          </cell>
          <cell r="L2473" t="str">
            <v>SA</v>
          </cell>
          <cell r="M2473" t="str">
            <v>JOSE BORGES DA SILVA NETO</v>
          </cell>
          <cell r="N2473" t="str">
            <v>CLU1044</v>
          </cell>
          <cell r="O2473" t="str">
            <v>2003</v>
          </cell>
          <cell r="P2473" t="str">
            <v>25</v>
          </cell>
          <cell r="Q2473" t="str">
            <v>23</v>
          </cell>
        </row>
        <row r="2474">
          <cell r="B2474" t="str">
            <v>0637/16</v>
          </cell>
          <cell r="C2474" t="str">
            <v>2016-0.063.181-5</v>
          </cell>
          <cell r="D2474" t="str">
            <v/>
          </cell>
          <cell r="E2474" t="str">
            <v>24 de março de 2016</v>
          </cell>
          <cell r="F2474" t="str">
            <v>JOSENILDO MARTINS DE OLIVEIRA</v>
          </cell>
          <cell r="G2474" t="str">
            <v>24/03/2016</v>
          </cell>
          <cell r="H2474" t="str">
            <v>25/03/2016</v>
          </cell>
          <cell r="I2474" t="str">
            <v>39</v>
          </cell>
          <cell r="J2474" t="str">
            <v>PESSOA FÍSICA</v>
          </cell>
          <cell r="K2474" t="str">
            <v>034.251.818-66</v>
          </cell>
          <cell r="L2474" t="str">
            <v>SA</v>
          </cell>
          <cell r="M2474" t="str">
            <v>JOSENILDO MARTINS DE OLIVEIRA</v>
          </cell>
          <cell r="N2474" t="str">
            <v>CZX5365</v>
          </cell>
          <cell r="O2474" t="str">
            <v>2002</v>
          </cell>
          <cell r="P2474" t="str">
            <v>25</v>
          </cell>
          <cell r="Q2474" t="str">
            <v>23</v>
          </cell>
        </row>
        <row r="2475">
          <cell r="B2475" t="str">
            <v>0638/16</v>
          </cell>
          <cell r="C2475" t="str">
            <v>2016-0.063.185-8</v>
          </cell>
          <cell r="D2475" t="str">
            <v/>
          </cell>
          <cell r="E2475" t="str">
            <v/>
          </cell>
          <cell r="F2475" t="str">
            <v>MARCOS TADEU MARQUES</v>
          </cell>
          <cell r="G2475" t="str">
            <v/>
          </cell>
          <cell r="H2475" t="str">
            <v/>
          </cell>
          <cell r="I2475" t="str">
            <v/>
          </cell>
          <cell r="J2475" t="str">
            <v>PESSOA FÍSICA</v>
          </cell>
          <cell r="K2475" t="str">
            <v>119.065.468-78</v>
          </cell>
          <cell r="L2475" t="str">
            <v>SA</v>
          </cell>
          <cell r="M2475" t="str">
            <v>MARCOS TADEU MARQUES</v>
          </cell>
          <cell r="N2475" t="str">
            <v>FDI8151</v>
          </cell>
          <cell r="O2475" t="str">
            <v>2012</v>
          </cell>
          <cell r="P2475" t="str">
            <v>19</v>
          </cell>
          <cell r="Q2475" t="str">
            <v>18</v>
          </cell>
        </row>
        <row r="2476">
          <cell r="B2476" t="str">
            <v>0639/16</v>
          </cell>
          <cell r="C2476" t="str">
            <v>2016-0.063.191-2</v>
          </cell>
          <cell r="D2476" t="str">
            <v/>
          </cell>
          <cell r="E2476" t="str">
            <v>22 de março de 2016</v>
          </cell>
          <cell r="F2476" t="str">
            <v>MARIA IRMA BARBOSA</v>
          </cell>
          <cell r="G2476" t="str">
            <v>22/03/2016</v>
          </cell>
          <cell r="H2476" t="str">
            <v>23/03/2016</v>
          </cell>
          <cell r="I2476" t="str">
            <v>59</v>
          </cell>
          <cell r="J2476" t="str">
            <v>PESSOA FÍSICA</v>
          </cell>
          <cell r="K2476" t="str">
            <v>994.618.708-68</v>
          </cell>
          <cell r="L2476" t="str">
            <v>SA</v>
          </cell>
          <cell r="M2476" t="str">
            <v>MARIA IRMA BARBOSA</v>
          </cell>
          <cell r="N2476" t="str">
            <v>DTC5160</v>
          </cell>
          <cell r="O2476" t="str">
            <v>2008</v>
          </cell>
          <cell r="P2476" t="str">
            <v>29</v>
          </cell>
          <cell r="Q2476" t="str">
            <v>27</v>
          </cell>
        </row>
        <row r="2477">
          <cell r="B2477" t="str">
            <v>0640/16</v>
          </cell>
          <cell r="C2477" t="str">
            <v>2016-0.063.200-5</v>
          </cell>
          <cell r="D2477" t="str">
            <v/>
          </cell>
          <cell r="E2477" t="str">
            <v>24 de março de 2016</v>
          </cell>
          <cell r="F2477" t="str">
            <v>MARIO CESAR SOUZA MATOS</v>
          </cell>
          <cell r="G2477" t="str">
            <v>24/03/2016</v>
          </cell>
          <cell r="H2477" t="str">
            <v>25/03/2016</v>
          </cell>
          <cell r="I2477" t="str">
            <v>39</v>
          </cell>
          <cell r="J2477" t="str">
            <v>PESSOA FÍSICA</v>
          </cell>
          <cell r="K2477" t="str">
            <v>022.722.098-66</v>
          </cell>
          <cell r="L2477" t="str">
            <v>SA</v>
          </cell>
          <cell r="M2477" t="str">
            <v>MARIO CESAR SOUZA MATOS</v>
          </cell>
          <cell r="N2477" t="str">
            <v>EFU5618</v>
          </cell>
          <cell r="O2477" t="str">
            <v>2009</v>
          </cell>
          <cell r="P2477" t="str">
            <v>19</v>
          </cell>
          <cell r="Q2477" t="str">
            <v>18</v>
          </cell>
        </row>
        <row r="2478">
          <cell r="B2478" t="str">
            <v>0641/16</v>
          </cell>
          <cell r="C2478" t="str">
            <v>2016-0.063.211-0</v>
          </cell>
          <cell r="D2478" t="str">
            <v/>
          </cell>
          <cell r="E2478" t="str">
            <v>28 de março de 2016</v>
          </cell>
          <cell r="F2478" t="str">
            <v>MAURO VALENTINO MOREIRA</v>
          </cell>
          <cell r="G2478" t="str">
            <v>28/03/2016</v>
          </cell>
          <cell r="H2478" t="str">
            <v>07/04/2016</v>
          </cell>
          <cell r="I2478" t="str">
            <v>19</v>
          </cell>
          <cell r="J2478" t="str">
            <v>PESSOA FÍSICA</v>
          </cell>
          <cell r="K2478" t="str">
            <v>906.259.438-72</v>
          </cell>
          <cell r="L2478" t="str">
            <v>SA</v>
          </cell>
          <cell r="M2478" t="str">
            <v>MAURO VALENTINO MOREIRA</v>
          </cell>
          <cell r="N2478" t="str">
            <v>DTE9423</v>
          </cell>
          <cell r="O2478" t="str">
            <v>2009</v>
          </cell>
          <cell r="P2478" t="str">
            <v>19</v>
          </cell>
          <cell r="Q2478" t="str">
            <v>18</v>
          </cell>
        </row>
        <row r="2479">
          <cell r="B2479" t="str">
            <v>0642/16</v>
          </cell>
          <cell r="C2479" t="str">
            <v>2016-0.063.214-5</v>
          </cell>
          <cell r="D2479" t="str">
            <v/>
          </cell>
          <cell r="E2479" t="str">
            <v>24 de março de 2016</v>
          </cell>
          <cell r="F2479" t="str">
            <v>REINALDO RAMOS DE ARAUJO</v>
          </cell>
          <cell r="G2479" t="str">
            <v>24/03/2016</v>
          </cell>
          <cell r="H2479" t="str">
            <v>25/03/2016</v>
          </cell>
          <cell r="I2479" t="str">
            <v>39</v>
          </cell>
          <cell r="J2479" t="str">
            <v>PESSOA FÍSICA</v>
          </cell>
          <cell r="K2479" t="str">
            <v>911.240.505-15</v>
          </cell>
          <cell r="L2479" t="str">
            <v>SA</v>
          </cell>
          <cell r="M2479" t="str">
            <v>REINALDO RAMOS DE ARAUJO</v>
          </cell>
          <cell r="N2479" t="str">
            <v>DTE9829</v>
          </cell>
          <cell r="O2479" t="str">
            <v>2009</v>
          </cell>
          <cell r="P2479" t="str">
            <v>11</v>
          </cell>
          <cell r="Q2479" t="str">
            <v>10</v>
          </cell>
        </row>
        <row r="2480">
          <cell r="B2480" t="str">
            <v>0643/16</v>
          </cell>
          <cell r="C2480" t="str">
            <v>2016-0.063.231-5</v>
          </cell>
          <cell r="D2480" t="str">
            <v/>
          </cell>
          <cell r="E2480" t="str">
            <v>21 de março de 2016</v>
          </cell>
          <cell r="F2480" t="str">
            <v>RITA DE CASSIA MARTINS DE ALMEIDA DE SOUZA LIMA</v>
          </cell>
          <cell r="G2480" t="str">
            <v>21/03/2016</v>
          </cell>
          <cell r="H2480" t="str">
            <v>23/03/2016</v>
          </cell>
          <cell r="I2480" t="str">
            <v>59</v>
          </cell>
          <cell r="J2480" t="str">
            <v>PESSOA FÍSICA</v>
          </cell>
          <cell r="K2480" t="str">
            <v>044.958.638-35</v>
          </cell>
          <cell r="L2480" t="str">
            <v>SA</v>
          </cell>
          <cell r="M2480" t="str">
            <v>RITA DE CASSIA MARTINS DE ALMEIDA DE SOUZA LIMA</v>
          </cell>
          <cell r="N2480" t="str">
            <v>DTC5039</v>
          </cell>
          <cell r="O2480" t="str">
            <v>2008</v>
          </cell>
          <cell r="P2480" t="str">
            <v>25</v>
          </cell>
          <cell r="Q2480" t="str">
            <v>23</v>
          </cell>
        </row>
        <row r="2481">
          <cell r="B2481" t="str">
            <v>0644/16</v>
          </cell>
          <cell r="C2481" t="str">
            <v>2016-0.063.239-0</v>
          </cell>
          <cell r="D2481" t="str">
            <v/>
          </cell>
          <cell r="E2481" t="str">
            <v>14 de março de 2016</v>
          </cell>
          <cell r="F2481" t="str">
            <v>ROBERTO COELHO DA SILVA</v>
          </cell>
          <cell r="G2481" t="str">
            <v>14/03/2016</v>
          </cell>
          <cell r="H2481" t="str">
            <v>23/03/2016</v>
          </cell>
          <cell r="I2481" t="str">
            <v>59</v>
          </cell>
          <cell r="J2481" t="str">
            <v>PESSOA FÍSICA</v>
          </cell>
          <cell r="K2481" t="str">
            <v>195.200.458-64</v>
          </cell>
          <cell r="L2481" t="str">
            <v>SA</v>
          </cell>
          <cell r="M2481" t="str">
            <v>ROBERTO COELHO DA SILVA</v>
          </cell>
          <cell r="N2481" t="str">
            <v>EZL0289</v>
          </cell>
          <cell r="O2481" t="str">
            <v>2011</v>
          </cell>
          <cell r="P2481" t="str">
            <v>18</v>
          </cell>
          <cell r="Q2481" t="str">
            <v>17</v>
          </cell>
        </row>
        <row r="2482">
          <cell r="B2482" t="str">
            <v>0645/16</v>
          </cell>
          <cell r="C2482" t="str">
            <v>2016-0.063.244-7</v>
          </cell>
          <cell r="D2482" t="str">
            <v/>
          </cell>
          <cell r="E2482" t="str">
            <v>14 de março de 2016</v>
          </cell>
          <cell r="F2482" t="str">
            <v>SERGIO MARCOS BARBOSA</v>
          </cell>
          <cell r="G2482" t="str">
            <v>14/03/2016</v>
          </cell>
          <cell r="H2482" t="str">
            <v>23/03/2016</v>
          </cell>
          <cell r="I2482" t="str">
            <v>59</v>
          </cell>
          <cell r="J2482" t="str">
            <v>PESSOA FÍSICA</v>
          </cell>
          <cell r="K2482" t="str">
            <v>013.582.808-27</v>
          </cell>
          <cell r="L2482" t="str">
            <v>SA</v>
          </cell>
          <cell r="M2482" t="str">
            <v>SERGIO MARCOS BARBOSA</v>
          </cell>
          <cell r="N2482" t="str">
            <v>ECT8750</v>
          </cell>
          <cell r="O2482" t="str">
            <v>2009</v>
          </cell>
          <cell r="P2482" t="str">
            <v>11</v>
          </cell>
          <cell r="Q2482" t="str">
            <v>10</v>
          </cell>
        </row>
        <row r="2483">
          <cell r="B2483" t="str">
            <v>0646/16</v>
          </cell>
          <cell r="C2483" t="str">
            <v>2016-0.063.247-1</v>
          </cell>
          <cell r="D2483" t="str">
            <v/>
          </cell>
          <cell r="E2483" t="str">
            <v/>
          </cell>
          <cell r="F2483" t="str">
            <v>SILVIO PEREIRA DE OLIVEIRA</v>
          </cell>
          <cell r="G2483" t="str">
            <v/>
          </cell>
          <cell r="H2483" t="str">
            <v/>
          </cell>
          <cell r="I2483" t="str">
            <v/>
          </cell>
          <cell r="J2483" t="str">
            <v>PESSOA FÍSICA</v>
          </cell>
          <cell r="K2483" t="str">
            <v>176.713.848-28</v>
          </cell>
          <cell r="L2483" t="str">
            <v>SA</v>
          </cell>
          <cell r="M2483" t="str">
            <v>SILVIO PEREIRA DE OLIVEIRA</v>
          </cell>
          <cell r="N2483" t="str">
            <v>FBB3872</v>
          </cell>
          <cell r="O2483" t="str">
            <v>2012</v>
          </cell>
          <cell r="P2483" t="str">
            <v>19</v>
          </cell>
          <cell r="Q2483" t="str">
            <v>18</v>
          </cell>
        </row>
        <row r="2484">
          <cell r="B2484" t="str">
            <v>0647/16</v>
          </cell>
          <cell r="C2484" t="str">
            <v>2016-0.063.265-0</v>
          </cell>
          <cell r="D2484" t="str">
            <v/>
          </cell>
          <cell r="E2484" t="str">
            <v>07 de março de 2016</v>
          </cell>
          <cell r="F2484" t="str">
            <v>SUZI PAULA MOREIRA MEDINA</v>
          </cell>
          <cell r="G2484" t="str">
            <v>07/03/2016</v>
          </cell>
          <cell r="H2484" t="str">
            <v/>
          </cell>
          <cell r="I2484" t="str">
            <v/>
          </cell>
          <cell r="J2484" t="str">
            <v>PESSOA FÍSICA</v>
          </cell>
          <cell r="K2484" t="str">
            <v>260.472.788-92</v>
          </cell>
          <cell r="L2484" t="str">
            <v>SA</v>
          </cell>
          <cell r="M2484" t="str">
            <v>SUZI PAULA MOREIRA MEDINA</v>
          </cell>
          <cell r="N2484" t="str">
            <v>DTE9040</v>
          </cell>
          <cell r="O2484" t="str">
            <v>2009</v>
          </cell>
          <cell r="P2484" t="str">
            <v>10</v>
          </cell>
          <cell r="Q2484" t="str">
            <v>9</v>
          </cell>
        </row>
        <row r="2485">
          <cell r="B2485" t="str">
            <v>0648/16</v>
          </cell>
          <cell r="C2485" t="str">
            <v>2016-0.063.269-2</v>
          </cell>
          <cell r="D2485" t="str">
            <v>04/04/2016</v>
          </cell>
          <cell r="E2485" t="str">
            <v>28 de abril de 2016</v>
          </cell>
          <cell r="F2485" t="str">
            <v>LUIZ CARLOS DA SILVA</v>
          </cell>
          <cell r="G2485" t="str">
            <v>28/04/2016</v>
          </cell>
          <cell r="H2485" t="str">
            <v/>
          </cell>
          <cell r="I2485" t="str">
            <v/>
          </cell>
          <cell r="J2485" t="str">
            <v>PESSOA FÍSICA</v>
          </cell>
          <cell r="K2485" t="str">
            <v>035.194.528-80</v>
          </cell>
          <cell r="L2485" t="str">
            <v>JT</v>
          </cell>
          <cell r="M2485" t="str">
            <v>LUIZ CARLOS DA SILVA</v>
          </cell>
          <cell r="N2485" t="str">
            <v>CZZ2063</v>
          </cell>
          <cell r="O2485" t="str">
            <v>2002</v>
          </cell>
          <cell r="P2485" t="str">
            <v>25</v>
          </cell>
          <cell r="Q2485" t="str">
            <v>23</v>
          </cell>
        </row>
        <row r="2486">
          <cell r="B2486" t="str">
            <v>0649/16</v>
          </cell>
          <cell r="C2486" t="str">
            <v>2016-0.071.185-1</v>
          </cell>
          <cell r="D2486" t="str">
            <v/>
          </cell>
          <cell r="E2486" t="str">
            <v>28 de março de 2016</v>
          </cell>
          <cell r="F2486" t="str">
            <v>FABIO SHOGI ARAKAKI</v>
          </cell>
          <cell r="G2486" t="str">
            <v>28/03/2016</v>
          </cell>
          <cell r="H2486" t="str">
            <v>02/04/2016</v>
          </cell>
          <cell r="I2486" t="str">
            <v>41</v>
          </cell>
          <cell r="J2486" t="str">
            <v>PESSOA FÍSICA</v>
          </cell>
          <cell r="K2486" t="str">
            <v>300.089.328-83</v>
          </cell>
          <cell r="L2486" t="str">
            <v>JT</v>
          </cell>
          <cell r="M2486" t="str">
            <v>FABIO SHOGI ARAKAKI</v>
          </cell>
          <cell r="N2486" t="str">
            <v>EZL6371</v>
          </cell>
          <cell r="O2486" t="str">
            <v>2011</v>
          </cell>
          <cell r="P2486" t="str">
            <v>19</v>
          </cell>
          <cell r="Q2486" t="str">
            <v>18</v>
          </cell>
        </row>
        <row r="2487">
          <cell r="B2487" t="str">
            <v>0650/16</v>
          </cell>
          <cell r="C2487" t="str">
            <v>2016-0.071.186-0</v>
          </cell>
          <cell r="D2487" t="str">
            <v/>
          </cell>
          <cell r="E2487" t="str">
            <v/>
          </cell>
          <cell r="F2487" t="str">
            <v>EVANILDO GONCALVES DA CRUZ</v>
          </cell>
          <cell r="G2487" t="str">
            <v/>
          </cell>
          <cell r="H2487" t="str">
            <v/>
          </cell>
          <cell r="I2487" t="str">
            <v/>
          </cell>
          <cell r="J2487" t="str">
            <v>PESSOA FÍSICA</v>
          </cell>
          <cell r="K2487" t="str">
            <v>152.382.428-08</v>
          </cell>
          <cell r="L2487" t="str">
            <v>JT</v>
          </cell>
          <cell r="M2487" t="str">
            <v>EVANILDO GONCALVES DA CRUZ</v>
          </cell>
          <cell r="N2487" t="str">
            <v>EFV3321</v>
          </cell>
          <cell r="O2487" t="str">
            <v>2010</v>
          </cell>
          <cell r="P2487" t="str">
            <v>19</v>
          </cell>
          <cell r="Q2487" t="str">
            <v>18</v>
          </cell>
        </row>
        <row r="2488">
          <cell r="B2488" t="str">
            <v>0651/16</v>
          </cell>
          <cell r="C2488" t="str">
            <v>2016-0.071.187-8</v>
          </cell>
          <cell r="D2488" t="str">
            <v/>
          </cell>
          <cell r="E2488" t="str">
            <v>14 de março de 2016</v>
          </cell>
          <cell r="F2488" t="str">
            <v>JOSE PAULO DOS SANTOS</v>
          </cell>
          <cell r="G2488" t="str">
            <v>14/03/2016</v>
          </cell>
          <cell r="H2488" t="str">
            <v>31/03/2016</v>
          </cell>
          <cell r="I2488" t="str">
            <v>34</v>
          </cell>
          <cell r="J2488" t="str">
            <v>PESSOA FÍSICA</v>
          </cell>
          <cell r="K2488" t="str">
            <v>235.954.349-00</v>
          </cell>
          <cell r="L2488" t="str">
            <v>PJ</v>
          </cell>
          <cell r="M2488" t="str">
            <v>JOSE PAULO DOS SANTOS</v>
          </cell>
          <cell r="N2488" t="str">
            <v>DTD4110</v>
          </cell>
          <cell r="O2488" t="str">
            <v>2007</v>
          </cell>
          <cell r="P2488" t="str">
            <v>29</v>
          </cell>
          <cell r="Q2488" t="str">
            <v>27</v>
          </cell>
        </row>
        <row r="2489">
          <cell r="B2489" t="str">
            <v>0652/16</v>
          </cell>
          <cell r="C2489" t="str">
            <v>2016-0.071.188-6</v>
          </cell>
          <cell r="D2489" t="str">
            <v>19/02/2016</v>
          </cell>
          <cell r="E2489" t="str">
            <v>29 de março de 2016</v>
          </cell>
          <cell r="F2489" t="str">
            <v>ADINOEL LUIS ALVES</v>
          </cell>
          <cell r="G2489" t="str">
            <v>29/03/2016</v>
          </cell>
          <cell r="H2489" t="str">
            <v>31/03/2016</v>
          </cell>
          <cell r="I2489" t="str">
            <v>34</v>
          </cell>
          <cell r="J2489" t="str">
            <v>PESSOA FÍSICA</v>
          </cell>
          <cell r="K2489" t="str">
            <v>460.255.615-91</v>
          </cell>
          <cell r="L2489" t="str">
            <v>PJ</v>
          </cell>
          <cell r="M2489" t="str">
            <v>ADINOEL LUIS ALVES</v>
          </cell>
          <cell r="N2489" t="str">
            <v>EFV5469</v>
          </cell>
          <cell r="O2489" t="str">
            <v>2010</v>
          </cell>
          <cell r="P2489" t="str">
            <v>19</v>
          </cell>
          <cell r="Q2489" t="str">
            <v>18</v>
          </cell>
        </row>
        <row r="2490">
          <cell r="B2490" t="str">
            <v>0653/16</v>
          </cell>
          <cell r="C2490" t="str">
            <v>2016-0.071.189-4</v>
          </cell>
          <cell r="D2490" t="str">
            <v>29/02/2016</v>
          </cell>
          <cell r="E2490" t="str">
            <v/>
          </cell>
          <cell r="F2490" t="str">
            <v>GEORGE LINS DE SOUZA</v>
          </cell>
          <cell r="G2490" t="str">
            <v/>
          </cell>
          <cell r="H2490" t="str">
            <v/>
          </cell>
          <cell r="I2490" t="str">
            <v/>
          </cell>
          <cell r="J2490" t="str">
            <v>PESSOA FÍSICA</v>
          </cell>
          <cell r="K2490" t="str">
            <v>110.870.838-26</v>
          </cell>
          <cell r="L2490" t="str">
            <v>PE</v>
          </cell>
          <cell r="M2490" t="str">
            <v>GEORGE LINS DE SOUZA</v>
          </cell>
          <cell r="N2490" t="str">
            <v>EFV3356</v>
          </cell>
          <cell r="O2490" t="str">
            <v>2010</v>
          </cell>
          <cell r="P2490" t="str">
            <v>19</v>
          </cell>
          <cell r="Q2490" t="str">
            <v>18</v>
          </cell>
        </row>
        <row r="2491">
          <cell r="B2491" t="str">
            <v>0654/16</v>
          </cell>
          <cell r="C2491" t="str">
            <v>2016-0.071.190-8</v>
          </cell>
          <cell r="D2491" t="str">
            <v>14/03/2016</v>
          </cell>
          <cell r="E2491" t="str">
            <v>06 de abril de 2016</v>
          </cell>
          <cell r="F2491" t="str">
            <v>FRANCISCO GUIMARAES PANDELOT</v>
          </cell>
          <cell r="G2491" t="str">
            <v>06/04/2016</v>
          </cell>
          <cell r="H2491" t="str">
            <v>07/04/2016</v>
          </cell>
          <cell r="I2491" t="str">
            <v>19</v>
          </cell>
          <cell r="J2491" t="str">
            <v>PESSOA FÍSICA</v>
          </cell>
          <cell r="K2491" t="str">
            <v>275.789.828-00</v>
          </cell>
          <cell r="L2491" t="str">
            <v>PE</v>
          </cell>
          <cell r="M2491" t="str">
            <v>FRANCISCO GUIMARAES PANDELOT</v>
          </cell>
          <cell r="N2491" t="str">
            <v>FGP7979</v>
          </cell>
          <cell r="O2491" t="str">
            <v>2008</v>
          </cell>
          <cell r="P2491" t="str">
            <v>29</v>
          </cell>
          <cell r="Q2491" t="str">
            <v>27</v>
          </cell>
        </row>
        <row r="2492">
          <cell r="B2492" t="str">
            <v>0655/16</v>
          </cell>
          <cell r="C2492" t="str">
            <v>2016-0.071.191-6</v>
          </cell>
          <cell r="D2492" t="str">
            <v/>
          </cell>
          <cell r="E2492" t="str">
            <v>14 de março de2016</v>
          </cell>
          <cell r="F2492" t="str">
            <v>ALBERTO DA SILVA DE JESUS</v>
          </cell>
          <cell r="G2492" t="str">
            <v>14/03/2016</v>
          </cell>
          <cell r="H2492" t="str">
            <v>31/03/2016</v>
          </cell>
          <cell r="I2492" t="str">
            <v>34</v>
          </cell>
          <cell r="J2492" t="str">
            <v>PESSOA FÍSICA</v>
          </cell>
          <cell r="K2492" t="str">
            <v>100.361.988-62</v>
          </cell>
          <cell r="L2492" t="str">
            <v>PE</v>
          </cell>
          <cell r="M2492" t="str">
            <v>ALBERTO DA SILVA DE JESUS</v>
          </cell>
          <cell r="N2492" t="str">
            <v>DSH9062</v>
          </cell>
          <cell r="O2492" t="str">
            <v>2010</v>
          </cell>
          <cell r="P2492" t="str">
            <v>19</v>
          </cell>
          <cell r="Q2492" t="str">
            <v>18</v>
          </cell>
        </row>
        <row r="2493">
          <cell r="B2493" t="str">
            <v>0656/16</v>
          </cell>
          <cell r="C2493" t="str">
            <v>2016-0.071.192-4</v>
          </cell>
          <cell r="D2493" t="str">
            <v/>
          </cell>
          <cell r="E2493" t="str">
            <v>21 de março de 2016</v>
          </cell>
          <cell r="F2493" t="str">
            <v>KATIA DAS GRACAS DOS SANTOS ANDRIAN</v>
          </cell>
          <cell r="G2493" t="str">
            <v>21/03/2016</v>
          </cell>
          <cell r="H2493" t="str">
            <v>31/03/2016</v>
          </cell>
          <cell r="I2493" t="str">
            <v>34</v>
          </cell>
          <cell r="J2493" t="str">
            <v>PESSOA FÍSICA</v>
          </cell>
          <cell r="K2493" t="str">
            <v>171.254.068-82</v>
          </cell>
          <cell r="L2493" t="str">
            <v>PE</v>
          </cell>
          <cell r="M2493" t="str">
            <v>KATIA DAS GRACAS DOS SANTOS ANDRIAN</v>
          </cell>
          <cell r="N2493" t="str">
            <v>DTC4209</v>
          </cell>
          <cell r="O2493" t="str">
            <v>2008</v>
          </cell>
          <cell r="P2493" t="str">
            <v>25</v>
          </cell>
          <cell r="Q2493" t="str">
            <v>23</v>
          </cell>
        </row>
        <row r="2494">
          <cell r="B2494" t="str">
            <v>0657/16</v>
          </cell>
          <cell r="C2494" t="str">
            <v>2016-0.071.193-2</v>
          </cell>
          <cell r="D2494" t="str">
            <v/>
          </cell>
          <cell r="E2494" t="str">
            <v>21 de março de 2016</v>
          </cell>
          <cell r="F2494" t="str">
            <v>PLINIO MONTEIRO DA SILVA</v>
          </cell>
          <cell r="G2494" t="str">
            <v>21/03/2016</v>
          </cell>
          <cell r="H2494" t="str">
            <v>31/03/2016</v>
          </cell>
          <cell r="I2494" t="str">
            <v>34</v>
          </cell>
          <cell r="J2494" t="str">
            <v>PESSOA FÍSICA</v>
          </cell>
          <cell r="K2494" t="str">
            <v>176.354.698-51</v>
          </cell>
          <cell r="L2494" t="str">
            <v>PE</v>
          </cell>
          <cell r="M2494" t="str">
            <v>PLINIO MONTEIRO DA SILVA</v>
          </cell>
          <cell r="N2494" t="str">
            <v>CZX1520</v>
          </cell>
          <cell r="O2494" t="str">
            <v>2002</v>
          </cell>
          <cell r="P2494" t="str">
            <v>25</v>
          </cell>
          <cell r="Q2494" t="str">
            <v>23</v>
          </cell>
        </row>
        <row r="2495">
          <cell r="B2495" t="str">
            <v>0658/16</v>
          </cell>
          <cell r="C2495" t="str">
            <v>2016-0.071.194-0</v>
          </cell>
          <cell r="D2495" t="str">
            <v/>
          </cell>
          <cell r="E2495" t="str">
            <v>04 de abril de 2016</v>
          </cell>
          <cell r="F2495" t="str">
            <v>JORGE ISSAMU SUEDA</v>
          </cell>
          <cell r="G2495" t="str">
            <v>04/04/2016</v>
          </cell>
          <cell r="H2495" t="str">
            <v>13/04/2016</v>
          </cell>
          <cell r="I2495" t="str">
            <v>49</v>
          </cell>
          <cell r="J2495" t="str">
            <v>PESSOA FÍSICA</v>
          </cell>
          <cell r="K2495" t="str">
            <v>028.299.178-63</v>
          </cell>
          <cell r="L2495" t="str">
            <v>PE</v>
          </cell>
          <cell r="M2495" t="str">
            <v>JORGE ISSAMU SUEDA</v>
          </cell>
          <cell r="N2495" t="str">
            <v>DTD4044</v>
          </cell>
          <cell r="O2495" t="str">
            <v>2007</v>
          </cell>
          <cell r="P2495" t="str">
            <v>29</v>
          </cell>
          <cell r="Q2495" t="str">
            <v>27</v>
          </cell>
        </row>
        <row r="2496">
          <cell r="B2496" t="str">
            <v>0659/16</v>
          </cell>
          <cell r="C2496" t="str">
            <v>2016-0.071.195-9</v>
          </cell>
          <cell r="D2496" t="str">
            <v>14/03/2016</v>
          </cell>
          <cell r="E2496" t="str">
            <v>12 de abril de 2016</v>
          </cell>
          <cell r="F2496" t="str">
            <v>ROSEMEIRE APARECIDA SANTOS MONBELLI</v>
          </cell>
          <cell r="G2496" t="str">
            <v>12/04/2016</v>
          </cell>
          <cell r="H2496" t="str">
            <v>13/04/2016</v>
          </cell>
          <cell r="I2496" t="str">
            <v>49</v>
          </cell>
          <cell r="J2496" t="str">
            <v>PESSOA FÍSICA</v>
          </cell>
          <cell r="K2496" t="str">
            <v>101.622.048-09</v>
          </cell>
          <cell r="L2496" t="str">
            <v>PE</v>
          </cell>
          <cell r="M2496" t="str">
            <v>ROSEMEIRE APARECIDA SANTOS MONBELLI</v>
          </cell>
          <cell r="N2496" t="str">
            <v>DTC3984</v>
          </cell>
          <cell r="O2496" t="str">
            <v>2008</v>
          </cell>
          <cell r="P2496" t="str">
            <v>29</v>
          </cell>
          <cell r="Q2496" t="str">
            <v>27</v>
          </cell>
        </row>
        <row r="2497">
          <cell r="B2497" t="str">
            <v>0660/16</v>
          </cell>
          <cell r="C2497" t="str">
            <v>2016-0.071.196-7</v>
          </cell>
          <cell r="D2497" t="str">
            <v/>
          </cell>
          <cell r="E2497" t="str">
            <v>29 de março de 2016</v>
          </cell>
          <cell r="F2497" t="str">
            <v>MURCIO GONZAGA DA CRUZ</v>
          </cell>
          <cell r="G2497" t="str">
            <v>29/03/2016</v>
          </cell>
          <cell r="H2497" t="str">
            <v>31/03/2016</v>
          </cell>
          <cell r="I2497" t="str">
            <v>34</v>
          </cell>
          <cell r="J2497" t="str">
            <v>PESSOA FÍSICA</v>
          </cell>
          <cell r="K2497" t="str">
            <v>675.914.428-72</v>
          </cell>
          <cell r="L2497" t="str">
            <v>PE</v>
          </cell>
          <cell r="M2497" t="str">
            <v>MURCIO GONZAGA DA CRUZ</v>
          </cell>
          <cell r="N2497" t="str">
            <v>DTD4023</v>
          </cell>
          <cell r="O2497" t="str">
            <v>2007</v>
          </cell>
          <cell r="P2497" t="str">
            <v>29</v>
          </cell>
          <cell r="Q2497" t="str">
            <v>27</v>
          </cell>
        </row>
        <row r="2498">
          <cell r="B2498" t="str">
            <v>0661/16</v>
          </cell>
          <cell r="C2498" t="str">
            <v>2016-0.071.197-5</v>
          </cell>
          <cell r="D2498" t="str">
            <v/>
          </cell>
          <cell r="E2498" t="str">
            <v>14 de março de 2016</v>
          </cell>
          <cell r="F2498" t="str">
            <v>SUELI SILVA PALES</v>
          </cell>
          <cell r="G2498" t="str">
            <v>14/03/2016</v>
          </cell>
          <cell r="H2498" t="str">
            <v>02/04/2016</v>
          </cell>
          <cell r="I2498" t="str">
            <v>41</v>
          </cell>
          <cell r="J2498" t="str">
            <v>PESSOA FÍSICA</v>
          </cell>
          <cell r="K2498" t="str">
            <v>336.672.038-70</v>
          </cell>
          <cell r="L2498" t="str">
            <v>CS</v>
          </cell>
          <cell r="M2498" t="str">
            <v>SUELI SILVA PALES</v>
          </cell>
          <cell r="N2498" t="str">
            <v>DTB8166</v>
          </cell>
          <cell r="O2498" t="str">
            <v>2007</v>
          </cell>
          <cell r="P2498" t="str">
            <v>29</v>
          </cell>
          <cell r="Q2498" t="str">
            <v>27</v>
          </cell>
        </row>
        <row r="2499">
          <cell r="B2499" t="str">
            <v>0662/16</v>
          </cell>
          <cell r="C2499" t="str">
            <v>2016-0.071.198-3</v>
          </cell>
          <cell r="D2499" t="str">
            <v/>
          </cell>
          <cell r="E2499" t="str">
            <v>21 de março de 2016</v>
          </cell>
          <cell r="F2499" t="str">
            <v>JOSE CARLOS DOMINGOS DE SOUZA</v>
          </cell>
          <cell r="G2499" t="str">
            <v>21/03/2016</v>
          </cell>
          <cell r="H2499" t="str">
            <v>02/04/2016</v>
          </cell>
          <cell r="I2499" t="str">
            <v>41</v>
          </cell>
          <cell r="J2499" t="str">
            <v>PESSOA FÍSICA</v>
          </cell>
          <cell r="K2499" t="str">
            <v>065.191.358-60</v>
          </cell>
          <cell r="L2499" t="str">
            <v>CS</v>
          </cell>
          <cell r="M2499" t="str">
            <v>JOSE CARLOS DOMINGOS DE SOUZA</v>
          </cell>
          <cell r="N2499" t="str">
            <v>DTA8222</v>
          </cell>
          <cell r="O2499" t="str">
            <v>2007</v>
          </cell>
          <cell r="P2499" t="str">
            <v>29</v>
          </cell>
          <cell r="Q2499" t="str">
            <v>27</v>
          </cell>
        </row>
        <row r="2500">
          <cell r="B2500" t="str">
            <v>0663/16</v>
          </cell>
          <cell r="C2500" t="str">
            <v>2016-0.071.199-1</v>
          </cell>
          <cell r="D2500" t="str">
            <v/>
          </cell>
          <cell r="E2500" t="str">
            <v>21 de março de 2016</v>
          </cell>
          <cell r="F2500" t="str">
            <v>JOAO VELOSO COSTA</v>
          </cell>
          <cell r="G2500" t="str">
            <v>21/03/2016</v>
          </cell>
          <cell r="H2500" t="str">
            <v>02/04/2016</v>
          </cell>
          <cell r="I2500" t="str">
            <v>41</v>
          </cell>
          <cell r="J2500" t="str">
            <v>PESSOA FÍSICA</v>
          </cell>
          <cell r="K2500" t="str">
            <v>013.191.868-07</v>
          </cell>
          <cell r="L2500" t="str">
            <v>CS</v>
          </cell>
          <cell r="M2500" t="str">
            <v>JOAO VELOSO COSTA</v>
          </cell>
          <cell r="N2500" t="str">
            <v>DTD4308</v>
          </cell>
          <cell r="O2500" t="str">
            <v>2007</v>
          </cell>
          <cell r="P2500" t="str">
            <v>29</v>
          </cell>
          <cell r="Q2500" t="str">
            <v>27</v>
          </cell>
        </row>
        <row r="2501">
          <cell r="B2501" t="str">
            <v>0664/16</v>
          </cell>
          <cell r="C2501" t="str">
            <v>2016-0.071.200-9</v>
          </cell>
          <cell r="D2501" t="str">
            <v/>
          </cell>
          <cell r="E2501" t="str">
            <v>21 de março de 2016</v>
          </cell>
          <cell r="F2501" t="str">
            <v>CLAUDEVAN FERREIRA SILVA</v>
          </cell>
          <cell r="G2501" t="str">
            <v>21/03/2016</v>
          </cell>
          <cell r="H2501" t="str">
            <v>31/03/2016</v>
          </cell>
          <cell r="I2501" t="str">
            <v>34</v>
          </cell>
          <cell r="J2501" t="str">
            <v>PESSOA FÍSICA</v>
          </cell>
          <cell r="K2501" t="str">
            <v>219.899.048-23</v>
          </cell>
          <cell r="L2501" t="str">
            <v>CS</v>
          </cell>
          <cell r="M2501" t="str">
            <v>CLAUDEVAN FERREIRA SILVA</v>
          </cell>
          <cell r="N2501" t="str">
            <v>EFV9529</v>
          </cell>
          <cell r="O2501" t="str">
            <v>2010</v>
          </cell>
          <cell r="P2501" t="str">
            <v>19</v>
          </cell>
          <cell r="Q2501" t="str">
            <v>18</v>
          </cell>
        </row>
        <row r="2502">
          <cell r="B2502" t="str">
            <v>0665/16</v>
          </cell>
          <cell r="C2502" t="str">
            <v>2016-0.071.201-7</v>
          </cell>
          <cell r="D2502" t="str">
            <v/>
          </cell>
          <cell r="E2502" t="str">
            <v>28 de março de 2016</v>
          </cell>
          <cell r="F2502" t="str">
            <v>ROGERIO SOARES DA SILVA</v>
          </cell>
          <cell r="G2502" t="str">
            <v>28/03/2016</v>
          </cell>
          <cell r="H2502" t="str">
            <v>31/03/2016</v>
          </cell>
          <cell r="I2502" t="str">
            <v>34</v>
          </cell>
          <cell r="J2502" t="str">
            <v>PESSOA FÍSICA</v>
          </cell>
          <cell r="K2502" t="str">
            <v>303.995.208-05</v>
          </cell>
          <cell r="L2502" t="str">
            <v>CS</v>
          </cell>
          <cell r="M2502" t="str">
            <v>ROGERIO SOARES DA SILVA</v>
          </cell>
          <cell r="N2502" t="str">
            <v>DTE7389</v>
          </cell>
          <cell r="O2502" t="str">
            <v>2009</v>
          </cell>
          <cell r="P2502" t="str">
            <v>19</v>
          </cell>
          <cell r="Q2502" t="str">
            <v>18</v>
          </cell>
        </row>
        <row r="2503">
          <cell r="B2503" t="str">
            <v>0666/16</v>
          </cell>
          <cell r="C2503" t="str">
            <v>2016-0.071.202-5</v>
          </cell>
          <cell r="D2503" t="str">
            <v/>
          </cell>
          <cell r="E2503" t="str">
            <v>28 de março de 2016</v>
          </cell>
          <cell r="F2503" t="str">
            <v>LUCIO AUGUSTO</v>
          </cell>
          <cell r="G2503" t="str">
            <v>28/03/2016</v>
          </cell>
          <cell r="H2503" t="str">
            <v>31/03/2016</v>
          </cell>
          <cell r="I2503" t="str">
            <v>34</v>
          </cell>
          <cell r="J2503" t="str">
            <v>PESSOA FÍSICA</v>
          </cell>
          <cell r="K2503" t="str">
            <v>688.186.458-20</v>
          </cell>
          <cell r="L2503" t="str">
            <v>MP</v>
          </cell>
          <cell r="M2503" t="str">
            <v>LUCIO AUGUSTO</v>
          </cell>
          <cell r="N2503" t="str">
            <v>CZX7930</v>
          </cell>
          <cell r="O2503" t="str">
            <v>2003</v>
          </cell>
          <cell r="P2503" t="str">
            <v>25</v>
          </cell>
          <cell r="Q2503" t="str">
            <v>23</v>
          </cell>
        </row>
        <row r="2504">
          <cell r="B2504" t="str">
            <v>0667/16</v>
          </cell>
          <cell r="C2504" t="str">
            <v>2016-0.071.203-3</v>
          </cell>
          <cell r="D2504" t="str">
            <v/>
          </cell>
          <cell r="E2504" t="str">
            <v>21 de março de 2016</v>
          </cell>
          <cell r="F2504" t="str">
            <v>FRANCISCA NILDALIA ROLIM DE SOUZA</v>
          </cell>
          <cell r="G2504" t="str">
            <v>21/03/2016</v>
          </cell>
          <cell r="H2504" t="str">
            <v>02/04/2016</v>
          </cell>
          <cell r="I2504" t="str">
            <v>41</v>
          </cell>
          <cell r="J2504" t="str">
            <v>PESSOA FÍSICA</v>
          </cell>
          <cell r="K2504" t="str">
            <v>012.110.068-59</v>
          </cell>
          <cell r="L2504" t="str">
            <v>JT</v>
          </cell>
          <cell r="M2504" t="str">
            <v>FRANCISCA NILDALIA ROLIM DE SOUZA</v>
          </cell>
          <cell r="N2504" t="str">
            <v>DTB8010</v>
          </cell>
          <cell r="O2504" t="str">
            <v>2007</v>
          </cell>
          <cell r="P2504" t="str">
            <v>25</v>
          </cell>
          <cell r="Q2504" t="str">
            <v>23</v>
          </cell>
        </row>
        <row r="2505">
          <cell r="B2505" t="str">
            <v>0668/16</v>
          </cell>
          <cell r="C2505" t="str">
            <v>2016-0.071.204-1</v>
          </cell>
          <cell r="D2505" t="str">
            <v/>
          </cell>
          <cell r="E2505" t="str">
            <v>25 de abril de 2016</v>
          </cell>
          <cell r="F2505" t="str">
            <v>ANTONIO MARCOS MACHADO</v>
          </cell>
          <cell r="G2505" t="str">
            <v>25/04/2016</v>
          </cell>
          <cell r="H2505" t="str">
            <v>27/04/2016</v>
          </cell>
          <cell r="I2505" t="str">
            <v>54</v>
          </cell>
          <cell r="J2505" t="str">
            <v>PESSOA FÍSICA</v>
          </cell>
          <cell r="K2505" t="str">
            <v>246.972.318-30</v>
          </cell>
          <cell r="L2505" t="str">
            <v>JT</v>
          </cell>
          <cell r="M2505" t="str">
            <v>ANTONIO MARCOS MACHADO</v>
          </cell>
          <cell r="N2505" t="str">
            <v>DTE4488</v>
          </cell>
          <cell r="O2505" t="str">
            <v>2008</v>
          </cell>
          <cell r="P2505" t="str">
            <v>10</v>
          </cell>
          <cell r="Q2505" t="str">
            <v>9</v>
          </cell>
        </row>
        <row r="2506">
          <cell r="B2506" t="str">
            <v>0669/16</v>
          </cell>
          <cell r="C2506" t="str">
            <v>2016-0.071.205-0</v>
          </cell>
          <cell r="D2506" t="str">
            <v/>
          </cell>
          <cell r="E2506" t="str">
            <v>14 de março de 2016</v>
          </cell>
          <cell r="F2506" t="str">
            <v>ANDRE LUIS SANTOS PEREIRA</v>
          </cell>
          <cell r="G2506" t="str">
            <v>14/03/2016</v>
          </cell>
          <cell r="H2506" t="str">
            <v>31/03/2016</v>
          </cell>
          <cell r="I2506" t="str">
            <v>34</v>
          </cell>
          <cell r="J2506" t="str">
            <v>PESSOA FÍSICA</v>
          </cell>
          <cell r="K2506" t="str">
            <v>161.670.405-59</v>
          </cell>
          <cell r="L2506" t="str">
            <v>IP</v>
          </cell>
          <cell r="M2506" t="str">
            <v>ANDRE LUIS SANTOS PEREIRA</v>
          </cell>
          <cell r="N2506" t="str">
            <v>EUL1409</v>
          </cell>
          <cell r="O2506" t="str">
            <v>2011</v>
          </cell>
          <cell r="P2506" t="str">
            <v>19</v>
          </cell>
          <cell r="Q2506" t="str">
            <v>18</v>
          </cell>
        </row>
        <row r="2507">
          <cell r="B2507" t="str">
            <v>0670/16</v>
          </cell>
          <cell r="C2507" t="str">
            <v>2016-0.071.206-8</v>
          </cell>
          <cell r="D2507" t="str">
            <v/>
          </cell>
          <cell r="E2507" t="str">
            <v>28 de março de 2016</v>
          </cell>
          <cell r="F2507" t="str">
            <v>ANTONIO ZEFERINO NETO</v>
          </cell>
          <cell r="G2507" t="str">
            <v>28/03/2016</v>
          </cell>
          <cell r="H2507" t="str">
            <v>31/03/2016</v>
          </cell>
          <cell r="I2507" t="str">
            <v>34</v>
          </cell>
          <cell r="J2507" t="str">
            <v>PESSOA FÍSICA</v>
          </cell>
          <cell r="K2507" t="str">
            <v>237.401.595-53</v>
          </cell>
          <cell r="L2507" t="str">
            <v>IP</v>
          </cell>
          <cell r="M2507" t="str">
            <v>ANTONIO ZEFERINO NETO</v>
          </cell>
          <cell r="N2507" t="str">
            <v>DJF8959</v>
          </cell>
          <cell r="O2507" t="str">
            <v>2007</v>
          </cell>
          <cell r="P2507" t="str">
            <v>29</v>
          </cell>
          <cell r="Q2507" t="str">
            <v>27</v>
          </cell>
        </row>
        <row r="2508">
          <cell r="B2508" t="str">
            <v>0671/16</v>
          </cell>
          <cell r="C2508" t="str">
            <v>2016-0.071.207-6</v>
          </cell>
          <cell r="D2508" t="str">
            <v/>
          </cell>
          <cell r="E2508" t="str">
            <v>29 de março de 2016</v>
          </cell>
          <cell r="F2508" t="str">
            <v>DANIELA OLIVEIRA BRAGA</v>
          </cell>
          <cell r="G2508" t="str">
            <v>29/03/2016</v>
          </cell>
          <cell r="H2508" t="str">
            <v>31/03/2016</v>
          </cell>
          <cell r="I2508" t="str">
            <v>34</v>
          </cell>
          <cell r="J2508" t="str">
            <v>PESSOA FÍSICA</v>
          </cell>
          <cell r="K2508" t="str">
            <v>293.796.378-10</v>
          </cell>
          <cell r="L2508" t="str">
            <v>IP</v>
          </cell>
          <cell r="M2508" t="str">
            <v>DANIELA OLIVEIRA BRAGA</v>
          </cell>
          <cell r="N2508" t="str">
            <v>EUX3069</v>
          </cell>
          <cell r="O2508" t="str">
            <v>2011</v>
          </cell>
          <cell r="P2508" t="str">
            <v>15</v>
          </cell>
          <cell r="Q2508" t="str">
            <v>14</v>
          </cell>
        </row>
        <row r="2509">
          <cell r="B2509" t="str">
            <v>0672/16</v>
          </cell>
          <cell r="C2509" t="str">
            <v>2016-0.071.208-4</v>
          </cell>
          <cell r="D2509" t="str">
            <v>01/03/2016</v>
          </cell>
          <cell r="E2509" t="str">
            <v/>
          </cell>
          <cell r="F2509" t="str">
            <v>EDES VALDECIR DOS SANTOS</v>
          </cell>
          <cell r="G2509" t="str">
            <v/>
          </cell>
          <cell r="H2509" t="str">
            <v/>
          </cell>
          <cell r="I2509" t="str">
            <v/>
          </cell>
          <cell r="J2509" t="str">
            <v>PESSOA FÍSICA</v>
          </cell>
          <cell r="K2509" t="str">
            <v>143.673.188-77</v>
          </cell>
          <cell r="L2509" t="str">
            <v>IP</v>
          </cell>
          <cell r="M2509" t="str">
            <v>EDES VALDECIR DOS SANTOS</v>
          </cell>
          <cell r="N2509" t="str">
            <v>DAP9159</v>
          </cell>
          <cell r="O2509" t="str">
            <v>2001</v>
          </cell>
          <cell r="P2509" t="str">
            <v>25</v>
          </cell>
          <cell r="Q2509" t="str">
            <v>23</v>
          </cell>
        </row>
        <row r="2510">
          <cell r="B2510" t="str">
            <v>0673/16</v>
          </cell>
          <cell r="C2510" t="str">
            <v>2016-0.071.209-2</v>
          </cell>
          <cell r="D2510" t="str">
            <v/>
          </cell>
          <cell r="E2510" t="str">
            <v>21 de março de 2016</v>
          </cell>
          <cell r="F2510" t="str">
            <v>EDVALDO PEDRO DOS SANTOS</v>
          </cell>
          <cell r="G2510" t="str">
            <v>21/03/2016</v>
          </cell>
          <cell r="H2510" t="str">
            <v>31/03/2016</v>
          </cell>
          <cell r="I2510" t="str">
            <v>34</v>
          </cell>
          <cell r="J2510" t="str">
            <v>PESSOA FÍSICA</v>
          </cell>
          <cell r="K2510" t="str">
            <v>486.363.398-04</v>
          </cell>
          <cell r="L2510" t="str">
            <v>IP</v>
          </cell>
          <cell r="M2510" t="str">
            <v>EDVALDO PEDRO DOS SANTOS</v>
          </cell>
          <cell r="N2510" t="str">
            <v>EZL8449</v>
          </cell>
          <cell r="O2510" t="str">
            <v>2011</v>
          </cell>
          <cell r="P2510" t="str">
            <v>19</v>
          </cell>
          <cell r="Q2510" t="str">
            <v>18</v>
          </cell>
        </row>
        <row r="2511">
          <cell r="B2511" t="str">
            <v>0674/16</v>
          </cell>
          <cell r="C2511" t="str">
            <v>2016-0.071.210-6</v>
          </cell>
          <cell r="D2511" t="str">
            <v/>
          </cell>
          <cell r="E2511" t="str">
            <v>01 de abril de 2016</v>
          </cell>
          <cell r="F2511" t="str">
            <v>ERIO COELHO DE MORAES</v>
          </cell>
          <cell r="G2511" t="str">
            <v>01/04/2016</v>
          </cell>
          <cell r="H2511" t="str">
            <v>02/04/2016</v>
          </cell>
          <cell r="I2511" t="str">
            <v>41</v>
          </cell>
          <cell r="J2511" t="str">
            <v>PESSOA FÍSICA</v>
          </cell>
          <cell r="K2511" t="str">
            <v>161.479.248-85</v>
          </cell>
          <cell r="L2511" t="str">
            <v>IP</v>
          </cell>
          <cell r="M2511" t="str">
            <v>ERIO COELHO DE MORAES</v>
          </cell>
          <cell r="N2511" t="str">
            <v>DTD3884</v>
          </cell>
          <cell r="O2511" t="str">
            <v>2008</v>
          </cell>
          <cell r="P2511" t="str">
            <v>29</v>
          </cell>
          <cell r="Q2511" t="str">
            <v>27</v>
          </cell>
        </row>
        <row r="2512">
          <cell r="B2512" t="str">
            <v>0675/16</v>
          </cell>
          <cell r="C2512" t="str">
            <v>2016-0.073.949-7</v>
          </cell>
          <cell r="D2512" t="str">
            <v>24/02/2016</v>
          </cell>
          <cell r="E2512" t="str">
            <v>01 de abril de 2016</v>
          </cell>
          <cell r="F2512" t="str">
            <v>EZIO COELHO DE MORAES</v>
          </cell>
          <cell r="G2512" t="str">
            <v>01/04/2016</v>
          </cell>
          <cell r="H2512" t="str">
            <v>02/04/2016</v>
          </cell>
          <cell r="I2512" t="str">
            <v>41</v>
          </cell>
          <cell r="J2512" t="str">
            <v>PESSOA FÍSICA</v>
          </cell>
          <cell r="K2512" t="str">
            <v>068.966.837-67</v>
          </cell>
          <cell r="L2512" t="str">
            <v>IP</v>
          </cell>
          <cell r="M2512" t="str">
            <v>EZIO COELHO DE MORAES</v>
          </cell>
          <cell r="N2512" t="str">
            <v>CZZ1664</v>
          </cell>
          <cell r="O2512" t="str">
            <v>2002</v>
          </cell>
          <cell r="P2512" t="str">
            <v>25</v>
          </cell>
          <cell r="Q2512" t="str">
            <v>23</v>
          </cell>
        </row>
        <row r="2513">
          <cell r="B2513" t="str">
            <v>0676/16</v>
          </cell>
          <cell r="C2513" t="str">
            <v>2016-0.073.950-0</v>
          </cell>
          <cell r="D2513" t="str">
            <v>02/03/2016</v>
          </cell>
          <cell r="E2513" t="str">
            <v>01 de abril de 2016</v>
          </cell>
          <cell r="F2513" t="str">
            <v>JOAO DE JESUS DA SILVA</v>
          </cell>
          <cell r="G2513" t="str">
            <v>01/04/2016</v>
          </cell>
          <cell r="H2513" t="str">
            <v>02/04/2016</v>
          </cell>
          <cell r="I2513" t="str">
            <v>41</v>
          </cell>
          <cell r="J2513" t="str">
            <v>PESSOA FÍSICA</v>
          </cell>
          <cell r="K2513" t="str">
            <v>469.543.685-04</v>
          </cell>
          <cell r="L2513" t="str">
            <v>IP</v>
          </cell>
          <cell r="M2513" t="str">
            <v>JOAO DE JESUS DA SILVA</v>
          </cell>
          <cell r="N2513" t="str">
            <v>DTE1137</v>
          </cell>
          <cell r="O2513" t="str">
            <v>2010</v>
          </cell>
          <cell r="P2513" t="str">
            <v>10</v>
          </cell>
          <cell r="Q2513" t="str">
            <v>9</v>
          </cell>
        </row>
        <row r="2514">
          <cell r="B2514" t="str">
            <v>0677/16</v>
          </cell>
          <cell r="C2514" t="str">
            <v>2016-0.073.951-9</v>
          </cell>
          <cell r="D2514" t="str">
            <v/>
          </cell>
          <cell r="E2514" t="str">
            <v/>
          </cell>
          <cell r="F2514" t="str">
            <v>JOSE SEBASTIAO DE LIMA FILHO</v>
          </cell>
          <cell r="G2514" t="str">
            <v/>
          </cell>
          <cell r="H2514" t="str">
            <v/>
          </cell>
          <cell r="I2514" t="str">
            <v/>
          </cell>
          <cell r="J2514" t="str">
            <v>PESSOA FÍSICA</v>
          </cell>
          <cell r="K2514" t="str">
            <v>112.780.928-89</v>
          </cell>
          <cell r="L2514" t="str">
            <v>IP</v>
          </cell>
          <cell r="M2514" t="str">
            <v>JOSE SEBASTIAO DE LIMA FILHO</v>
          </cell>
          <cell r="N2514" t="str">
            <v>CZX8566</v>
          </cell>
          <cell r="O2514" t="str">
            <v>2003</v>
          </cell>
          <cell r="P2514" t="str">
            <v>25</v>
          </cell>
          <cell r="Q2514" t="str">
            <v>23</v>
          </cell>
        </row>
        <row r="2515">
          <cell r="B2515" t="str">
            <v>0678/16</v>
          </cell>
          <cell r="C2515" t="str">
            <v>2016-0.071.211-4</v>
          </cell>
          <cell r="D2515" t="str">
            <v>01/03/2016</v>
          </cell>
          <cell r="E2515" t="str">
            <v>28 de março de 2016</v>
          </cell>
          <cell r="F2515" t="str">
            <v>LUIZ PINHEIRO</v>
          </cell>
          <cell r="G2515" t="str">
            <v>28/03/2016</v>
          </cell>
          <cell r="H2515" t="str">
            <v>31/03/2016</v>
          </cell>
          <cell r="I2515" t="str">
            <v>34</v>
          </cell>
          <cell r="J2515" t="str">
            <v>PESSOA FÍSICA</v>
          </cell>
          <cell r="K2515" t="str">
            <v>925.281.048-04</v>
          </cell>
          <cell r="L2515" t="str">
            <v>IP</v>
          </cell>
          <cell r="M2515" t="str">
            <v>LUIZ PINHEIRO</v>
          </cell>
          <cell r="N2515" t="str">
            <v>CZX5274</v>
          </cell>
          <cell r="O2515" t="str">
            <v>2001</v>
          </cell>
          <cell r="P2515" t="str">
            <v>18</v>
          </cell>
          <cell r="Q2515" t="str">
            <v>17</v>
          </cell>
        </row>
        <row r="2516">
          <cell r="B2516" t="str">
            <v>0679/16</v>
          </cell>
          <cell r="C2516" t="str">
            <v>2016-0.071.212-2</v>
          </cell>
          <cell r="D2516" t="str">
            <v>01/03/2016</v>
          </cell>
          <cell r="E2516" t="str">
            <v>30 de março de 2016</v>
          </cell>
          <cell r="F2516" t="str">
            <v>MAURILIO BITTENCOURT DE TOLEDO FILHO</v>
          </cell>
          <cell r="G2516" t="str">
            <v>30/03/2016</v>
          </cell>
          <cell r="H2516" t="str">
            <v>31/03/2016</v>
          </cell>
          <cell r="I2516" t="str">
            <v>34</v>
          </cell>
          <cell r="J2516" t="str">
            <v>PESSOA FÍSICA</v>
          </cell>
          <cell r="K2516" t="str">
            <v>939.596.488-04</v>
          </cell>
          <cell r="L2516" t="str">
            <v>IP</v>
          </cell>
          <cell r="M2516" t="str">
            <v>MAURILIO BITTENCOURT DE TOLEDO FILHO</v>
          </cell>
          <cell r="N2516" t="str">
            <v>CZX1525</v>
          </cell>
          <cell r="O2516" t="str">
            <v>2002</v>
          </cell>
          <cell r="P2516" t="str">
            <v>25</v>
          </cell>
          <cell r="Q2516" t="str">
            <v>23</v>
          </cell>
        </row>
        <row r="2517">
          <cell r="B2517" t="str">
            <v>0680/16</v>
          </cell>
          <cell r="C2517" t="str">
            <v>2016-0.071.213-0</v>
          </cell>
          <cell r="D2517" t="str">
            <v/>
          </cell>
          <cell r="E2517" t="str">
            <v>21 de março de 2016</v>
          </cell>
          <cell r="F2517" t="str">
            <v>NEIDE PAGLIUCO</v>
          </cell>
          <cell r="G2517" t="str">
            <v>21/03/2016</v>
          </cell>
          <cell r="H2517" t="str">
            <v>31/03/2016</v>
          </cell>
          <cell r="I2517" t="str">
            <v>34</v>
          </cell>
          <cell r="J2517" t="str">
            <v>PESSOA FÍSICA</v>
          </cell>
          <cell r="K2517" t="str">
            <v>054.477.668-26</v>
          </cell>
          <cell r="L2517" t="str">
            <v>IP</v>
          </cell>
          <cell r="M2517" t="str">
            <v>NEIDE PAGLIUCO</v>
          </cell>
          <cell r="N2517" t="str">
            <v>DJF8870</v>
          </cell>
          <cell r="O2517" t="str">
            <v>2006</v>
          </cell>
          <cell r="P2517" t="str">
            <v>29</v>
          </cell>
          <cell r="Q2517" t="str">
            <v>27</v>
          </cell>
        </row>
        <row r="2518">
          <cell r="B2518" t="str">
            <v>0681/16</v>
          </cell>
          <cell r="C2518" t="str">
            <v>2016-0.071.214-9</v>
          </cell>
          <cell r="D2518" t="str">
            <v>29/02/2016</v>
          </cell>
          <cell r="E2518" t="str">
            <v>28 de março de 2016</v>
          </cell>
          <cell r="F2518" t="str">
            <v>NILTON DA ROCHA MEIRELES</v>
          </cell>
          <cell r="G2518" t="str">
            <v>28/03/2016</v>
          </cell>
          <cell r="H2518" t="str">
            <v>31/03/2016</v>
          </cell>
          <cell r="I2518" t="str">
            <v>35</v>
          </cell>
          <cell r="J2518" t="str">
            <v>PESSOA FÍSICA</v>
          </cell>
          <cell r="K2518" t="str">
            <v>695.308.406-59</v>
          </cell>
          <cell r="L2518" t="str">
            <v>IP</v>
          </cell>
          <cell r="M2518" t="str">
            <v>NILTON DA ROCHA MEIRELES</v>
          </cell>
          <cell r="N2518" t="str">
            <v>DTE1797</v>
          </cell>
          <cell r="O2518" t="str">
            <v>2009</v>
          </cell>
          <cell r="P2518" t="str">
            <v>11</v>
          </cell>
          <cell r="Q2518" t="str">
            <v>10</v>
          </cell>
        </row>
        <row r="2519">
          <cell r="B2519" t="str">
            <v>0682/16</v>
          </cell>
          <cell r="C2519" t="str">
            <v>2016-0.071.215-7</v>
          </cell>
          <cell r="D2519" t="str">
            <v/>
          </cell>
          <cell r="E2519" t="str">
            <v>18 de abril de 2016</v>
          </cell>
          <cell r="F2519" t="str">
            <v>NORBERTO HADLICH</v>
          </cell>
          <cell r="G2519" t="str">
            <v>18/04/2016</v>
          </cell>
          <cell r="H2519" t="str">
            <v>27/04/2016</v>
          </cell>
          <cell r="I2519" t="str">
            <v>54</v>
          </cell>
          <cell r="J2519" t="str">
            <v>PESSOA FÍSICA</v>
          </cell>
          <cell r="K2519" t="str">
            <v>229.635.968-04</v>
          </cell>
          <cell r="L2519" t="str">
            <v>IP</v>
          </cell>
          <cell r="M2519" t="str">
            <v>NORBERTO HADLICH</v>
          </cell>
          <cell r="N2519" t="str">
            <v>EBQ6917</v>
          </cell>
          <cell r="O2519" t="str">
            <v>2010</v>
          </cell>
          <cell r="P2519" t="str">
            <v>15</v>
          </cell>
          <cell r="Q2519" t="str">
            <v>14</v>
          </cell>
        </row>
        <row r="2520">
          <cell r="B2520" t="str">
            <v>0683/16</v>
          </cell>
          <cell r="C2520" t="str">
            <v>2016-0.071.216-5</v>
          </cell>
          <cell r="D2520" t="str">
            <v/>
          </cell>
          <cell r="E2520" t="str">
            <v>14 de março de 2016</v>
          </cell>
          <cell r="F2520" t="str">
            <v>PEDRO JOSE DOS SANTOS</v>
          </cell>
          <cell r="G2520" t="str">
            <v>14/03/2016</v>
          </cell>
          <cell r="H2520" t="str">
            <v>31/03/2016</v>
          </cell>
          <cell r="I2520" t="str">
            <v>35</v>
          </cell>
          <cell r="J2520" t="str">
            <v>PESSOA FÍSICA</v>
          </cell>
          <cell r="K2520" t="str">
            <v>770.304.788-00</v>
          </cell>
          <cell r="L2520" t="str">
            <v>IP</v>
          </cell>
          <cell r="M2520" t="str">
            <v>PEDRO JOSE DOS SANTOS</v>
          </cell>
          <cell r="N2520" t="str">
            <v>CYR2472</v>
          </cell>
          <cell r="O2520" t="str">
            <v>2003</v>
          </cell>
          <cell r="P2520" t="str">
            <v>25</v>
          </cell>
          <cell r="Q2520" t="str">
            <v>23</v>
          </cell>
        </row>
        <row r="2521">
          <cell r="B2521" t="str">
            <v>0684/16</v>
          </cell>
          <cell r="C2521" t="str">
            <v>2016-0.071.217-3</v>
          </cell>
          <cell r="D2521" t="str">
            <v/>
          </cell>
          <cell r="E2521" t="str">
            <v>28 de março de 2016</v>
          </cell>
          <cell r="F2521" t="str">
            <v>RAMON CASTRO DO PRADO</v>
          </cell>
          <cell r="G2521" t="str">
            <v>28/03/2016</v>
          </cell>
          <cell r="H2521" t="str">
            <v>31/03/2016</v>
          </cell>
          <cell r="I2521" t="str">
            <v>35</v>
          </cell>
          <cell r="J2521" t="str">
            <v>PESSOA FÍSICA</v>
          </cell>
          <cell r="K2521" t="str">
            <v>770.297.205-04</v>
          </cell>
          <cell r="L2521" t="str">
            <v>IP</v>
          </cell>
          <cell r="M2521" t="str">
            <v>RAMON CASTRO DO PRADO</v>
          </cell>
          <cell r="N2521" t="str">
            <v>GAX2044</v>
          </cell>
          <cell r="O2521" t="str">
            <v>2015</v>
          </cell>
          <cell r="P2521" t="str">
            <v>14</v>
          </cell>
          <cell r="Q2521" t="str">
            <v>13</v>
          </cell>
        </row>
        <row r="2522">
          <cell r="B2522" t="str">
            <v>0685/16</v>
          </cell>
          <cell r="C2522" t="str">
            <v>2016-0.071.218-1</v>
          </cell>
          <cell r="D2522" t="str">
            <v>01/03/2016</v>
          </cell>
          <cell r="E2522" t="str">
            <v/>
          </cell>
          <cell r="F2522" t="str">
            <v>ROSANGELA APARECIDA RIBEIRO OCTAVIANO</v>
          </cell>
          <cell r="G2522" t="str">
            <v/>
          </cell>
          <cell r="H2522" t="str">
            <v/>
          </cell>
          <cell r="I2522" t="str">
            <v/>
          </cell>
          <cell r="J2522" t="str">
            <v>PESSOA FÍSICA</v>
          </cell>
          <cell r="K2522" t="str">
            <v>192.582.608-21</v>
          </cell>
          <cell r="L2522" t="str">
            <v>IP</v>
          </cell>
          <cell r="M2522" t="str">
            <v>ROSANGELA APARECIDA RIBEIRO OCTAVIANO</v>
          </cell>
          <cell r="N2522" t="str">
            <v>DTC1068</v>
          </cell>
          <cell r="O2522" t="str">
            <v>2007</v>
          </cell>
          <cell r="P2522" t="str">
            <v>25</v>
          </cell>
          <cell r="Q2522" t="str">
            <v>23</v>
          </cell>
        </row>
        <row r="2523">
          <cell r="B2523" t="str">
            <v>0686/16</v>
          </cell>
          <cell r="C2523" t="str">
            <v>2016-0.071.219-0</v>
          </cell>
          <cell r="D2523" t="str">
            <v/>
          </cell>
          <cell r="E2523" t="str">
            <v>28 de março de 2016</v>
          </cell>
          <cell r="F2523" t="str">
            <v>ROSEMEIRE BASSANI GONCALVES</v>
          </cell>
          <cell r="G2523" t="str">
            <v>28/03/2016</v>
          </cell>
          <cell r="H2523" t="str">
            <v>31/03/2016</v>
          </cell>
          <cell r="I2523" t="str">
            <v>35</v>
          </cell>
          <cell r="J2523" t="str">
            <v>PESSOA FÍSICA</v>
          </cell>
          <cell r="K2523" t="str">
            <v>063.179.238-41</v>
          </cell>
          <cell r="L2523" t="str">
            <v>IP</v>
          </cell>
          <cell r="M2523" t="str">
            <v>ROSEMEIRE BASSANI GONCALVES</v>
          </cell>
          <cell r="N2523" t="str">
            <v>DTE5968</v>
          </cell>
          <cell r="O2523" t="str">
            <v>2010</v>
          </cell>
          <cell r="P2523" t="str">
            <v>19</v>
          </cell>
          <cell r="Q2523" t="str">
            <v>18</v>
          </cell>
        </row>
        <row r="2524">
          <cell r="B2524" t="str">
            <v>0687/16</v>
          </cell>
          <cell r="C2524" t="str">
            <v>2016-0.071.220-3</v>
          </cell>
          <cell r="D2524" t="str">
            <v/>
          </cell>
          <cell r="E2524" t="str">
            <v>31 de março de 2016</v>
          </cell>
          <cell r="F2524" t="str">
            <v>SILVANA CRISTINA TRANI</v>
          </cell>
          <cell r="G2524" t="str">
            <v>31/03/2016</v>
          </cell>
          <cell r="H2524" t="str">
            <v>02/04/2016</v>
          </cell>
          <cell r="I2524" t="str">
            <v>41</v>
          </cell>
          <cell r="J2524" t="str">
            <v>PESSOA FÍSICA</v>
          </cell>
          <cell r="K2524" t="str">
            <v>101.215.488-21</v>
          </cell>
          <cell r="L2524" t="str">
            <v>IP</v>
          </cell>
          <cell r="M2524" t="str">
            <v>SILVANA CRISTINA TRANI</v>
          </cell>
          <cell r="N2524" t="str">
            <v>EES4661</v>
          </cell>
          <cell r="O2524" t="str">
            <v>2011</v>
          </cell>
          <cell r="P2524" t="str">
            <v>27</v>
          </cell>
          <cell r="Q2524" t="str">
            <v>26</v>
          </cell>
        </row>
        <row r="2525">
          <cell r="B2525" t="str">
            <v>0688/16</v>
          </cell>
          <cell r="C2525" t="str">
            <v>2016-0.071.221-1</v>
          </cell>
          <cell r="D2525" t="str">
            <v/>
          </cell>
          <cell r="E2525" t="str">
            <v>21 de março de 2016</v>
          </cell>
          <cell r="F2525" t="str">
            <v>VALERIA PEREIRA DO VALE GARCEZ</v>
          </cell>
          <cell r="G2525" t="str">
            <v>21/03/2016</v>
          </cell>
          <cell r="H2525" t="str">
            <v>31/03/2016</v>
          </cell>
          <cell r="I2525" t="str">
            <v>35</v>
          </cell>
          <cell r="J2525" t="str">
            <v>PESSOA FÍSICA</v>
          </cell>
          <cell r="K2525" t="str">
            <v>091.595.618-74</v>
          </cell>
          <cell r="L2525" t="str">
            <v>IP</v>
          </cell>
          <cell r="M2525" t="str">
            <v>VALERIA PEREIRA DO VALE GARCEZ</v>
          </cell>
          <cell r="N2525" t="str">
            <v>DJF5990</v>
          </cell>
          <cell r="O2525" t="str">
            <v>2006</v>
          </cell>
          <cell r="P2525" t="str">
            <v>23</v>
          </cell>
          <cell r="Q2525" t="str">
            <v>21</v>
          </cell>
        </row>
        <row r="2526">
          <cell r="B2526" t="str">
            <v>0689/16</v>
          </cell>
          <cell r="C2526" t="str">
            <v>2016-0.071.222-0</v>
          </cell>
          <cell r="D2526" t="str">
            <v/>
          </cell>
          <cell r="E2526" t="str">
            <v/>
          </cell>
          <cell r="F2526" t="str">
            <v>JANE DA CONCEICAO ESCOBAR</v>
          </cell>
          <cell r="G2526" t="str">
            <v/>
          </cell>
          <cell r="H2526" t="str">
            <v/>
          </cell>
          <cell r="I2526" t="str">
            <v/>
          </cell>
          <cell r="J2526" t="str">
            <v>PESSOA FÍSICA</v>
          </cell>
          <cell r="K2526" t="str">
            <v>670.820.848-20</v>
          </cell>
          <cell r="L2526" t="str">
            <v>JT</v>
          </cell>
          <cell r="M2526" t="str">
            <v>JANE DA CONCEICAO ESCOBAR</v>
          </cell>
          <cell r="N2526" t="str">
            <v>FFM8120</v>
          </cell>
          <cell r="O2526" t="str">
            <v>2014</v>
          </cell>
          <cell r="P2526" t="str">
            <v>19</v>
          </cell>
          <cell r="Q2526" t="str">
            <v>18</v>
          </cell>
        </row>
        <row r="2527">
          <cell r="B2527" t="str">
            <v>0690/16</v>
          </cell>
          <cell r="C2527" t="str">
            <v>2016-0.071.223-8</v>
          </cell>
          <cell r="D2527" t="str">
            <v/>
          </cell>
          <cell r="E2527" t="str">
            <v>28 de março de 2016</v>
          </cell>
          <cell r="F2527" t="str">
            <v>DANIEL RIBEIRO SIMOES DA CONCEICAO</v>
          </cell>
          <cell r="G2527" t="str">
            <v>28/03/2016</v>
          </cell>
          <cell r="H2527" t="str">
            <v>31/03/2016</v>
          </cell>
          <cell r="I2527" t="str">
            <v>35</v>
          </cell>
          <cell r="J2527" t="str">
            <v>PESSOA FÍSICA</v>
          </cell>
          <cell r="K2527" t="str">
            <v>273.182.388-76</v>
          </cell>
          <cell r="L2527" t="str">
            <v>JT</v>
          </cell>
          <cell r="M2527" t="str">
            <v>DANIEL RIBEIRO SIMOES DA CONCEICAO</v>
          </cell>
          <cell r="N2527" t="str">
            <v>FDH2870</v>
          </cell>
          <cell r="O2527" t="str">
            <v>2012</v>
          </cell>
          <cell r="P2527" t="str">
            <v>19</v>
          </cell>
          <cell r="Q2527" t="str">
            <v>18</v>
          </cell>
        </row>
        <row r="2528">
          <cell r="B2528" t="str">
            <v>0691/16</v>
          </cell>
          <cell r="C2528" t="str">
            <v>2016-0.071.224-6</v>
          </cell>
          <cell r="D2528" t="str">
            <v/>
          </cell>
          <cell r="E2528" t="str">
            <v/>
          </cell>
          <cell r="F2528" t="str">
            <v>HENRIQUE PARREIRA DE SOUZA</v>
          </cell>
          <cell r="G2528" t="str">
            <v/>
          </cell>
          <cell r="H2528" t="str">
            <v/>
          </cell>
          <cell r="I2528" t="str">
            <v/>
          </cell>
          <cell r="J2528" t="str">
            <v>PESSOA FÍSICA</v>
          </cell>
          <cell r="K2528" t="str">
            <v>385.902.628-39</v>
          </cell>
          <cell r="L2528" t="str">
            <v>JT</v>
          </cell>
          <cell r="M2528" t="str">
            <v>HENRIQUE PARREIRA DE SOUZA</v>
          </cell>
          <cell r="N2528" t="str">
            <v>EZL3760</v>
          </cell>
          <cell r="O2528" t="str">
            <v>2011</v>
          </cell>
          <cell r="P2528" t="str">
            <v>15</v>
          </cell>
          <cell r="Q2528" t="str">
            <v>14</v>
          </cell>
        </row>
        <row r="2529">
          <cell r="B2529" t="str">
            <v>0692/16</v>
          </cell>
          <cell r="C2529" t="str">
            <v>2016-0.071.225-4</v>
          </cell>
          <cell r="D2529" t="str">
            <v/>
          </cell>
          <cell r="E2529" t="str">
            <v>31 de março de 2016</v>
          </cell>
          <cell r="F2529" t="str">
            <v>SONIA APARECIDA DOS SANTOS OLIVEIRA</v>
          </cell>
          <cell r="G2529" t="str">
            <v>31/03/2016</v>
          </cell>
          <cell r="H2529" t="str">
            <v>02/04/2016</v>
          </cell>
          <cell r="I2529" t="str">
            <v>41</v>
          </cell>
          <cell r="J2529" t="str">
            <v>PESSOA FÍSICA</v>
          </cell>
          <cell r="K2529" t="str">
            <v>067.171.988-26</v>
          </cell>
          <cell r="L2529" t="str">
            <v>JT</v>
          </cell>
          <cell r="M2529" t="str">
            <v>SONIA APARECIDA DOS SANTOS OLIVEIRA</v>
          </cell>
          <cell r="N2529" t="str">
            <v>DTA8805</v>
          </cell>
          <cell r="O2529" t="str">
            <v>2007</v>
          </cell>
          <cell r="P2529" t="str">
            <v>25</v>
          </cell>
          <cell r="Q2529" t="str">
            <v>23</v>
          </cell>
        </row>
        <row r="2530">
          <cell r="B2530" t="str">
            <v>0693/16</v>
          </cell>
          <cell r="C2530" t="str">
            <v>2016-0.071.226-2</v>
          </cell>
          <cell r="D2530" t="str">
            <v/>
          </cell>
          <cell r="E2530" t="str">
            <v>28 de março de 2016</v>
          </cell>
          <cell r="F2530" t="str">
            <v>CLAUDIO MANSO DA CONCEICAO</v>
          </cell>
          <cell r="G2530" t="str">
            <v>28/03/2016</v>
          </cell>
          <cell r="H2530" t="str">
            <v>31/03/2016</v>
          </cell>
          <cell r="I2530" t="str">
            <v>35</v>
          </cell>
          <cell r="J2530" t="str">
            <v>PESSOA FÍSICA</v>
          </cell>
          <cell r="K2530" t="str">
            <v>128.594.978-11</v>
          </cell>
          <cell r="L2530" t="str">
            <v>JT</v>
          </cell>
          <cell r="M2530" t="str">
            <v>CLAUDIO MANSO DA CONCEICAO</v>
          </cell>
          <cell r="N2530" t="str">
            <v>DTC1918</v>
          </cell>
          <cell r="O2530" t="str">
            <v>2007</v>
          </cell>
          <cell r="P2530" t="str">
            <v>25</v>
          </cell>
          <cell r="Q2530" t="str">
            <v>23</v>
          </cell>
        </row>
        <row r="2531">
          <cell r="B2531" t="str">
            <v>0694/16</v>
          </cell>
          <cell r="C2531" t="str">
            <v>2016-0.071.227-0</v>
          </cell>
          <cell r="D2531" t="str">
            <v>24/02/2016</v>
          </cell>
          <cell r="E2531" t="str">
            <v>04 de abril de 2016</v>
          </cell>
          <cell r="F2531" t="str">
            <v>ANTONIO CARLOS CAVALCANTE</v>
          </cell>
          <cell r="G2531" t="str">
            <v>04/04/2016</v>
          </cell>
          <cell r="H2531" t="str">
            <v>07/04/2016</v>
          </cell>
          <cell r="I2531" t="str">
            <v>19</v>
          </cell>
          <cell r="J2531" t="str">
            <v>PESSOA FÍSICA</v>
          </cell>
          <cell r="K2531" t="str">
            <v>083.565.578-44</v>
          </cell>
          <cell r="L2531" t="str">
            <v>CS</v>
          </cell>
          <cell r="M2531" t="str">
            <v>ANTONIO CARLOS CAVALCANTE</v>
          </cell>
          <cell r="N2531" t="str">
            <v>EQO3351</v>
          </cell>
          <cell r="O2531" t="str">
            <v>2012</v>
          </cell>
          <cell r="P2531" t="str">
            <v>15</v>
          </cell>
          <cell r="Q2531" t="str">
            <v>14</v>
          </cell>
        </row>
        <row r="2532">
          <cell r="B2532" t="str">
            <v>0695/16</v>
          </cell>
          <cell r="C2532" t="str">
            <v>2016-0.071.228-9</v>
          </cell>
          <cell r="D2532" t="str">
            <v>24/02/2016</v>
          </cell>
          <cell r="E2532" t="str">
            <v>27 de abril de 2016</v>
          </cell>
          <cell r="F2532" t="str">
            <v>ANTONIO VALDOMIRO DOS SANTOS</v>
          </cell>
          <cell r="G2532" t="str">
            <v>27/04/2016</v>
          </cell>
          <cell r="H2532" t="str">
            <v/>
          </cell>
          <cell r="I2532" t="str">
            <v/>
          </cell>
          <cell r="J2532" t="str">
            <v>PESSOA FÍSICA</v>
          </cell>
          <cell r="K2532" t="str">
            <v>113.986.368-19</v>
          </cell>
          <cell r="L2532" t="str">
            <v>CS</v>
          </cell>
          <cell r="M2532" t="str">
            <v>ANTONIO VALDOMIRO DOS SANTOS</v>
          </cell>
          <cell r="N2532" t="str">
            <v>EMU1768</v>
          </cell>
          <cell r="O2532" t="str">
            <v>2011</v>
          </cell>
          <cell r="P2532" t="str">
            <v>27</v>
          </cell>
          <cell r="Q2532" t="str">
            <v>26</v>
          </cell>
        </row>
        <row r="2533">
          <cell r="B2533" t="str">
            <v>0696/16</v>
          </cell>
          <cell r="C2533" t="str">
            <v>2016-0.071.229-7</v>
          </cell>
          <cell r="D2533" t="str">
            <v>24/02/2016</v>
          </cell>
          <cell r="E2533" t="str">
            <v>07 de abril de 2016</v>
          </cell>
          <cell r="F2533" t="str">
            <v>CLARIOVALDO DO CARMO JUNIOR</v>
          </cell>
          <cell r="G2533" t="str">
            <v>07/04/2016</v>
          </cell>
          <cell r="H2533" t="str">
            <v>09/04/2016</v>
          </cell>
          <cell r="I2533" t="str">
            <v>33</v>
          </cell>
          <cell r="J2533" t="str">
            <v>PESSOA FÍSICA</v>
          </cell>
          <cell r="K2533" t="str">
            <v>206.292.938-21</v>
          </cell>
          <cell r="L2533" t="str">
            <v>CS</v>
          </cell>
          <cell r="M2533" t="str">
            <v>CLARIOVALDO DO CARMO JUNIOR</v>
          </cell>
          <cell r="N2533" t="str">
            <v>ELW3733</v>
          </cell>
          <cell r="O2533" t="str">
            <v>2011</v>
          </cell>
          <cell r="P2533" t="str">
            <v>19</v>
          </cell>
          <cell r="Q2533" t="str">
            <v>18</v>
          </cell>
        </row>
        <row r="2534">
          <cell r="B2534" t="str">
            <v>0697/16</v>
          </cell>
          <cell r="C2534" t="str">
            <v>2016-0.071.230-0</v>
          </cell>
          <cell r="D2534" t="str">
            <v>24/02/2016</v>
          </cell>
          <cell r="E2534" t="str">
            <v>14 de abril de 2016</v>
          </cell>
          <cell r="F2534" t="str">
            <v>JOSE PAULO DE OLIVEIRA</v>
          </cell>
          <cell r="G2534" t="str">
            <v>14/04/2016</v>
          </cell>
          <cell r="H2534" t="str">
            <v>19/04/2016</v>
          </cell>
          <cell r="I2534" t="str">
            <v>27</v>
          </cell>
          <cell r="J2534" t="str">
            <v>PESSOA FÍSICA</v>
          </cell>
          <cell r="K2534" t="str">
            <v>182.988.048-99</v>
          </cell>
          <cell r="L2534" t="str">
            <v>CS</v>
          </cell>
          <cell r="M2534" t="str">
            <v>JOSE PAULO DE OLIVEIRA</v>
          </cell>
          <cell r="N2534" t="str">
            <v>DVT1990</v>
          </cell>
          <cell r="O2534" t="str">
            <v>2008</v>
          </cell>
          <cell r="P2534" t="str">
            <v>25</v>
          </cell>
          <cell r="Q2534" t="str">
            <v>23</v>
          </cell>
        </row>
        <row r="2535">
          <cell r="B2535" t="str">
            <v>0698/16</v>
          </cell>
          <cell r="C2535" t="str">
            <v>2016-0.071.231-9</v>
          </cell>
          <cell r="D2535" t="str">
            <v>24/02/2016</v>
          </cell>
          <cell r="E2535" t="str">
            <v>14 de abril de 2016</v>
          </cell>
          <cell r="F2535" t="str">
            <v>MARCIO PRETES</v>
          </cell>
          <cell r="G2535" t="str">
            <v>14/04/2016</v>
          </cell>
          <cell r="H2535" t="str">
            <v>19/04/2016</v>
          </cell>
          <cell r="I2535" t="str">
            <v>27</v>
          </cell>
          <cell r="J2535" t="str">
            <v>PESSOA FÍSICA</v>
          </cell>
          <cell r="K2535" t="str">
            <v>254.744.518-22</v>
          </cell>
          <cell r="L2535" t="str">
            <v>CS</v>
          </cell>
          <cell r="M2535" t="str">
            <v>MARCIO PRETES</v>
          </cell>
          <cell r="N2535" t="str">
            <v>EZP4622</v>
          </cell>
          <cell r="O2535" t="str">
            <v>2012</v>
          </cell>
          <cell r="P2535" t="str">
            <v>19</v>
          </cell>
          <cell r="Q2535" t="str">
            <v>18</v>
          </cell>
        </row>
        <row r="2536">
          <cell r="B2536" t="str">
            <v>0699/16</v>
          </cell>
          <cell r="C2536" t="str">
            <v>2016-0.071.232-7</v>
          </cell>
          <cell r="D2536" t="str">
            <v>24/02/2016</v>
          </cell>
          <cell r="E2536" t="str">
            <v>29 de março de 2016</v>
          </cell>
          <cell r="F2536" t="str">
            <v>MARIA JOSE REIS COSTA</v>
          </cell>
          <cell r="G2536" t="str">
            <v>29/03/2016</v>
          </cell>
          <cell r="H2536" t="str">
            <v>31/03/2016</v>
          </cell>
          <cell r="I2536" t="str">
            <v>35</v>
          </cell>
          <cell r="J2536" t="str">
            <v>PESSOA FÍSICA</v>
          </cell>
          <cell r="K2536" t="str">
            <v>268.497.328-89</v>
          </cell>
          <cell r="L2536" t="str">
            <v>CS</v>
          </cell>
          <cell r="M2536" t="str">
            <v>MARIA JOSE REIS COSTA</v>
          </cell>
          <cell r="N2536" t="str">
            <v>FXY2192</v>
          </cell>
          <cell r="O2536" t="str">
            <v>2015</v>
          </cell>
          <cell r="P2536" t="str">
            <v>19</v>
          </cell>
          <cell r="Q2536" t="str">
            <v>18</v>
          </cell>
        </row>
        <row r="2537">
          <cell r="B2537" t="str">
            <v>0700/16</v>
          </cell>
          <cell r="C2537" t="str">
            <v>2016-0.071.233-5</v>
          </cell>
          <cell r="D2537" t="str">
            <v>24/02/2016</v>
          </cell>
          <cell r="E2537" t="str">
            <v>30 de março de 2016</v>
          </cell>
          <cell r="F2537" t="str">
            <v>MARIA RAIMUNDA DE JESUS</v>
          </cell>
          <cell r="G2537" t="str">
            <v>30/03/2016</v>
          </cell>
          <cell r="H2537" t="str">
            <v>31/03/2016</v>
          </cell>
          <cell r="I2537" t="str">
            <v>35</v>
          </cell>
          <cell r="J2537" t="str">
            <v>PESSOA FÍSICA</v>
          </cell>
          <cell r="K2537" t="str">
            <v>190.115.205-72</v>
          </cell>
          <cell r="L2537" t="str">
            <v>CS</v>
          </cell>
          <cell r="M2537" t="str">
            <v>MARIA RAIMUNDA DE JESUS</v>
          </cell>
          <cell r="N2537" t="str">
            <v>FBU7220</v>
          </cell>
          <cell r="O2537" t="str">
            <v>2014</v>
          </cell>
          <cell r="P2537" t="str">
            <v>19</v>
          </cell>
          <cell r="Q2537" t="str">
            <v>18</v>
          </cell>
        </row>
        <row r="2538">
          <cell r="B2538" t="str">
            <v>0701/16</v>
          </cell>
          <cell r="C2538" t="str">
            <v>2016-0.071.234-3</v>
          </cell>
          <cell r="D2538" t="str">
            <v>24/02/2016</v>
          </cell>
          <cell r="E2538" t="str">
            <v>25 de abril de 2016</v>
          </cell>
          <cell r="F2538" t="str">
            <v>SINVAL FERREIRA DOS SANTOS</v>
          </cell>
          <cell r="G2538" t="str">
            <v>25/04/2016</v>
          </cell>
          <cell r="H2538" t="str">
            <v>27/04/2016</v>
          </cell>
          <cell r="I2538" t="str">
            <v>54</v>
          </cell>
          <cell r="J2538" t="str">
            <v>PESSOA FÍSICA</v>
          </cell>
          <cell r="K2538" t="str">
            <v>364.802.075-72</v>
          </cell>
          <cell r="L2538" t="str">
            <v>CS</v>
          </cell>
          <cell r="M2538" t="str">
            <v>SINVAL FERREIRA DOS SANTOS</v>
          </cell>
          <cell r="N2538" t="str">
            <v>FTZ0869</v>
          </cell>
          <cell r="O2538" t="str">
            <v>2014</v>
          </cell>
          <cell r="P2538" t="str">
            <v>19</v>
          </cell>
          <cell r="Q2538" t="str">
            <v>18</v>
          </cell>
        </row>
        <row r="2539">
          <cell r="B2539" t="str">
            <v>0702/16</v>
          </cell>
          <cell r="C2539" t="str">
            <v>2016-0.071.235-1</v>
          </cell>
          <cell r="D2539" t="str">
            <v>24/02/2016</v>
          </cell>
          <cell r="E2539" t="str">
            <v>07 de abril de 2016</v>
          </cell>
          <cell r="F2539" t="str">
            <v>WELITON PINHEIRO DIAS</v>
          </cell>
          <cell r="G2539" t="str">
            <v>07/04/2016</v>
          </cell>
          <cell r="H2539" t="str">
            <v>09/04/2016</v>
          </cell>
          <cell r="I2539" t="str">
            <v>33</v>
          </cell>
          <cell r="J2539" t="str">
            <v>PESSOA FÍSICA</v>
          </cell>
          <cell r="K2539" t="str">
            <v>132.377.518-80</v>
          </cell>
          <cell r="L2539" t="str">
            <v>CS</v>
          </cell>
          <cell r="M2539" t="str">
            <v>WELITON PINHEIRO DIAS</v>
          </cell>
          <cell r="N2539" t="str">
            <v>DYH8159</v>
          </cell>
          <cell r="O2539" t="str">
            <v>2011</v>
          </cell>
          <cell r="P2539" t="str">
            <v>19</v>
          </cell>
          <cell r="Q2539" t="str">
            <v>18</v>
          </cell>
        </row>
        <row r="2540">
          <cell r="B2540" t="str">
            <v>0703/16</v>
          </cell>
          <cell r="C2540" t="str">
            <v>2016-0.071.236-0</v>
          </cell>
          <cell r="D2540" t="str">
            <v>26/02/2016</v>
          </cell>
          <cell r="E2540" t="str">
            <v>31 de março de 2016</v>
          </cell>
          <cell r="F2540" t="str">
            <v>MARCOS JOSE DOS SANTOS</v>
          </cell>
          <cell r="G2540" t="str">
            <v>31/03/2016</v>
          </cell>
          <cell r="H2540" t="str">
            <v>02/04/2016</v>
          </cell>
          <cell r="I2540" t="str">
            <v>41</v>
          </cell>
          <cell r="J2540" t="str">
            <v>PESSOA FÍSICA</v>
          </cell>
          <cell r="K2540" t="str">
            <v>217.717.648-48</v>
          </cell>
          <cell r="L2540" t="str">
            <v>PJ</v>
          </cell>
          <cell r="M2540" t="str">
            <v>MARCOS JOSE DOS SANTOS</v>
          </cell>
          <cell r="N2540" t="str">
            <v>DTA9838</v>
          </cell>
          <cell r="O2540" t="str">
            <v>2007</v>
          </cell>
          <cell r="P2540" t="str">
            <v>15</v>
          </cell>
          <cell r="Q2540" t="str">
            <v>13</v>
          </cell>
        </row>
        <row r="2541">
          <cell r="B2541" t="str">
            <v>0704/16</v>
          </cell>
          <cell r="C2541" t="str">
            <v>2016-0.071.237-8</v>
          </cell>
          <cell r="D2541" t="str">
            <v>24/02/2016</v>
          </cell>
          <cell r="E2541" t="str">
            <v>28 de março de 2016</v>
          </cell>
          <cell r="F2541" t="str">
            <v>RICARDO LUIS PINTO</v>
          </cell>
          <cell r="G2541" t="str">
            <v>28/03/2016</v>
          </cell>
          <cell r="H2541" t="str">
            <v>31/03/2016</v>
          </cell>
          <cell r="I2541" t="str">
            <v>35</v>
          </cell>
          <cell r="J2541" t="str">
            <v>PESSOA FÍSICA</v>
          </cell>
          <cell r="K2541" t="str">
            <v>215.826.128-54</v>
          </cell>
          <cell r="L2541" t="str">
            <v>CS</v>
          </cell>
          <cell r="M2541" t="str">
            <v>RICARDO LUIS PINTO</v>
          </cell>
          <cell r="N2541" t="str">
            <v>EQU9219</v>
          </cell>
          <cell r="O2541" t="str">
            <v>2012</v>
          </cell>
          <cell r="P2541" t="str">
            <v>19</v>
          </cell>
          <cell r="Q2541" t="str">
            <v>18</v>
          </cell>
        </row>
        <row r="2542">
          <cell r="B2542" t="str">
            <v>0705/16</v>
          </cell>
          <cell r="C2542" t="str">
            <v>2016-0.071.238-6</v>
          </cell>
          <cell r="D2542" t="str">
            <v>24/02/2016</v>
          </cell>
          <cell r="E2542" t="str">
            <v>28 de março de 2016</v>
          </cell>
          <cell r="F2542" t="str">
            <v>RAFAEL CADAMURO DE OLIVEIRA</v>
          </cell>
          <cell r="G2542" t="str">
            <v>28/03/2016</v>
          </cell>
          <cell r="H2542" t="str">
            <v>31/03/2016</v>
          </cell>
          <cell r="I2542" t="str">
            <v>35</v>
          </cell>
          <cell r="J2542" t="str">
            <v>PESSOA FÍSICA</v>
          </cell>
          <cell r="K2542" t="str">
            <v>216.658.868-97</v>
          </cell>
          <cell r="L2542" t="str">
            <v>MP</v>
          </cell>
          <cell r="M2542" t="str">
            <v>RAFAEL CADAMURO DE OLIVEIRA</v>
          </cell>
          <cell r="N2542" t="str">
            <v>FAI6660</v>
          </cell>
          <cell r="O2542" t="str">
            <v>2014</v>
          </cell>
          <cell r="P2542" t="str">
            <v>27</v>
          </cell>
          <cell r="Q2542" t="str">
            <v>26</v>
          </cell>
        </row>
        <row r="2543">
          <cell r="B2543" t="str">
            <v>0706/16</v>
          </cell>
          <cell r="C2543" t="str">
            <v>2016-0.071.239-4</v>
          </cell>
          <cell r="D2543" t="str">
            <v>24/02/2016</v>
          </cell>
          <cell r="E2543" t="str">
            <v>28 de março de 2016</v>
          </cell>
          <cell r="F2543" t="str">
            <v>SAMUEL ALVES DOS SANTOS</v>
          </cell>
          <cell r="G2543" t="str">
            <v>28/03/2016</v>
          </cell>
          <cell r="H2543" t="str">
            <v>31/03/2016</v>
          </cell>
          <cell r="I2543" t="str">
            <v>35</v>
          </cell>
          <cell r="J2543" t="str">
            <v>PESSOA FÍSICA</v>
          </cell>
          <cell r="K2543" t="str">
            <v>281.617.378-00</v>
          </cell>
          <cell r="L2543" t="str">
            <v>MP</v>
          </cell>
          <cell r="M2543" t="str">
            <v>SAMUEL ALVES DOS SANTOS</v>
          </cell>
          <cell r="N2543" t="str">
            <v>CZZ6018</v>
          </cell>
          <cell r="O2543" t="str">
            <v>2003</v>
          </cell>
          <cell r="P2543" t="str">
            <v>25</v>
          </cell>
          <cell r="Q2543" t="str">
            <v>23</v>
          </cell>
        </row>
        <row r="2544">
          <cell r="B2544" t="str">
            <v>0707/16</v>
          </cell>
          <cell r="C2544" t="str">
            <v>2016-0.071.240-8</v>
          </cell>
          <cell r="D2544" t="str">
            <v>24/02/2016</v>
          </cell>
          <cell r="E2544" t="str">
            <v>15 de abril de 2016</v>
          </cell>
          <cell r="F2544" t="str">
            <v>TIAGO DA SILVA RAMOS DE ALMEIDA</v>
          </cell>
          <cell r="G2544" t="str">
            <v>15/04/2016</v>
          </cell>
          <cell r="H2544" t="str">
            <v>19/04/2016</v>
          </cell>
          <cell r="I2544" t="str">
            <v>27</v>
          </cell>
          <cell r="J2544" t="str">
            <v>PESSOA FÍSICA</v>
          </cell>
          <cell r="K2544" t="str">
            <v>376.848.478-56</v>
          </cell>
          <cell r="L2544" t="str">
            <v>CS</v>
          </cell>
          <cell r="M2544" t="str">
            <v>TIAGO DA SILVA RAMOS DE ALMEIDA</v>
          </cell>
          <cell r="N2544" t="str">
            <v>FEB6411</v>
          </cell>
          <cell r="O2544" t="str">
            <v>2012</v>
          </cell>
          <cell r="P2544" t="str">
            <v>19</v>
          </cell>
          <cell r="Q2544" t="str">
            <v>18</v>
          </cell>
        </row>
        <row r="2545">
          <cell r="B2545" t="str">
            <v>0708/16</v>
          </cell>
          <cell r="C2545" t="str">
            <v>2016-0.071.241-6</v>
          </cell>
          <cell r="D2545" t="str">
            <v>23/02/2016</v>
          </cell>
          <cell r="E2545" t="str">
            <v>04 de abril de 2016</v>
          </cell>
          <cell r="F2545" t="str">
            <v>SIDNEY RODRIGO DE SOUSA</v>
          </cell>
          <cell r="G2545" t="str">
            <v>04/04/2016</v>
          </cell>
          <cell r="H2545" t="str">
            <v>07/04/2016</v>
          </cell>
          <cell r="I2545" t="str">
            <v>19</v>
          </cell>
          <cell r="J2545" t="str">
            <v>PESSOA FÍSICA</v>
          </cell>
          <cell r="K2545" t="str">
            <v>329.389.668-57</v>
          </cell>
          <cell r="L2545" t="str">
            <v>MP</v>
          </cell>
          <cell r="M2545" t="str">
            <v>SIDNEY RODRIGO DE SOUSA</v>
          </cell>
          <cell r="N2545" t="str">
            <v>EFF0518</v>
          </cell>
          <cell r="O2545" t="str">
            <v>2007</v>
          </cell>
          <cell r="P2545" t="str">
            <v>15</v>
          </cell>
          <cell r="Q2545" t="str">
            <v>13</v>
          </cell>
        </row>
        <row r="2546">
          <cell r="B2546" t="str">
            <v>0709/16</v>
          </cell>
          <cell r="C2546" t="str">
            <v>2016-0.071.242-4</v>
          </cell>
          <cell r="D2546" t="str">
            <v>26/02/2016</v>
          </cell>
          <cell r="E2546" t="str">
            <v>29 de março de 2016</v>
          </cell>
          <cell r="F2546" t="str">
            <v>RENATO DOS SANTOS MACEDO</v>
          </cell>
          <cell r="G2546" t="str">
            <v>29/03/2016</v>
          </cell>
          <cell r="H2546" t="str">
            <v>31/03/2016</v>
          </cell>
          <cell r="I2546" t="str">
            <v>35</v>
          </cell>
          <cell r="J2546" t="str">
            <v>PESSOA FÍSICA</v>
          </cell>
          <cell r="K2546" t="str">
            <v>342.211.988-42</v>
          </cell>
          <cell r="L2546" t="str">
            <v>MP</v>
          </cell>
          <cell r="M2546" t="str">
            <v>RENATO DOS SANTOS MACEDO</v>
          </cell>
          <cell r="N2546" t="str">
            <v>JRX9366</v>
          </cell>
          <cell r="O2546" t="str">
            <v>2008</v>
          </cell>
          <cell r="P2546" t="str">
            <v>15</v>
          </cell>
          <cell r="Q2546" t="str">
            <v>13</v>
          </cell>
        </row>
        <row r="2547">
          <cell r="B2547" t="str">
            <v>0710/16</v>
          </cell>
          <cell r="C2547" t="str">
            <v>2016-0.071.243-2</v>
          </cell>
          <cell r="D2547" t="str">
            <v>16/02/2016</v>
          </cell>
          <cell r="E2547" t="str">
            <v>28 de março de 2016</v>
          </cell>
          <cell r="F2547" t="str">
            <v>JUCIANA DE OLIVEIRA DE ARAUJO GUIMARAES</v>
          </cell>
          <cell r="G2547" t="str">
            <v>28/03/2016</v>
          </cell>
          <cell r="H2547" t="str">
            <v>31/03/2016</v>
          </cell>
          <cell r="I2547" t="str">
            <v>35</v>
          </cell>
          <cell r="J2547" t="str">
            <v>PESSOA FÍSICA</v>
          </cell>
          <cell r="K2547" t="str">
            <v>325.185.648-02</v>
          </cell>
          <cell r="L2547" t="str">
            <v>SM</v>
          </cell>
          <cell r="M2547" t="str">
            <v>JUCIANA DE OLIVEIRA DE ARAUJO GUIMARAES</v>
          </cell>
          <cell r="N2547" t="str">
            <v>FAU8470</v>
          </cell>
          <cell r="O2547" t="str">
            <v>2015</v>
          </cell>
          <cell r="P2547" t="str">
            <v>19</v>
          </cell>
          <cell r="Q2547" t="str">
            <v>18</v>
          </cell>
        </row>
        <row r="2548">
          <cell r="B2548" t="str">
            <v>0711/16</v>
          </cell>
          <cell r="C2548" t="str">
            <v>2016-0.071.244-0</v>
          </cell>
          <cell r="D2548" t="str">
            <v>22/02/2016</v>
          </cell>
          <cell r="E2548" t="str">
            <v>31 de março de 2016</v>
          </cell>
          <cell r="F2548" t="str">
            <v>JOSE FRANCISCO ROSSIN</v>
          </cell>
          <cell r="G2548" t="str">
            <v>31/03/2016</v>
          </cell>
          <cell r="H2548" t="str">
            <v>02/04/2016</v>
          </cell>
          <cell r="I2548" t="str">
            <v>41</v>
          </cell>
          <cell r="J2548" t="str">
            <v>PESSOA FÍSICA</v>
          </cell>
          <cell r="K2548" t="str">
            <v>288.391.658-60</v>
          </cell>
          <cell r="L2548" t="str">
            <v>SM</v>
          </cell>
          <cell r="M2548" t="str">
            <v>JOSE FRANCISCO ROSSIN</v>
          </cell>
          <cell r="N2548" t="str">
            <v>DTC4867</v>
          </cell>
          <cell r="O2548" t="str">
            <v>2008</v>
          </cell>
          <cell r="P2548" t="str">
            <v>15</v>
          </cell>
          <cell r="Q2548" t="str">
            <v>13</v>
          </cell>
        </row>
        <row r="2549">
          <cell r="B2549" t="str">
            <v>0712/16</v>
          </cell>
          <cell r="C2549" t="str">
            <v>2016-0.071.245-9</v>
          </cell>
          <cell r="D2549" t="str">
            <v>19/02/2016</v>
          </cell>
          <cell r="E2549" t="str">
            <v>29 de março de 2016</v>
          </cell>
          <cell r="F2549" t="str">
            <v>ADRIANA APARECIDA DOS PASSOS RAMOS</v>
          </cell>
          <cell r="G2549" t="str">
            <v>29/03/2016</v>
          </cell>
          <cell r="H2549" t="str">
            <v>31/03/2016</v>
          </cell>
          <cell r="I2549" t="str">
            <v>35</v>
          </cell>
          <cell r="J2549" t="str">
            <v>PESSOA FÍSICA</v>
          </cell>
          <cell r="K2549" t="str">
            <v>155.502.318-59</v>
          </cell>
          <cell r="L2549" t="str">
            <v>SM</v>
          </cell>
          <cell r="M2549" t="str">
            <v>ADRIANA APARECIDA DOS PASSOS RAMOS</v>
          </cell>
          <cell r="N2549" t="str">
            <v>EFW3868</v>
          </cell>
          <cell r="O2549" t="str">
            <v>2011</v>
          </cell>
          <cell r="P2549" t="str">
            <v>18</v>
          </cell>
          <cell r="Q2549" t="str">
            <v>17</v>
          </cell>
        </row>
        <row r="2550">
          <cell r="B2550" t="str">
            <v>0713/16</v>
          </cell>
          <cell r="C2550" t="str">
            <v>2016-0.071.246-7</v>
          </cell>
          <cell r="D2550" t="str">
            <v>16/02/2016</v>
          </cell>
          <cell r="E2550" t="str">
            <v>11 de abril de 2016</v>
          </cell>
          <cell r="F2550" t="str">
            <v>MARCO AURELIO SANGLARD GESSI</v>
          </cell>
          <cell r="G2550" t="str">
            <v>11/04/2016</v>
          </cell>
          <cell r="H2550" t="str">
            <v>13/04/2016</v>
          </cell>
          <cell r="I2550" t="str">
            <v>50</v>
          </cell>
          <cell r="J2550" t="str">
            <v>PESSOA FÍSICA</v>
          </cell>
          <cell r="K2550" t="str">
            <v>544.923.949-15</v>
          </cell>
          <cell r="L2550" t="str">
            <v>PJ</v>
          </cell>
          <cell r="M2550" t="str">
            <v>MARCO AURELIO SANGLARD GESSI</v>
          </cell>
          <cell r="N2550" t="str">
            <v>FHL4240</v>
          </cell>
          <cell r="O2550" t="str">
            <v>2012</v>
          </cell>
          <cell r="P2550" t="str">
            <v>19</v>
          </cell>
          <cell r="Q2550" t="str">
            <v>18</v>
          </cell>
        </row>
        <row r="2551">
          <cell r="B2551" t="str">
            <v>0714/16</v>
          </cell>
          <cell r="C2551" t="str">
            <v>2016-0.071.247-5</v>
          </cell>
          <cell r="D2551" t="str">
            <v>24/02/2016</v>
          </cell>
          <cell r="E2551" t="str">
            <v>29 de março de 2016</v>
          </cell>
          <cell r="F2551" t="str">
            <v>SERGIO ROBERTO DE OLIVEIRA</v>
          </cell>
          <cell r="G2551" t="str">
            <v>29/03/2016</v>
          </cell>
          <cell r="H2551" t="str">
            <v>31/03/2016</v>
          </cell>
          <cell r="I2551" t="str">
            <v>35</v>
          </cell>
          <cell r="J2551" t="str">
            <v>PESSOA FÍSICA</v>
          </cell>
          <cell r="K2551" t="str">
            <v>331.443.128-78</v>
          </cell>
          <cell r="L2551" t="str">
            <v>CS</v>
          </cell>
          <cell r="M2551" t="str">
            <v>SERGIO ROBERTO DE OLIVEIRA</v>
          </cell>
          <cell r="N2551" t="str">
            <v>FIO5930</v>
          </cell>
          <cell r="O2551" t="str">
            <v>2015</v>
          </cell>
          <cell r="P2551" t="str">
            <v>19</v>
          </cell>
          <cell r="Q2551" t="str">
            <v>18</v>
          </cell>
        </row>
        <row r="2552">
          <cell r="B2552" t="str">
            <v>0715/16</v>
          </cell>
          <cell r="C2552" t="str">
            <v>2016-0.071.248-3</v>
          </cell>
          <cell r="D2552" t="str">
            <v>18/02/2016</v>
          </cell>
          <cell r="E2552" t="str">
            <v>31 de março de 2016</v>
          </cell>
          <cell r="F2552" t="str">
            <v>FLAVIO LUIS DRIUZZO</v>
          </cell>
          <cell r="G2552" t="str">
            <v>31/03/2016</v>
          </cell>
          <cell r="H2552" t="str">
            <v>02/04/2016</v>
          </cell>
          <cell r="I2552" t="str">
            <v>41</v>
          </cell>
          <cell r="J2552" t="str">
            <v>PESSOA FÍSICA</v>
          </cell>
          <cell r="K2552" t="str">
            <v>007.248.058-00</v>
          </cell>
          <cell r="L2552" t="str">
            <v>FO</v>
          </cell>
          <cell r="M2552" t="str">
            <v>FLAVIO LUIS DRIUZZO</v>
          </cell>
          <cell r="N2552" t="str">
            <v>FIT2079</v>
          </cell>
          <cell r="O2552" t="str">
            <v>2015</v>
          </cell>
          <cell r="P2552" t="str">
            <v>19</v>
          </cell>
          <cell r="Q2552" t="str">
            <v>18</v>
          </cell>
        </row>
        <row r="2553">
          <cell r="B2553" t="str">
            <v>0716/16</v>
          </cell>
          <cell r="C2553" t="str">
            <v>2016-0.071.249-1</v>
          </cell>
          <cell r="D2553" t="str">
            <v>24/02/2016</v>
          </cell>
          <cell r="E2553" t="str">
            <v>20 de abril de 2016</v>
          </cell>
          <cell r="F2553" t="str">
            <v>ALEX SANDRO PEREIRA</v>
          </cell>
          <cell r="G2553" t="str">
            <v>20/04/2016</v>
          </cell>
          <cell r="H2553" t="str">
            <v>21/04/2016</v>
          </cell>
          <cell r="I2553" t="str">
            <v>95</v>
          </cell>
          <cell r="J2553" t="str">
            <v>PESSOA FÍSICA</v>
          </cell>
          <cell r="K2553" t="str">
            <v>292.910.178-41</v>
          </cell>
          <cell r="L2553" t="str">
            <v>CS</v>
          </cell>
          <cell r="M2553" t="str">
            <v>ALEX SANDRO PEREIRA</v>
          </cell>
          <cell r="N2553" t="str">
            <v>DTE2406</v>
          </cell>
          <cell r="O2553" t="str">
            <v>2008</v>
          </cell>
          <cell r="P2553" t="str">
            <v>25</v>
          </cell>
          <cell r="Q2553" t="str">
            <v>23</v>
          </cell>
        </row>
        <row r="2554">
          <cell r="B2554" t="str">
            <v>0717/16</v>
          </cell>
          <cell r="C2554" t="str">
            <v>2016-0.071.250-5</v>
          </cell>
          <cell r="D2554" t="str">
            <v/>
          </cell>
          <cell r="E2554" t="str">
            <v>21 de março de 2016</v>
          </cell>
          <cell r="F2554" t="str">
            <v>MARILEIDE MARIA DA SILVA MOURAO</v>
          </cell>
          <cell r="G2554" t="str">
            <v>21/03/2016</v>
          </cell>
          <cell r="H2554" t="str">
            <v>02/04/2016</v>
          </cell>
          <cell r="I2554" t="str">
            <v>41</v>
          </cell>
          <cell r="J2554" t="str">
            <v>PESSOA FÍSICA</v>
          </cell>
          <cell r="K2554" t="str">
            <v>011.398.588-66</v>
          </cell>
          <cell r="L2554" t="str">
            <v>FO</v>
          </cell>
          <cell r="M2554" t="str">
            <v>MARILEIDE MARIA DA SILVA MOURAO</v>
          </cell>
          <cell r="N2554" t="str">
            <v>DJB1960</v>
          </cell>
          <cell r="O2554" t="str">
            <v>2002</v>
          </cell>
          <cell r="P2554" t="str">
            <v>25</v>
          </cell>
          <cell r="Q2554" t="str">
            <v>23</v>
          </cell>
        </row>
        <row r="2555">
          <cell r="B2555" t="str">
            <v>0718/16</v>
          </cell>
          <cell r="C2555" t="str">
            <v>2016-0.071.251-3</v>
          </cell>
          <cell r="D2555" t="str">
            <v>03/03/2016</v>
          </cell>
          <cell r="E2555" t="str">
            <v>28 de março de 2016</v>
          </cell>
          <cell r="F2555" t="str">
            <v>RENATO ALVES PEREIRA</v>
          </cell>
          <cell r="G2555" t="str">
            <v>28/03/2016</v>
          </cell>
          <cell r="H2555" t="str">
            <v>31/03/2016</v>
          </cell>
          <cell r="I2555" t="str">
            <v>35</v>
          </cell>
          <cell r="J2555" t="str">
            <v>PESSOA FÍSICA</v>
          </cell>
          <cell r="K2555" t="str">
            <v>264.983.538-99</v>
          </cell>
          <cell r="L2555" t="str">
            <v>MP</v>
          </cell>
          <cell r="M2555" t="str">
            <v>RENATO ALVES PEREIRA</v>
          </cell>
          <cell r="N2555" t="str">
            <v>FLU4068</v>
          </cell>
          <cell r="O2555" t="str">
            <v>2015</v>
          </cell>
          <cell r="P2555" t="str">
            <v>18</v>
          </cell>
          <cell r="Q2555" t="str">
            <v>17</v>
          </cell>
        </row>
        <row r="2556">
          <cell r="B2556" t="str">
            <v>0719/16</v>
          </cell>
          <cell r="C2556" t="str">
            <v>2016-0.071.252-1</v>
          </cell>
          <cell r="D2556" t="str">
            <v>24/02/2016</v>
          </cell>
          <cell r="E2556" t="str">
            <v>08 de abril de 2016</v>
          </cell>
          <cell r="F2556" t="str">
            <v>THIAGO MEDEIRAS DA SILVA</v>
          </cell>
          <cell r="G2556" t="str">
            <v>08/04/2016</v>
          </cell>
          <cell r="H2556" t="str">
            <v>09/04/2016</v>
          </cell>
          <cell r="I2556" t="str">
            <v>33</v>
          </cell>
          <cell r="J2556" t="str">
            <v>PESSOA FÍSICA</v>
          </cell>
          <cell r="K2556" t="str">
            <v>385.753.048-01</v>
          </cell>
          <cell r="L2556" t="str">
            <v>FO</v>
          </cell>
          <cell r="M2556" t="str">
            <v>THIAGO MEDEIRAS DA SILVA</v>
          </cell>
          <cell r="N2556" t="str">
            <v>EFU7367</v>
          </cell>
          <cell r="O2556" t="str">
            <v>2009</v>
          </cell>
          <cell r="P2556" t="str">
            <v>19</v>
          </cell>
          <cell r="Q2556" t="str">
            <v>18</v>
          </cell>
        </row>
        <row r="2557">
          <cell r="B2557" t="str">
            <v>0720/16</v>
          </cell>
          <cell r="C2557" t="str">
            <v>2016-0.071.253-0</v>
          </cell>
          <cell r="D2557" t="str">
            <v>19/02/2016</v>
          </cell>
          <cell r="E2557" t="str">
            <v>08 de abril de 2016</v>
          </cell>
          <cell r="F2557" t="str">
            <v>MARIA ELENA DOS SANTOS BIANCHI</v>
          </cell>
          <cell r="G2557" t="str">
            <v>08/04/2016</v>
          </cell>
          <cell r="H2557" t="str">
            <v>09/04/2016</v>
          </cell>
          <cell r="I2557" t="str">
            <v>33</v>
          </cell>
          <cell r="J2557" t="str">
            <v>PESSOA FÍSICA</v>
          </cell>
          <cell r="K2557" t="str">
            <v>093.079.888-03</v>
          </cell>
          <cell r="L2557" t="str">
            <v>PE</v>
          </cell>
          <cell r="M2557" t="str">
            <v>MARIA ELENA DOS SANTOS BIANCHI</v>
          </cell>
          <cell r="N2557" t="str">
            <v>FJP5776</v>
          </cell>
          <cell r="O2557" t="str">
            <v>2013</v>
          </cell>
          <cell r="P2557" t="str">
            <v>19</v>
          </cell>
          <cell r="Q2557" t="str">
            <v>18</v>
          </cell>
        </row>
        <row r="2558">
          <cell r="B2558" t="str">
            <v>0721/16</v>
          </cell>
          <cell r="C2558" t="str">
            <v>2016-0.071.254-8</v>
          </cell>
          <cell r="D2558" t="str">
            <v>19/02/2016</v>
          </cell>
          <cell r="E2558" t="str">
            <v>30 de março de 2016</v>
          </cell>
          <cell r="F2558" t="str">
            <v>GUILHERME LOPES DE SOUSA</v>
          </cell>
          <cell r="G2558" t="str">
            <v>30/03/2016</v>
          </cell>
          <cell r="H2558" t="str">
            <v>31/03/2016</v>
          </cell>
          <cell r="I2558" t="str">
            <v>35</v>
          </cell>
          <cell r="J2558" t="str">
            <v>PESSOA FÍSICA</v>
          </cell>
          <cell r="K2558" t="str">
            <v>375.667.008-20</v>
          </cell>
          <cell r="L2558" t="str">
            <v>IQ</v>
          </cell>
          <cell r="M2558" t="str">
            <v>GUILHERME LOPES DE SOUSA</v>
          </cell>
          <cell r="N2558" t="str">
            <v>FFN8441</v>
          </cell>
          <cell r="O2558" t="str">
            <v>2012</v>
          </cell>
          <cell r="P2558" t="str">
            <v>15</v>
          </cell>
          <cell r="Q2558" t="str">
            <v>14</v>
          </cell>
        </row>
        <row r="2559">
          <cell r="B2559" t="str">
            <v>0722/16</v>
          </cell>
          <cell r="C2559" t="str">
            <v>2016-0.071.255-6</v>
          </cell>
          <cell r="D2559" t="str">
            <v>18/02/2016</v>
          </cell>
          <cell r="E2559" t="str">
            <v>28 de março de 2016</v>
          </cell>
          <cell r="F2559" t="str">
            <v>ALEXANDRE BARBOSA DE LIMA</v>
          </cell>
          <cell r="G2559" t="str">
            <v>28/03/2016</v>
          </cell>
          <cell r="H2559" t="str">
            <v>31/03/2016</v>
          </cell>
          <cell r="I2559" t="str">
            <v>35</v>
          </cell>
          <cell r="J2559" t="str">
            <v>PESSOA FÍSICA</v>
          </cell>
          <cell r="K2559" t="str">
            <v>101.306.398-85</v>
          </cell>
          <cell r="L2559" t="str">
            <v>S.A</v>
          </cell>
          <cell r="M2559" t="str">
            <v>ALEXANDRE BARBOSA DE LIMA</v>
          </cell>
          <cell r="N2559" t="str">
            <v>EMU5020</v>
          </cell>
          <cell r="O2559" t="str">
            <v>2011</v>
          </cell>
          <cell r="P2559" t="str">
            <v>15</v>
          </cell>
          <cell r="Q2559" t="str">
            <v>14</v>
          </cell>
        </row>
        <row r="2560">
          <cell r="B2560" t="str">
            <v>0723/16</v>
          </cell>
          <cell r="C2560" t="str">
            <v>2016-0.071.256-4</v>
          </cell>
          <cell r="D2560" t="str">
            <v>23/02/2016</v>
          </cell>
          <cell r="E2560" t="str">
            <v/>
          </cell>
          <cell r="F2560" t="str">
            <v>ANTONIO NETUNE HENRIQUE DE LIMA</v>
          </cell>
          <cell r="G2560" t="str">
            <v/>
          </cell>
          <cell r="H2560" t="str">
            <v/>
          </cell>
          <cell r="I2560" t="str">
            <v/>
          </cell>
          <cell r="J2560" t="str">
            <v>PESSOA FÍSICA</v>
          </cell>
          <cell r="K2560" t="str">
            <v>125.590.978-18</v>
          </cell>
          <cell r="L2560" t="str">
            <v>S.A</v>
          </cell>
          <cell r="M2560" t="str">
            <v>ANTONIO NETUNE HENRIQUE DE LIMA</v>
          </cell>
          <cell r="N2560" t="str">
            <v>EFU8004</v>
          </cell>
          <cell r="O2560" t="str">
            <v>2009</v>
          </cell>
          <cell r="P2560" t="str">
            <v>19</v>
          </cell>
          <cell r="Q2560" t="str">
            <v>18</v>
          </cell>
        </row>
        <row r="2561">
          <cell r="B2561" t="str">
            <v>0724/16</v>
          </cell>
          <cell r="C2561" t="str">
            <v>2016-0.071.257-2</v>
          </cell>
          <cell r="D2561" t="str">
            <v>22/02/2016</v>
          </cell>
          <cell r="E2561" t="str">
            <v>29 de março de 2016</v>
          </cell>
          <cell r="F2561" t="str">
            <v>CARLA CRISTINA DE ABREU OLIVEIRA</v>
          </cell>
          <cell r="G2561" t="str">
            <v>29/03/2016</v>
          </cell>
          <cell r="H2561" t="str">
            <v>31/03/2016</v>
          </cell>
          <cell r="I2561" t="str">
            <v>36</v>
          </cell>
          <cell r="J2561" t="str">
            <v>PESSOA FÍSICA</v>
          </cell>
          <cell r="K2561" t="str">
            <v>345.490.048-43</v>
          </cell>
          <cell r="L2561" t="str">
            <v>PJ</v>
          </cell>
          <cell r="M2561" t="str">
            <v>CARLA CRISTINA DE ABREU OLIVEIRA</v>
          </cell>
          <cell r="N2561" t="str">
            <v>EXB9940</v>
          </cell>
          <cell r="O2561" t="str">
            <v>2013</v>
          </cell>
          <cell r="P2561" t="str">
            <v>19</v>
          </cell>
          <cell r="Q2561" t="str">
            <v>18</v>
          </cell>
        </row>
        <row r="2562">
          <cell r="B2562" t="str">
            <v>0725/16</v>
          </cell>
          <cell r="C2562" t="str">
            <v>2016-0.071.258-0</v>
          </cell>
          <cell r="D2562" t="str">
            <v>15/03/2016</v>
          </cell>
          <cell r="E2562" t="str">
            <v>28 de março de 2016</v>
          </cell>
          <cell r="F2562" t="str">
            <v>JOSE SOARES NETO</v>
          </cell>
          <cell r="G2562" t="str">
            <v>28/03/2016</v>
          </cell>
          <cell r="H2562" t="str">
            <v>31/03/2016</v>
          </cell>
          <cell r="I2562" t="str">
            <v>36</v>
          </cell>
          <cell r="J2562" t="str">
            <v>PESSOA FÍSICA</v>
          </cell>
          <cell r="K2562" t="str">
            <v>009.892.708-66</v>
          </cell>
          <cell r="L2562" t="str">
            <v>MP</v>
          </cell>
          <cell r="M2562" t="str">
            <v>JOSE SOARES NETO</v>
          </cell>
          <cell r="N2562" t="str">
            <v>EMU2146</v>
          </cell>
          <cell r="O2562" t="str">
            <v>2011</v>
          </cell>
          <cell r="P2562" t="str">
            <v>19</v>
          </cell>
          <cell r="Q2562" t="str">
            <v>18</v>
          </cell>
        </row>
        <row r="2563">
          <cell r="B2563" t="str">
            <v>0726/16</v>
          </cell>
          <cell r="C2563" t="str">
            <v>2016-0.071.259-9</v>
          </cell>
          <cell r="D2563" t="str">
            <v>17/02/2016</v>
          </cell>
          <cell r="E2563" t="str">
            <v>28 de março de 2016</v>
          </cell>
          <cell r="F2563" t="str">
            <v>GILVANDE SOUZA DE ARAUJO</v>
          </cell>
          <cell r="G2563" t="str">
            <v>28/03/2016</v>
          </cell>
          <cell r="H2563" t="str">
            <v>31/03/2016</v>
          </cell>
          <cell r="I2563" t="str">
            <v>36</v>
          </cell>
          <cell r="J2563" t="str">
            <v>PESSOA FÍSICA</v>
          </cell>
          <cell r="K2563" t="str">
            <v>051.039.468-07</v>
          </cell>
          <cell r="L2563" t="str">
            <v>SM</v>
          </cell>
          <cell r="M2563" t="str">
            <v>GILVANDE SOUZA DE ARAUJO</v>
          </cell>
          <cell r="N2563" t="str">
            <v>EMF5770</v>
          </cell>
          <cell r="O2563" t="str">
            <v>2009</v>
          </cell>
          <cell r="P2563" t="str">
            <v>15</v>
          </cell>
          <cell r="Q2563" t="str">
            <v>13</v>
          </cell>
        </row>
        <row r="2564">
          <cell r="B2564" t="str">
            <v>0727/16</v>
          </cell>
          <cell r="C2564" t="str">
            <v>2016-0.071.260-2</v>
          </cell>
          <cell r="D2564" t="str">
            <v>19/02/2016</v>
          </cell>
          <cell r="E2564" t="str">
            <v>28 de março de 2016</v>
          </cell>
          <cell r="F2564" t="str">
            <v>ANA PAULA RODRIGUES DE SOUZA</v>
          </cell>
          <cell r="G2564" t="str">
            <v>28/03/2016</v>
          </cell>
          <cell r="H2564" t="str">
            <v>31/03/2016</v>
          </cell>
          <cell r="I2564" t="str">
            <v>36</v>
          </cell>
          <cell r="J2564" t="str">
            <v>PESSOA FÍSICA</v>
          </cell>
          <cell r="K2564" t="str">
            <v>354.774.338-92</v>
          </cell>
          <cell r="L2564" t="str">
            <v>SM</v>
          </cell>
          <cell r="M2564" t="str">
            <v>ANA PAULA RODRIGUES DE SOUZA</v>
          </cell>
          <cell r="N2564" t="str">
            <v>ELL9328</v>
          </cell>
          <cell r="O2564" t="str">
            <v>2009</v>
          </cell>
          <cell r="P2564" t="str">
            <v>19</v>
          </cell>
          <cell r="Q2564" t="str">
            <v>17</v>
          </cell>
        </row>
        <row r="2565">
          <cell r="B2565" t="str">
            <v>0728/16</v>
          </cell>
          <cell r="C2565" t="str">
            <v>2016-0.071.261-0</v>
          </cell>
          <cell r="D2565" t="str">
            <v/>
          </cell>
          <cell r="E2565" t="str">
            <v>21 de março de 2016</v>
          </cell>
          <cell r="F2565" t="str">
            <v>ALDEMICIO AUDALIO DOS SANTOS</v>
          </cell>
          <cell r="G2565" t="str">
            <v>21/03/2016</v>
          </cell>
          <cell r="H2565" t="str">
            <v>07/04/2016</v>
          </cell>
          <cell r="I2565" t="str">
            <v>19</v>
          </cell>
          <cell r="J2565" t="str">
            <v>PESSOA FÍSICA</v>
          </cell>
          <cell r="K2565" t="str">
            <v>172.581.498-64</v>
          </cell>
          <cell r="L2565" t="str">
            <v>IQ</v>
          </cell>
          <cell r="M2565" t="str">
            <v>ALDEMICIO AUDALIO DOS SANTOS</v>
          </cell>
          <cell r="N2565" t="str">
            <v>EZL8240</v>
          </cell>
          <cell r="O2565" t="str">
            <v>2011</v>
          </cell>
          <cell r="P2565" t="str">
            <v>15</v>
          </cell>
          <cell r="Q2565" t="str">
            <v>14</v>
          </cell>
        </row>
        <row r="2566">
          <cell r="B2566" t="str">
            <v>0729/16</v>
          </cell>
          <cell r="C2566" t="str">
            <v>2016-0.073.189-5</v>
          </cell>
          <cell r="D2566" t="str">
            <v/>
          </cell>
          <cell r="E2566" t="str">
            <v>14 de março de 2016</v>
          </cell>
          <cell r="F2566" t="str">
            <v>AMERICO EUGENIO DE SOUSA JUNIOR</v>
          </cell>
          <cell r="G2566" t="str">
            <v>14/03/2016</v>
          </cell>
          <cell r="H2566" t="str">
            <v>02/04/2016</v>
          </cell>
          <cell r="I2566" t="str">
            <v>41</v>
          </cell>
          <cell r="J2566" t="str">
            <v>PESSOA FÍSICA</v>
          </cell>
          <cell r="K2566" t="str">
            <v>272.142.288-07</v>
          </cell>
          <cell r="L2566" t="str">
            <v>PJ</v>
          </cell>
          <cell r="M2566" t="str">
            <v>AMERICO EUGENIO DE SOUSA JUNIOR</v>
          </cell>
          <cell r="N2566" t="str">
            <v>EQA8729</v>
          </cell>
          <cell r="O2566" t="str">
            <v>2011</v>
          </cell>
          <cell r="P2566" t="str">
            <v>19</v>
          </cell>
          <cell r="Q2566" t="str">
            <v>18</v>
          </cell>
        </row>
        <row r="2567">
          <cell r="B2567" t="str">
            <v>0730/16</v>
          </cell>
          <cell r="C2567" t="str">
            <v>2016-0.073.190-9</v>
          </cell>
          <cell r="D2567" t="str">
            <v/>
          </cell>
          <cell r="E2567" t="str">
            <v>21 de março de 2016</v>
          </cell>
          <cell r="F2567" t="str">
            <v>EDIMILSON MONTEIRO</v>
          </cell>
          <cell r="G2567" t="str">
            <v>21/03/2016</v>
          </cell>
          <cell r="H2567" t="str">
            <v>07/04/2016</v>
          </cell>
          <cell r="I2567" t="str">
            <v>19</v>
          </cell>
          <cell r="J2567" t="str">
            <v>PESSOA FÍSICA</v>
          </cell>
          <cell r="K2567" t="str">
            <v>040.413.818-78</v>
          </cell>
          <cell r="L2567" t="str">
            <v>PJ</v>
          </cell>
          <cell r="M2567" t="str">
            <v>EDIMILSON MONTEIRO</v>
          </cell>
          <cell r="N2567" t="str">
            <v>DDO4315</v>
          </cell>
          <cell r="O2567" t="str">
            <v>2001</v>
          </cell>
          <cell r="P2567" t="str">
            <v>25</v>
          </cell>
          <cell r="Q2567" t="str">
            <v>23</v>
          </cell>
        </row>
        <row r="2568">
          <cell r="B2568" t="str">
            <v>0731/16</v>
          </cell>
          <cell r="C2568" t="str">
            <v>2016-0.073.191-7</v>
          </cell>
          <cell r="D2568" t="str">
            <v/>
          </cell>
          <cell r="E2568" t="str">
            <v/>
          </cell>
          <cell r="F2568" t="str">
            <v>IONE APARECIDA DE SOUZA E SOUZA</v>
          </cell>
          <cell r="G2568" t="str">
            <v/>
          </cell>
          <cell r="H2568" t="str">
            <v/>
          </cell>
          <cell r="I2568" t="str">
            <v/>
          </cell>
          <cell r="J2568" t="str">
            <v>PESSOA FÍSICA</v>
          </cell>
          <cell r="K2568" t="str">
            <v>092.621.628-71</v>
          </cell>
          <cell r="L2568" t="str">
            <v>PJ</v>
          </cell>
          <cell r="M2568" t="str">
            <v>IONE APARECIDA DE SOUZA E SOUZA</v>
          </cell>
          <cell r="N2568" t="str">
            <v>CZZ2675</v>
          </cell>
          <cell r="O2568" t="str">
            <v>2003</v>
          </cell>
          <cell r="P2568" t="str">
            <v>25</v>
          </cell>
          <cell r="Q2568" t="str">
            <v>23</v>
          </cell>
        </row>
        <row r="2569">
          <cell r="B2569" t="str">
            <v>0732/16</v>
          </cell>
          <cell r="C2569" t="str">
            <v>2016-0.073.193-3</v>
          </cell>
          <cell r="D2569" t="str">
            <v/>
          </cell>
          <cell r="E2569" t="str">
            <v>21 de março de 2016</v>
          </cell>
          <cell r="F2569" t="str">
            <v>ANDERSON GOMES INOUE</v>
          </cell>
          <cell r="G2569" t="str">
            <v>21/03/2016</v>
          </cell>
          <cell r="H2569" t="str">
            <v>02/04/2016</v>
          </cell>
          <cell r="I2569" t="str">
            <v>42</v>
          </cell>
          <cell r="J2569" t="str">
            <v>PESSOA FÍSICA</v>
          </cell>
          <cell r="K2569" t="str">
            <v>093.575.668-05</v>
          </cell>
          <cell r="L2569" t="str">
            <v>PJ</v>
          </cell>
          <cell r="M2569" t="str">
            <v>ANDERSON GOMES INOUE</v>
          </cell>
          <cell r="N2569" t="str">
            <v>FDK4381</v>
          </cell>
          <cell r="O2569" t="str">
            <v>2012</v>
          </cell>
          <cell r="P2569" t="str">
            <v>19</v>
          </cell>
          <cell r="Q2569" t="str">
            <v>18</v>
          </cell>
        </row>
        <row r="2570">
          <cell r="B2570" t="str">
            <v>0733/16</v>
          </cell>
          <cell r="C2570" t="str">
            <v>2016-0.073.194-1</v>
          </cell>
          <cell r="D2570" t="str">
            <v>29/02/2016</v>
          </cell>
          <cell r="E2570" t="str">
            <v>31 de março de 2016</v>
          </cell>
          <cell r="F2570" t="str">
            <v>GILBERTO ANTONIO ROSA</v>
          </cell>
          <cell r="G2570" t="str">
            <v>31/03/2016</v>
          </cell>
          <cell r="H2570" t="str">
            <v>02/04/2016</v>
          </cell>
          <cell r="I2570" t="str">
            <v>42</v>
          </cell>
          <cell r="J2570" t="str">
            <v>PESSOA FÍSICA</v>
          </cell>
          <cell r="K2570" t="str">
            <v>872.447.488-68</v>
          </cell>
          <cell r="L2570" t="str">
            <v>PJ</v>
          </cell>
          <cell r="M2570" t="str">
            <v>GILBERTO ANTONIO ROSA</v>
          </cell>
          <cell r="N2570" t="str">
            <v>EPO0801</v>
          </cell>
          <cell r="O2570" t="str">
            <v>2010</v>
          </cell>
          <cell r="P2570" t="str">
            <v>19</v>
          </cell>
          <cell r="Q2570" t="str">
            <v>18</v>
          </cell>
        </row>
        <row r="2571">
          <cell r="B2571" t="str">
            <v>0734/16</v>
          </cell>
          <cell r="C2571" t="str">
            <v>2016-0.073.195-0</v>
          </cell>
          <cell r="D2571" t="str">
            <v/>
          </cell>
          <cell r="E2571" t="str">
            <v>21 de março de 2016</v>
          </cell>
          <cell r="F2571" t="str">
            <v>ARNALDO ANSELMO DA SILVA</v>
          </cell>
          <cell r="G2571" t="str">
            <v>21/03/2016</v>
          </cell>
          <cell r="H2571" t="str">
            <v>02/04/2016</v>
          </cell>
          <cell r="I2571" t="str">
            <v>42</v>
          </cell>
          <cell r="J2571" t="str">
            <v>PESSOA FÍSICA</v>
          </cell>
          <cell r="K2571" t="str">
            <v>954.983.708-49</v>
          </cell>
          <cell r="L2571" t="str">
            <v>PJ</v>
          </cell>
          <cell r="M2571" t="str">
            <v>ARNALDO ANSELMO DA SILVA</v>
          </cell>
          <cell r="N2571" t="str">
            <v>CZX9480</v>
          </cell>
          <cell r="O2571" t="str">
            <v>2003</v>
          </cell>
          <cell r="P2571" t="str">
            <v>25</v>
          </cell>
          <cell r="Q2571" t="str">
            <v>23</v>
          </cell>
        </row>
        <row r="2572">
          <cell r="B2572" t="str">
            <v>0735/16</v>
          </cell>
          <cell r="C2572" t="str">
            <v>2016-0.073.196-8</v>
          </cell>
          <cell r="D2572" t="str">
            <v/>
          </cell>
          <cell r="E2572" t="str">
            <v>21 de março de 2016</v>
          </cell>
          <cell r="F2572" t="str">
            <v>ALICE SETSUKO MIYAZAKI</v>
          </cell>
          <cell r="G2572" t="str">
            <v>21/03/2016</v>
          </cell>
          <cell r="H2572" t="str">
            <v>02/04/2016</v>
          </cell>
          <cell r="I2572" t="str">
            <v>42</v>
          </cell>
          <cell r="J2572" t="str">
            <v>PESSOA FÍSICA</v>
          </cell>
          <cell r="K2572" t="str">
            <v>103.924.338-00</v>
          </cell>
          <cell r="L2572" t="str">
            <v>PJ</v>
          </cell>
          <cell r="M2572" t="str">
            <v>ALICE SETSUKO MIYAZAKI</v>
          </cell>
          <cell r="N2572" t="str">
            <v>DTD3200</v>
          </cell>
          <cell r="O2572" t="str">
            <v>2007</v>
          </cell>
          <cell r="P2572" t="str">
            <v>29</v>
          </cell>
          <cell r="Q2572" t="str">
            <v>27</v>
          </cell>
        </row>
        <row r="2573">
          <cell r="B2573" t="str">
            <v>0736/16</v>
          </cell>
          <cell r="C2573" t="str">
            <v>2016-0.073.198-4</v>
          </cell>
          <cell r="D2573" t="str">
            <v/>
          </cell>
          <cell r="E2573" t="str">
            <v>14 de março de 2016</v>
          </cell>
          <cell r="F2573" t="str">
            <v>ELISABETE GOMES DA SILVA</v>
          </cell>
          <cell r="G2573" t="str">
            <v>14/03/2016</v>
          </cell>
          <cell r="H2573" t="str">
            <v>02/04/2016</v>
          </cell>
          <cell r="I2573" t="str">
            <v>42</v>
          </cell>
          <cell r="J2573" t="str">
            <v>PESSOA FÍSICA</v>
          </cell>
          <cell r="K2573" t="str">
            <v>125.945.218-25</v>
          </cell>
          <cell r="L2573" t="str">
            <v>PJ</v>
          </cell>
          <cell r="M2573" t="str">
            <v>ELISABETE GOMES DA SILVA</v>
          </cell>
          <cell r="N2573" t="str">
            <v>CZX9282</v>
          </cell>
          <cell r="O2573" t="str">
            <v>2007</v>
          </cell>
          <cell r="P2573" t="str">
            <v>29</v>
          </cell>
          <cell r="Q2573" t="str">
            <v>27</v>
          </cell>
        </row>
        <row r="2574">
          <cell r="B2574" t="str">
            <v>0737/16</v>
          </cell>
          <cell r="C2574" t="str">
            <v>2016-0.073.199-2</v>
          </cell>
          <cell r="D2574" t="str">
            <v/>
          </cell>
          <cell r="E2574" t="str">
            <v>14 de março de 2016</v>
          </cell>
          <cell r="F2574" t="str">
            <v>MAURICIO DE FARIA</v>
          </cell>
          <cell r="G2574" t="str">
            <v>14/03/2016</v>
          </cell>
          <cell r="H2574" t="str">
            <v>31/03/2016</v>
          </cell>
          <cell r="I2574" t="str">
            <v>36</v>
          </cell>
          <cell r="J2574" t="str">
            <v>PESSOA FÍSICA</v>
          </cell>
          <cell r="K2574" t="str">
            <v>040.173.958-99</v>
          </cell>
          <cell r="L2574" t="str">
            <v>PJ</v>
          </cell>
          <cell r="M2574" t="str">
            <v>MAURICIO DE FARIA</v>
          </cell>
          <cell r="N2574" t="str">
            <v>EMD6223</v>
          </cell>
          <cell r="O2574" t="str">
            <v>2009</v>
          </cell>
          <cell r="P2574" t="str">
            <v>19</v>
          </cell>
          <cell r="Q2574" t="str">
            <v>18</v>
          </cell>
        </row>
        <row r="2575">
          <cell r="B2575" t="str">
            <v>0738/16</v>
          </cell>
          <cell r="C2575" t="str">
            <v>2016-0.073.200-0</v>
          </cell>
          <cell r="D2575" t="str">
            <v/>
          </cell>
          <cell r="E2575" t="str">
            <v>14 de março de 2016</v>
          </cell>
          <cell r="F2575" t="str">
            <v>IRINEU PEREIRA DE LACERDA</v>
          </cell>
          <cell r="G2575" t="str">
            <v>14/03/2016</v>
          </cell>
          <cell r="H2575" t="str">
            <v>31/03/2016</v>
          </cell>
          <cell r="I2575" t="str">
            <v>36</v>
          </cell>
          <cell r="J2575" t="str">
            <v>PESSOA FÍSICA</v>
          </cell>
          <cell r="K2575" t="str">
            <v>466.286.739-87</v>
          </cell>
          <cell r="L2575" t="str">
            <v>PJ</v>
          </cell>
          <cell r="M2575" t="str">
            <v>IRINEU PEREIRA DE LACERDA</v>
          </cell>
          <cell r="N2575" t="str">
            <v>EQM3224</v>
          </cell>
          <cell r="O2575" t="str">
            <v>2010</v>
          </cell>
          <cell r="P2575" t="str">
            <v>15</v>
          </cell>
          <cell r="Q2575" t="str">
            <v>14</v>
          </cell>
        </row>
        <row r="2576">
          <cell r="B2576" t="str">
            <v>0739/16</v>
          </cell>
          <cell r="C2576" t="str">
            <v>2016-0.073.201-8</v>
          </cell>
          <cell r="D2576" t="str">
            <v/>
          </cell>
          <cell r="E2576" t="str">
            <v>21 de março de 2016</v>
          </cell>
          <cell r="F2576" t="str">
            <v>ANDRE LUIZ DE CAMPOS VAZ</v>
          </cell>
          <cell r="G2576" t="str">
            <v>21/03/2016</v>
          </cell>
          <cell r="H2576" t="str">
            <v>02/04/2016</v>
          </cell>
          <cell r="I2576" t="str">
            <v>42</v>
          </cell>
          <cell r="J2576" t="str">
            <v>PESSOA FÍSICA</v>
          </cell>
          <cell r="K2576" t="str">
            <v>294.418.838-08</v>
          </cell>
          <cell r="L2576" t="str">
            <v>PJ</v>
          </cell>
          <cell r="M2576" t="str">
            <v>ANDRE LUIZ DE CAMPOS VAZ</v>
          </cell>
          <cell r="N2576" t="str">
            <v>EJW4972</v>
          </cell>
          <cell r="O2576" t="str">
            <v>2012</v>
          </cell>
          <cell r="P2576" t="str">
            <v>15</v>
          </cell>
          <cell r="Q2576" t="str">
            <v>14</v>
          </cell>
        </row>
        <row r="2577">
          <cell r="B2577" t="str">
            <v>0740/16</v>
          </cell>
          <cell r="C2577" t="str">
            <v>2016-0.073.202-6</v>
          </cell>
          <cell r="D2577" t="str">
            <v>03/03/2016</v>
          </cell>
          <cell r="E2577" t="str">
            <v>01 de abril de 2016</v>
          </cell>
          <cell r="F2577" t="str">
            <v>ANTONIO MARCELINO DA SILVA</v>
          </cell>
          <cell r="G2577" t="str">
            <v>01/04/2016</v>
          </cell>
          <cell r="H2577" t="str">
            <v>02/04/2016</v>
          </cell>
          <cell r="I2577" t="str">
            <v>42</v>
          </cell>
          <cell r="J2577" t="str">
            <v>PESSOA FÍSICA</v>
          </cell>
          <cell r="K2577" t="str">
            <v>011.389.138-55</v>
          </cell>
          <cell r="L2577" t="str">
            <v>PJ</v>
          </cell>
          <cell r="M2577" t="str">
            <v>ANTONIO MARCELINO DA SILVA</v>
          </cell>
          <cell r="N2577" t="str">
            <v>FHL4229</v>
          </cell>
          <cell r="O2577" t="str">
            <v>2012</v>
          </cell>
          <cell r="P2577" t="str">
            <v>19</v>
          </cell>
          <cell r="Q2577" t="str">
            <v>18</v>
          </cell>
        </row>
        <row r="2578">
          <cell r="B2578" t="str">
            <v>0741/16</v>
          </cell>
          <cell r="C2578" t="str">
            <v>2016-0.073.203-4</v>
          </cell>
          <cell r="D2578" t="str">
            <v/>
          </cell>
          <cell r="E2578" t="str">
            <v>14 de março de 2016</v>
          </cell>
          <cell r="F2578" t="str">
            <v>NORBERTO VAZ</v>
          </cell>
          <cell r="G2578" t="str">
            <v>14/03/2016</v>
          </cell>
          <cell r="H2578" t="str">
            <v>02/04/2016</v>
          </cell>
          <cell r="I2578" t="str">
            <v>42</v>
          </cell>
          <cell r="J2578" t="str">
            <v>PESSOA FÍSICA</v>
          </cell>
          <cell r="K2578" t="str">
            <v>702.406.478-15</v>
          </cell>
          <cell r="L2578" t="str">
            <v>PJ</v>
          </cell>
          <cell r="M2578" t="str">
            <v>NORBERTO VAZ</v>
          </cell>
          <cell r="N2578" t="str">
            <v>FCB9228</v>
          </cell>
          <cell r="O2578" t="str">
            <v>2012</v>
          </cell>
          <cell r="P2578" t="str">
            <v>15</v>
          </cell>
          <cell r="Q2578" t="str">
            <v>14</v>
          </cell>
        </row>
        <row r="2579">
          <cell r="B2579" t="str">
            <v>0742/16</v>
          </cell>
          <cell r="C2579" t="str">
            <v>2016-0.073.205-0</v>
          </cell>
          <cell r="D2579" t="str">
            <v/>
          </cell>
          <cell r="E2579" t="str">
            <v>14 de março de 2016</v>
          </cell>
          <cell r="F2579" t="str">
            <v>SIDINEI DA GLORIA DIAS</v>
          </cell>
          <cell r="G2579" t="str">
            <v>14/03/2016</v>
          </cell>
          <cell r="H2579" t="str">
            <v>02/04/2016</v>
          </cell>
          <cell r="I2579" t="str">
            <v>42</v>
          </cell>
          <cell r="J2579" t="str">
            <v>PESSOA FÍSICA</v>
          </cell>
          <cell r="K2579" t="str">
            <v>129.082.848-20</v>
          </cell>
          <cell r="L2579" t="str">
            <v>PJ</v>
          </cell>
          <cell r="M2579" t="str">
            <v>SIDINEI DA GLORIA DIAS</v>
          </cell>
          <cell r="N2579" t="str">
            <v>DTD5478</v>
          </cell>
          <cell r="O2579" t="str">
            <v>2009</v>
          </cell>
          <cell r="P2579" t="str">
            <v>15</v>
          </cell>
          <cell r="Q2579" t="str">
            <v>14</v>
          </cell>
        </row>
        <row r="2580">
          <cell r="B2580" t="str">
            <v>0743/16</v>
          </cell>
          <cell r="C2580" t="str">
            <v>2016-0.073.206-9</v>
          </cell>
          <cell r="D2580" t="str">
            <v/>
          </cell>
          <cell r="E2580" t="str">
            <v>14 de março de 2016</v>
          </cell>
          <cell r="F2580" t="str">
            <v>MARIA HELENA FUSETTI PIRES DE PAULA</v>
          </cell>
          <cell r="G2580" t="str">
            <v>14/03/2016</v>
          </cell>
          <cell r="H2580" t="str">
            <v>31/03/2016</v>
          </cell>
          <cell r="I2580" t="str">
            <v>36</v>
          </cell>
          <cell r="J2580" t="str">
            <v>PESSOA FÍSICA</v>
          </cell>
          <cell r="K2580" t="str">
            <v>695.779.788-00</v>
          </cell>
          <cell r="L2580" t="str">
            <v>PJ</v>
          </cell>
          <cell r="M2580" t="str">
            <v>MARIA HELENA FUSETTI PIRES DE PAULA</v>
          </cell>
          <cell r="N2580" t="str">
            <v>EFL3030</v>
          </cell>
          <cell r="O2580" t="str">
            <v>2007</v>
          </cell>
          <cell r="P2580" t="str">
            <v>29</v>
          </cell>
          <cell r="Q2580" t="str">
            <v>27</v>
          </cell>
        </row>
        <row r="2581">
          <cell r="B2581" t="str">
            <v>0744/16</v>
          </cell>
          <cell r="C2581" t="str">
            <v>2016-0.073.207-7</v>
          </cell>
          <cell r="D2581" t="str">
            <v/>
          </cell>
          <cell r="E2581" t="str">
            <v>14 de março de 2016</v>
          </cell>
          <cell r="F2581" t="str">
            <v>ADEMIR SOARES DE OLIVEIRA</v>
          </cell>
          <cell r="G2581" t="str">
            <v>14/03/2016</v>
          </cell>
          <cell r="H2581" t="str">
            <v>02/04/2016</v>
          </cell>
          <cell r="I2581" t="str">
            <v>42</v>
          </cell>
          <cell r="J2581" t="str">
            <v>PESSOA FÍSICA</v>
          </cell>
          <cell r="K2581" t="str">
            <v>262.312.248-21</v>
          </cell>
          <cell r="L2581" t="str">
            <v>PJ</v>
          </cell>
          <cell r="M2581" t="str">
            <v>ADEMIR SOARES DE OLIVEIRA</v>
          </cell>
          <cell r="N2581" t="str">
            <v>DTD0390</v>
          </cell>
          <cell r="O2581" t="str">
            <v>2007</v>
          </cell>
          <cell r="P2581" t="str">
            <v>29</v>
          </cell>
          <cell r="Q2581" t="str">
            <v>27</v>
          </cell>
        </row>
        <row r="2582">
          <cell r="B2582" t="str">
            <v>0745/16</v>
          </cell>
          <cell r="C2582" t="str">
            <v>2016-0.073.208-5</v>
          </cell>
          <cell r="D2582" t="str">
            <v>14/03/2016</v>
          </cell>
          <cell r="E2582" t="str">
            <v>06 de abril de 2016</v>
          </cell>
          <cell r="F2582" t="str">
            <v>ANTONIO DE PAULA</v>
          </cell>
          <cell r="G2582" t="str">
            <v>06/04/2016</v>
          </cell>
          <cell r="H2582" t="str">
            <v>07/04/2016</v>
          </cell>
          <cell r="I2582" t="str">
            <v>19</v>
          </cell>
          <cell r="J2582" t="str">
            <v>PESSOA FÍSICA</v>
          </cell>
          <cell r="K2582" t="str">
            <v>104.632.848-44</v>
          </cell>
          <cell r="L2582" t="str">
            <v>PJ</v>
          </cell>
          <cell r="M2582" t="str">
            <v>ANTONIO DE PAULA</v>
          </cell>
          <cell r="N2582" t="str">
            <v>DZI0569</v>
          </cell>
          <cell r="O2582" t="str">
            <v>2007</v>
          </cell>
          <cell r="P2582" t="str">
            <v>19</v>
          </cell>
          <cell r="Q2582" t="str">
            <v>17</v>
          </cell>
        </row>
        <row r="2583">
          <cell r="B2583" t="str">
            <v>0746/16</v>
          </cell>
          <cell r="C2583" t="str">
            <v>2016-0.073.210-7</v>
          </cell>
          <cell r="D2583" t="str">
            <v/>
          </cell>
          <cell r="E2583" t="str">
            <v>21 de março de 2016</v>
          </cell>
          <cell r="F2583" t="str">
            <v>ANA CARLA CARDOSO COSMO DA SILVA</v>
          </cell>
          <cell r="G2583" t="str">
            <v>21/03/2016</v>
          </cell>
          <cell r="H2583" t="str">
            <v>02/04/2016</v>
          </cell>
          <cell r="I2583" t="str">
            <v>42</v>
          </cell>
          <cell r="J2583" t="str">
            <v>PESSOA FÍSICA</v>
          </cell>
          <cell r="K2583" t="str">
            <v>250.197.158-24</v>
          </cell>
          <cell r="L2583" t="str">
            <v>PJ</v>
          </cell>
          <cell r="M2583" t="str">
            <v>ANA CARLA CARDOSO COSMO DA SILVA</v>
          </cell>
          <cell r="N2583" t="str">
            <v>EVP9253</v>
          </cell>
          <cell r="O2583" t="str">
            <v>2011</v>
          </cell>
          <cell r="P2583" t="str">
            <v>19</v>
          </cell>
          <cell r="Q2583" t="str">
            <v>18</v>
          </cell>
        </row>
        <row r="2584">
          <cell r="B2584" t="str">
            <v>0747/16</v>
          </cell>
          <cell r="C2584" t="str">
            <v>2016-0.073.211-5</v>
          </cell>
          <cell r="D2584" t="str">
            <v>18/02/2016</v>
          </cell>
          <cell r="E2584" t="str">
            <v/>
          </cell>
          <cell r="F2584" t="str">
            <v>JAIRO COUTINHO DE FRANCA</v>
          </cell>
          <cell r="G2584" t="str">
            <v/>
          </cell>
          <cell r="H2584" t="str">
            <v/>
          </cell>
          <cell r="I2584" t="str">
            <v/>
          </cell>
          <cell r="J2584" t="str">
            <v>PESSOA FÍSICA</v>
          </cell>
          <cell r="K2584" t="str">
            <v>321.984.328-03</v>
          </cell>
          <cell r="L2584" t="str">
            <v>PJ</v>
          </cell>
          <cell r="M2584" t="str">
            <v>JAIRO COUTINHO DE FRANCA</v>
          </cell>
          <cell r="N2584" t="str">
            <v>FGK6461</v>
          </cell>
          <cell r="O2584" t="str">
            <v>2012</v>
          </cell>
          <cell r="P2584" t="str">
            <v>15</v>
          </cell>
          <cell r="Q2584" t="str">
            <v>14</v>
          </cell>
        </row>
        <row r="2585">
          <cell r="B2585" t="str">
            <v>0748/16</v>
          </cell>
          <cell r="C2585" t="str">
            <v>2016-0.073.217-4</v>
          </cell>
          <cell r="D2585" t="str">
            <v/>
          </cell>
          <cell r="E2585" t="str">
            <v>21 de março de 2016</v>
          </cell>
          <cell r="F2585" t="str">
            <v>ORLANDO BEARARI</v>
          </cell>
          <cell r="G2585" t="str">
            <v>21/03/2016</v>
          </cell>
          <cell r="H2585" t="str">
            <v>02/04/2016</v>
          </cell>
          <cell r="I2585" t="str">
            <v>42</v>
          </cell>
          <cell r="J2585" t="str">
            <v>PESSOA FÍSICA</v>
          </cell>
          <cell r="K2585" t="str">
            <v>571.792.988-91</v>
          </cell>
          <cell r="L2585" t="str">
            <v>PJ</v>
          </cell>
          <cell r="M2585" t="str">
            <v>ORLANDO BEARARI</v>
          </cell>
          <cell r="N2585" t="str">
            <v>DZX5133</v>
          </cell>
          <cell r="O2585" t="str">
            <v>2007</v>
          </cell>
          <cell r="P2585" t="str">
            <v>29</v>
          </cell>
          <cell r="Q2585" t="str">
            <v>27</v>
          </cell>
        </row>
        <row r="2586">
          <cell r="B2586" t="str">
            <v>0749/16</v>
          </cell>
          <cell r="C2586" t="str">
            <v>2016-0.073.218-2</v>
          </cell>
          <cell r="D2586" t="str">
            <v/>
          </cell>
          <cell r="E2586" t="str">
            <v>21 de março de 2016</v>
          </cell>
          <cell r="F2586" t="str">
            <v>MARTA MACEDO DA SILVA FAVA</v>
          </cell>
          <cell r="G2586" t="str">
            <v>21/03/2016</v>
          </cell>
          <cell r="H2586" t="str">
            <v>02/04/2016</v>
          </cell>
          <cell r="I2586" t="str">
            <v>42</v>
          </cell>
          <cell r="J2586" t="str">
            <v>PESSOA FÍSICA</v>
          </cell>
          <cell r="K2586" t="str">
            <v>057.165.648-01</v>
          </cell>
          <cell r="L2586" t="str">
            <v>PJ</v>
          </cell>
          <cell r="M2586" t="str">
            <v>MARTA MACEDO DA SILVA FAVA</v>
          </cell>
          <cell r="N2586" t="str">
            <v>DJF8389</v>
          </cell>
          <cell r="O2586" t="str">
            <v>2006</v>
          </cell>
          <cell r="P2586" t="str">
            <v>25</v>
          </cell>
          <cell r="Q2586" t="str">
            <v>23</v>
          </cell>
        </row>
        <row r="2587">
          <cell r="B2587" t="str">
            <v>0750/16</v>
          </cell>
          <cell r="C2587" t="str">
            <v>2016-0.073.219-0</v>
          </cell>
          <cell r="D2587" t="str">
            <v/>
          </cell>
          <cell r="E2587" t="str">
            <v>21 de março de 2016</v>
          </cell>
          <cell r="F2587" t="str">
            <v>ALEXANDRE ROBERTO CENTELO</v>
          </cell>
          <cell r="G2587" t="str">
            <v>21/03/2016</v>
          </cell>
          <cell r="H2587" t="str">
            <v>02/04/2016</v>
          </cell>
          <cell r="I2587" t="str">
            <v>42</v>
          </cell>
          <cell r="J2587" t="str">
            <v>PESSOA FÍSICA</v>
          </cell>
          <cell r="K2587" t="str">
            <v>129.447.598-33</v>
          </cell>
          <cell r="L2587" t="str">
            <v>PJ</v>
          </cell>
          <cell r="M2587" t="str">
            <v>ALEXANDRE ROBERTO CENTELO</v>
          </cell>
          <cell r="N2587" t="str">
            <v>DTC3986</v>
          </cell>
          <cell r="O2587" t="str">
            <v>2007</v>
          </cell>
          <cell r="P2587" t="str">
            <v>25</v>
          </cell>
          <cell r="Q2587" t="str">
            <v>23</v>
          </cell>
        </row>
        <row r="2588">
          <cell r="B2588" t="str">
            <v>0751/16</v>
          </cell>
          <cell r="C2588" t="str">
            <v>2016-0.073.220-4</v>
          </cell>
          <cell r="D2588" t="str">
            <v>03/03/2016</v>
          </cell>
          <cell r="E2588" t="str">
            <v>29 de março de 2016</v>
          </cell>
          <cell r="F2588" t="str">
            <v>JOSE ROBERTO DE LIMA</v>
          </cell>
          <cell r="G2588" t="str">
            <v>29/03/2016</v>
          </cell>
          <cell r="H2588" t="str">
            <v>31/03/2016</v>
          </cell>
          <cell r="I2588" t="str">
            <v>36</v>
          </cell>
          <cell r="J2588" t="str">
            <v>PESSOA FÍSICA</v>
          </cell>
          <cell r="K2588" t="str">
            <v>224.985.018-60</v>
          </cell>
          <cell r="L2588" t="str">
            <v>PJ</v>
          </cell>
          <cell r="M2588" t="str">
            <v>JOSE ROBERTO DE LIMA</v>
          </cell>
          <cell r="N2588" t="str">
            <v>BWK7393</v>
          </cell>
          <cell r="O2588" t="str">
            <v>2011</v>
          </cell>
          <cell r="P2588" t="str">
            <v>15</v>
          </cell>
          <cell r="Q2588" t="str">
            <v>14</v>
          </cell>
        </row>
        <row r="2589">
          <cell r="B2589" t="str">
            <v>0752/16</v>
          </cell>
          <cell r="C2589" t="str">
            <v>2016-0.073.221-2</v>
          </cell>
          <cell r="D2589" t="str">
            <v/>
          </cell>
          <cell r="E2589" t="str">
            <v/>
          </cell>
          <cell r="F2589" t="str">
            <v>JULIANA RIBEIRO</v>
          </cell>
          <cell r="G2589" t="str">
            <v/>
          </cell>
          <cell r="H2589" t="str">
            <v/>
          </cell>
          <cell r="I2589" t="str">
            <v/>
          </cell>
          <cell r="J2589" t="str">
            <v>PESSOA FÍSICA</v>
          </cell>
          <cell r="K2589" t="str">
            <v>163.239.908-30</v>
          </cell>
          <cell r="L2589" t="str">
            <v>PJ</v>
          </cell>
          <cell r="M2589" t="str">
            <v>JULIANA RIBEIRO</v>
          </cell>
          <cell r="N2589" t="str">
            <v>ECT1190</v>
          </cell>
          <cell r="O2589" t="str">
            <v>2007</v>
          </cell>
          <cell r="P2589" t="str">
            <v>34</v>
          </cell>
          <cell r="Q2589" t="str">
            <v>32</v>
          </cell>
        </row>
        <row r="2590">
          <cell r="B2590" t="str">
            <v>0753/16</v>
          </cell>
          <cell r="C2590" t="str">
            <v>2016-0.073.222-0</v>
          </cell>
          <cell r="D2590" t="str">
            <v/>
          </cell>
          <cell r="E2590" t="str">
            <v>28 de março de 2016</v>
          </cell>
          <cell r="F2590" t="str">
            <v>CLEVERSON AGUIAR</v>
          </cell>
          <cell r="G2590" t="str">
            <v>28/03/2016</v>
          </cell>
          <cell r="H2590" t="str">
            <v>07/04/2016</v>
          </cell>
          <cell r="I2590" t="str">
            <v>19</v>
          </cell>
          <cell r="J2590" t="str">
            <v>PESSOA FÍSICA</v>
          </cell>
          <cell r="K2590" t="str">
            <v>196.520.338-80</v>
          </cell>
          <cell r="L2590" t="str">
            <v>PJ</v>
          </cell>
          <cell r="M2590" t="str">
            <v>ANDERSON CLAYTON MASSARE</v>
          </cell>
          <cell r="N2590" t="str">
            <v>EJF8660</v>
          </cell>
          <cell r="O2590" t="str">
            <v>2009</v>
          </cell>
          <cell r="P2590" t="str">
            <v>29</v>
          </cell>
          <cell r="Q2590" t="str">
            <v>27</v>
          </cell>
        </row>
        <row r="2591">
          <cell r="B2591" t="str">
            <v>0754/16</v>
          </cell>
          <cell r="C2591" t="str">
            <v>2016-0.073.223-9</v>
          </cell>
          <cell r="D2591" t="str">
            <v/>
          </cell>
          <cell r="E2591" t="str">
            <v/>
          </cell>
          <cell r="F2591" t="str">
            <v>IGNES CARLESSO QUARESEMIN</v>
          </cell>
          <cell r="G2591" t="str">
            <v/>
          </cell>
          <cell r="H2591" t="str">
            <v/>
          </cell>
          <cell r="I2591" t="str">
            <v/>
          </cell>
          <cell r="J2591" t="str">
            <v>PESSOA FÍSICA</v>
          </cell>
          <cell r="K2591" t="str">
            <v>271.576.748-07</v>
          </cell>
          <cell r="L2591" t="str">
            <v>PJ</v>
          </cell>
          <cell r="M2591" t="str">
            <v>IGNES CARLESSO QUARESEMIN</v>
          </cell>
          <cell r="N2591" t="str">
            <v>DTE5713</v>
          </cell>
          <cell r="O2591" t="str">
            <v>2009</v>
          </cell>
          <cell r="P2591" t="str">
            <v>19</v>
          </cell>
          <cell r="Q2591" t="str">
            <v>17</v>
          </cell>
        </row>
        <row r="2592">
          <cell r="B2592" t="str">
            <v>0755/16</v>
          </cell>
          <cell r="C2592" t="str">
            <v>2016-0.073.224-7</v>
          </cell>
          <cell r="D2592" t="str">
            <v>23/02/2016</v>
          </cell>
          <cell r="E2592" t="str">
            <v>30 de março de 2016</v>
          </cell>
          <cell r="F2592" t="str">
            <v>MARIA JOSE ALVES</v>
          </cell>
          <cell r="G2592" t="str">
            <v>30/03/2016</v>
          </cell>
          <cell r="H2592" t="str">
            <v>31/03/2016</v>
          </cell>
          <cell r="I2592" t="str">
            <v>36</v>
          </cell>
          <cell r="J2592" t="str">
            <v>PESSOA FÍSICA</v>
          </cell>
          <cell r="K2592" t="str">
            <v>382.225.584-04</v>
          </cell>
          <cell r="L2592" t="str">
            <v>PJ</v>
          </cell>
          <cell r="M2592" t="str">
            <v>MARIA JOSE ALVES</v>
          </cell>
          <cell r="N2592" t="str">
            <v>EHX0220</v>
          </cell>
          <cell r="O2592" t="str">
            <v>2012</v>
          </cell>
          <cell r="P2592" t="str">
            <v>19</v>
          </cell>
          <cell r="Q2592" t="str">
            <v>18</v>
          </cell>
        </row>
        <row r="2593">
          <cell r="B2593" t="str">
            <v>0756/16</v>
          </cell>
          <cell r="C2593" t="str">
            <v>2016-0.073.225-5</v>
          </cell>
          <cell r="D2593" t="str">
            <v/>
          </cell>
          <cell r="E2593" t="str">
            <v>21 de março de 2016</v>
          </cell>
          <cell r="F2593" t="str">
            <v>SOLANGE ALVES</v>
          </cell>
          <cell r="G2593" t="str">
            <v>21/03/2016</v>
          </cell>
          <cell r="H2593" t="str">
            <v>09/04/2016</v>
          </cell>
          <cell r="I2593" t="str">
            <v>33</v>
          </cell>
          <cell r="J2593" t="str">
            <v>PESSOA FÍSICA</v>
          </cell>
          <cell r="K2593" t="str">
            <v>085.560.538-31</v>
          </cell>
          <cell r="L2593" t="str">
            <v>PJ</v>
          </cell>
          <cell r="M2593" t="str">
            <v>SOLANGE ALVES</v>
          </cell>
          <cell r="N2593" t="str">
            <v>DTE9297</v>
          </cell>
          <cell r="O2593" t="str">
            <v>2009</v>
          </cell>
          <cell r="P2593" t="str">
            <v>19</v>
          </cell>
          <cell r="Q2593" t="str">
            <v>18</v>
          </cell>
        </row>
        <row r="2594">
          <cell r="B2594" t="str">
            <v>0757/16</v>
          </cell>
          <cell r="C2594" t="str">
            <v>2016-0.073.226-3</v>
          </cell>
          <cell r="D2594" t="str">
            <v/>
          </cell>
          <cell r="E2594" t="str">
            <v>21 de março de 2016</v>
          </cell>
          <cell r="F2594" t="str">
            <v>NATALINO BARBOSA DA SILVA JUNIOR</v>
          </cell>
          <cell r="G2594" t="str">
            <v>21/03/2016</v>
          </cell>
          <cell r="H2594" t="str">
            <v>07/04/2016</v>
          </cell>
          <cell r="I2594" t="str">
            <v>19</v>
          </cell>
          <cell r="J2594" t="str">
            <v>PESSOA FÍSICA</v>
          </cell>
          <cell r="K2594" t="str">
            <v>203.841.328-20</v>
          </cell>
          <cell r="L2594" t="str">
            <v>PJ</v>
          </cell>
          <cell r="M2594" t="str">
            <v>NATALINO BARBOSA DA SILVA JUNIOR</v>
          </cell>
          <cell r="N2594" t="str">
            <v>EFV2814</v>
          </cell>
          <cell r="O2594" t="str">
            <v>2009</v>
          </cell>
          <cell r="P2594" t="str">
            <v>19</v>
          </cell>
          <cell r="Q2594" t="str">
            <v>18</v>
          </cell>
        </row>
        <row r="2595">
          <cell r="B2595" t="str">
            <v>0758/16</v>
          </cell>
          <cell r="C2595" t="str">
            <v>2016-0.073.227-1</v>
          </cell>
          <cell r="D2595" t="str">
            <v/>
          </cell>
          <cell r="E2595" t="str">
            <v>28 de março de 2016</v>
          </cell>
          <cell r="F2595" t="str">
            <v>FRANCISCO DAS CHAGAS DE CARVALHO</v>
          </cell>
          <cell r="G2595" t="str">
            <v>28/03/2016</v>
          </cell>
          <cell r="H2595" t="str">
            <v>02/04/2016</v>
          </cell>
          <cell r="I2595" t="str">
            <v>42</v>
          </cell>
          <cell r="J2595" t="str">
            <v>PESSOA FÍSICA</v>
          </cell>
          <cell r="K2595" t="str">
            <v>001.663.468-37</v>
          </cell>
          <cell r="L2595" t="str">
            <v>PJ</v>
          </cell>
          <cell r="M2595" t="str">
            <v>FRANCISCO DAS CHAGAS DE CARVALHO</v>
          </cell>
          <cell r="N2595" t="str">
            <v>DTC4091</v>
          </cell>
          <cell r="O2595" t="str">
            <v>2007</v>
          </cell>
          <cell r="P2595" t="str">
            <v>29</v>
          </cell>
          <cell r="Q2595" t="str">
            <v>27</v>
          </cell>
        </row>
        <row r="2596">
          <cell r="B2596" t="str">
            <v>0759/16</v>
          </cell>
          <cell r="C2596" t="str">
            <v>2016-0.073.228-0</v>
          </cell>
          <cell r="D2596" t="str">
            <v/>
          </cell>
          <cell r="E2596" t="str">
            <v>21 de março de 2016</v>
          </cell>
          <cell r="F2596" t="str">
            <v>FERNANDO CORDEIRO LUIZ</v>
          </cell>
          <cell r="G2596" t="str">
            <v>21/03/2016</v>
          </cell>
          <cell r="H2596" t="str">
            <v>02/04/2016</v>
          </cell>
          <cell r="I2596" t="str">
            <v>42</v>
          </cell>
          <cell r="J2596" t="str">
            <v>PESSOA FÍSICA</v>
          </cell>
          <cell r="K2596" t="str">
            <v>125.437.248-26</v>
          </cell>
          <cell r="L2596" t="str">
            <v>PJ</v>
          </cell>
          <cell r="M2596" t="str">
            <v>FERNANDO CORDEIRO LUIZ</v>
          </cell>
          <cell r="N2596" t="str">
            <v>CZZ2807</v>
          </cell>
          <cell r="O2596" t="str">
            <v>2003</v>
          </cell>
          <cell r="P2596" t="str">
            <v>31</v>
          </cell>
          <cell r="Q2596" t="str">
            <v>29</v>
          </cell>
        </row>
        <row r="2597">
          <cell r="B2597" t="str">
            <v>0760/16</v>
          </cell>
          <cell r="C2597" t="str">
            <v>2016-0.073.229-8</v>
          </cell>
          <cell r="D2597" t="str">
            <v>03/03/2016</v>
          </cell>
          <cell r="E2597" t="str">
            <v/>
          </cell>
          <cell r="F2597" t="str">
            <v>SOLANGE CARLESSE RODRIGUES</v>
          </cell>
          <cell r="G2597" t="str">
            <v/>
          </cell>
          <cell r="H2597" t="str">
            <v/>
          </cell>
          <cell r="I2597" t="str">
            <v/>
          </cell>
          <cell r="J2597" t="str">
            <v>PESSOA FÍSICA</v>
          </cell>
          <cell r="K2597" t="str">
            <v>055.404.328-94</v>
          </cell>
          <cell r="L2597" t="str">
            <v>PJ</v>
          </cell>
          <cell r="M2597" t="str">
            <v>SOLANGE CARLESSE RODRIGUES</v>
          </cell>
          <cell r="N2597" t="str">
            <v>FGL8290</v>
          </cell>
          <cell r="O2597" t="str">
            <v>2014</v>
          </cell>
          <cell r="P2597" t="str">
            <v>19</v>
          </cell>
          <cell r="Q2597" t="str">
            <v>18</v>
          </cell>
        </row>
        <row r="2598">
          <cell r="B2598" t="str">
            <v>0761/16</v>
          </cell>
          <cell r="C2598" t="str">
            <v>2016-0.073.247-6</v>
          </cell>
          <cell r="D2598" t="str">
            <v/>
          </cell>
          <cell r="E2598" t="str">
            <v>31 de março de 2016</v>
          </cell>
          <cell r="F2598" t="str">
            <v>ADMILSON MARQUES DA SILVA</v>
          </cell>
          <cell r="G2598" t="str">
            <v>31/03/2016</v>
          </cell>
          <cell r="H2598" t="str">
            <v>02/04/2016</v>
          </cell>
          <cell r="I2598" t="str">
            <v>42</v>
          </cell>
          <cell r="J2598" t="str">
            <v>PESSOA FÍSICA</v>
          </cell>
          <cell r="K2598" t="str">
            <v>116.090.928-80</v>
          </cell>
          <cell r="L2598" t="str">
            <v>PJ</v>
          </cell>
          <cell r="M2598" t="str">
            <v>ADMILSON MARQUES DA SILVA</v>
          </cell>
          <cell r="N2598" t="str">
            <v>CZX9010</v>
          </cell>
          <cell r="O2598" t="str">
            <v>2002</v>
          </cell>
          <cell r="P2598" t="str">
            <v>25</v>
          </cell>
          <cell r="Q2598" t="str">
            <v>23</v>
          </cell>
        </row>
        <row r="2599">
          <cell r="B2599" t="str">
            <v>0762/16</v>
          </cell>
          <cell r="C2599" t="str">
            <v>2016-0.073.249-2</v>
          </cell>
          <cell r="D2599" t="str">
            <v/>
          </cell>
          <cell r="E2599" t="str">
            <v>14 de março de 2016</v>
          </cell>
          <cell r="F2599" t="str">
            <v>CRISTIANE DE OLIVEIRA MINGUCI</v>
          </cell>
          <cell r="G2599" t="str">
            <v>14/03/2016</v>
          </cell>
          <cell r="H2599" t="str">
            <v>02/04/2016</v>
          </cell>
          <cell r="I2599" t="str">
            <v>42</v>
          </cell>
          <cell r="J2599" t="str">
            <v>PESSOA FÍSICA</v>
          </cell>
          <cell r="K2599" t="str">
            <v>152.227.958-02</v>
          </cell>
          <cell r="L2599" t="str">
            <v>PJ</v>
          </cell>
          <cell r="M2599" t="str">
            <v>CRISTIANE DE OLIVEIRA MINGUCI</v>
          </cell>
          <cell r="N2599" t="str">
            <v>DTD5422</v>
          </cell>
          <cell r="O2599" t="str">
            <v>2009</v>
          </cell>
          <cell r="P2599" t="str">
            <v>19</v>
          </cell>
          <cell r="Q2599" t="str">
            <v>18</v>
          </cell>
        </row>
        <row r="2600">
          <cell r="B2600" t="str">
            <v>0763/16</v>
          </cell>
          <cell r="C2600" t="str">
            <v>2016-0.073.251-4</v>
          </cell>
          <cell r="D2600" t="str">
            <v/>
          </cell>
          <cell r="E2600" t="str">
            <v>14 de março de 2016</v>
          </cell>
          <cell r="F2600" t="str">
            <v>ANTONIO PEREIRA DE ANDRADE</v>
          </cell>
          <cell r="G2600" t="str">
            <v>14/03/2016</v>
          </cell>
          <cell r="H2600" t="str">
            <v>02/04/2016</v>
          </cell>
          <cell r="I2600" t="str">
            <v>42</v>
          </cell>
          <cell r="J2600" t="str">
            <v>PESSOA FÍSICA</v>
          </cell>
          <cell r="K2600" t="str">
            <v>065.839.078-36</v>
          </cell>
          <cell r="L2600" t="str">
            <v>PJ</v>
          </cell>
          <cell r="M2600" t="str">
            <v>ANTONIO PEREIRA DE ANDRADE</v>
          </cell>
          <cell r="N2600" t="str">
            <v>EFU1499</v>
          </cell>
          <cell r="O2600" t="str">
            <v>2009</v>
          </cell>
          <cell r="P2600" t="str">
            <v>19</v>
          </cell>
          <cell r="Q2600" t="str">
            <v>18</v>
          </cell>
        </row>
        <row r="2601">
          <cell r="B2601" t="str">
            <v>0764/16</v>
          </cell>
          <cell r="C2601" t="str">
            <v>2016-0.073.252-2</v>
          </cell>
          <cell r="D2601" t="str">
            <v/>
          </cell>
          <cell r="E2601" t="str">
            <v>11 de abril de 2016</v>
          </cell>
          <cell r="F2601" t="str">
            <v>VALMIR JOSE DOS SANTOS</v>
          </cell>
          <cell r="G2601" t="str">
            <v>11/04/2016</v>
          </cell>
          <cell r="H2601" t="str">
            <v>13/04/2016</v>
          </cell>
          <cell r="I2601" t="str">
            <v>50</v>
          </cell>
          <cell r="J2601" t="str">
            <v>PESSOA FÍSICA</v>
          </cell>
          <cell r="K2601" t="str">
            <v>148.496.248-63</v>
          </cell>
          <cell r="L2601" t="str">
            <v>PJ</v>
          </cell>
          <cell r="M2601" t="str">
            <v>VALMIR JOSE DOS SANTOS</v>
          </cell>
          <cell r="N2601" t="str">
            <v>EBN9639</v>
          </cell>
          <cell r="O2601" t="str">
            <v>2008</v>
          </cell>
          <cell r="P2601" t="str">
            <v>19</v>
          </cell>
          <cell r="Q2601" t="str">
            <v>18</v>
          </cell>
        </row>
        <row r="2602">
          <cell r="B2602" t="str">
            <v>0765/16</v>
          </cell>
          <cell r="C2602" t="str">
            <v>2016-0.073.253-0</v>
          </cell>
          <cell r="D2602" t="str">
            <v/>
          </cell>
          <cell r="E2602" t="str">
            <v>14 de março de 2016</v>
          </cell>
          <cell r="F2602" t="str">
            <v>ILARIO CORREA</v>
          </cell>
          <cell r="G2602" t="str">
            <v>14/03/2016</v>
          </cell>
          <cell r="H2602" t="str">
            <v>31/03/2016</v>
          </cell>
          <cell r="I2602" t="str">
            <v>36</v>
          </cell>
          <cell r="J2602" t="str">
            <v>PESSOA FÍSICA</v>
          </cell>
          <cell r="K2602" t="str">
            <v>240.553.799-00</v>
          </cell>
          <cell r="L2602" t="str">
            <v>PJ</v>
          </cell>
          <cell r="M2602" t="str">
            <v>ILARIO CORREA</v>
          </cell>
          <cell r="N2602" t="str">
            <v>DXH3211</v>
          </cell>
          <cell r="O2602" t="str">
            <v>2008</v>
          </cell>
          <cell r="P2602" t="str">
            <v>25</v>
          </cell>
          <cell r="Q2602" t="str">
            <v>23</v>
          </cell>
        </row>
        <row r="2603">
          <cell r="B2603" t="str">
            <v>0766/16</v>
          </cell>
          <cell r="C2603" t="str">
            <v>2016-0.073.254-9</v>
          </cell>
          <cell r="D2603" t="str">
            <v/>
          </cell>
          <cell r="E2603" t="str">
            <v>21 de março de 2016</v>
          </cell>
          <cell r="F2603" t="str">
            <v>JOSE CARLOS DAL RI</v>
          </cell>
          <cell r="G2603" t="str">
            <v>21/03/2016</v>
          </cell>
          <cell r="H2603" t="str">
            <v>31/03/2016</v>
          </cell>
          <cell r="I2603" t="str">
            <v>36</v>
          </cell>
          <cell r="J2603" t="str">
            <v>PESSOA FÍSICA</v>
          </cell>
          <cell r="K2603" t="str">
            <v>812.981.538-91</v>
          </cell>
          <cell r="L2603" t="str">
            <v>PJ</v>
          </cell>
          <cell r="M2603" t="str">
            <v>JOSE CARLOS DAL RI</v>
          </cell>
          <cell r="N2603" t="str">
            <v>EEH3080</v>
          </cell>
          <cell r="O2603" t="str">
            <v>2009</v>
          </cell>
          <cell r="P2603" t="str">
            <v>29</v>
          </cell>
          <cell r="Q2603" t="str">
            <v>27</v>
          </cell>
        </row>
        <row r="2604">
          <cell r="B2604" t="str">
            <v>0767/16</v>
          </cell>
          <cell r="C2604" t="str">
            <v>2016-0.073.255-7</v>
          </cell>
          <cell r="D2604" t="str">
            <v>03/03/2016</v>
          </cell>
          <cell r="E2604" t="str">
            <v>12 de abril de 2016</v>
          </cell>
          <cell r="F2604" t="str">
            <v>TATIANA CRUZ ABREU</v>
          </cell>
          <cell r="G2604" t="str">
            <v>12/04/2016</v>
          </cell>
          <cell r="H2604" t="str">
            <v>13/04/2016</v>
          </cell>
          <cell r="I2604" t="str">
            <v>50</v>
          </cell>
          <cell r="J2604" t="str">
            <v>PESSOA FÍSICA</v>
          </cell>
          <cell r="K2604" t="str">
            <v>269.104.638-97</v>
          </cell>
          <cell r="L2604" t="str">
            <v>PJ</v>
          </cell>
          <cell r="M2604" t="str">
            <v>TATIANA CRUZ ABREU</v>
          </cell>
          <cell r="N2604" t="str">
            <v>DTD9059</v>
          </cell>
          <cell r="O2604" t="str">
            <v>2013</v>
          </cell>
          <cell r="P2604" t="str">
            <v>19</v>
          </cell>
          <cell r="Q2604" t="str">
            <v>18</v>
          </cell>
        </row>
        <row r="2605">
          <cell r="B2605" t="str">
            <v>0768/16</v>
          </cell>
          <cell r="C2605" t="str">
            <v>2016-0.073.256-5</v>
          </cell>
          <cell r="D2605" t="str">
            <v/>
          </cell>
          <cell r="E2605" t="str">
            <v>14 de março de 2016</v>
          </cell>
          <cell r="F2605" t="str">
            <v>ROBSON CARLOS RODRIGUES IGUERA</v>
          </cell>
          <cell r="G2605" t="str">
            <v>14/03/2016</v>
          </cell>
          <cell r="H2605" t="str">
            <v>07/04/2016</v>
          </cell>
          <cell r="I2605" t="str">
            <v>19</v>
          </cell>
          <cell r="J2605" t="str">
            <v>PESSOA FÍSICA</v>
          </cell>
          <cell r="K2605" t="str">
            <v>284.685.148-45</v>
          </cell>
          <cell r="L2605" t="str">
            <v>PJ</v>
          </cell>
          <cell r="M2605" t="str">
            <v>ROBSON CARLOS RODRIGUES IGUERA</v>
          </cell>
          <cell r="N2605" t="str">
            <v>FJU0980</v>
          </cell>
          <cell r="O2605" t="str">
            <v>2013</v>
          </cell>
          <cell r="P2605" t="str">
            <v>19</v>
          </cell>
          <cell r="Q2605" t="str">
            <v>18</v>
          </cell>
        </row>
        <row r="2606">
          <cell r="B2606" t="str">
            <v>0769/16</v>
          </cell>
          <cell r="C2606" t="str">
            <v>2016-0.073.257-3</v>
          </cell>
          <cell r="D2606" t="str">
            <v/>
          </cell>
          <cell r="E2606" t="str">
            <v>07 de março de 2016</v>
          </cell>
          <cell r="F2606" t="str">
            <v>NILSA DE PAULA</v>
          </cell>
          <cell r="G2606" t="str">
            <v>07/03/2016</v>
          </cell>
          <cell r="H2606" t="str">
            <v>07/04/2016</v>
          </cell>
          <cell r="I2606" t="str">
            <v>19</v>
          </cell>
          <cell r="J2606" t="str">
            <v>PESSOA FÍSICA</v>
          </cell>
          <cell r="K2606" t="str">
            <v>031.008.168-89</v>
          </cell>
          <cell r="L2606" t="str">
            <v>PJ</v>
          </cell>
          <cell r="M2606" t="str">
            <v>NILSA DE PAULA</v>
          </cell>
          <cell r="N2606" t="str">
            <v>FOV8020</v>
          </cell>
          <cell r="O2606" t="str">
            <v>2014</v>
          </cell>
          <cell r="P2606" t="str">
            <v>19</v>
          </cell>
          <cell r="Q2606" t="str">
            <v>18</v>
          </cell>
        </row>
        <row r="2607">
          <cell r="B2607" t="str">
            <v>0770/16</v>
          </cell>
          <cell r="C2607" t="str">
            <v>2016-0.073.258-1</v>
          </cell>
          <cell r="D2607" t="str">
            <v/>
          </cell>
          <cell r="E2607" t="str">
            <v>14 de março de 2016</v>
          </cell>
          <cell r="F2607" t="str">
            <v>MARIA IGNEZ BALDIN FISCHER</v>
          </cell>
          <cell r="G2607" t="str">
            <v>14/03/2016</v>
          </cell>
          <cell r="H2607" t="str">
            <v>31/03/2016</v>
          </cell>
          <cell r="I2607" t="str">
            <v>36</v>
          </cell>
          <cell r="J2607" t="str">
            <v>PESSOA FÍSICA</v>
          </cell>
          <cell r="K2607" t="str">
            <v>000.578.378-05</v>
          </cell>
          <cell r="L2607" t="str">
            <v>PJ</v>
          </cell>
          <cell r="M2607" t="str">
            <v>MARIA IGNEZ BALDIN FISCHER</v>
          </cell>
          <cell r="N2607" t="str">
            <v>EUI4810</v>
          </cell>
          <cell r="O2607" t="str">
            <v>2011</v>
          </cell>
          <cell r="P2607" t="str">
            <v>19</v>
          </cell>
          <cell r="Q2607" t="str">
            <v>18</v>
          </cell>
        </row>
        <row r="2608">
          <cell r="B2608" t="str">
            <v>0771/16</v>
          </cell>
          <cell r="C2608" t="str">
            <v>2016-0.073.259-0</v>
          </cell>
          <cell r="D2608" t="str">
            <v/>
          </cell>
          <cell r="E2608" t="str">
            <v>14 de março de 2016</v>
          </cell>
          <cell r="F2608" t="str">
            <v>ALESSANDRA DOS SANTOS UKSTIN CRUZ</v>
          </cell>
          <cell r="G2608" t="str">
            <v>14/03/2016</v>
          </cell>
          <cell r="H2608" t="str">
            <v>02/04/2016</v>
          </cell>
          <cell r="I2608" t="str">
            <v>42</v>
          </cell>
          <cell r="J2608" t="str">
            <v>PESSOA FÍSICA</v>
          </cell>
          <cell r="K2608" t="str">
            <v>115.149.718-52</v>
          </cell>
          <cell r="L2608" t="str">
            <v>PJ</v>
          </cell>
          <cell r="M2608" t="str">
            <v>ALESSANDRA DOS SANTOS UKSTIN CRUZ</v>
          </cell>
          <cell r="N2608" t="str">
            <v>DTA8119</v>
          </cell>
          <cell r="O2608" t="str">
            <v>2007</v>
          </cell>
          <cell r="P2608" t="str">
            <v>25</v>
          </cell>
          <cell r="Q2608" t="str">
            <v>23</v>
          </cell>
        </row>
        <row r="2609">
          <cell r="B2609" t="str">
            <v>0772/16</v>
          </cell>
          <cell r="C2609" t="str">
            <v>2016-0.073.260-3</v>
          </cell>
          <cell r="D2609" t="str">
            <v/>
          </cell>
          <cell r="E2609" t="str">
            <v>14 de março de 2016</v>
          </cell>
          <cell r="F2609" t="str">
            <v>MONICA MORAIS PEREIRA RODRIGUES</v>
          </cell>
          <cell r="G2609" t="str">
            <v>14/03/2016</v>
          </cell>
          <cell r="H2609" t="str">
            <v>31/03/2016</v>
          </cell>
          <cell r="I2609" t="str">
            <v>36</v>
          </cell>
          <cell r="J2609" t="str">
            <v>PESSOA FÍSICA</v>
          </cell>
          <cell r="K2609" t="str">
            <v>088.709.098-24</v>
          </cell>
          <cell r="L2609" t="str">
            <v>PJ</v>
          </cell>
          <cell r="M2609" t="str">
            <v>MONICA MORAIS PEREIRA RODRIGUES</v>
          </cell>
          <cell r="N2609" t="str">
            <v>EQA8669</v>
          </cell>
          <cell r="O2609" t="str">
            <v>2011</v>
          </cell>
          <cell r="P2609" t="str">
            <v>27</v>
          </cell>
          <cell r="Q2609" t="str">
            <v>26</v>
          </cell>
        </row>
        <row r="2610">
          <cell r="B2610" t="str">
            <v>0773/16</v>
          </cell>
          <cell r="C2610" t="str">
            <v>2016-0.073.262-0</v>
          </cell>
          <cell r="D2610" t="str">
            <v/>
          </cell>
          <cell r="E2610" t="str">
            <v>04 de abril de 2016</v>
          </cell>
          <cell r="F2610" t="str">
            <v>EDUARDO FIM</v>
          </cell>
          <cell r="G2610" t="str">
            <v>04/04/2016</v>
          </cell>
          <cell r="H2610" t="str">
            <v>07/04/2016</v>
          </cell>
          <cell r="I2610" t="str">
            <v>19</v>
          </cell>
          <cell r="J2610" t="str">
            <v>PESSOA FÍSICA</v>
          </cell>
          <cell r="K2610" t="str">
            <v>936.345.288-34</v>
          </cell>
          <cell r="L2610" t="str">
            <v>PJ</v>
          </cell>
          <cell r="M2610" t="str">
            <v>EDUARDO FIM</v>
          </cell>
          <cell r="N2610" t="str">
            <v>EFU7269</v>
          </cell>
          <cell r="O2610" t="str">
            <v>2009</v>
          </cell>
          <cell r="P2610" t="str">
            <v>19</v>
          </cell>
          <cell r="Q2610" t="str">
            <v>18</v>
          </cell>
        </row>
        <row r="2611">
          <cell r="B2611" t="str">
            <v>0774/16</v>
          </cell>
          <cell r="C2611" t="str">
            <v>2016-0.073.263-8</v>
          </cell>
          <cell r="D2611" t="str">
            <v/>
          </cell>
          <cell r="E2611" t="str">
            <v>07 de março de 2016</v>
          </cell>
          <cell r="F2611" t="str">
            <v>AGUINALDO BATISTA ALVES</v>
          </cell>
          <cell r="G2611" t="str">
            <v>07/03/2016</v>
          </cell>
          <cell r="H2611" t="str">
            <v>02/04/2016</v>
          </cell>
          <cell r="I2611" t="str">
            <v>43</v>
          </cell>
          <cell r="J2611" t="str">
            <v>PESSOA FÍSICA</v>
          </cell>
          <cell r="K2611" t="str">
            <v>104.359.508-27</v>
          </cell>
          <cell r="L2611" t="str">
            <v>PJ</v>
          </cell>
          <cell r="M2611" t="str">
            <v>AGUINALDO BATISTA ALVES</v>
          </cell>
          <cell r="N2611" t="str">
            <v>DTE7987</v>
          </cell>
          <cell r="O2611" t="str">
            <v>2009</v>
          </cell>
          <cell r="P2611" t="str">
            <v>19</v>
          </cell>
          <cell r="Q2611" t="str">
            <v>18</v>
          </cell>
        </row>
        <row r="2612">
          <cell r="B2612" t="str">
            <v>0775/16</v>
          </cell>
          <cell r="C2612" t="str">
            <v>2016-0.073.264-6</v>
          </cell>
          <cell r="D2612" t="str">
            <v/>
          </cell>
          <cell r="E2612" t="str">
            <v>01 de abril de 2016</v>
          </cell>
          <cell r="F2612" t="str">
            <v>SILVANE RODRIGUES BARBOZA ALVES</v>
          </cell>
          <cell r="G2612" t="str">
            <v>01/04/2016</v>
          </cell>
          <cell r="H2612" t="str">
            <v>02/04/2016</v>
          </cell>
          <cell r="I2612" t="str">
            <v>43</v>
          </cell>
          <cell r="J2612" t="str">
            <v>PESSOA FÍSICA</v>
          </cell>
          <cell r="K2612" t="str">
            <v>794.775.776-34</v>
          </cell>
          <cell r="L2612" t="str">
            <v>PJ</v>
          </cell>
          <cell r="M2612" t="str">
            <v>SILVANE RODRIGUES BARBOZA ALVES</v>
          </cell>
          <cell r="N2612" t="str">
            <v>FUF8190</v>
          </cell>
          <cell r="O2612" t="str">
            <v>2014</v>
          </cell>
          <cell r="P2612" t="str">
            <v>19</v>
          </cell>
          <cell r="Q2612" t="str">
            <v>18</v>
          </cell>
        </row>
        <row r="2613">
          <cell r="B2613" t="str">
            <v>0776/16</v>
          </cell>
          <cell r="C2613" t="str">
            <v>2016-0.073.265-4</v>
          </cell>
          <cell r="D2613" t="str">
            <v>24/02/2016</v>
          </cell>
          <cell r="E2613" t="str">
            <v>11 de abril de 2016</v>
          </cell>
          <cell r="F2613" t="str">
            <v>JACQUELINE MARIA ABERANI DE PAULO</v>
          </cell>
          <cell r="G2613" t="str">
            <v>11/04/2016</v>
          </cell>
          <cell r="H2613" t="str">
            <v>13/04/2016</v>
          </cell>
          <cell r="I2613" t="str">
            <v>50</v>
          </cell>
          <cell r="J2613" t="str">
            <v>PESSOA FÍSICA</v>
          </cell>
          <cell r="K2613" t="str">
            <v>193.466.278-08</v>
          </cell>
          <cell r="L2613" t="str">
            <v>SM</v>
          </cell>
          <cell r="M2613" t="str">
            <v>JACQUELINE MARIA ABERANI DE PAULO</v>
          </cell>
          <cell r="N2613" t="str">
            <v>FCW8820</v>
          </cell>
          <cell r="O2613" t="str">
            <v>2014</v>
          </cell>
          <cell r="P2613" t="str">
            <v>19</v>
          </cell>
          <cell r="Q2613" t="str">
            <v>18</v>
          </cell>
        </row>
        <row r="2614">
          <cell r="B2614" t="str">
            <v>0777/16</v>
          </cell>
          <cell r="C2614" t="str">
            <v>2016-0.073.267-0</v>
          </cell>
          <cell r="D2614" t="str">
            <v>21/03/2016</v>
          </cell>
          <cell r="E2614" t="str">
            <v>11 de abril de 2016</v>
          </cell>
          <cell r="F2614" t="str">
            <v>TIAGO MURAKAMI VITALINO</v>
          </cell>
          <cell r="G2614" t="str">
            <v>11/04/2016</v>
          </cell>
          <cell r="H2614" t="str">
            <v>13/04/2016</v>
          </cell>
          <cell r="I2614" t="str">
            <v>50</v>
          </cell>
          <cell r="J2614" t="str">
            <v>PESSOA FÍSICA</v>
          </cell>
          <cell r="K2614" t="str">
            <v>175.859.798-43</v>
          </cell>
          <cell r="L2614" t="str">
            <v>PJ</v>
          </cell>
          <cell r="M2614" t="str">
            <v>TIAGO MURAKAMI VITALINO</v>
          </cell>
          <cell r="N2614" t="str">
            <v>CZZ1641</v>
          </cell>
          <cell r="O2614" t="str">
            <v>2002</v>
          </cell>
          <cell r="P2614" t="str">
            <v>25</v>
          </cell>
          <cell r="Q2614" t="str">
            <v>23</v>
          </cell>
        </row>
        <row r="2615">
          <cell r="B2615" t="str">
            <v>0778/16</v>
          </cell>
          <cell r="C2615" t="str">
            <v>2016-0.073.268-9</v>
          </cell>
          <cell r="D2615" t="str">
            <v>07/03/2016</v>
          </cell>
          <cell r="E2615" t="str">
            <v>29 de março de 2016</v>
          </cell>
          <cell r="F2615" t="str">
            <v>GIOVANI APARECIDO DA SILVA</v>
          </cell>
          <cell r="G2615" t="str">
            <v>29/03/2016</v>
          </cell>
          <cell r="H2615" t="str">
            <v>31/03/2016</v>
          </cell>
          <cell r="I2615" t="str">
            <v>36</v>
          </cell>
          <cell r="J2615" t="str">
            <v>PESSOA FÍSICA</v>
          </cell>
          <cell r="K2615" t="str">
            <v>073.140.618-40</v>
          </cell>
          <cell r="L2615" t="str">
            <v>PJ</v>
          </cell>
          <cell r="M2615" t="str">
            <v>GIOVANI APARECIDO DA SILVA</v>
          </cell>
          <cell r="N2615" t="str">
            <v>DTD7729</v>
          </cell>
          <cell r="O2615" t="str">
            <v>2009</v>
          </cell>
          <cell r="P2615" t="str">
            <v>11</v>
          </cell>
          <cell r="Q2615" t="str">
            <v>10</v>
          </cell>
        </row>
        <row r="2616">
          <cell r="B2616" t="str">
            <v>0779/16</v>
          </cell>
          <cell r="C2616" t="str">
            <v>2016-0.073.269-7</v>
          </cell>
          <cell r="D2616" t="str">
            <v/>
          </cell>
          <cell r="E2616" t="str">
            <v>21 de março de 2016</v>
          </cell>
          <cell r="F2616" t="str">
            <v>MARCOS TADEU LINO DE ANDRADE</v>
          </cell>
          <cell r="G2616" t="str">
            <v>21/03/2016</v>
          </cell>
          <cell r="H2616" t="str">
            <v>31/03/2016</v>
          </cell>
          <cell r="I2616" t="str">
            <v>36</v>
          </cell>
          <cell r="J2616" t="str">
            <v>PESSOA FÍSICA</v>
          </cell>
          <cell r="K2616" t="str">
            <v>257.740.768-81</v>
          </cell>
          <cell r="L2616" t="str">
            <v>PJ</v>
          </cell>
          <cell r="M2616" t="str">
            <v>MARCOS TADEU LINO DE ANDRADE</v>
          </cell>
          <cell r="N2616" t="str">
            <v>CZZ1779</v>
          </cell>
          <cell r="O2616" t="str">
            <v>2003</v>
          </cell>
          <cell r="P2616" t="str">
            <v>25</v>
          </cell>
          <cell r="Q2616" t="str">
            <v>23</v>
          </cell>
        </row>
        <row r="2617">
          <cell r="B2617" t="str">
            <v>0780/16</v>
          </cell>
          <cell r="C2617" t="str">
            <v>2016-0.073.270-0</v>
          </cell>
          <cell r="D2617" t="str">
            <v/>
          </cell>
          <cell r="E2617" t="str">
            <v>14 de março de 2016</v>
          </cell>
          <cell r="F2617" t="str">
            <v>NILAINE FERREIRA VIANNA</v>
          </cell>
          <cell r="G2617" t="str">
            <v>14/03/2016</v>
          </cell>
          <cell r="H2617" t="str">
            <v>02/04/2016</v>
          </cell>
          <cell r="I2617" t="str">
            <v>43</v>
          </cell>
          <cell r="J2617" t="str">
            <v>PESSOA FÍSICA</v>
          </cell>
          <cell r="K2617" t="str">
            <v>082.831.068-80</v>
          </cell>
          <cell r="L2617" t="str">
            <v>PJ</v>
          </cell>
          <cell r="M2617" t="str">
            <v>NILAINE FERREIRA VIANNA</v>
          </cell>
          <cell r="N2617" t="str">
            <v>FAR1050</v>
          </cell>
          <cell r="O2617" t="str">
            <v>2011</v>
          </cell>
          <cell r="P2617" t="str">
            <v>19</v>
          </cell>
          <cell r="Q2617" t="str">
            <v>18</v>
          </cell>
        </row>
        <row r="2618">
          <cell r="B2618" t="str">
            <v>0782/16</v>
          </cell>
          <cell r="C2618" t="str">
            <v>2016-0.073.272-7</v>
          </cell>
          <cell r="D2618" t="str">
            <v>25/02/2016</v>
          </cell>
          <cell r="E2618" t="str">
            <v>06 de abril de 2016</v>
          </cell>
          <cell r="F2618" t="str">
            <v>RICARDO DO NASCIMENTO</v>
          </cell>
          <cell r="G2618" t="str">
            <v>06/04/2016</v>
          </cell>
          <cell r="H2618" t="str">
            <v>07/04/2016</v>
          </cell>
          <cell r="I2618" t="str">
            <v>19</v>
          </cell>
          <cell r="J2618" t="str">
            <v>PESSOA FÍSICA</v>
          </cell>
          <cell r="K2618" t="str">
            <v>298.896.248-00</v>
          </cell>
          <cell r="L2618" t="str">
            <v>FO</v>
          </cell>
          <cell r="M2618" t="str">
            <v>RICARDO DO NASCIMENTO</v>
          </cell>
          <cell r="N2618" t="str">
            <v>OAJ4120</v>
          </cell>
          <cell r="O2618" t="str">
            <v>2011</v>
          </cell>
          <cell r="P2618" t="str">
            <v>15</v>
          </cell>
          <cell r="Q2618" t="str">
            <v>14</v>
          </cell>
        </row>
        <row r="2619">
          <cell r="B2619" t="str">
            <v>0783/16</v>
          </cell>
          <cell r="C2619" t="str">
            <v>2016-0.073.274-3</v>
          </cell>
          <cell r="D2619" t="str">
            <v>29/02/2016</v>
          </cell>
          <cell r="E2619" t="str">
            <v>29 de março de 2016</v>
          </cell>
          <cell r="F2619" t="str">
            <v>MARIA DE LOURDES BERNARDO SILVA</v>
          </cell>
          <cell r="G2619" t="str">
            <v>29/03/2016</v>
          </cell>
          <cell r="H2619" t="str">
            <v>31/03/2016</v>
          </cell>
          <cell r="I2619" t="str">
            <v>36</v>
          </cell>
          <cell r="J2619" t="str">
            <v>PESSOA FÍSICA</v>
          </cell>
          <cell r="K2619" t="str">
            <v>221.794.748-65</v>
          </cell>
          <cell r="L2619" t="str">
            <v>PJ</v>
          </cell>
          <cell r="M2619" t="str">
            <v>MARIA DE LOURDES BERNARDO SILVA</v>
          </cell>
          <cell r="N2619" t="str">
            <v>FCG6270</v>
          </cell>
          <cell r="O2619" t="str">
            <v>2014</v>
          </cell>
          <cell r="P2619" t="str">
            <v>27</v>
          </cell>
          <cell r="Q2619" t="str">
            <v>26</v>
          </cell>
        </row>
        <row r="2620">
          <cell r="B2620" t="str">
            <v>0784/16</v>
          </cell>
          <cell r="C2620" t="str">
            <v>2016-0.073.288-3</v>
          </cell>
          <cell r="D2620" t="str">
            <v/>
          </cell>
          <cell r="E2620" t="str">
            <v>14 de março de 2016</v>
          </cell>
          <cell r="F2620" t="str">
            <v>JOSE LINS DE PONTES NETO</v>
          </cell>
          <cell r="G2620" t="str">
            <v>14/03/2016</v>
          </cell>
          <cell r="H2620" t="str">
            <v>31/03/2016</v>
          </cell>
          <cell r="I2620" t="str">
            <v>36</v>
          </cell>
          <cell r="J2620" t="str">
            <v>PESSOA FÍSICA</v>
          </cell>
          <cell r="K2620" t="str">
            <v>170.779.948-21</v>
          </cell>
          <cell r="L2620" t="str">
            <v>PJ</v>
          </cell>
          <cell r="M2620" t="str">
            <v>JOSE LINS DE PONTES NETO</v>
          </cell>
          <cell r="N2620" t="str">
            <v>ECT8396</v>
          </cell>
          <cell r="O2620" t="str">
            <v>2009</v>
          </cell>
          <cell r="P2620" t="str">
            <v>29</v>
          </cell>
          <cell r="Q2620" t="str">
            <v>27</v>
          </cell>
        </row>
        <row r="2621">
          <cell r="B2621" t="str">
            <v>0785/16</v>
          </cell>
          <cell r="C2621" t="str">
            <v>2016-0.073.289-1</v>
          </cell>
          <cell r="D2621" t="str">
            <v/>
          </cell>
          <cell r="E2621" t="str">
            <v/>
          </cell>
          <cell r="F2621" t="str">
            <v>EWERTON FONTES DO PRADO SOUZA</v>
          </cell>
          <cell r="G2621" t="str">
            <v/>
          </cell>
          <cell r="H2621" t="str">
            <v/>
          </cell>
          <cell r="I2621" t="str">
            <v/>
          </cell>
          <cell r="J2621" t="str">
            <v>PESSOA FÍSICA</v>
          </cell>
          <cell r="K2621" t="str">
            <v>357.408.448-00</v>
          </cell>
          <cell r="L2621" t="str">
            <v>PJ</v>
          </cell>
          <cell r="M2621" t="str">
            <v>EWERTON FONTES DO PRADO SOUZA</v>
          </cell>
          <cell r="N2621" t="str">
            <v>FAG4799</v>
          </cell>
          <cell r="O2621" t="str">
            <v>2011</v>
          </cell>
          <cell r="P2621" t="str">
            <v>19</v>
          </cell>
          <cell r="Q2621" t="str">
            <v>18</v>
          </cell>
        </row>
        <row r="2622">
          <cell r="B2622" t="str">
            <v>0786/16</v>
          </cell>
          <cell r="C2622" t="str">
            <v>2016-0.073.291-3</v>
          </cell>
          <cell r="D2622" t="str">
            <v>11/03/2016</v>
          </cell>
          <cell r="E2622" t="str">
            <v>12 de abril de 2016</v>
          </cell>
          <cell r="F2622" t="str">
            <v>WARNEY RODRIGUES</v>
          </cell>
          <cell r="G2622" t="str">
            <v>12/04/2016</v>
          </cell>
          <cell r="H2622" t="str">
            <v>13/04/2016</v>
          </cell>
          <cell r="I2622" t="str">
            <v>50</v>
          </cell>
          <cell r="J2622" t="str">
            <v>PESSOA FÍSICA</v>
          </cell>
          <cell r="K2622" t="str">
            <v>066.559.678-21</v>
          </cell>
          <cell r="L2622" t="str">
            <v>IQ</v>
          </cell>
          <cell r="M2622" t="str">
            <v>WARNEY RODRIGUES</v>
          </cell>
          <cell r="N2622" t="str">
            <v>DTC6658</v>
          </cell>
          <cell r="O2622" t="str">
            <v>2009</v>
          </cell>
          <cell r="P2622" t="str">
            <v>19</v>
          </cell>
          <cell r="Q2622" t="str">
            <v>17</v>
          </cell>
        </row>
        <row r="2623">
          <cell r="B2623" t="str">
            <v>0787/16</v>
          </cell>
          <cell r="C2623" t="str">
            <v>2016-0.073.292-1</v>
          </cell>
          <cell r="D2623" t="str">
            <v/>
          </cell>
          <cell r="E2623" t="str">
            <v>30 de março de 2016</v>
          </cell>
          <cell r="F2623" t="str">
            <v>MARCELO SANTANA</v>
          </cell>
          <cell r="G2623" t="str">
            <v>30/03/2016</v>
          </cell>
          <cell r="H2623" t="str">
            <v>31/03/2016</v>
          </cell>
          <cell r="I2623" t="str">
            <v>36</v>
          </cell>
          <cell r="J2623" t="str">
            <v>PESSOA FÍSICA</v>
          </cell>
          <cell r="K2623" t="str">
            <v>151.167.298-69</v>
          </cell>
          <cell r="L2623" t="str">
            <v>SA</v>
          </cell>
          <cell r="M2623" t="str">
            <v>MARCELO SANTANA</v>
          </cell>
          <cell r="N2623" t="str">
            <v>AMM6388</v>
          </cell>
          <cell r="O2623" t="str">
            <v>2004</v>
          </cell>
          <cell r="P2623" t="str">
            <v>25</v>
          </cell>
          <cell r="Q2623" t="str">
            <v>23</v>
          </cell>
        </row>
        <row r="2624">
          <cell r="B2624" t="str">
            <v>0788/16</v>
          </cell>
          <cell r="C2624" t="str">
            <v>2016-0.073.293-0</v>
          </cell>
          <cell r="D2624" t="str">
            <v>24/02/2016</v>
          </cell>
          <cell r="E2624" t="str">
            <v>30 de março de 2016</v>
          </cell>
          <cell r="F2624" t="str">
            <v>MARIA HELENA DE SOUZA BORGES</v>
          </cell>
          <cell r="G2624" t="str">
            <v>30/03/2016</v>
          </cell>
          <cell r="H2624" t="str">
            <v>31/03/2016</v>
          </cell>
          <cell r="I2624" t="str">
            <v>36</v>
          </cell>
          <cell r="J2624" t="str">
            <v>PESSOA FÍSICA</v>
          </cell>
          <cell r="K2624" t="str">
            <v>013.873.708-80</v>
          </cell>
          <cell r="L2624" t="str">
            <v>PJ</v>
          </cell>
          <cell r="M2624" t="str">
            <v>MARIA HELENA DE SOUZA BORGES</v>
          </cell>
          <cell r="N2624" t="str">
            <v>DTB6290</v>
          </cell>
          <cell r="O2624" t="str">
            <v>2006</v>
          </cell>
          <cell r="P2624" t="str">
            <v>25</v>
          </cell>
          <cell r="Q2624" t="str">
            <v>23</v>
          </cell>
        </row>
        <row r="2625">
          <cell r="B2625" t="str">
            <v>0789/16</v>
          </cell>
          <cell r="C2625" t="str">
            <v>2016-0.073.297-2</v>
          </cell>
          <cell r="D2625" t="str">
            <v/>
          </cell>
          <cell r="E2625" t="str">
            <v/>
          </cell>
          <cell r="F2625" t="str">
            <v>SIDNEY PEDRO MERELES</v>
          </cell>
          <cell r="G2625" t="str">
            <v/>
          </cell>
          <cell r="H2625" t="str">
            <v/>
          </cell>
          <cell r="I2625" t="str">
            <v/>
          </cell>
          <cell r="J2625" t="str">
            <v>PESSOA FÍSICA</v>
          </cell>
          <cell r="K2625" t="str">
            <v>111.776.208-47</v>
          </cell>
          <cell r="L2625" t="str">
            <v>IQ</v>
          </cell>
          <cell r="M2625" t="str">
            <v>SIDNEY PEDRO MERELES</v>
          </cell>
          <cell r="N2625" t="str">
            <v>DTE8903</v>
          </cell>
          <cell r="O2625" t="str">
            <v>2009</v>
          </cell>
          <cell r="P2625" t="str">
            <v>19</v>
          </cell>
          <cell r="Q2625" t="str">
            <v>18</v>
          </cell>
        </row>
        <row r="2626">
          <cell r="B2626" t="str">
            <v>0790/16</v>
          </cell>
          <cell r="C2626" t="str">
            <v>2016-0.073.299-9</v>
          </cell>
          <cell r="D2626" t="str">
            <v>03/03/2016</v>
          </cell>
          <cell r="E2626" t="str">
            <v>07 de abril de 2016</v>
          </cell>
          <cell r="F2626" t="str">
            <v>JUAREZ RODRIGUES DA SILVA</v>
          </cell>
          <cell r="G2626" t="str">
            <v>07/04/2016</v>
          </cell>
          <cell r="H2626" t="str">
            <v>09/04/2016</v>
          </cell>
          <cell r="I2626" t="str">
            <v>33</v>
          </cell>
          <cell r="J2626" t="str">
            <v>PESSOA FÍSICA</v>
          </cell>
          <cell r="K2626" t="str">
            <v>271.895.738-79</v>
          </cell>
          <cell r="L2626" t="str">
            <v>PJ</v>
          </cell>
          <cell r="M2626" t="str">
            <v>JUAREZ RODRIGUES DA SILVA</v>
          </cell>
          <cell r="N2626" t="str">
            <v>FAE8090</v>
          </cell>
          <cell r="O2626" t="str">
            <v>2011</v>
          </cell>
          <cell r="P2626" t="str">
            <v>13</v>
          </cell>
          <cell r="Q2626" t="str">
            <v>12</v>
          </cell>
        </row>
        <row r="2627">
          <cell r="B2627" t="str">
            <v>0791/16</v>
          </cell>
          <cell r="C2627" t="str">
            <v>2016-0.073.300-6</v>
          </cell>
          <cell r="D2627" t="str">
            <v>21/03/2016</v>
          </cell>
          <cell r="E2627" t="str">
            <v>12 de abril de 2016</v>
          </cell>
          <cell r="F2627" t="str">
            <v>ARNALDO DE SOUZA FILHO</v>
          </cell>
          <cell r="G2627" t="str">
            <v>12/04/2016</v>
          </cell>
          <cell r="H2627" t="str">
            <v>13/04/2016</v>
          </cell>
          <cell r="I2627" t="str">
            <v>50</v>
          </cell>
          <cell r="J2627" t="str">
            <v>PESSOA FÍSICA</v>
          </cell>
          <cell r="K2627" t="str">
            <v>083.318.038-09</v>
          </cell>
          <cell r="L2627" t="str">
            <v>JT</v>
          </cell>
          <cell r="M2627" t="str">
            <v>ARNALDO DE SOUZA FILHO</v>
          </cell>
          <cell r="N2627" t="str">
            <v>EFW8515</v>
          </cell>
          <cell r="O2627" t="str">
            <v>2010</v>
          </cell>
          <cell r="P2627" t="str">
            <v>10</v>
          </cell>
          <cell r="Q2627" t="str">
            <v>9</v>
          </cell>
        </row>
        <row r="2628">
          <cell r="B2628" t="str">
            <v>0792/16</v>
          </cell>
          <cell r="C2628" t="str">
            <v>2016-0.073.301-4</v>
          </cell>
          <cell r="D2628" t="str">
            <v/>
          </cell>
          <cell r="E2628" t="str">
            <v/>
          </cell>
          <cell r="F2628" t="str">
            <v>CLEUSA MARIA DE MORAIS</v>
          </cell>
          <cell r="G2628" t="str">
            <v/>
          </cell>
          <cell r="H2628" t="str">
            <v/>
          </cell>
          <cell r="I2628" t="str">
            <v/>
          </cell>
          <cell r="J2628" t="str">
            <v>PESSOA FÍSICA</v>
          </cell>
          <cell r="K2628" t="str">
            <v>106.642.408-01</v>
          </cell>
          <cell r="L2628" t="str">
            <v>CS</v>
          </cell>
          <cell r="M2628" t="str">
            <v>CLEUSA MARIA DE MORAIS</v>
          </cell>
          <cell r="N2628" t="str">
            <v>LSC0592</v>
          </cell>
          <cell r="O2628" t="str">
            <v>2004</v>
          </cell>
          <cell r="P2628" t="str">
            <v>25</v>
          </cell>
          <cell r="Q2628" t="str">
            <v>23</v>
          </cell>
        </row>
        <row r="2629">
          <cell r="B2629" t="str">
            <v>0793/16</v>
          </cell>
          <cell r="C2629" t="str">
            <v>2016-0.073.302-2</v>
          </cell>
          <cell r="D2629" t="str">
            <v>14/03/2016</v>
          </cell>
          <cell r="E2629" t="str">
            <v>01 de abril de 2016</v>
          </cell>
          <cell r="F2629" t="str">
            <v>NIVALDO FERREIRA PREXEDES</v>
          </cell>
          <cell r="G2629" t="str">
            <v>01/04/2016</v>
          </cell>
          <cell r="H2629" t="str">
            <v>02/04/2016</v>
          </cell>
          <cell r="I2629" t="str">
            <v>43</v>
          </cell>
          <cell r="J2629" t="str">
            <v>PESSOA FÍSICA</v>
          </cell>
          <cell r="K2629" t="str">
            <v>135.806.378-86</v>
          </cell>
          <cell r="L2629" t="str">
            <v>CS</v>
          </cell>
          <cell r="M2629" t="str">
            <v>NIVALDO FERREIRA PREXEDES</v>
          </cell>
          <cell r="N2629" t="str">
            <v>ELQ6769</v>
          </cell>
          <cell r="O2629" t="str">
            <v>2010</v>
          </cell>
          <cell r="P2629" t="str">
            <v>19</v>
          </cell>
          <cell r="Q2629" t="str">
            <v>18</v>
          </cell>
        </row>
        <row r="2630">
          <cell r="B2630" t="str">
            <v>0794/16</v>
          </cell>
          <cell r="C2630" t="str">
            <v>2016-0.073.303-0</v>
          </cell>
          <cell r="D2630" t="str">
            <v>21/03/2016</v>
          </cell>
          <cell r="E2630" t="str">
            <v>18 de abril de 2016</v>
          </cell>
          <cell r="F2630" t="str">
            <v>CARLOS ROBERTO PIERRE</v>
          </cell>
          <cell r="G2630" t="str">
            <v>18/04/2016</v>
          </cell>
          <cell r="H2630" t="str">
            <v>21/04/2016</v>
          </cell>
          <cell r="I2630" t="str">
            <v>95</v>
          </cell>
          <cell r="J2630" t="str">
            <v>PESSOA FÍSICA</v>
          </cell>
          <cell r="K2630" t="str">
            <v>048.695.478-13</v>
          </cell>
          <cell r="L2630" t="str">
            <v>CS</v>
          </cell>
          <cell r="M2630" t="str">
            <v>CARLOS ROBERTO PIERRE</v>
          </cell>
          <cell r="N2630" t="str">
            <v>CFY7116</v>
          </cell>
          <cell r="O2630" t="str">
            <v>2013</v>
          </cell>
          <cell r="P2630" t="str">
            <v>19</v>
          </cell>
          <cell r="Q2630" t="str">
            <v>18</v>
          </cell>
        </row>
        <row r="2631">
          <cell r="B2631" t="str">
            <v>0795/16</v>
          </cell>
          <cell r="C2631" t="str">
            <v>2016-0.073.304-9</v>
          </cell>
          <cell r="D2631" t="str">
            <v/>
          </cell>
          <cell r="E2631" t="str">
            <v>30 de março de 2016</v>
          </cell>
          <cell r="F2631" t="str">
            <v>AMILTON DONIZETI BATISTA</v>
          </cell>
          <cell r="G2631" t="str">
            <v>30/03/2016</v>
          </cell>
          <cell r="H2631" t="str">
            <v>31/03/2016</v>
          </cell>
          <cell r="I2631" t="str">
            <v>37</v>
          </cell>
          <cell r="J2631" t="str">
            <v>PESSOA FÍSICA</v>
          </cell>
          <cell r="K2631" t="str">
            <v>104.804.358-47</v>
          </cell>
          <cell r="L2631" t="str">
            <v>CS</v>
          </cell>
          <cell r="M2631" t="str">
            <v>AMILTON DONIZETI BATISTA</v>
          </cell>
          <cell r="N2631" t="str">
            <v>FTC8869</v>
          </cell>
          <cell r="O2631" t="str">
            <v>2010</v>
          </cell>
          <cell r="P2631" t="str">
            <v>19</v>
          </cell>
          <cell r="Q2631" t="str">
            <v>18</v>
          </cell>
        </row>
        <row r="2632">
          <cell r="B2632" t="str">
            <v>0796/16</v>
          </cell>
          <cell r="C2632" t="str">
            <v>2016-0.073.305-7</v>
          </cell>
          <cell r="D2632" t="str">
            <v/>
          </cell>
          <cell r="E2632" t="str">
            <v>04 de abril de 2016</v>
          </cell>
          <cell r="F2632" t="str">
            <v>AYRTON APARECIDO LUZ RODRIGUES</v>
          </cell>
          <cell r="G2632" t="str">
            <v>04/04/2016</v>
          </cell>
          <cell r="H2632" t="str">
            <v>07/04/2016</v>
          </cell>
          <cell r="I2632" t="str">
            <v>19</v>
          </cell>
          <cell r="J2632" t="str">
            <v>PESSOA FÍSICA</v>
          </cell>
          <cell r="K2632" t="str">
            <v>115.998.628-24</v>
          </cell>
          <cell r="L2632" t="str">
            <v>CS</v>
          </cell>
          <cell r="M2632" t="str">
            <v>AYRTON APARECIDO LUZ RODRIGUES</v>
          </cell>
          <cell r="N2632" t="str">
            <v>EBD2388</v>
          </cell>
          <cell r="O2632" t="str">
            <v>2007</v>
          </cell>
          <cell r="P2632" t="str">
            <v>29</v>
          </cell>
          <cell r="Q2632" t="str">
            <v>27</v>
          </cell>
        </row>
        <row r="2633">
          <cell r="B2633" t="str">
            <v>0797/16</v>
          </cell>
          <cell r="C2633" t="str">
            <v>2016-0.073.306-5</v>
          </cell>
          <cell r="D2633" t="str">
            <v/>
          </cell>
          <cell r="E2633" t="str">
            <v>01 de abril de 2016</v>
          </cell>
          <cell r="F2633" t="str">
            <v>CLAUDINEI APARECIDO DOS REIS</v>
          </cell>
          <cell r="G2633" t="str">
            <v>01/04/2016</v>
          </cell>
          <cell r="H2633" t="str">
            <v>02/04/2016</v>
          </cell>
          <cell r="I2633" t="str">
            <v>43</v>
          </cell>
          <cell r="J2633" t="str">
            <v>PESSOA FÍSICA</v>
          </cell>
          <cell r="K2633" t="str">
            <v>147.746.178-73</v>
          </cell>
          <cell r="L2633" t="str">
            <v>CS</v>
          </cell>
          <cell r="M2633" t="str">
            <v>CLAUDINEI APARECIDO DOS REIS</v>
          </cell>
          <cell r="N2633" t="str">
            <v>DTD1883</v>
          </cell>
          <cell r="O2633" t="str">
            <v>2007</v>
          </cell>
          <cell r="P2633" t="str">
            <v>29</v>
          </cell>
          <cell r="Q2633" t="str">
            <v>27</v>
          </cell>
        </row>
        <row r="2634">
          <cell r="B2634" t="str">
            <v>0798/16</v>
          </cell>
          <cell r="C2634" t="str">
            <v>2016-0.073.308-1</v>
          </cell>
          <cell r="D2634" t="str">
            <v/>
          </cell>
          <cell r="E2634" t="str">
            <v>31 de março de 2016</v>
          </cell>
          <cell r="F2634" t="str">
            <v>FABIO PEROZI</v>
          </cell>
          <cell r="G2634" t="str">
            <v>31/03/2016</v>
          </cell>
          <cell r="H2634" t="str">
            <v>02/04/2016</v>
          </cell>
          <cell r="I2634" t="str">
            <v>43</v>
          </cell>
          <cell r="J2634" t="str">
            <v>PESSOA FÍSICA</v>
          </cell>
          <cell r="K2634" t="str">
            <v>046.386.058-69</v>
          </cell>
          <cell r="L2634" t="str">
            <v>CS</v>
          </cell>
          <cell r="M2634" t="str">
            <v>FABIO PEROZI</v>
          </cell>
          <cell r="N2634" t="str">
            <v>DUB8790</v>
          </cell>
          <cell r="O2634" t="str">
            <v>2006</v>
          </cell>
          <cell r="P2634" t="str">
            <v>29</v>
          </cell>
          <cell r="Q2634" t="str">
            <v>27</v>
          </cell>
        </row>
        <row r="2635">
          <cell r="B2635" t="str">
            <v>0799/16</v>
          </cell>
          <cell r="C2635" t="str">
            <v>2016-0.073.309-0</v>
          </cell>
          <cell r="D2635" t="str">
            <v/>
          </cell>
          <cell r="E2635" t="str">
            <v>04 de abril de 2016</v>
          </cell>
          <cell r="F2635" t="str">
            <v>IVO MIGUEL JUNIOR</v>
          </cell>
          <cell r="G2635" t="str">
            <v>04/04/2016</v>
          </cell>
          <cell r="H2635" t="str">
            <v>19/04/2016</v>
          </cell>
          <cell r="I2635" t="str">
            <v>27</v>
          </cell>
          <cell r="J2635" t="str">
            <v>PESSOA FÍSICA</v>
          </cell>
          <cell r="K2635" t="str">
            <v>060.181.858-06</v>
          </cell>
          <cell r="L2635" t="str">
            <v>CS</v>
          </cell>
          <cell r="M2635" t="str">
            <v>IVO MIGUEL JUNIOR</v>
          </cell>
          <cell r="N2635" t="str">
            <v>DTA2370</v>
          </cell>
          <cell r="O2635" t="str">
            <v>2007</v>
          </cell>
          <cell r="P2635" t="str">
            <v>25</v>
          </cell>
          <cell r="Q2635" t="str">
            <v>23</v>
          </cell>
        </row>
        <row r="2636">
          <cell r="B2636" t="str">
            <v>0800/16</v>
          </cell>
          <cell r="C2636" t="str">
            <v>2016-0.073.310-3</v>
          </cell>
          <cell r="D2636" t="str">
            <v/>
          </cell>
          <cell r="E2636" t="str">
            <v>29 de março de 2016</v>
          </cell>
          <cell r="F2636" t="str">
            <v>JESSICA OLIVEIRA DOS SANTOS SILVA</v>
          </cell>
          <cell r="G2636" t="str">
            <v>29/03/2016</v>
          </cell>
          <cell r="H2636" t="str">
            <v>31/03/2016</v>
          </cell>
          <cell r="I2636" t="str">
            <v>37</v>
          </cell>
          <cell r="J2636" t="str">
            <v>PESSOA FÍSICA</v>
          </cell>
          <cell r="K2636" t="str">
            <v>308.923.818-76</v>
          </cell>
          <cell r="L2636" t="str">
            <v>CS</v>
          </cell>
          <cell r="M2636" t="str">
            <v>JESSICA OLIVEIRA DOS SANTOS SILVA</v>
          </cell>
          <cell r="N2636" t="str">
            <v>CZX6427</v>
          </cell>
          <cell r="O2636" t="str">
            <v>2002</v>
          </cell>
          <cell r="P2636" t="str">
            <v>25</v>
          </cell>
          <cell r="Q2636" t="str">
            <v>23</v>
          </cell>
        </row>
        <row r="2637">
          <cell r="B2637" t="str">
            <v>0801/16</v>
          </cell>
          <cell r="C2637" t="str">
            <v>2016-0.073.312-0</v>
          </cell>
          <cell r="D2637" t="str">
            <v/>
          </cell>
          <cell r="E2637" t="str">
            <v>30 de março de 2016</v>
          </cell>
          <cell r="F2637" t="str">
            <v>JORGE PEREIRA DA CRUZ SILVA</v>
          </cell>
          <cell r="G2637" t="str">
            <v>30/03/2016</v>
          </cell>
          <cell r="H2637" t="str">
            <v>31/03/2016</v>
          </cell>
          <cell r="I2637" t="str">
            <v>37</v>
          </cell>
          <cell r="J2637" t="str">
            <v>PESSOA FÍSICA</v>
          </cell>
          <cell r="K2637" t="str">
            <v>083.192.355-53</v>
          </cell>
          <cell r="L2637" t="str">
            <v>CS</v>
          </cell>
          <cell r="M2637" t="str">
            <v>JORGE PEREIRA DA CRUZ SILVA</v>
          </cell>
          <cell r="N2637" t="str">
            <v>FGD7290</v>
          </cell>
          <cell r="O2637" t="str">
            <v>2014</v>
          </cell>
          <cell r="P2637" t="str">
            <v>19</v>
          </cell>
          <cell r="Q2637" t="str">
            <v>18</v>
          </cell>
        </row>
        <row r="2638">
          <cell r="B2638" t="str">
            <v>0802/16</v>
          </cell>
          <cell r="C2638" t="str">
            <v>2016-0.073.314-6</v>
          </cell>
          <cell r="D2638" t="str">
            <v/>
          </cell>
          <cell r="E2638" t="str">
            <v>29 de março de 2016</v>
          </cell>
          <cell r="F2638" t="str">
            <v>JOSE AUGUSTO DA SILVA OLIVEIRA</v>
          </cell>
          <cell r="G2638" t="str">
            <v>29/03/2016</v>
          </cell>
          <cell r="H2638" t="str">
            <v>31/03/2016</v>
          </cell>
          <cell r="I2638" t="str">
            <v>37</v>
          </cell>
          <cell r="J2638" t="str">
            <v>PESSOA FÍSICA</v>
          </cell>
          <cell r="K2638" t="str">
            <v>264.810.798-37</v>
          </cell>
          <cell r="L2638" t="str">
            <v>CS</v>
          </cell>
          <cell r="M2638" t="str">
            <v>JOSE AUGUSTO DA SILVA OLIVEIRA</v>
          </cell>
          <cell r="N2638" t="str">
            <v>EXI8730</v>
          </cell>
          <cell r="O2638" t="str">
            <v>2011</v>
          </cell>
          <cell r="P2638" t="str">
            <v>27</v>
          </cell>
          <cell r="Q2638" t="str">
            <v>26</v>
          </cell>
        </row>
        <row r="2639">
          <cell r="B2639" t="str">
            <v>0803/16</v>
          </cell>
          <cell r="C2639" t="str">
            <v>2016-0.073.316-2</v>
          </cell>
          <cell r="D2639" t="str">
            <v/>
          </cell>
          <cell r="E2639" t="str">
            <v>30 de março de 2016</v>
          </cell>
          <cell r="F2639" t="str">
            <v>JOSE WILSON DA COSTA</v>
          </cell>
          <cell r="G2639" t="str">
            <v>30/03/2016</v>
          </cell>
          <cell r="H2639" t="str">
            <v>31/03/2016</v>
          </cell>
          <cell r="I2639" t="str">
            <v>37</v>
          </cell>
          <cell r="J2639" t="str">
            <v>PESSOA FÍSICA</v>
          </cell>
          <cell r="K2639" t="str">
            <v>046.315.218-21</v>
          </cell>
          <cell r="L2639" t="str">
            <v>CS</v>
          </cell>
          <cell r="M2639" t="str">
            <v>JOSE WILSON DA COSTA</v>
          </cell>
          <cell r="N2639" t="str">
            <v>DTC5411</v>
          </cell>
          <cell r="O2639" t="str">
            <v>2008</v>
          </cell>
          <cell r="P2639" t="str">
            <v>29</v>
          </cell>
          <cell r="Q2639" t="str">
            <v>27</v>
          </cell>
        </row>
        <row r="2640">
          <cell r="B2640" t="str">
            <v>0804/16</v>
          </cell>
          <cell r="C2640" t="str">
            <v>2016-0.073.317-0</v>
          </cell>
          <cell r="D2640" t="str">
            <v/>
          </cell>
          <cell r="E2640" t="str">
            <v>30 de março de 2016</v>
          </cell>
          <cell r="F2640" t="str">
            <v>JOSEMAR BATISTA NUNES</v>
          </cell>
          <cell r="G2640" t="str">
            <v>30/03/2016</v>
          </cell>
          <cell r="H2640" t="str">
            <v>31/03/2016</v>
          </cell>
          <cell r="I2640" t="str">
            <v>37</v>
          </cell>
          <cell r="J2640" t="str">
            <v>PESSOA FÍSICA</v>
          </cell>
          <cell r="K2640" t="str">
            <v>265.530.868-93</v>
          </cell>
          <cell r="L2640" t="str">
            <v>CS</v>
          </cell>
          <cell r="M2640" t="str">
            <v>JOSEMAR BATISTA NUNES</v>
          </cell>
          <cell r="N2640" t="str">
            <v>DTC3060</v>
          </cell>
          <cell r="O2640" t="str">
            <v>2007</v>
          </cell>
          <cell r="P2640" t="str">
            <v>29</v>
          </cell>
          <cell r="Q2640" t="str">
            <v>27</v>
          </cell>
        </row>
        <row r="2641">
          <cell r="B2641" t="str">
            <v>0805/16</v>
          </cell>
          <cell r="C2641" t="str">
            <v>2016-0.073.318-9</v>
          </cell>
          <cell r="D2641" t="str">
            <v/>
          </cell>
          <cell r="E2641" t="str">
            <v>01 de abril de 2016</v>
          </cell>
          <cell r="F2641" t="str">
            <v>LUCIA DUARTE LUCAS</v>
          </cell>
          <cell r="G2641" t="str">
            <v>01/04/2016</v>
          </cell>
          <cell r="H2641" t="str">
            <v>02/04/2016</v>
          </cell>
          <cell r="I2641" t="str">
            <v>43</v>
          </cell>
          <cell r="J2641" t="str">
            <v>PESSOA FÍSICA</v>
          </cell>
          <cell r="K2641" t="str">
            <v>146.828.748-61</v>
          </cell>
          <cell r="L2641" t="str">
            <v>CS</v>
          </cell>
          <cell r="M2641" t="str">
            <v>LUCIA DUARTE LUCAS</v>
          </cell>
          <cell r="N2641" t="str">
            <v>EQO6104</v>
          </cell>
          <cell r="O2641" t="str">
            <v>2011</v>
          </cell>
          <cell r="P2641" t="str">
            <v>19</v>
          </cell>
          <cell r="Q2641" t="str">
            <v>18</v>
          </cell>
        </row>
        <row r="2642">
          <cell r="B2642" t="str">
            <v>0806/16</v>
          </cell>
          <cell r="C2642" t="str">
            <v>2016-0.073.330-8</v>
          </cell>
          <cell r="D2642" t="str">
            <v/>
          </cell>
          <cell r="E2642" t="str">
            <v>04 de abril de 2016</v>
          </cell>
          <cell r="F2642" t="str">
            <v>MANOEL INOCENCIO BEZERRA FILHO</v>
          </cell>
          <cell r="G2642" t="str">
            <v>04/04/2016</v>
          </cell>
          <cell r="H2642" t="str">
            <v>07/04/2016</v>
          </cell>
          <cell r="I2642" t="str">
            <v>19</v>
          </cell>
          <cell r="J2642" t="str">
            <v>PESSOA FÍSICA</v>
          </cell>
          <cell r="K2642" t="str">
            <v>065.194.478-38</v>
          </cell>
          <cell r="L2642" t="str">
            <v>CS</v>
          </cell>
          <cell r="M2642" t="str">
            <v>MANOEL INOCENCIO BEZERRA FILHO</v>
          </cell>
          <cell r="N2642" t="str">
            <v>CZX0591</v>
          </cell>
          <cell r="O2642" t="str">
            <v>2002</v>
          </cell>
          <cell r="P2642" t="str">
            <v>25</v>
          </cell>
          <cell r="Q2642" t="str">
            <v>23</v>
          </cell>
        </row>
        <row r="2643">
          <cell r="B2643" t="str">
            <v>0807/16</v>
          </cell>
          <cell r="C2643" t="str">
            <v>2016-0.073.331-6</v>
          </cell>
          <cell r="D2643" t="str">
            <v/>
          </cell>
          <cell r="E2643" t="str">
            <v>30 de março de 2016</v>
          </cell>
          <cell r="F2643" t="str">
            <v>MARCOS LOPES DE ARAUJO</v>
          </cell>
          <cell r="G2643" t="str">
            <v>30/03/2016</v>
          </cell>
          <cell r="H2643" t="str">
            <v>31/03/2016</v>
          </cell>
          <cell r="I2643" t="str">
            <v>37</v>
          </cell>
          <cell r="J2643" t="str">
            <v>PESSOA FÍSICA</v>
          </cell>
          <cell r="K2643" t="str">
            <v>261.011.028-66</v>
          </cell>
          <cell r="L2643" t="str">
            <v>CS</v>
          </cell>
          <cell r="M2643" t="str">
            <v>MARCOS LOPES DE ARAUJO</v>
          </cell>
          <cell r="N2643" t="str">
            <v>DTB2540</v>
          </cell>
          <cell r="O2643" t="str">
            <v>2006</v>
          </cell>
          <cell r="P2643" t="str">
            <v>44</v>
          </cell>
          <cell r="Q2643" t="str">
            <v>42</v>
          </cell>
        </row>
        <row r="2644">
          <cell r="B2644" t="str">
            <v>0808/16</v>
          </cell>
          <cell r="C2644" t="str">
            <v>2016-0.073.332-4</v>
          </cell>
          <cell r="D2644" t="str">
            <v/>
          </cell>
          <cell r="E2644" t="str">
            <v>30 de março de 2016</v>
          </cell>
          <cell r="F2644" t="str">
            <v>MARIA APARECIDA DA COSTA SERNA</v>
          </cell>
          <cell r="G2644" t="str">
            <v>30/03/2016</v>
          </cell>
          <cell r="H2644" t="str">
            <v>31/03/2016</v>
          </cell>
          <cell r="I2644" t="str">
            <v>37</v>
          </cell>
          <cell r="J2644" t="str">
            <v>PESSOA FÍSICA</v>
          </cell>
          <cell r="K2644" t="str">
            <v>166.970.548-08</v>
          </cell>
          <cell r="L2644" t="str">
            <v>CS</v>
          </cell>
          <cell r="M2644" t="str">
            <v>MARIA APARECIDA DA COSTA SERNA</v>
          </cell>
          <cell r="N2644" t="str">
            <v>JJB2834</v>
          </cell>
          <cell r="O2644" t="str">
            <v>2002</v>
          </cell>
          <cell r="P2644" t="str">
            <v>20</v>
          </cell>
          <cell r="Q2644" t="str">
            <v>18</v>
          </cell>
        </row>
        <row r="2645">
          <cell r="B2645" t="str">
            <v>0809/16</v>
          </cell>
          <cell r="C2645" t="str">
            <v>2016-0.073.333-2</v>
          </cell>
          <cell r="D2645" t="str">
            <v/>
          </cell>
          <cell r="E2645" t="str">
            <v>30 de março de 2016</v>
          </cell>
          <cell r="F2645" t="str">
            <v>MARLI DA SILVA REIS</v>
          </cell>
          <cell r="G2645" t="str">
            <v>30/03/2016</v>
          </cell>
          <cell r="H2645" t="str">
            <v>31/03/2016</v>
          </cell>
          <cell r="I2645" t="str">
            <v>37</v>
          </cell>
          <cell r="J2645" t="str">
            <v>PESSOA FÍSICA</v>
          </cell>
          <cell r="K2645" t="str">
            <v>547.873.515-91</v>
          </cell>
          <cell r="L2645" t="str">
            <v>CS</v>
          </cell>
          <cell r="M2645" t="str">
            <v>MARLI DA SILVA REIS</v>
          </cell>
          <cell r="N2645" t="str">
            <v>DTC7567</v>
          </cell>
          <cell r="O2645" t="str">
            <v>2009</v>
          </cell>
          <cell r="P2645" t="str">
            <v>19</v>
          </cell>
          <cell r="Q2645" t="str">
            <v>18</v>
          </cell>
        </row>
        <row r="2646">
          <cell r="B2646" t="str">
            <v>0810/16</v>
          </cell>
          <cell r="C2646" t="str">
            <v>2016-0.073.334-0</v>
          </cell>
          <cell r="D2646" t="str">
            <v/>
          </cell>
          <cell r="E2646" t="str">
            <v>07 de março de 2016</v>
          </cell>
          <cell r="F2646" t="str">
            <v>MIRIAN TEIXEIRA DA SILVA GARCIA</v>
          </cell>
          <cell r="G2646" t="str">
            <v>07/03/2016</v>
          </cell>
          <cell r="H2646" t="str">
            <v>02/04/2016</v>
          </cell>
          <cell r="I2646" t="str">
            <v>43</v>
          </cell>
          <cell r="J2646" t="str">
            <v>PESSOA FÍSICA</v>
          </cell>
          <cell r="K2646" t="str">
            <v>077.970.378-25</v>
          </cell>
          <cell r="L2646" t="str">
            <v>CS</v>
          </cell>
          <cell r="M2646" t="str">
            <v>MIRIAN TEIXEIRA DA SILVA GARCIA</v>
          </cell>
          <cell r="N2646" t="str">
            <v>FDR0118</v>
          </cell>
          <cell r="O2646" t="str">
            <v>2013</v>
          </cell>
          <cell r="P2646" t="str">
            <v>10</v>
          </cell>
          <cell r="Q2646" t="str">
            <v>09</v>
          </cell>
        </row>
        <row r="2647">
          <cell r="B2647" t="str">
            <v>0811/16</v>
          </cell>
          <cell r="C2647" t="str">
            <v>2016-0.073.335-9</v>
          </cell>
          <cell r="D2647" t="str">
            <v/>
          </cell>
          <cell r="E2647" t="str">
            <v>31 de março de 2016</v>
          </cell>
          <cell r="F2647" t="str">
            <v>NATANAEL CARLOS DA PAZ</v>
          </cell>
          <cell r="G2647" t="str">
            <v>31/03/2016</v>
          </cell>
          <cell r="H2647" t="str">
            <v>02/04/2016</v>
          </cell>
          <cell r="I2647" t="str">
            <v>43</v>
          </cell>
          <cell r="J2647" t="str">
            <v>PESSOA FÍSICA</v>
          </cell>
          <cell r="K2647" t="str">
            <v>063.792.078-30</v>
          </cell>
          <cell r="L2647" t="str">
            <v>CS</v>
          </cell>
          <cell r="M2647" t="str">
            <v>NATANAEL CARLOS DA PAZ</v>
          </cell>
          <cell r="N2647" t="str">
            <v>EQN8246</v>
          </cell>
          <cell r="O2647" t="str">
            <v>2012</v>
          </cell>
          <cell r="P2647" t="str">
            <v>19</v>
          </cell>
          <cell r="Q2647" t="str">
            <v>18</v>
          </cell>
        </row>
        <row r="2648">
          <cell r="B2648" t="str">
            <v>0812/16</v>
          </cell>
          <cell r="C2648" t="str">
            <v>2016-0.073.336-7</v>
          </cell>
          <cell r="D2648" t="str">
            <v/>
          </cell>
          <cell r="E2648" t="str">
            <v>01 de abril de 2016</v>
          </cell>
          <cell r="F2648" t="str">
            <v>ORLEANS ALVES PEREIRA</v>
          </cell>
          <cell r="G2648" t="str">
            <v>01/04/2016</v>
          </cell>
          <cell r="H2648" t="str">
            <v>02/04/2016</v>
          </cell>
          <cell r="I2648" t="str">
            <v>43</v>
          </cell>
          <cell r="J2648" t="str">
            <v>PESSOA FÍSICA</v>
          </cell>
          <cell r="K2648" t="str">
            <v>257.277.158-65</v>
          </cell>
          <cell r="L2648" t="str">
            <v>CS</v>
          </cell>
          <cell r="M2648" t="str">
            <v>ORLEANS ALVES PEREIRA</v>
          </cell>
          <cell r="N2648" t="str">
            <v>EBV2605</v>
          </cell>
          <cell r="O2648" t="str">
            <v>2009</v>
          </cell>
          <cell r="P2648" t="str">
            <v>19</v>
          </cell>
          <cell r="Q2648" t="str">
            <v>18</v>
          </cell>
        </row>
        <row r="2649">
          <cell r="B2649" t="str">
            <v>0813/16</v>
          </cell>
          <cell r="C2649" t="str">
            <v>2016-0.073.337-5</v>
          </cell>
          <cell r="D2649" t="str">
            <v/>
          </cell>
          <cell r="E2649" t="str">
            <v>01 de abril de 2016</v>
          </cell>
          <cell r="F2649" t="str">
            <v>SATURNINO JOSE DE MIRANDA</v>
          </cell>
          <cell r="G2649" t="str">
            <v>01/04/2016</v>
          </cell>
          <cell r="H2649" t="str">
            <v>02/04/2016</v>
          </cell>
          <cell r="I2649" t="str">
            <v>43</v>
          </cell>
          <cell r="J2649" t="str">
            <v>PESSOA FÍSICA</v>
          </cell>
          <cell r="K2649" t="str">
            <v>010.765.978-66</v>
          </cell>
          <cell r="L2649" t="str">
            <v>CS</v>
          </cell>
          <cell r="M2649" t="str">
            <v>SATURNINO JOSE DE MIRANDA</v>
          </cell>
          <cell r="N2649" t="str">
            <v>DTE3700</v>
          </cell>
          <cell r="O2649" t="str">
            <v>2008</v>
          </cell>
          <cell r="P2649" t="str">
            <v>29</v>
          </cell>
          <cell r="Q2649" t="str">
            <v>27</v>
          </cell>
        </row>
        <row r="2650">
          <cell r="B2650" t="str">
            <v>0814/16</v>
          </cell>
          <cell r="C2650" t="str">
            <v>2016-0.073.338-3</v>
          </cell>
          <cell r="D2650" t="str">
            <v/>
          </cell>
          <cell r="E2650" t="str">
            <v/>
          </cell>
          <cell r="F2650" t="str">
            <v>SERGIO JOSE DA SILVA</v>
          </cell>
          <cell r="G2650" t="str">
            <v/>
          </cell>
          <cell r="H2650" t="str">
            <v/>
          </cell>
          <cell r="I2650" t="str">
            <v/>
          </cell>
          <cell r="J2650" t="str">
            <v>PESSOA FÍSICA</v>
          </cell>
          <cell r="K2650" t="str">
            <v>130.263.878-51</v>
          </cell>
          <cell r="L2650" t="str">
            <v>CS</v>
          </cell>
          <cell r="M2650" t="str">
            <v>SERGIO JOSE DA SILVA</v>
          </cell>
          <cell r="N2650" t="str">
            <v>EFU9036</v>
          </cell>
          <cell r="O2650" t="str">
            <v>2010</v>
          </cell>
          <cell r="P2650" t="str">
            <v>27</v>
          </cell>
          <cell r="Q2650" t="str">
            <v>26</v>
          </cell>
        </row>
        <row r="2651">
          <cell r="B2651" t="str">
            <v>0815/16</v>
          </cell>
          <cell r="C2651" t="str">
            <v>2016-0.073.339-1</v>
          </cell>
          <cell r="D2651" t="str">
            <v/>
          </cell>
          <cell r="E2651" t="str">
            <v/>
          </cell>
          <cell r="F2651" t="str">
            <v>RAIMUNDO LOIOLA DOS SANTOS</v>
          </cell>
          <cell r="G2651" t="str">
            <v/>
          </cell>
          <cell r="H2651" t="str">
            <v/>
          </cell>
          <cell r="I2651" t="str">
            <v/>
          </cell>
          <cell r="J2651" t="str">
            <v>PESSOA FÍSICA</v>
          </cell>
          <cell r="K2651" t="str">
            <v>011.772.848-98</v>
          </cell>
          <cell r="L2651" t="str">
            <v>CS</v>
          </cell>
          <cell r="M2651" t="str">
            <v>RAIMUNDO LOIOLA DOS SANTOS</v>
          </cell>
          <cell r="N2651" t="str">
            <v>DBM4995</v>
          </cell>
          <cell r="O2651" t="str">
            <v>2005</v>
          </cell>
          <cell r="P2651" t="str">
            <v>27</v>
          </cell>
          <cell r="Q2651" t="str">
            <v>25</v>
          </cell>
        </row>
        <row r="2652">
          <cell r="B2652" t="str">
            <v>0816/16</v>
          </cell>
          <cell r="C2652" t="str">
            <v>2016-0.073.340-5</v>
          </cell>
          <cell r="D2652" t="str">
            <v/>
          </cell>
          <cell r="E2652" t="str">
            <v>01 de abril de 2016</v>
          </cell>
          <cell r="F2652" t="str">
            <v>DELVAI CANGUSSU DA SILVA</v>
          </cell>
          <cell r="G2652" t="str">
            <v>01/04/2016</v>
          </cell>
          <cell r="H2652" t="str">
            <v>02/04/2016</v>
          </cell>
          <cell r="I2652" t="str">
            <v>43</v>
          </cell>
          <cell r="J2652" t="str">
            <v>PESSOA FÍSICA</v>
          </cell>
          <cell r="K2652" t="str">
            <v>196.824.948-69</v>
          </cell>
          <cell r="L2652" t="str">
            <v>CS</v>
          </cell>
          <cell r="M2652" t="str">
            <v>DELVAI CANGUSSU DA SILVA</v>
          </cell>
          <cell r="N2652" t="str">
            <v>DTD3197</v>
          </cell>
          <cell r="O2652" t="str">
            <v>2007</v>
          </cell>
          <cell r="P2652" t="str">
            <v>29</v>
          </cell>
          <cell r="Q2652" t="str">
            <v>27</v>
          </cell>
        </row>
        <row r="2653">
          <cell r="B2653" t="str">
            <v>0817/16</v>
          </cell>
          <cell r="C2653" t="str">
            <v>2016-0.073.341-3</v>
          </cell>
          <cell r="D2653" t="str">
            <v>17/03/2016</v>
          </cell>
          <cell r="E2653" t="str">
            <v>19 de abril de 2016</v>
          </cell>
          <cell r="F2653" t="str">
            <v>MILKA DE ANDRADE</v>
          </cell>
          <cell r="G2653" t="str">
            <v>19/04/2016</v>
          </cell>
          <cell r="H2653" t="str">
            <v>21/04/2016</v>
          </cell>
          <cell r="I2653" t="str">
            <v>95</v>
          </cell>
          <cell r="J2653" t="str">
            <v>PESSOA FÍSICA</v>
          </cell>
          <cell r="K2653" t="str">
            <v>172.644.158-05</v>
          </cell>
          <cell r="L2653" t="str">
            <v>CL</v>
          </cell>
          <cell r="M2653" t="str">
            <v>MILKA DE ANDRADE</v>
          </cell>
          <cell r="N2653" t="str">
            <v>FCA1129</v>
          </cell>
          <cell r="O2653" t="str">
            <v>2014</v>
          </cell>
          <cell r="P2653" t="str">
            <v>19</v>
          </cell>
          <cell r="Q2653" t="str">
            <v>18</v>
          </cell>
        </row>
        <row r="2654">
          <cell r="B2654" t="str">
            <v>0818/16</v>
          </cell>
          <cell r="C2654" t="str">
            <v>2016-0.073.342-1</v>
          </cell>
          <cell r="D2654" t="str">
            <v/>
          </cell>
          <cell r="E2654" t="str">
            <v>11 de abril de 2016</v>
          </cell>
          <cell r="F2654" t="str">
            <v>EDIVALDO FIGUEIREDO</v>
          </cell>
          <cell r="G2654" t="str">
            <v>11/04/2016</v>
          </cell>
          <cell r="H2654" t="str">
            <v>19/04/2016</v>
          </cell>
          <cell r="I2654" t="str">
            <v>27</v>
          </cell>
          <cell r="J2654" t="str">
            <v>PESSOA FÍSICA</v>
          </cell>
          <cell r="K2654" t="str">
            <v>534.725.788-15</v>
          </cell>
          <cell r="L2654" t="str">
            <v>CS</v>
          </cell>
          <cell r="M2654" t="str">
            <v>EDIVALDO FIGUEIREDO</v>
          </cell>
          <cell r="N2654" t="str">
            <v>EFV5468</v>
          </cell>
          <cell r="O2654" t="str">
            <v>2010</v>
          </cell>
          <cell r="P2654" t="str">
            <v>19</v>
          </cell>
          <cell r="Q2654" t="str">
            <v>18</v>
          </cell>
        </row>
        <row r="2655">
          <cell r="B2655" t="str">
            <v>0819/16</v>
          </cell>
          <cell r="C2655" t="str">
            <v>2016-0.073.358-8</v>
          </cell>
          <cell r="D2655" t="str">
            <v/>
          </cell>
          <cell r="E2655" t="str">
            <v>31 de março de 2016</v>
          </cell>
          <cell r="F2655" t="str">
            <v>JACKSON DE DEUS DA SILVA</v>
          </cell>
          <cell r="G2655" t="str">
            <v>31/03/2016</v>
          </cell>
          <cell r="H2655" t="str">
            <v>02/04/2016</v>
          </cell>
          <cell r="I2655" t="str">
            <v>43</v>
          </cell>
          <cell r="J2655" t="str">
            <v>PESSOA FÍSICA</v>
          </cell>
          <cell r="K2655" t="str">
            <v>189.679.978-76</v>
          </cell>
          <cell r="L2655" t="str">
            <v>CS</v>
          </cell>
          <cell r="M2655" t="str">
            <v>JACKSON DE DEUS DA SILVA</v>
          </cell>
          <cell r="N2655" t="str">
            <v>EMU8089</v>
          </cell>
          <cell r="O2655" t="str">
            <v>2011</v>
          </cell>
          <cell r="P2655" t="str">
            <v>15</v>
          </cell>
          <cell r="Q2655" t="str">
            <v>14</v>
          </cell>
        </row>
        <row r="2656">
          <cell r="B2656" t="str">
            <v>0820/16</v>
          </cell>
          <cell r="C2656" t="str">
            <v>2016-0.073.360-0</v>
          </cell>
          <cell r="D2656" t="str">
            <v/>
          </cell>
          <cell r="E2656" t="str">
            <v>11 de abril de 2016</v>
          </cell>
          <cell r="F2656" t="str">
            <v>JONAS SERNA</v>
          </cell>
          <cell r="G2656" t="str">
            <v>11/04/2016</v>
          </cell>
          <cell r="H2656" t="str">
            <v>13/04/2016</v>
          </cell>
          <cell r="I2656" t="str">
            <v>50</v>
          </cell>
          <cell r="J2656" t="str">
            <v>PESSOA FÍSICA</v>
          </cell>
          <cell r="K2656" t="str">
            <v>044.600.688-26</v>
          </cell>
          <cell r="L2656" t="str">
            <v>CS</v>
          </cell>
          <cell r="M2656" t="str">
            <v>JONAS SERNA</v>
          </cell>
          <cell r="N2656" t="str">
            <v>EFU9474</v>
          </cell>
          <cell r="O2656" t="str">
            <v>2010</v>
          </cell>
          <cell r="P2656" t="str">
            <v>19</v>
          </cell>
          <cell r="Q2656" t="str">
            <v>18</v>
          </cell>
        </row>
        <row r="2657">
          <cell r="B2657" t="str">
            <v>0821/16</v>
          </cell>
          <cell r="C2657" t="str">
            <v>2016-0.073.362-6</v>
          </cell>
          <cell r="D2657" t="str">
            <v/>
          </cell>
          <cell r="E2657" t="str">
            <v>30 de março de 2016</v>
          </cell>
          <cell r="F2657" t="str">
            <v>JOSE ANTERO BEZERRA DE ALMEIDA</v>
          </cell>
          <cell r="G2657" t="str">
            <v>30/03/2016</v>
          </cell>
          <cell r="H2657" t="str">
            <v>31/03/2016</v>
          </cell>
          <cell r="I2657" t="str">
            <v>37</v>
          </cell>
          <cell r="J2657" t="str">
            <v>PESSOA FÍSICA</v>
          </cell>
          <cell r="K2657" t="str">
            <v>573.504.423-00</v>
          </cell>
          <cell r="L2657" t="str">
            <v>CS</v>
          </cell>
          <cell r="M2657" t="str">
            <v>JOSE ANTERO BEZERRA DE ALMEIDA</v>
          </cell>
          <cell r="N2657" t="str">
            <v>HFS9592</v>
          </cell>
          <cell r="O2657" t="str">
            <v>2007</v>
          </cell>
          <cell r="P2657" t="str">
            <v>29</v>
          </cell>
          <cell r="Q2657" t="str">
            <v>27</v>
          </cell>
        </row>
        <row r="2658">
          <cell r="B2658" t="str">
            <v>0822/16</v>
          </cell>
          <cell r="C2658" t="str">
            <v>2016-0.073.364-2</v>
          </cell>
          <cell r="D2658" t="str">
            <v/>
          </cell>
          <cell r="E2658" t="str">
            <v>30 de março de 2016</v>
          </cell>
          <cell r="F2658" t="str">
            <v>JOSE LINO DA SILVA</v>
          </cell>
          <cell r="G2658" t="str">
            <v>30/03/2016</v>
          </cell>
          <cell r="H2658" t="str">
            <v>31/03/2016</v>
          </cell>
          <cell r="I2658" t="str">
            <v>37</v>
          </cell>
          <cell r="J2658" t="str">
            <v>PESSOA FÍSICA</v>
          </cell>
          <cell r="K2658" t="str">
            <v>927.648.518-04</v>
          </cell>
          <cell r="L2658" t="str">
            <v>CS</v>
          </cell>
          <cell r="M2658" t="str">
            <v>JOSE LINO DA SILVA</v>
          </cell>
          <cell r="N2658" t="str">
            <v>DTD4327</v>
          </cell>
          <cell r="O2658" t="str">
            <v>2007</v>
          </cell>
          <cell r="P2658" t="str">
            <v>29</v>
          </cell>
          <cell r="Q2658" t="str">
            <v>27</v>
          </cell>
        </row>
        <row r="2659">
          <cell r="B2659" t="str">
            <v>0823/16</v>
          </cell>
          <cell r="C2659" t="str">
            <v>2016-0.073.365-0</v>
          </cell>
          <cell r="D2659" t="str">
            <v/>
          </cell>
          <cell r="E2659" t="str">
            <v>30 de março de 2016</v>
          </cell>
          <cell r="F2659" t="str">
            <v>LUIZ CARLOS RUDINISKI</v>
          </cell>
          <cell r="G2659" t="str">
            <v>30/03/2016</v>
          </cell>
          <cell r="H2659" t="str">
            <v>31/03/2016</v>
          </cell>
          <cell r="I2659" t="str">
            <v>37</v>
          </cell>
          <cell r="J2659" t="str">
            <v>PESSOA FÍSICA</v>
          </cell>
          <cell r="K2659" t="str">
            <v>007.313.058-33</v>
          </cell>
          <cell r="L2659" t="str">
            <v>CS</v>
          </cell>
          <cell r="M2659" t="str">
            <v>LUIZ CARLOS RUDINISKI</v>
          </cell>
          <cell r="N2659" t="str">
            <v>CZX6629</v>
          </cell>
          <cell r="O2659" t="str">
            <v>2002</v>
          </cell>
          <cell r="P2659" t="str">
            <v>25</v>
          </cell>
          <cell r="Q2659" t="str">
            <v>23</v>
          </cell>
        </row>
        <row r="2660">
          <cell r="B2660" t="str">
            <v>0824/16</v>
          </cell>
          <cell r="C2660" t="str">
            <v>2016-0.073.366-9</v>
          </cell>
          <cell r="D2660" t="str">
            <v/>
          </cell>
          <cell r="E2660" t="str">
            <v>04 de abril de 2016</v>
          </cell>
          <cell r="F2660" t="str">
            <v>ROBERTO GONCALVES DA SILVA</v>
          </cell>
          <cell r="G2660" t="str">
            <v>04/04/2016</v>
          </cell>
          <cell r="H2660" t="str">
            <v>07/04/2016</v>
          </cell>
          <cell r="I2660" t="str">
            <v>20</v>
          </cell>
          <cell r="J2660" t="str">
            <v>PESSOA FÍSICA</v>
          </cell>
          <cell r="K2660" t="str">
            <v>022.375.588-50</v>
          </cell>
          <cell r="L2660" t="str">
            <v>CS</v>
          </cell>
          <cell r="M2660" t="str">
            <v>ROBERTO GONCALVES DA SILVA</v>
          </cell>
          <cell r="N2660" t="str">
            <v>DTA1427</v>
          </cell>
          <cell r="O2660" t="str">
            <v>2007</v>
          </cell>
          <cell r="P2660" t="str">
            <v>29</v>
          </cell>
          <cell r="Q2660" t="str">
            <v>27</v>
          </cell>
        </row>
        <row r="2661">
          <cell r="B2661" t="str">
            <v>0825/16</v>
          </cell>
          <cell r="C2661" t="str">
            <v>2016-0.073.367-7</v>
          </cell>
          <cell r="D2661" t="str">
            <v/>
          </cell>
          <cell r="E2661" t="str">
            <v>04 de abril de 2016</v>
          </cell>
          <cell r="F2661" t="str">
            <v>ROGERIO FRANCISCO DA SILVA</v>
          </cell>
          <cell r="G2661" t="str">
            <v>04/04/2016</v>
          </cell>
          <cell r="H2661" t="str">
            <v>07/04/2016</v>
          </cell>
          <cell r="I2661" t="str">
            <v>20</v>
          </cell>
          <cell r="J2661" t="str">
            <v>PESSOA FÍSICA</v>
          </cell>
          <cell r="K2661" t="str">
            <v>184.704.968-08</v>
          </cell>
          <cell r="L2661" t="str">
            <v>CS</v>
          </cell>
          <cell r="M2661" t="str">
            <v>ROGERIO FRANCISCO DA SILVA</v>
          </cell>
          <cell r="N2661" t="str">
            <v>DTA7198</v>
          </cell>
          <cell r="O2661" t="str">
            <v>2007</v>
          </cell>
          <cell r="P2661" t="str">
            <v>29</v>
          </cell>
          <cell r="Q2661" t="str">
            <v>27</v>
          </cell>
        </row>
        <row r="2662">
          <cell r="B2662" t="str">
            <v>0826/16</v>
          </cell>
          <cell r="C2662" t="str">
            <v>2016-0.073.368-5</v>
          </cell>
          <cell r="D2662" t="str">
            <v/>
          </cell>
          <cell r="E2662" t="str">
            <v>01 de abril de 2016</v>
          </cell>
          <cell r="F2662" t="str">
            <v>RONALDO BEZERRA DE CARVALHO</v>
          </cell>
          <cell r="G2662" t="str">
            <v>01/04/2016</v>
          </cell>
          <cell r="H2662" t="str">
            <v>02/04/2016</v>
          </cell>
          <cell r="I2662" t="str">
            <v>43</v>
          </cell>
          <cell r="J2662" t="str">
            <v>PESSOA FÍSICA</v>
          </cell>
          <cell r="K2662" t="str">
            <v>268.814.508-85</v>
          </cell>
          <cell r="L2662" t="str">
            <v>CS</v>
          </cell>
          <cell r="M2662" t="str">
            <v>RONALDO BEZERRA DE CARVALHO</v>
          </cell>
          <cell r="N2662" t="str">
            <v>EZO1040</v>
          </cell>
          <cell r="O2662" t="str">
            <v>2012</v>
          </cell>
          <cell r="P2662" t="str">
            <v>19</v>
          </cell>
          <cell r="Q2662" t="str">
            <v>18</v>
          </cell>
        </row>
        <row r="2663">
          <cell r="B2663" t="str">
            <v>0827/16</v>
          </cell>
          <cell r="C2663" t="str">
            <v>2016-0.073.369-3</v>
          </cell>
          <cell r="D2663" t="str">
            <v/>
          </cell>
          <cell r="E2663" t="str">
            <v>30 de março de 2016</v>
          </cell>
          <cell r="F2663" t="str">
            <v>SILVIA VALERIA CASSER</v>
          </cell>
          <cell r="G2663" t="str">
            <v>30/03/2016</v>
          </cell>
          <cell r="H2663" t="str">
            <v>31/03/2016</v>
          </cell>
          <cell r="I2663" t="str">
            <v>37</v>
          </cell>
          <cell r="J2663" t="str">
            <v>PESSOA FÍSICA</v>
          </cell>
          <cell r="K2663" t="str">
            <v>219.596.648-32</v>
          </cell>
          <cell r="L2663" t="str">
            <v>CS</v>
          </cell>
          <cell r="M2663" t="str">
            <v>SILVIA VALERIA CASSER</v>
          </cell>
          <cell r="N2663" t="str">
            <v>EMU5280</v>
          </cell>
          <cell r="O2663" t="str">
            <v>2011</v>
          </cell>
          <cell r="P2663" t="str">
            <v>18</v>
          </cell>
          <cell r="Q2663" t="str">
            <v>17</v>
          </cell>
        </row>
        <row r="2664">
          <cell r="B2664" t="str">
            <v>0828/16</v>
          </cell>
          <cell r="C2664" t="str">
            <v>2016-0.073.371-5</v>
          </cell>
          <cell r="D2664" t="str">
            <v/>
          </cell>
          <cell r="E2664" t="str">
            <v>11 de abril de 2016</v>
          </cell>
          <cell r="F2664" t="str">
            <v>VALDIRENE DA SILVA</v>
          </cell>
          <cell r="G2664" t="str">
            <v>11/04/2016</v>
          </cell>
          <cell r="H2664" t="str">
            <v>13/04/2016</v>
          </cell>
          <cell r="I2664" t="str">
            <v>50</v>
          </cell>
          <cell r="J2664" t="str">
            <v>PESSOA FÍSICA</v>
          </cell>
          <cell r="K2664" t="str">
            <v>115.979.288-79</v>
          </cell>
          <cell r="L2664" t="str">
            <v>CS</v>
          </cell>
          <cell r="M2664" t="str">
            <v>VALDIRENE DA SILVA</v>
          </cell>
          <cell r="N2664" t="str">
            <v>DTC8663</v>
          </cell>
          <cell r="O2664" t="str">
            <v>2008</v>
          </cell>
          <cell r="P2664" t="str">
            <v>15</v>
          </cell>
          <cell r="Q2664" t="str">
            <v>14</v>
          </cell>
        </row>
        <row r="2665">
          <cell r="B2665" t="str">
            <v>0829/16</v>
          </cell>
          <cell r="C2665" t="str">
            <v>2016-0.073.372-3</v>
          </cell>
          <cell r="D2665" t="str">
            <v/>
          </cell>
          <cell r="E2665" t="str">
            <v>01 de abril de 2016</v>
          </cell>
          <cell r="F2665" t="str">
            <v>EDICARLOS ALVES DOS SANTOS</v>
          </cell>
          <cell r="G2665" t="str">
            <v>01/04/2016</v>
          </cell>
          <cell r="H2665" t="str">
            <v>02/04/2016</v>
          </cell>
          <cell r="I2665" t="str">
            <v>43</v>
          </cell>
          <cell r="J2665" t="str">
            <v>PESSOA FÍSICA</v>
          </cell>
          <cell r="K2665" t="str">
            <v>153.626.588-83</v>
          </cell>
          <cell r="L2665" t="str">
            <v>CS</v>
          </cell>
          <cell r="M2665" t="str">
            <v>EDICARLOS ALVES DOS SANTOS</v>
          </cell>
          <cell r="N2665" t="str">
            <v>DTC1016</v>
          </cell>
          <cell r="O2665" t="str">
            <v>2007</v>
          </cell>
          <cell r="P2665" t="str">
            <v>29</v>
          </cell>
          <cell r="Q2665" t="str">
            <v>27</v>
          </cell>
        </row>
        <row r="2666">
          <cell r="B2666" t="str">
            <v>0830/16</v>
          </cell>
          <cell r="C2666" t="str">
            <v>2016-0.073.373-1</v>
          </cell>
          <cell r="D2666" t="str">
            <v/>
          </cell>
          <cell r="E2666" t="str">
            <v>01 de abril de 2016</v>
          </cell>
          <cell r="F2666" t="str">
            <v>JOSE CARLOS RODRIGUES DE OLIVEIRA</v>
          </cell>
          <cell r="G2666" t="str">
            <v>01/04/2016</v>
          </cell>
          <cell r="H2666" t="str">
            <v>02/04/2016</v>
          </cell>
          <cell r="I2666" t="str">
            <v>43</v>
          </cell>
          <cell r="J2666" t="str">
            <v>PESSOA FÍSICA</v>
          </cell>
          <cell r="K2666" t="str">
            <v>256.086.638-29</v>
          </cell>
          <cell r="L2666" t="str">
            <v>CS</v>
          </cell>
          <cell r="M2666" t="str">
            <v>JOSE CARLOS RODRIGUES DE OLIVEIRA</v>
          </cell>
          <cell r="N2666" t="str">
            <v>FLI5249</v>
          </cell>
          <cell r="O2666" t="str">
            <v>2013</v>
          </cell>
          <cell r="P2666" t="str">
            <v>19</v>
          </cell>
          <cell r="Q2666" t="str">
            <v>18</v>
          </cell>
        </row>
        <row r="2667">
          <cell r="B2667" t="str">
            <v>0831/16</v>
          </cell>
          <cell r="C2667" t="str">
            <v>2016-0.073.375-8</v>
          </cell>
          <cell r="D2667" t="str">
            <v/>
          </cell>
          <cell r="E2667" t="str">
            <v>30 de março de 2016</v>
          </cell>
          <cell r="F2667" t="str">
            <v>MAURICIO ARRUDA BARBOSA</v>
          </cell>
          <cell r="G2667" t="str">
            <v>30/03/2016</v>
          </cell>
          <cell r="H2667" t="str">
            <v>31/03/2016</v>
          </cell>
          <cell r="I2667" t="str">
            <v>37</v>
          </cell>
          <cell r="J2667" t="str">
            <v>PESSOA FÍSICA</v>
          </cell>
          <cell r="K2667" t="str">
            <v>100.817.058-59</v>
          </cell>
          <cell r="L2667" t="str">
            <v>CS</v>
          </cell>
          <cell r="M2667" t="str">
            <v>MAURICIO ARRUDA BARBOSA</v>
          </cell>
          <cell r="N2667" t="str">
            <v>DTD2389</v>
          </cell>
          <cell r="O2667" t="str">
            <v>2008</v>
          </cell>
          <cell r="P2667" t="str">
            <v>44</v>
          </cell>
          <cell r="Q2667" t="str">
            <v>42</v>
          </cell>
        </row>
        <row r="2668">
          <cell r="B2668" t="str">
            <v>0832/16</v>
          </cell>
          <cell r="C2668" t="str">
            <v>2016-0.073.376-6</v>
          </cell>
          <cell r="D2668" t="str">
            <v/>
          </cell>
          <cell r="E2668" t="str">
            <v>01 de abril de 2016</v>
          </cell>
          <cell r="F2668" t="str">
            <v>ALVIMAR BATISTA DE SOUSA</v>
          </cell>
          <cell r="G2668" t="str">
            <v>01/04/2016</v>
          </cell>
          <cell r="H2668" t="str">
            <v>02/04/2016</v>
          </cell>
          <cell r="I2668" t="str">
            <v>43</v>
          </cell>
          <cell r="J2668" t="str">
            <v>PESSOA FÍSICA</v>
          </cell>
          <cell r="K2668" t="str">
            <v>022.029.148-97</v>
          </cell>
          <cell r="L2668" t="str">
            <v>CS</v>
          </cell>
          <cell r="M2668" t="str">
            <v>ALVIMAR BATISTA DE SOUSA</v>
          </cell>
          <cell r="N2668" t="str">
            <v>EAP8328</v>
          </cell>
          <cell r="O2668" t="str">
            <v>2007</v>
          </cell>
          <cell r="P2668" t="str">
            <v>29</v>
          </cell>
          <cell r="Q2668" t="str">
            <v>27</v>
          </cell>
        </row>
        <row r="2669">
          <cell r="B2669" t="str">
            <v>0833/16</v>
          </cell>
          <cell r="C2669" t="str">
            <v>2016-0.073.379-0</v>
          </cell>
          <cell r="D2669" t="str">
            <v/>
          </cell>
          <cell r="E2669" t="str">
            <v>01 de abril de 2016</v>
          </cell>
          <cell r="F2669" t="str">
            <v>EDUARDO JOSE DE LIRA</v>
          </cell>
          <cell r="G2669" t="str">
            <v>01/04/2016</v>
          </cell>
          <cell r="H2669" t="str">
            <v>02/04/2016</v>
          </cell>
          <cell r="I2669" t="str">
            <v>43</v>
          </cell>
          <cell r="J2669" t="str">
            <v>PESSOA FÍSICA</v>
          </cell>
          <cell r="K2669" t="str">
            <v>189.684.398-00</v>
          </cell>
          <cell r="L2669" t="str">
            <v>CS</v>
          </cell>
          <cell r="M2669" t="str">
            <v>EDUARDO JOSE DE LIRA</v>
          </cell>
          <cell r="N2669" t="str">
            <v>DTD2635</v>
          </cell>
          <cell r="O2669" t="str">
            <v>2007</v>
          </cell>
          <cell r="P2669" t="str">
            <v>29</v>
          </cell>
          <cell r="Q2669" t="str">
            <v>27</v>
          </cell>
        </row>
        <row r="2670">
          <cell r="B2670" t="str">
            <v>0834/16</v>
          </cell>
          <cell r="C2670" t="str">
            <v>2016-0.073.380-4</v>
          </cell>
          <cell r="D2670" t="str">
            <v/>
          </cell>
          <cell r="E2670" t="str">
            <v>30 de março de 2016</v>
          </cell>
          <cell r="F2670" t="str">
            <v>JOAO CESAR DOS SANTOS</v>
          </cell>
          <cell r="G2670" t="str">
            <v>30/03/2016</v>
          </cell>
          <cell r="H2670" t="str">
            <v>31/03/2016</v>
          </cell>
          <cell r="I2670" t="str">
            <v>37</v>
          </cell>
          <cell r="J2670" t="str">
            <v>PESSOA FÍSICA</v>
          </cell>
          <cell r="K2670" t="str">
            <v>291.934.678-42</v>
          </cell>
          <cell r="L2670" t="str">
            <v>CS</v>
          </cell>
          <cell r="M2670" t="str">
            <v>JOAO CESAR DOS SANTOS</v>
          </cell>
          <cell r="N2670" t="str">
            <v>DTC3093</v>
          </cell>
          <cell r="O2670" t="str">
            <v>2007</v>
          </cell>
          <cell r="P2670" t="str">
            <v>29</v>
          </cell>
          <cell r="Q2670" t="str">
            <v>27</v>
          </cell>
        </row>
        <row r="2671">
          <cell r="B2671" t="str">
            <v>0835/16</v>
          </cell>
          <cell r="C2671" t="str">
            <v>2016-0.073.381-2</v>
          </cell>
          <cell r="D2671" t="str">
            <v/>
          </cell>
          <cell r="E2671" t="str">
            <v>31 de março de 2016</v>
          </cell>
          <cell r="F2671" t="str">
            <v>JOSE PEREIRA DA MATA</v>
          </cell>
          <cell r="G2671" t="str">
            <v>31/03/2016</v>
          </cell>
          <cell r="H2671" t="str">
            <v>02/04/2016</v>
          </cell>
          <cell r="I2671" t="str">
            <v>43</v>
          </cell>
          <cell r="J2671" t="str">
            <v>PESSOA FÍSICA</v>
          </cell>
          <cell r="K2671" t="str">
            <v>874.013.478-49</v>
          </cell>
          <cell r="L2671" t="str">
            <v>CS</v>
          </cell>
          <cell r="M2671" t="str">
            <v>JOSE PEREIRA DA MATA</v>
          </cell>
          <cell r="N2671" t="str">
            <v>FRH5068</v>
          </cell>
          <cell r="O2671" t="str">
            <v>2014</v>
          </cell>
          <cell r="P2671" t="str">
            <v>19</v>
          </cell>
          <cell r="Q2671" t="str">
            <v>18</v>
          </cell>
        </row>
        <row r="2672">
          <cell r="B2672" t="str">
            <v>0836/16</v>
          </cell>
          <cell r="C2672" t="str">
            <v>2016-0.073.383-9</v>
          </cell>
          <cell r="D2672" t="str">
            <v/>
          </cell>
          <cell r="E2672" t="str">
            <v>30 de março de 2016</v>
          </cell>
          <cell r="F2672" t="str">
            <v>MARGARETE CRISTINA FERREIRA BEZERRA</v>
          </cell>
          <cell r="G2672" t="str">
            <v>30/03/2016</v>
          </cell>
          <cell r="H2672" t="str">
            <v>31/03/2016</v>
          </cell>
          <cell r="I2672" t="str">
            <v>37</v>
          </cell>
          <cell r="J2672" t="str">
            <v>PESSOA FÍSICA</v>
          </cell>
          <cell r="K2672" t="str">
            <v>106.639.888-70</v>
          </cell>
          <cell r="L2672" t="str">
            <v>CS</v>
          </cell>
          <cell r="M2672" t="str">
            <v>MARGARETE CRISTINA FERREIRA BEZERRA</v>
          </cell>
          <cell r="N2672" t="str">
            <v>DTD4186</v>
          </cell>
          <cell r="O2672" t="str">
            <v>2007</v>
          </cell>
          <cell r="P2672" t="str">
            <v>28</v>
          </cell>
          <cell r="Q2672" t="str">
            <v>27</v>
          </cell>
        </row>
        <row r="2673">
          <cell r="B2673" t="str">
            <v>0837/16</v>
          </cell>
          <cell r="C2673" t="str">
            <v>2016-0.073.384-7</v>
          </cell>
          <cell r="D2673" t="str">
            <v/>
          </cell>
          <cell r="E2673" t="str">
            <v>12 de abril de 2016</v>
          </cell>
          <cell r="F2673" t="str">
            <v>VANDERLIN PEREIRA SANTIAGO</v>
          </cell>
          <cell r="G2673" t="str">
            <v>12/04/2016</v>
          </cell>
          <cell r="H2673" t="str">
            <v>13/04/2016</v>
          </cell>
          <cell r="I2673" t="str">
            <v>50</v>
          </cell>
          <cell r="J2673" t="str">
            <v>PESSOA FÍSICA</v>
          </cell>
          <cell r="K2673" t="str">
            <v>057.394.848-80</v>
          </cell>
          <cell r="L2673" t="str">
            <v>CS</v>
          </cell>
          <cell r="M2673" t="str">
            <v>VANDERLIN PEREIRA SANTIAGO</v>
          </cell>
          <cell r="N2673" t="str">
            <v>CZZ2590</v>
          </cell>
          <cell r="O2673" t="str">
            <v>2003</v>
          </cell>
          <cell r="P2673" t="str">
            <v>25</v>
          </cell>
          <cell r="Q2673" t="str">
            <v>23</v>
          </cell>
        </row>
        <row r="2674">
          <cell r="B2674" t="str">
            <v>0838/16</v>
          </cell>
          <cell r="C2674" t="str">
            <v>2016-0.073.386-3</v>
          </cell>
          <cell r="D2674" t="str">
            <v/>
          </cell>
          <cell r="E2674" t="str">
            <v>25 de abril de 2016</v>
          </cell>
          <cell r="F2674" t="str">
            <v>VIVIANE CHRISTE HELFSTEIN DOMINGUES</v>
          </cell>
          <cell r="G2674" t="str">
            <v>25/04/2016</v>
          </cell>
          <cell r="H2674" t="str">
            <v>27/04/2016</v>
          </cell>
          <cell r="I2674" t="str">
            <v>54</v>
          </cell>
          <cell r="J2674" t="str">
            <v>PESSOA FÍSICA</v>
          </cell>
          <cell r="K2674" t="str">
            <v>250.667.398-90</v>
          </cell>
          <cell r="L2674" t="str">
            <v>CS</v>
          </cell>
          <cell r="M2674" t="str">
            <v>VIVIANE CHRISTE HELFSTEIN DOMINGUES</v>
          </cell>
          <cell r="N2674" t="str">
            <v>DTD3633</v>
          </cell>
          <cell r="O2674" t="str">
            <v>2009</v>
          </cell>
          <cell r="P2674" t="str">
            <v>19</v>
          </cell>
          <cell r="Q2674" t="str">
            <v>18</v>
          </cell>
        </row>
        <row r="2675">
          <cell r="B2675" t="str">
            <v>0839/16</v>
          </cell>
          <cell r="C2675" t="str">
            <v>2016-0.073.388-0</v>
          </cell>
          <cell r="D2675" t="str">
            <v/>
          </cell>
          <cell r="E2675" t="str">
            <v>01 de abril de 2016</v>
          </cell>
          <cell r="F2675" t="str">
            <v>ADAIL JOSE GUIMARAES</v>
          </cell>
          <cell r="G2675" t="str">
            <v>01/04/2016</v>
          </cell>
          <cell r="H2675" t="str">
            <v>02/04/2016</v>
          </cell>
          <cell r="I2675" t="str">
            <v>43</v>
          </cell>
          <cell r="J2675" t="str">
            <v>PESSOA FÍSICA</v>
          </cell>
          <cell r="K2675" t="str">
            <v>086.870.918-26</v>
          </cell>
          <cell r="L2675" t="str">
            <v>CS</v>
          </cell>
          <cell r="M2675" t="str">
            <v>ADAIL JOSE GUIMARAES</v>
          </cell>
          <cell r="N2675" t="str">
            <v>DTB7879</v>
          </cell>
          <cell r="O2675" t="str">
            <v>2007</v>
          </cell>
          <cell r="P2675" t="str">
            <v>29</v>
          </cell>
          <cell r="Q2675" t="str">
            <v>27</v>
          </cell>
        </row>
        <row r="2676">
          <cell r="B2676" t="str">
            <v>0840/16</v>
          </cell>
          <cell r="C2676" t="str">
            <v>2016-0.073.390-1</v>
          </cell>
          <cell r="D2676" t="str">
            <v/>
          </cell>
          <cell r="E2676" t="str">
            <v>01 de abril de 2016</v>
          </cell>
          <cell r="F2676" t="str">
            <v>ANDERSON GRANDINI</v>
          </cell>
          <cell r="G2676" t="str">
            <v>01/04/2016</v>
          </cell>
          <cell r="H2676" t="str">
            <v>02/04/2016</v>
          </cell>
          <cell r="I2676" t="str">
            <v>44</v>
          </cell>
          <cell r="J2676" t="str">
            <v>PESSOA FÍSICA</v>
          </cell>
          <cell r="K2676" t="str">
            <v>336.764.778-04</v>
          </cell>
          <cell r="L2676" t="str">
            <v>CS</v>
          </cell>
          <cell r="M2676" t="str">
            <v>ANDERSON GRANDINI</v>
          </cell>
          <cell r="N2676" t="str">
            <v>ECT3729</v>
          </cell>
          <cell r="O2676" t="str">
            <v>2008</v>
          </cell>
          <cell r="P2676" t="str">
            <v>29</v>
          </cell>
          <cell r="Q2676" t="str">
            <v>27</v>
          </cell>
        </row>
        <row r="2677">
          <cell r="B2677" t="str">
            <v>0841/16</v>
          </cell>
          <cell r="C2677" t="str">
            <v>2016-0.073.391-0</v>
          </cell>
          <cell r="D2677" t="str">
            <v/>
          </cell>
          <cell r="E2677" t="str">
            <v>01 de abril de 2016</v>
          </cell>
          <cell r="F2677" t="str">
            <v>BENEDITO ROMAO PARIS FILHO</v>
          </cell>
          <cell r="G2677" t="str">
            <v>01/04/2016</v>
          </cell>
          <cell r="H2677" t="str">
            <v>02/04/2016</v>
          </cell>
          <cell r="I2677" t="str">
            <v>44</v>
          </cell>
          <cell r="J2677" t="str">
            <v>PESSOA FÍSICA</v>
          </cell>
          <cell r="K2677" t="str">
            <v>069.282.158-95</v>
          </cell>
          <cell r="L2677" t="str">
            <v>CS</v>
          </cell>
          <cell r="M2677" t="str">
            <v>BENEDITO ROMAO PARIS FILHO</v>
          </cell>
          <cell r="N2677" t="str">
            <v>DTC3844</v>
          </cell>
          <cell r="O2677" t="str">
            <v>2008</v>
          </cell>
          <cell r="P2677" t="str">
            <v>29</v>
          </cell>
          <cell r="Q2677" t="str">
            <v>27</v>
          </cell>
        </row>
        <row r="2678">
          <cell r="B2678" t="str">
            <v>0842/16</v>
          </cell>
          <cell r="C2678" t="str">
            <v>2016-0.073.392-8</v>
          </cell>
          <cell r="D2678" t="str">
            <v/>
          </cell>
          <cell r="E2678" t="str">
            <v>20 de abril de 2016</v>
          </cell>
          <cell r="F2678" t="str">
            <v>CLAUDIO ALEXANDRE SILVA</v>
          </cell>
          <cell r="G2678" t="str">
            <v>20/04/2016</v>
          </cell>
          <cell r="H2678" t="str">
            <v>21/04/2016</v>
          </cell>
          <cell r="I2678" t="str">
            <v>95</v>
          </cell>
          <cell r="J2678" t="str">
            <v>PESSOA FÍSICA</v>
          </cell>
          <cell r="K2678" t="str">
            <v>188.601.958-45</v>
          </cell>
          <cell r="L2678" t="str">
            <v>CS</v>
          </cell>
          <cell r="M2678" t="str">
            <v>CLAUDIO ALEXANDRE SILVA</v>
          </cell>
          <cell r="N2678" t="str">
            <v>DTB5525</v>
          </cell>
          <cell r="O2678" t="str">
            <v>2010</v>
          </cell>
          <cell r="P2678" t="str">
            <v>19</v>
          </cell>
          <cell r="Q2678" t="str">
            <v>18</v>
          </cell>
        </row>
        <row r="2679">
          <cell r="B2679" t="str">
            <v>0843/16</v>
          </cell>
          <cell r="C2679" t="str">
            <v>2016-0.073.393-6</v>
          </cell>
          <cell r="D2679" t="str">
            <v/>
          </cell>
          <cell r="E2679" t="str">
            <v>14 de março de 2016</v>
          </cell>
          <cell r="F2679" t="str">
            <v>AILSON RODRIGUES DE SOUZA</v>
          </cell>
          <cell r="G2679" t="str">
            <v>14/03/2016</v>
          </cell>
          <cell r="H2679" t="str">
            <v>02/04/2016</v>
          </cell>
          <cell r="I2679" t="str">
            <v>44</v>
          </cell>
          <cell r="J2679" t="str">
            <v>PESSOA FÍSICA</v>
          </cell>
          <cell r="K2679" t="str">
            <v>865.751.125-87</v>
          </cell>
          <cell r="L2679" t="str">
            <v>SM</v>
          </cell>
          <cell r="M2679" t="str">
            <v>AILSON RODRIGUES DE SOUZA</v>
          </cell>
          <cell r="N2679" t="str">
            <v>CYB6800</v>
          </cell>
          <cell r="O2679" t="str">
            <v>2001</v>
          </cell>
          <cell r="P2679" t="str">
            <v>25</v>
          </cell>
          <cell r="Q2679" t="str">
            <v>23</v>
          </cell>
        </row>
        <row r="2680">
          <cell r="B2680" t="str">
            <v>0844/16</v>
          </cell>
          <cell r="C2680" t="str">
            <v>2016-0.073.413-4</v>
          </cell>
          <cell r="D2680" t="str">
            <v/>
          </cell>
          <cell r="E2680" t="str">
            <v/>
          </cell>
          <cell r="F2680" t="str">
            <v>EVANDRO GOMES SOARES</v>
          </cell>
          <cell r="G2680" t="str">
            <v/>
          </cell>
          <cell r="H2680" t="str">
            <v/>
          </cell>
          <cell r="I2680" t="str">
            <v/>
          </cell>
          <cell r="J2680" t="str">
            <v>PESSOA FÍSICA</v>
          </cell>
          <cell r="K2680" t="str">
            <v>251.717.198-02</v>
          </cell>
          <cell r="L2680" t="str">
            <v>CS</v>
          </cell>
          <cell r="M2680" t="str">
            <v>EVANDRO GOMES SOARES</v>
          </cell>
          <cell r="N2680" t="str">
            <v>CZX7929</v>
          </cell>
          <cell r="O2680" t="str">
            <v>2003</v>
          </cell>
          <cell r="P2680" t="str">
            <v>25</v>
          </cell>
          <cell r="Q2680" t="str">
            <v>23</v>
          </cell>
        </row>
        <row r="2681">
          <cell r="B2681" t="str">
            <v>0845/16</v>
          </cell>
          <cell r="C2681" t="str">
            <v>2016-0.073.414-2</v>
          </cell>
          <cell r="D2681" t="str">
            <v/>
          </cell>
          <cell r="E2681" t="str">
            <v>01 de abril de 2016</v>
          </cell>
          <cell r="F2681" t="str">
            <v>FABIANO ALVES DOS SANTOS</v>
          </cell>
          <cell r="G2681" t="str">
            <v>01/04/2016</v>
          </cell>
          <cell r="H2681" t="str">
            <v>02/04/2016</v>
          </cell>
          <cell r="I2681" t="str">
            <v>44</v>
          </cell>
          <cell r="J2681" t="str">
            <v>PESSOA FÍSICA</v>
          </cell>
          <cell r="K2681" t="str">
            <v>270.803.028-03</v>
          </cell>
          <cell r="L2681" t="str">
            <v>CS</v>
          </cell>
          <cell r="M2681" t="str">
            <v>FABIANO ALVES DOS SANTOS</v>
          </cell>
          <cell r="N2681" t="str">
            <v>FCV2490</v>
          </cell>
          <cell r="O2681" t="str">
            <v>2014</v>
          </cell>
          <cell r="P2681" t="str">
            <v>19</v>
          </cell>
          <cell r="Q2681" t="str">
            <v>18</v>
          </cell>
        </row>
        <row r="2682">
          <cell r="B2682" t="str">
            <v>0846/16</v>
          </cell>
          <cell r="C2682" t="str">
            <v>2016-0.073.415-0</v>
          </cell>
          <cell r="D2682" t="str">
            <v/>
          </cell>
          <cell r="E2682" t="str">
            <v/>
          </cell>
          <cell r="F2682" t="str">
            <v>FERNANDO ULISES CAVALIERI GONZALEZ</v>
          </cell>
          <cell r="G2682" t="str">
            <v/>
          </cell>
          <cell r="H2682" t="str">
            <v/>
          </cell>
          <cell r="I2682" t="str">
            <v/>
          </cell>
          <cell r="J2682" t="str">
            <v>PESSOA FÍSICA</v>
          </cell>
          <cell r="K2682" t="str">
            <v>212.795.778-43</v>
          </cell>
          <cell r="L2682" t="str">
            <v>CS</v>
          </cell>
          <cell r="M2682" t="str">
            <v>FERNANDO ULISES CAVALIERI GONZALEZ</v>
          </cell>
          <cell r="N2682" t="str">
            <v>DTC0298</v>
          </cell>
          <cell r="O2682" t="str">
            <v>2007</v>
          </cell>
          <cell r="P2682" t="str">
            <v>29</v>
          </cell>
          <cell r="Q2682" t="str">
            <v>27</v>
          </cell>
        </row>
        <row r="2683">
          <cell r="B2683" t="str">
            <v>0847/16</v>
          </cell>
          <cell r="C2683" t="str">
            <v>2016-0.073.417-7</v>
          </cell>
          <cell r="D2683" t="str">
            <v/>
          </cell>
          <cell r="E2683" t="str">
            <v/>
          </cell>
          <cell r="F2683" t="str">
            <v>JEFFERSON ROBERTO GALVAO</v>
          </cell>
          <cell r="G2683" t="str">
            <v/>
          </cell>
          <cell r="H2683" t="str">
            <v/>
          </cell>
          <cell r="I2683" t="str">
            <v/>
          </cell>
          <cell r="J2683" t="str">
            <v>PESSOA FÍSICA</v>
          </cell>
          <cell r="K2683" t="str">
            <v>291.613.968-00</v>
          </cell>
          <cell r="L2683" t="str">
            <v>CS</v>
          </cell>
          <cell r="M2683" t="str">
            <v>JEFFERSON ROBERTO GALVAO</v>
          </cell>
          <cell r="N2683" t="str">
            <v>DZX5135</v>
          </cell>
          <cell r="O2683" t="str">
            <v>2007</v>
          </cell>
          <cell r="P2683" t="str">
            <v>29</v>
          </cell>
          <cell r="Q2683" t="str">
            <v>27</v>
          </cell>
        </row>
        <row r="2684">
          <cell r="B2684" t="str">
            <v>0848/16</v>
          </cell>
          <cell r="C2684" t="str">
            <v>2016-0.073.418-5</v>
          </cell>
          <cell r="D2684" t="str">
            <v/>
          </cell>
          <cell r="E2684" t="str">
            <v>31 de março de 2016</v>
          </cell>
          <cell r="F2684" t="str">
            <v>MARIA SIRLEY FERNANDES DA SILVA</v>
          </cell>
          <cell r="G2684" t="str">
            <v>31/03/2016</v>
          </cell>
          <cell r="H2684" t="str">
            <v>02/04/2016</v>
          </cell>
          <cell r="I2684" t="str">
            <v>44</v>
          </cell>
          <cell r="J2684" t="str">
            <v>PESSOA FÍSICA</v>
          </cell>
          <cell r="K2684" t="str">
            <v>166.477.438-63</v>
          </cell>
          <cell r="L2684" t="str">
            <v>CS</v>
          </cell>
          <cell r="M2684" t="str">
            <v>MARIA SIRLEY FERNANDES DA SILVA</v>
          </cell>
          <cell r="N2684" t="str">
            <v>ELQ1320</v>
          </cell>
          <cell r="O2684" t="str">
            <v>2010</v>
          </cell>
          <cell r="P2684" t="str">
            <v>19</v>
          </cell>
          <cell r="Q2684" t="str">
            <v>18</v>
          </cell>
        </row>
        <row r="2685">
          <cell r="B2685" t="str">
            <v>0849/16</v>
          </cell>
          <cell r="C2685" t="str">
            <v>2016-0.073.419-3</v>
          </cell>
          <cell r="D2685" t="str">
            <v/>
          </cell>
          <cell r="E2685" t="str">
            <v>04 de abril de 2016</v>
          </cell>
          <cell r="F2685" t="str">
            <v>PATRICIA DESENZI RUY AFFONSO</v>
          </cell>
          <cell r="G2685" t="str">
            <v>04/04/2016</v>
          </cell>
          <cell r="H2685" t="str">
            <v>07/04/2016</v>
          </cell>
          <cell r="I2685" t="str">
            <v>20</v>
          </cell>
          <cell r="J2685" t="str">
            <v>PESSOA FÍSICA</v>
          </cell>
          <cell r="K2685" t="str">
            <v>075.446.358-30</v>
          </cell>
          <cell r="L2685" t="str">
            <v>CS</v>
          </cell>
          <cell r="M2685" t="str">
            <v>PATRICIA DESENZI RUY AFFONSO</v>
          </cell>
          <cell r="N2685" t="str">
            <v>DTE6076</v>
          </cell>
          <cell r="O2685" t="str">
            <v>2012</v>
          </cell>
          <cell r="P2685" t="str">
            <v>19</v>
          </cell>
          <cell r="Q2685" t="str">
            <v>18</v>
          </cell>
        </row>
        <row r="2686">
          <cell r="B2686" t="str">
            <v>0850/16</v>
          </cell>
          <cell r="C2686" t="str">
            <v>2016-0.073.422-3</v>
          </cell>
          <cell r="D2686" t="str">
            <v/>
          </cell>
          <cell r="E2686" t="str">
            <v>27 de abril de 2016</v>
          </cell>
          <cell r="F2686" t="str">
            <v>SELMA GOMES DE OLIVEIRA</v>
          </cell>
          <cell r="G2686" t="str">
            <v>27/04/2016</v>
          </cell>
          <cell r="H2686" t="str">
            <v/>
          </cell>
          <cell r="I2686" t="str">
            <v/>
          </cell>
          <cell r="J2686" t="str">
            <v>PESSOA FÍSICA</v>
          </cell>
          <cell r="K2686" t="str">
            <v>274.405.658-86</v>
          </cell>
          <cell r="L2686" t="str">
            <v>CS</v>
          </cell>
          <cell r="M2686" t="str">
            <v>SELMA GOMES DE OLIVEIRA</v>
          </cell>
          <cell r="N2686" t="str">
            <v>DTC6100</v>
          </cell>
          <cell r="O2686" t="str">
            <v>2009</v>
          </cell>
          <cell r="P2686" t="str">
            <v>19</v>
          </cell>
          <cell r="Q2686" t="str">
            <v>18</v>
          </cell>
        </row>
        <row r="2687">
          <cell r="B2687" t="str">
            <v>0851/16</v>
          </cell>
          <cell r="C2687" t="str">
            <v>2016-0.073.424-0</v>
          </cell>
          <cell r="D2687" t="str">
            <v/>
          </cell>
          <cell r="E2687" t="str">
            <v>28 de março de 2016</v>
          </cell>
          <cell r="F2687" t="str">
            <v>CLEUBER DE SOUSA GOMES</v>
          </cell>
          <cell r="G2687" t="str">
            <v>28/03/2016</v>
          </cell>
          <cell r="H2687" t="str">
            <v>02/04/2016</v>
          </cell>
          <cell r="I2687" t="str">
            <v>44</v>
          </cell>
          <cell r="J2687" t="str">
            <v>PESSOA FÍSICA</v>
          </cell>
          <cell r="K2687" t="str">
            <v>074.761.708-22</v>
          </cell>
          <cell r="L2687" t="str">
            <v>FO</v>
          </cell>
          <cell r="M2687" t="str">
            <v>CLEUBER DE SOUSA GOMES</v>
          </cell>
          <cell r="N2687" t="str">
            <v>EFU9038</v>
          </cell>
          <cell r="O2687" t="str">
            <v>2009</v>
          </cell>
          <cell r="P2687" t="str">
            <v>15</v>
          </cell>
          <cell r="Q2687" t="str">
            <v>14</v>
          </cell>
        </row>
        <row r="2688">
          <cell r="B2688" t="str">
            <v>0852/16</v>
          </cell>
          <cell r="C2688" t="str">
            <v>2016-0.077.867-0</v>
          </cell>
          <cell r="D2688" t="str">
            <v/>
          </cell>
          <cell r="E2688" t="str">
            <v/>
          </cell>
          <cell r="F2688" t="str">
            <v>PEDRO TEOFILO DA SILVA</v>
          </cell>
          <cell r="G2688" t="str">
            <v/>
          </cell>
          <cell r="H2688" t="str">
            <v/>
          </cell>
          <cell r="I2688" t="str">
            <v/>
          </cell>
          <cell r="J2688" t="str">
            <v>PESSOA FÍSICA</v>
          </cell>
          <cell r="K2688" t="str">
            <v>404.480.458-34</v>
          </cell>
          <cell r="L2688" t="str">
            <v>MP</v>
          </cell>
          <cell r="M2688" t="str">
            <v>PEDRO TEOFILO DA SILVA</v>
          </cell>
          <cell r="N2688" t="str">
            <v>CYR4003</v>
          </cell>
          <cell r="O2688" t="str">
            <v>2002</v>
          </cell>
          <cell r="P2688" t="str">
            <v>25</v>
          </cell>
          <cell r="Q2688" t="str">
            <v>23</v>
          </cell>
        </row>
        <row r="2689">
          <cell r="B2689" t="str">
            <v>0853/16</v>
          </cell>
          <cell r="C2689" t="str">
            <v>2016-0.077.868-9</v>
          </cell>
          <cell r="D2689" t="str">
            <v>02/03/2016</v>
          </cell>
          <cell r="E2689" t="str">
            <v>13 de abril de 2016</v>
          </cell>
          <cell r="F2689" t="str">
            <v>PAULO CAETANO DA SILVA JUNIOR</v>
          </cell>
          <cell r="G2689" t="str">
            <v>13/04/2016</v>
          </cell>
          <cell r="H2689" t="str">
            <v>19/04/2016</v>
          </cell>
          <cell r="I2689" t="str">
            <v>27</v>
          </cell>
          <cell r="J2689" t="str">
            <v>PESSOA FÍSICA</v>
          </cell>
          <cell r="K2689" t="str">
            <v>328.733.828-56</v>
          </cell>
          <cell r="L2689" t="str">
            <v>MP</v>
          </cell>
          <cell r="M2689" t="str">
            <v>PAULO CAETANO DA SILVA JUNIOR</v>
          </cell>
          <cell r="N2689" t="str">
            <v>DPF1170</v>
          </cell>
          <cell r="O2689" t="str">
            <v>2006</v>
          </cell>
          <cell r="P2689" t="str">
            <v>15</v>
          </cell>
          <cell r="Q2689" t="str">
            <v>13</v>
          </cell>
        </row>
        <row r="2690">
          <cell r="B2690" t="str">
            <v>0854/16</v>
          </cell>
          <cell r="C2690" t="str">
            <v>2016-0.077.869-7</v>
          </cell>
          <cell r="D2690" t="str">
            <v>15/03/2016</v>
          </cell>
          <cell r="E2690" t="str">
            <v>12 de abril de 2016</v>
          </cell>
          <cell r="F2690" t="str">
            <v>JAILSON MASCARENHAS PEREIRA</v>
          </cell>
          <cell r="G2690" t="str">
            <v>12/04/2016</v>
          </cell>
          <cell r="H2690" t="str">
            <v>13/04/2016</v>
          </cell>
          <cell r="I2690" t="str">
            <v>50</v>
          </cell>
          <cell r="J2690" t="str">
            <v>PESSOA FÍSICA</v>
          </cell>
          <cell r="K2690" t="str">
            <v>278.669.698-41</v>
          </cell>
          <cell r="L2690" t="str">
            <v>MP</v>
          </cell>
          <cell r="M2690" t="str">
            <v>JAILSON MASCARENHAS PEREIRA</v>
          </cell>
          <cell r="N2690" t="str">
            <v>ELQ4460</v>
          </cell>
          <cell r="O2690" t="str">
            <v>2014</v>
          </cell>
          <cell r="P2690" t="str">
            <v>15</v>
          </cell>
          <cell r="Q2690" t="str">
            <v>14</v>
          </cell>
        </row>
        <row r="2691">
          <cell r="B2691" t="str">
            <v>0855/16</v>
          </cell>
          <cell r="C2691" t="str">
            <v>2016-0.077.870-0</v>
          </cell>
          <cell r="D2691" t="str">
            <v>14/03/2016</v>
          </cell>
          <cell r="E2691" t="str">
            <v>12 de abril de 2016</v>
          </cell>
          <cell r="F2691" t="str">
            <v>ANDERSON MARTINS BARBOSA</v>
          </cell>
          <cell r="G2691" t="str">
            <v>12/04/2016</v>
          </cell>
          <cell r="H2691" t="str">
            <v>13/04/2016</v>
          </cell>
          <cell r="I2691" t="str">
            <v>50</v>
          </cell>
          <cell r="J2691" t="str">
            <v>PESSOA FÍSICA</v>
          </cell>
          <cell r="K2691" t="str">
            <v>213.675.878-08</v>
          </cell>
          <cell r="L2691" t="str">
            <v>MP</v>
          </cell>
          <cell r="M2691" t="str">
            <v>ANDERSON MARTINS BARBOSA</v>
          </cell>
          <cell r="N2691" t="str">
            <v>DPC9739</v>
          </cell>
          <cell r="O2691" t="str">
            <v>2006</v>
          </cell>
          <cell r="P2691" t="str">
            <v>19</v>
          </cell>
          <cell r="Q2691" t="str">
            <v>17</v>
          </cell>
        </row>
        <row r="2692">
          <cell r="B2692" t="str">
            <v>0856/16</v>
          </cell>
          <cell r="C2692" t="str">
            <v>2016-0.077.871-9</v>
          </cell>
          <cell r="D2692" t="str">
            <v/>
          </cell>
          <cell r="E2692" t="str">
            <v>04 de abril de 2016</v>
          </cell>
          <cell r="F2692" t="str">
            <v>FABIO MANSUETO DA SILVA</v>
          </cell>
          <cell r="G2692" t="str">
            <v>04/04/2016</v>
          </cell>
          <cell r="H2692" t="str">
            <v>19/04/2016</v>
          </cell>
          <cell r="I2692" t="str">
            <v>27</v>
          </cell>
          <cell r="J2692" t="str">
            <v>PESSOA FÍSICA</v>
          </cell>
          <cell r="K2692" t="str">
            <v>055.254.158-36</v>
          </cell>
          <cell r="L2692" t="str">
            <v>MP</v>
          </cell>
          <cell r="M2692" t="str">
            <v>FABIO MANSUETO DA SILVA</v>
          </cell>
          <cell r="N2692" t="str">
            <v>CZX6584</v>
          </cell>
          <cell r="O2692" t="str">
            <v>2002</v>
          </cell>
          <cell r="P2692" t="str">
            <v>25</v>
          </cell>
          <cell r="Q2692" t="str">
            <v>23</v>
          </cell>
        </row>
        <row r="2693">
          <cell r="B2693" t="str">
            <v>0857/16</v>
          </cell>
          <cell r="C2693" t="str">
            <v>2016-0.077.872-7</v>
          </cell>
          <cell r="D2693" t="str">
            <v>26/02/2016</v>
          </cell>
          <cell r="E2693" t="str">
            <v>11 de abril de 2016</v>
          </cell>
          <cell r="F2693" t="str">
            <v>ADRIANO ROCHA DE ARAUJO</v>
          </cell>
          <cell r="G2693" t="str">
            <v>11/04/2016</v>
          </cell>
          <cell r="H2693" t="str">
            <v>13/04/2016</v>
          </cell>
          <cell r="I2693" t="str">
            <v>50</v>
          </cell>
          <cell r="J2693" t="str">
            <v>PESSOA FÍSICA</v>
          </cell>
          <cell r="K2693" t="str">
            <v>325.678.758-40</v>
          </cell>
          <cell r="L2693" t="str">
            <v>MP</v>
          </cell>
          <cell r="M2693" t="str">
            <v>ADRIANO ROCHA DE ARAUJO</v>
          </cell>
          <cell r="N2693" t="str">
            <v>FVK6880</v>
          </cell>
          <cell r="O2693" t="str">
            <v>2015</v>
          </cell>
          <cell r="P2693" t="str">
            <v>19</v>
          </cell>
          <cell r="Q2693" t="str">
            <v>18</v>
          </cell>
        </row>
        <row r="2694">
          <cell r="B2694" t="str">
            <v>0858/16</v>
          </cell>
          <cell r="C2694" t="str">
            <v>2016-0.077.874-3</v>
          </cell>
          <cell r="D2694" t="str">
            <v>17/03/2016</v>
          </cell>
          <cell r="E2694" t="str">
            <v>13 de abril de 2016</v>
          </cell>
          <cell r="F2694" t="str">
            <v>TALIZIA RAMOS DOS SANTOS</v>
          </cell>
          <cell r="G2694" t="str">
            <v>13/04/2016</v>
          </cell>
          <cell r="H2694" t="str">
            <v>19/04/2016</v>
          </cell>
          <cell r="I2694" t="str">
            <v>27</v>
          </cell>
          <cell r="J2694" t="str">
            <v>PESSOA FÍSICA</v>
          </cell>
          <cell r="K2694" t="str">
            <v>357.048.408-41</v>
          </cell>
          <cell r="L2694" t="str">
            <v>MP</v>
          </cell>
          <cell r="M2694" t="str">
            <v>TALIZIA RAMOS DOS SANTOS</v>
          </cell>
          <cell r="N2694" t="str">
            <v>FZJ9560</v>
          </cell>
          <cell r="O2694" t="str">
            <v>2015</v>
          </cell>
          <cell r="P2694" t="str">
            <v>19</v>
          </cell>
          <cell r="Q2694" t="str">
            <v>18</v>
          </cell>
        </row>
        <row r="2695">
          <cell r="B2695" t="str">
            <v>0859/16</v>
          </cell>
          <cell r="C2695" t="str">
            <v>2016-0.077.875-1</v>
          </cell>
          <cell r="D2695" t="str">
            <v/>
          </cell>
          <cell r="E2695" t="str">
            <v/>
          </cell>
          <cell r="F2695" t="str">
            <v>SEBASTIAO JOSE DA COSTA</v>
          </cell>
          <cell r="G2695" t="str">
            <v/>
          </cell>
          <cell r="H2695" t="str">
            <v/>
          </cell>
          <cell r="I2695" t="str">
            <v/>
          </cell>
          <cell r="J2695" t="str">
            <v>PESSOA FÍSICA</v>
          </cell>
          <cell r="K2695" t="str">
            <v>973.055.618-00</v>
          </cell>
          <cell r="L2695" t="str">
            <v>SA</v>
          </cell>
          <cell r="M2695" t="str">
            <v>SEBASTIAO JOSE DA COSTA</v>
          </cell>
          <cell r="N2695" t="str">
            <v>FXC0254</v>
          </cell>
          <cell r="O2695" t="str">
            <v>2015</v>
          </cell>
          <cell r="P2695" t="str">
            <v>19</v>
          </cell>
          <cell r="Q2695" t="str">
            <v>18</v>
          </cell>
        </row>
        <row r="2696">
          <cell r="B2696" t="str">
            <v>0860/16</v>
          </cell>
          <cell r="C2696" t="str">
            <v>2016-0.077.876-0</v>
          </cell>
          <cell r="D2696" t="str">
            <v>25/02/2016</v>
          </cell>
          <cell r="E2696" t="str">
            <v>13 de abril de 2016</v>
          </cell>
          <cell r="F2696" t="str">
            <v>JOSE CARLOS FERREIRA DE HUNGRIA</v>
          </cell>
          <cell r="G2696" t="str">
            <v>13/04/2016</v>
          </cell>
          <cell r="H2696" t="str">
            <v>19/04/2016</v>
          </cell>
          <cell r="I2696" t="str">
            <v>27</v>
          </cell>
          <cell r="J2696" t="str">
            <v>PESSOA FÍSICA</v>
          </cell>
          <cell r="K2696" t="str">
            <v>384.088.805-00</v>
          </cell>
          <cell r="L2696" t="str">
            <v>S.A</v>
          </cell>
          <cell r="M2696" t="str">
            <v>JOSE CARLOS FERREIRA DE HUNGRIA</v>
          </cell>
          <cell r="N2696" t="str">
            <v>DJF8572</v>
          </cell>
          <cell r="O2696" t="str">
            <v>2006</v>
          </cell>
          <cell r="P2696" t="str">
            <v>25</v>
          </cell>
          <cell r="Q2696" t="str">
            <v>23</v>
          </cell>
        </row>
        <row r="2697">
          <cell r="B2697" t="str">
            <v>0861/16</v>
          </cell>
          <cell r="C2697" t="str">
            <v>2016-0.077.877-8</v>
          </cell>
          <cell r="D2697" t="str">
            <v>25/02/2016</v>
          </cell>
          <cell r="E2697" t="str">
            <v/>
          </cell>
          <cell r="F2697" t="str">
            <v>JURANDIR FLORENCIO DE SOUZA JUNIOR</v>
          </cell>
          <cell r="G2697" t="str">
            <v/>
          </cell>
          <cell r="H2697" t="str">
            <v/>
          </cell>
          <cell r="I2697" t="str">
            <v/>
          </cell>
          <cell r="J2697" t="str">
            <v>PESSOA FÍSICA</v>
          </cell>
          <cell r="K2697" t="str">
            <v>414.922.668-76</v>
          </cell>
          <cell r="L2697" t="str">
            <v>S.A</v>
          </cell>
          <cell r="M2697" t="str">
            <v>JURANDIR FLORENCIO DE SOUZA JUNIOR</v>
          </cell>
          <cell r="N2697" t="str">
            <v>AXH7840</v>
          </cell>
          <cell r="O2697" t="str">
            <v>2013</v>
          </cell>
          <cell r="P2697" t="str">
            <v>19</v>
          </cell>
          <cell r="Q2697" t="str">
            <v>18</v>
          </cell>
        </row>
        <row r="2698">
          <cell r="B2698" t="str">
            <v>0862/16</v>
          </cell>
          <cell r="C2698" t="str">
            <v>2016-0.077.878-6</v>
          </cell>
          <cell r="D2698" t="str">
            <v>09/03/2016</v>
          </cell>
          <cell r="E2698" t="str">
            <v>11 de abril de 2016</v>
          </cell>
          <cell r="F2698" t="str">
            <v>IARA HORACIO PEREIRA</v>
          </cell>
          <cell r="G2698" t="str">
            <v>11/04/2016</v>
          </cell>
          <cell r="H2698" t="str">
            <v>13/04/2016</v>
          </cell>
          <cell r="I2698" t="str">
            <v>50</v>
          </cell>
          <cell r="J2698" t="str">
            <v>PESSOA FÍSICA</v>
          </cell>
          <cell r="K2698" t="str">
            <v>213.988.248-28</v>
          </cell>
          <cell r="L2698" t="str">
            <v>MP</v>
          </cell>
          <cell r="M2698" t="str">
            <v>IARA HORACIO PEREIRA</v>
          </cell>
          <cell r="N2698" t="str">
            <v>DTE3848</v>
          </cell>
          <cell r="O2698" t="str">
            <v>2008</v>
          </cell>
          <cell r="P2698" t="str">
            <v>19</v>
          </cell>
          <cell r="Q2698" t="str">
            <v>17</v>
          </cell>
        </row>
        <row r="2699">
          <cell r="B2699" t="str">
            <v>0863/16</v>
          </cell>
          <cell r="C2699" t="str">
            <v>2016-0.077.879-4</v>
          </cell>
          <cell r="D2699" t="str">
            <v>09/03/2016</v>
          </cell>
          <cell r="E2699" t="str">
            <v>12 de abril de 2016</v>
          </cell>
          <cell r="F2699" t="str">
            <v>JANDERSON REINALDO DA SILVA</v>
          </cell>
          <cell r="G2699" t="str">
            <v>12/04/2016</v>
          </cell>
          <cell r="H2699" t="str">
            <v>13/04/2016</v>
          </cell>
          <cell r="I2699" t="str">
            <v>50</v>
          </cell>
          <cell r="J2699" t="str">
            <v>PESSOA FÍSICA</v>
          </cell>
          <cell r="K2699" t="str">
            <v>265.681.538-00</v>
          </cell>
          <cell r="L2699" t="str">
            <v>MP</v>
          </cell>
          <cell r="M2699" t="str">
            <v>JANDERSON REINALDO DA SILVA</v>
          </cell>
          <cell r="N2699" t="str">
            <v>FCW1621</v>
          </cell>
          <cell r="O2699" t="str">
            <v>2014</v>
          </cell>
          <cell r="P2699" t="str">
            <v>19</v>
          </cell>
          <cell r="Q2699" t="str">
            <v>18</v>
          </cell>
        </row>
        <row r="2700">
          <cell r="B2700" t="str">
            <v>0864/16</v>
          </cell>
          <cell r="C2700" t="str">
            <v>2016-0.077.881-6</v>
          </cell>
          <cell r="D2700" t="str">
            <v>09/03/2016</v>
          </cell>
          <cell r="E2700" t="str">
            <v>12 de abril de 2016</v>
          </cell>
          <cell r="F2700" t="str">
            <v>ROZENILDO PEDRO DE LIMA</v>
          </cell>
          <cell r="G2700" t="str">
            <v>12/04/2016</v>
          </cell>
          <cell r="H2700" t="str">
            <v>13/04/2016</v>
          </cell>
          <cell r="I2700" t="str">
            <v>50</v>
          </cell>
          <cell r="J2700" t="str">
            <v>PESSOA FÍSICA</v>
          </cell>
          <cell r="K2700" t="str">
            <v>154.289.338-01</v>
          </cell>
          <cell r="L2700" t="str">
            <v>MP</v>
          </cell>
          <cell r="M2700" t="str">
            <v>ROZENILDO PEDRO DE LIMA</v>
          </cell>
          <cell r="N2700" t="str">
            <v>EFV1280</v>
          </cell>
          <cell r="O2700" t="str">
            <v>2009</v>
          </cell>
          <cell r="P2700" t="str">
            <v>19</v>
          </cell>
          <cell r="Q2700" t="str">
            <v>17</v>
          </cell>
        </row>
        <row r="2701">
          <cell r="B2701" t="str">
            <v>0865/16</v>
          </cell>
          <cell r="C2701" t="str">
            <v>2016-0.077.882-4</v>
          </cell>
          <cell r="D2701" t="str">
            <v/>
          </cell>
          <cell r="E2701" t="str">
            <v>11 de abril de 2016</v>
          </cell>
          <cell r="F2701" t="str">
            <v>FRANCISCO QUADRADO JUNIOR</v>
          </cell>
          <cell r="G2701" t="str">
            <v>11/04/2016</v>
          </cell>
          <cell r="H2701" t="str">
            <v>19/04/2016</v>
          </cell>
          <cell r="I2701" t="str">
            <v>27</v>
          </cell>
          <cell r="J2701" t="str">
            <v>PESSOA FÍSICA</v>
          </cell>
          <cell r="K2701" t="str">
            <v>509.542.708-78</v>
          </cell>
          <cell r="L2701" t="str">
            <v>MP</v>
          </cell>
          <cell r="M2701" t="str">
            <v>FRANCISCO QUADRADO JUNIOR</v>
          </cell>
          <cell r="N2701" t="str">
            <v>CZZ1593</v>
          </cell>
          <cell r="O2701" t="str">
            <v>2003</v>
          </cell>
          <cell r="P2701" t="str">
            <v>25</v>
          </cell>
          <cell r="Q2701" t="str">
            <v>23</v>
          </cell>
        </row>
        <row r="2702">
          <cell r="B2702" t="str">
            <v>0866/16</v>
          </cell>
          <cell r="C2702" t="str">
            <v>2016-0.077.883-2</v>
          </cell>
          <cell r="D2702" t="str">
            <v>21/03/2016</v>
          </cell>
          <cell r="E2702" t="str">
            <v>18 de abril de 2016</v>
          </cell>
          <cell r="F2702" t="str">
            <v>JORGE GERALDO</v>
          </cell>
          <cell r="G2702" t="str">
            <v>18/04/2016</v>
          </cell>
          <cell r="H2702" t="str">
            <v>21/04/2016</v>
          </cell>
          <cell r="I2702" t="str">
            <v>95</v>
          </cell>
          <cell r="J2702" t="str">
            <v>PESSOA FÍSICA</v>
          </cell>
          <cell r="K2702" t="str">
            <v>022.280.538-21</v>
          </cell>
          <cell r="L2702" t="str">
            <v>MP</v>
          </cell>
          <cell r="M2702" t="str">
            <v>JORGE GERALDO</v>
          </cell>
          <cell r="N2702" t="str">
            <v>DTA5199</v>
          </cell>
          <cell r="O2702" t="str">
            <v>2007</v>
          </cell>
          <cell r="P2702" t="str">
            <v>25</v>
          </cell>
          <cell r="Q2702" t="str">
            <v>23</v>
          </cell>
        </row>
        <row r="2703">
          <cell r="B2703" t="str">
            <v>0867/16</v>
          </cell>
          <cell r="C2703" t="str">
            <v>2016-0.077.884-0</v>
          </cell>
          <cell r="D2703" t="str">
            <v>25/02/2016</v>
          </cell>
          <cell r="E2703" t="str">
            <v>12 de abril de 2016</v>
          </cell>
          <cell r="F2703" t="str">
            <v>EDNILSON LOPES DOS SANTOS</v>
          </cell>
          <cell r="G2703" t="str">
            <v>12/04/2016</v>
          </cell>
          <cell r="H2703" t="str">
            <v>13/04/2016</v>
          </cell>
          <cell r="I2703" t="str">
            <v>50</v>
          </cell>
          <cell r="J2703" t="str">
            <v>PESSOA FÍSICA</v>
          </cell>
          <cell r="K2703" t="str">
            <v>290.222.458-37</v>
          </cell>
          <cell r="L2703" t="str">
            <v>MP</v>
          </cell>
          <cell r="M2703" t="str">
            <v>EDNILSON LOPES DOS SANTOS</v>
          </cell>
          <cell r="N2703" t="str">
            <v>EJW0320</v>
          </cell>
          <cell r="O2703" t="str">
            <v>2010</v>
          </cell>
          <cell r="P2703" t="str">
            <v>19</v>
          </cell>
          <cell r="Q2703" t="str">
            <v>18</v>
          </cell>
        </row>
        <row r="2704">
          <cell r="B2704" t="str">
            <v>0868/16</v>
          </cell>
          <cell r="C2704" t="str">
            <v>2016-0.077.885-9</v>
          </cell>
          <cell r="D2704" t="str">
            <v>02/03/2016</v>
          </cell>
          <cell r="E2704" t="str">
            <v>11 de abril de 2016</v>
          </cell>
          <cell r="F2704" t="str">
            <v>CAMYLLA DE PAULA SOARES ZONTA</v>
          </cell>
          <cell r="G2704" t="str">
            <v>11/04/2016</v>
          </cell>
          <cell r="H2704" t="str">
            <v>13/04/2016</v>
          </cell>
          <cell r="I2704" t="str">
            <v>50</v>
          </cell>
          <cell r="J2704" t="str">
            <v>PESSOA FÍSICA</v>
          </cell>
          <cell r="K2704" t="str">
            <v>268.952.718-99</v>
          </cell>
          <cell r="L2704" t="str">
            <v>MP</v>
          </cell>
          <cell r="M2704" t="str">
            <v>CAMYLLA DE PAULA SOARES ZONTA</v>
          </cell>
          <cell r="N2704" t="str">
            <v>EAM6823</v>
          </cell>
          <cell r="O2704" t="str">
            <v>2008</v>
          </cell>
          <cell r="P2704" t="str">
            <v>29</v>
          </cell>
          <cell r="Q2704" t="str">
            <v>27</v>
          </cell>
        </row>
        <row r="2705">
          <cell r="B2705" t="str">
            <v>0869/16</v>
          </cell>
          <cell r="C2705" t="str">
            <v>2016-0.077.886-7</v>
          </cell>
          <cell r="D2705" t="str">
            <v>03/03/2016</v>
          </cell>
          <cell r="E2705" t="str">
            <v>12 de abril de 2016</v>
          </cell>
          <cell r="F2705" t="str">
            <v>RENATA GONCALVES DE FREITAS SILVA</v>
          </cell>
          <cell r="G2705" t="str">
            <v>12/04/2016</v>
          </cell>
          <cell r="H2705" t="str">
            <v>13/04/2016</v>
          </cell>
          <cell r="I2705" t="str">
            <v>50</v>
          </cell>
          <cell r="J2705" t="str">
            <v>PESSOA FÍSICA</v>
          </cell>
          <cell r="K2705" t="str">
            <v>303.895.198-63</v>
          </cell>
          <cell r="L2705" t="str">
            <v>PJ</v>
          </cell>
          <cell r="M2705" t="str">
            <v>RENATA GONCALVES DE FREITAS SILVA</v>
          </cell>
          <cell r="N2705" t="str">
            <v>CZX5784</v>
          </cell>
          <cell r="O2705" t="str">
            <v>2002</v>
          </cell>
          <cell r="P2705" t="str">
            <v>25</v>
          </cell>
          <cell r="Q2705" t="str">
            <v>23</v>
          </cell>
        </row>
        <row r="2706">
          <cell r="B2706" t="str">
            <v>0870/16</v>
          </cell>
          <cell r="C2706" t="str">
            <v>2016-0.077.887-5</v>
          </cell>
          <cell r="D2706" t="str">
            <v>03/03/2016</v>
          </cell>
          <cell r="E2706" t="str">
            <v>15 de abril de 2016</v>
          </cell>
          <cell r="F2706" t="str">
            <v>SANDREANE RODRIGUES DE SOUZA</v>
          </cell>
          <cell r="G2706" t="str">
            <v>15/04/2016</v>
          </cell>
          <cell r="H2706" t="str">
            <v>19/04/2016</v>
          </cell>
          <cell r="I2706" t="str">
            <v>27</v>
          </cell>
          <cell r="J2706" t="str">
            <v>PESSOA FÍSICA</v>
          </cell>
          <cell r="K2706" t="str">
            <v>945.443.794-15</v>
          </cell>
          <cell r="L2706" t="str">
            <v>PJ</v>
          </cell>
          <cell r="M2706" t="str">
            <v>SANDREANE RODRIGUES DE SOUZA</v>
          </cell>
          <cell r="N2706" t="str">
            <v>CFZ0254</v>
          </cell>
          <cell r="O2706" t="str">
            <v>2013</v>
          </cell>
          <cell r="P2706" t="str">
            <v>15</v>
          </cell>
          <cell r="Q2706" t="str">
            <v>14</v>
          </cell>
        </row>
        <row r="2707">
          <cell r="B2707" t="str">
            <v>0871/16</v>
          </cell>
          <cell r="C2707" t="str">
            <v>2016-0.077.888-3</v>
          </cell>
          <cell r="D2707" t="str">
            <v>03/03/2016</v>
          </cell>
          <cell r="E2707" t="str">
            <v>14 de abril de 2016</v>
          </cell>
          <cell r="F2707" t="str">
            <v>JOSE WILSON LOPES</v>
          </cell>
          <cell r="G2707" t="str">
            <v>14/04/2016</v>
          </cell>
          <cell r="H2707" t="str">
            <v>19/04/2016</v>
          </cell>
          <cell r="I2707" t="str">
            <v>27</v>
          </cell>
          <cell r="J2707" t="str">
            <v>PESSOA FÍSICA</v>
          </cell>
          <cell r="K2707" t="str">
            <v>579.118.511-15</v>
          </cell>
          <cell r="L2707" t="str">
            <v>PJ</v>
          </cell>
          <cell r="M2707" t="str">
            <v>JOSE WILSON LOPES</v>
          </cell>
          <cell r="N2707" t="str">
            <v>FJN6270</v>
          </cell>
          <cell r="O2707" t="str">
            <v>2014</v>
          </cell>
          <cell r="P2707" t="str">
            <v>19</v>
          </cell>
          <cell r="Q2707" t="str">
            <v>18</v>
          </cell>
        </row>
        <row r="2708">
          <cell r="B2708" t="str">
            <v>0872/16</v>
          </cell>
          <cell r="C2708" t="str">
            <v>2016-0.077.889-1</v>
          </cell>
          <cell r="D2708" t="str">
            <v>03/03/2016</v>
          </cell>
          <cell r="E2708" t="str">
            <v>19 de abril de 2016</v>
          </cell>
          <cell r="F2708" t="str">
            <v>DOUGLAS RODRIGUES PESTANA</v>
          </cell>
          <cell r="G2708" t="str">
            <v>19/04/2016</v>
          </cell>
          <cell r="H2708" t="str">
            <v>21/04/2016</v>
          </cell>
          <cell r="I2708" t="str">
            <v>95</v>
          </cell>
          <cell r="J2708" t="str">
            <v>PESSOA FÍSICA</v>
          </cell>
          <cell r="K2708" t="str">
            <v>340.918.838-00</v>
          </cell>
          <cell r="L2708" t="str">
            <v>PJ</v>
          </cell>
          <cell r="M2708" t="str">
            <v>DOUGLAS RODRIGUES PESTANA</v>
          </cell>
          <cell r="N2708" t="str">
            <v>GAQ0046</v>
          </cell>
          <cell r="O2708" t="str">
            <v>2015</v>
          </cell>
          <cell r="P2708" t="str">
            <v>19</v>
          </cell>
          <cell r="Q2708" t="str">
            <v>18</v>
          </cell>
        </row>
        <row r="2709">
          <cell r="B2709" t="str">
            <v>0873/16</v>
          </cell>
          <cell r="C2709" t="str">
            <v>2016-0.077.890-5</v>
          </cell>
          <cell r="D2709" t="str">
            <v>03/03/2016</v>
          </cell>
          <cell r="E2709" t="str">
            <v>13 de abril de 2016</v>
          </cell>
          <cell r="F2709" t="str">
            <v>VERONICA BEZERRA DE SOUSA</v>
          </cell>
          <cell r="G2709" t="str">
            <v>13/04/2016</v>
          </cell>
          <cell r="H2709" t="str">
            <v>19/04/2016</v>
          </cell>
          <cell r="I2709" t="str">
            <v>28</v>
          </cell>
          <cell r="J2709" t="str">
            <v>PESSOA FÍSICA</v>
          </cell>
          <cell r="K2709" t="str">
            <v>334.245.118-11</v>
          </cell>
          <cell r="L2709" t="str">
            <v>PJ</v>
          </cell>
          <cell r="M2709" t="str">
            <v>VERONICA BEZERRA DE SOUSA</v>
          </cell>
          <cell r="N2709" t="str">
            <v>CZZ1614</v>
          </cell>
          <cell r="O2709" t="str">
            <v>2003</v>
          </cell>
          <cell r="P2709" t="str">
            <v>25</v>
          </cell>
          <cell r="Q2709" t="str">
            <v>23</v>
          </cell>
        </row>
        <row r="2710">
          <cell r="B2710" t="str">
            <v>0874/16</v>
          </cell>
          <cell r="C2710" t="str">
            <v>2016-0.077.892-1</v>
          </cell>
          <cell r="D2710" t="str">
            <v>03/03/2016</v>
          </cell>
          <cell r="E2710" t="str">
            <v>08 de abril de 2016</v>
          </cell>
          <cell r="F2710" t="str">
            <v>ELISANDRA GISONDI</v>
          </cell>
          <cell r="G2710" t="str">
            <v>08/04/2016</v>
          </cell>
          <cell r="H2710" t="str">
            <v>09/04/2016</v>
          </cell>
          <cell r="I2710" t="str">
            <v>33</v>
          </cell>
          <cell r="J2710" t="str">
            <v>PESSOA FÍSICA</v>
          </cell>
          <cell r="K2710" t="str">
            <v>206.090.208-89</v>
          </cell>
          <cell r="L2710" t="str">
            <v>PJ</v>
          </cell>
          <cell r="M2710" t="str">
            <v>ELISANDRA GISONDI</v>
          </cell>
          <cell r="N2710" t="str">
            <v>EXI8720</v>
          </cell>
          <cell r="O2710" t="str">
            <v>2011</v>
          </cell>
          <cell r="P2710" t="str">
            <v>19</v>
          </cell>
          <cell r="Q2710" t="str">
            <v>18</v>
          </cell>
        </row>
        <row r="2711">
          <cell r="B2711" t="str">
            <v>0875/16</v>
          </cell>
          <cell r="C2711" t="str">
            <v>2016-0.077.893-0</v>
          </cell>
          <cell r="D2711" t="str">
            <v>18/02/2016</v>
          </cell>
          <cell r="E2711" t="str">
            <v>19 de abril de 2016</v>
          </cell>
          <cell r="F2711" t="str">
            <v>FRANCIS APARECIDA GATTI DA CRUZ SILVA</v>
          </cell>
          <cell r="G2711" t="str">
            <v>19/04/2016</v>
          </cell>
          <cell r="H2711" t="str">
            <v>21/04/2016</v>
          </cell>
          <cell r="I2711" t="str">
            <v>96</v>
          </cell>
          <cell r="J2711" t="str">
            <v>PESSOA FÍSICA</v>
          </cell>
          <cell r="K2711" t="str">
            <v>278.410.158-44</v>
          </cell>
          <cell r="L2711" t="str">
            <v>PJ</v>
          </cell>
          <cell r="M2711" t="str">
            <v>FRANCIS APARECIDA GATTI DA CRUZ SILVA</v>
          </cell>
          <cell r="N2711" t="str">
            <v>EMU7309</v>
          </cell>
          <cell r="O2711" t="str">
            <v>2011</v>
          </cell>
          <cell r="P2711" t="str">
            <v>19</v>
          </cell>
          <cell r="Q2711" t="str">
            <v>18</v>
          </cell>
        </row>
        <row r="2712">
          <cell r="B2712" t="str">
            <v>0876/16</v>
          </cell>
          <cell r="C2712" t="str">
            <v>2016-0.077.894-8</v>
          </cell>
          <cell r="D2712" t="str">
            <v>23/02/2016</v>
          </cell>
          <cell r="E2712" t="str">
            <v>13 de abril de 2016</v>
          </cell>
          <cell r="F2712" t="str">
            <v>ANA MARIA MARCONDES DOS SANTOS</v>
          </cell>
          <cell r="G2712" t="str">
            <v>13/04/2016</v>
          </cell>
          <cell r="H2712" t="str">
            <v>19/04/2016</v>
          </cell>
          <cell r="I2712" t="str">
            <v>28</v>
          </cell>
          <cell r="J2712" t="str">
            <v>PESSOA FÍSICA</v>
          </cell>
          <cell r="K2712" t="str">
            <v>125.455.588-93</v>
          </cell>
          <cell r="L2712" t="str">
            <v>PJ</v>
          </cell>
          <cell r="M2712" t="str">
            <v>ANA MARIA MARCONDES DOS SANTOS</v>
          </cell>
          <cell r="N2712" t="str">
            <v>EWS0653</v>
          </cell>
          <cell r="O2712" t="str">
            <v>2012</v>
          </cell>
          <cell r="P2712" t="str">
            <v>15</v>
          </cell>
          <cell r="Q2712" t="str">
            <v>14</v>
          </cell>
        </row>
        <row r="2713">
          <cell r="B2713" t="str">
            <v>0877/16</v>
          </cell>
          <cell r="C2713" t="str">
            <v>2016-0.077.896-4</v>
          </cell>
          <cell r="D2713" t="str">
            <v>23/02/2016</v>
          </cell>
          <cell r="E2713" t="str">
            <v/>
          </cell>
          <cell r="F2713" t="str">
            <v>HUGO RENER VERAS SILVA</v>
          </cell>
          <cell r="G2713" t="str">
            <v/>
          </cell>
          <cell r="H2713" t="str">
            <v/>
          </cell>
          <cell r="I2713" t="str">
            <v/>
          </cell>
          <cell r="J2713" t="str">
            <v>PESSOA FÍSICA</v>
          </cell>
          <cell r="K2713" t="str">
            <v>253.532.608-64</v>
          </cell>
          <cell r="L2713" t="str">
            <v>IP</v>
          </cell>
          <cell r="M2713" t="str">
            <v>HUGO RENER VERAS SILVA</v>
          </cell>
          <cell r="N2713" t="str">
            <v>CZX9430</v>
          </cell>
          <cell r="O2713" t="str">
            <v>2003</v>
          </cell>
          <cell r="P2713" t="str">
            <v>25</v>
          </cell>
          <cell r="Q2713" t="str">
            <v/>
          </cell>
        </row>
        <row r="2714">
          <cell r="B2714" t="str">
            <v>0878/16</v>
          </cell>
          <cell r="C2714" t="str">
            <v>2016-0.081.953-9</v>
          </cell>
          <cell r="D2714" t="str">
            <v/>
          </cell>
          <cell r="E2714" t="str">
            <v>28 de março de 2016</v>
          </cell>
          <cell r="F2714" t="str">
            <v>ANTONIO ARAUJO DE OLIVEIRA</v>
          </cell>
          <cell r="G2714" t="str">
            <v>28/03/2016</v>
          </cell>
          <cell r="H2714" t="str">
            <v>09/04/2016</v>
          </cell>
          <cell r="I2714" t="str">
            <v>33</v>
          </cell>
          <cell r="J2714" t="str">
            <v>PESSOA FÍSICA</v>
          </cell>
          <cell r="K2714" t="str">
            <v>114.826.578-30</v>
          </cell>
          <cell r="L2714" t="str">
            <v>PJ</v>
          </cell>
          <cell r="M2714" t="str">
            <v>ANTONIO ARAUJO DE OLIVEIRA</v>
          </cell>
          <cell r="N2714" t="str">
            <v>DTA0550</v>
          </cell>
          <cell r="O2714" t="str">
            <v>2007</v>
          </cell>
          <cell r="P2714" t="str">
            <v>25</v>
          </cell>
          <cell r="Q2714" t="str">
            <v>23</v>
          </cell>
        </row>
        <row r="2715">
          <cell r="B2715" t="str">
            <v>0879/16</v>
          </cell>
          <cell r="C2715" t="str">
            <v>2016-0.081.955-5</v>
          </cell>
          <cell r="D2715" t="str">
            <v/>
          </cell>
          <cell r="E2715" t="str">
            <v/>
          </cell>
          <cell r="F2715" t="str">
            <v>GEILZA TORRE CAVALCANTE</v>
          </cell>
          <cell r="G2715" t="str">
            <v/>
          </cell>
          <cell r="H2715" t="str">
            <v/>
          </cell>
          <cell r="I2715" t="str">
            <v/>
          </cell>
          <cell r="J2715" t="str">
            <v>PESSOA FÍSICA</v>
          </cell>
          <cell r="K2715" t="str">
            <v>082.416.368-06</v>
          </cell>
          <cell r="L2715" t="str">
            <v>IQ</v>
          </cell>
          <cell r="M2715" t="str">
            <v>GEILZA TORRE CAVALCANTE</v>
          </cell>
          <cell r="N2715" t="str">
            <v>CZX8745</v>
          </cell>
          <cell r="O2715" t="str">
            <v>2003</v>
          </cell>
          <cell r="P2715" t="str">
            <v>25</v>
          </cell>
          <cell r="Q2715" t="str">
            <v>23</v>
          </cell>
        </row>
        <row r="2716">
          <cell r="B2716" t="str">
            <v>0880/16</v>
          </cell>
          <cell r="C2716" t="str">
            <v>2016-0.081.957-1</v>
          </cell>
          <cell r="D2716" t="str">
            <v>02/03/2016</v>
          </cell>
          <cell r="E2716" t="str">
            <v/>
          </cell>
          <cell r="F2716" t="str">
            <v>JOSE ROBERTO MAIA PARENTE</v>
          </cell>
          <cell r="G2716" t="str">
            <v/>
          </cell>
          <cell r="H2716" t="str">
            <v/>
          </cell>
          <cell r="I2716" t="str">
            <v/>
          </cell>
          <cell r="J2716" t="str">
            <v>PESSOA FÍSICA</v>
          </cell>
          <cell r="K2716" t="str">
            <v>273.022.418-13</v>
          </cell>
          <cell r="L2716" t="str">
            <v>IQ</v>
          </cell>
          <cell r="M2716" t="str">
            <v>JOSE ROBERTO MAIA PARENTE</v>
          </cell>
          <cell r="N2716" t="str">
            <v>DFG9287</v>
          </cell>
          <cell r="O2716" t="str">
            <v>2001</v>
          </cell>
          <cell r="P2716" t="str">
            <v>24</v>
          </cell>
          <cell r="Q2716" t="str">
            <v>22</v>
          </cell>
        </row>
        <row r="2717">
          <cell r="B2717" t="str">
            <v>0881/16</v>
          </cell>
          <cell r="C2717" t="str">
            <v>2016-0.081.960-1</v>
          </cell>
          <cell r="D2717" t="str">
            <v/>
          </cell>
          <cell r="E2717" t="str">
            <v>21 de março de 2016</v>
          </cell>
          <cell r="F2717" t="str">
            <v>NALDO JOAO DA SILVA</v>
          </cell>
          <cell r="G2717" t="str">
            <v>21/03/2016</v>
          </cell>
          <cell r="H2717" t="str">
            <v>09/04/2016</v>
          </cell>
          <cell r="I2717" t="str">
            <v>33</v>
          </cell>
          <cell r="J2717" t="str">
            <v>PESSOA FÍSICA</v>
          </cell>
          <cell r="K2717" t="str">
            <v>811.283.124-68</v>
          </cell>
          <cell r="L2717" t="str">
            <v>SA</v>
          </cell>
          <cell r="M2717" t="str">
            <v>NALDO JOAO DA SILVA</v>
          </cell>
          <cell r="N2717" t="str">
            <v>EZT9260</v>
          </cell>
          <cell r="O2717" t="str">
            <v>2011</v>
          </cell>
          <cell r="P2717" t="str">
            <v>27</v>
          </cell>
          <cell r="Q2717" t="str">
            <v>26</v>
          </cell>
        </row>
        <row r="2718">
          <cell r="B2718" t="str">
            <v>0882/16</v>
          </cell>
          <cell r="C2718" t="str">
            <v>2016-0.081.961-0</v>
          </cell>
          <cell r="D2718" t="str">
            <v>14/03/2016</v>
          </cell>
          <cell r="E2718" t="str">
            <v>11 de abril de 2016</v>
          </cell>
          <cell r="F2718" t="str">
            <v>JOSE CARDOSO DE ARAUJO</v>
          </cell>
          <cell r="G2718" t="str">
            <v>11/04/2016</v>
          </cell>
          <cell r="H2718" t="str">
            <v>13/04/2016</v>
          </cell>
          <cell r="I2718" t="str">
            <v>50</v>
          </cell>
          <cell r="J2718" t="str">
            <v>PESSOA FÍSICA</v>
          </cell>
          <cell r="K2718" t="str">
            <v>384.939.185-04</v>
          </cell>
          <cell r="L2718" t="str">
            <v>CS</v>
          </cell>
          <cell r="M2718" t="str">
            <v>JOSE CARDOSO DE ARAUJO</v>
          </cell>
          <cell r="N2718" t="str">
            <v>DJF3820</v>
          </cell>
          <cell r="O2718" t="str">
            <v>2006</v>
          </cell>
          <cell r="P2718" t="str">
            <v>25</v>
          </cell>
          <cell r="Q2718" t="str">
            <v>23</v>
          </cell>
        </row>
        <row r="2719">
          <cell r="B2719" t="str">
            <v>0883/16</v>
          </cell>
          <cell r="C2719" t="str">
            <v>2016-0.081.962-8</v>
          </cell>
          <cell r="D2719" t="str">
            <v>21/03/2016</v>
          </cell>
          <cell r="E2719" t="str">
            <v>11 de abril de 2016</v>
          </cell>
          <cell r="F2719" t="str">
            <v>JOSE AMERICO DA SILVA JUNIOR</v>
          </cell>
          <cell r="G2719" t="str">
            <v>11/04/2016</v>
          </cell>
          <cell r="H2719" t="str">
            <v>13/04/2016</v>
          </cell>
          <cell r="I2719" t="str">
            <v>51</v>
          </cell>
          <cell r="J2719" t="str">
            <v>PESSOA FÍSICA</v>
          </cell>
          <cell r="K2719" t="str">
            <v>014.316.718-94</v>
          </cell>
          <cell r="L2719" t="str">
            <v>CS</v>
          </cell>
          <cell r="M2719" t="str">
            <v>JOSE AMERICO DA SILVA JUNIOR</v>
          </cell>
          <cell r="N2719" t="str">
            <v>DTD2679</v>
          </cell>
          <cell r="O2719" t="str">
            <v>2007</v>
          </cell>
          <cell r="P2719" t="str">
            <v>29</v>
          </cell>
          <cell r="Q2719" t="str">
            <v>27</v>
          </cell>
        </row>
        <row r="2720">
          <cell r="B2720" t="str">
            <v>0884/16</v>
          </cell>
          <cell r="C2720" t="str">
            <v>2016-0.081.964-4</v>
          </cell>
          <cell r="D2720" t="str">
            <v>21/03/2016</v>
          </cell>
          <cell r="E2720" t="str">
            <v>11 de abril de 2016</v>
          </cell>
          <cell r="F2720" t="str">
            <v>ROBERTO CARLOS DA GAMA</v>
          </cell>
          <cell r="G2720" t="str">
            <v>11/04/2016</v>
          </cell>
          <cell r="H2720" t="str">
            <v>13/04/2016</v>
          </cell>
          <cell r="I2720" t="str">
            <v>51</v>
          </cell>
          <cell r="J2720" t="str">
            <v>PESSOA FÍSICA</v>
          </cell>
          <cell r="K2720" t="str">
            <v>048.693.508-66</v>
          </cell>
          <cell r="L2720" t="str">
            <v>CS</v>
          </cell>
          <cell r="M2720" t="str">
            <v>ROBERTO CARLOS DA GAMA</v>
          </cell>
          <cell r="N2720" t="str">
            <v>ELQ0629</v>
          </cell>
          <cell r="O2720" t="str">
            <v>2010</v>
          </cell>
          <cell r="P2720" t="str">
            <v>19</v>
          </cell>
          <cell r="Q2720" t="str">
            <v>18</v>
          </cell>
        </row>
        <row r="2721">
          <cell r="B2721" t="str">
            <v>0885/16</v>
          </cell>
          <cell r="C2721" t="str">
            <v>2016-0.081.965-2</v>
          </cell>
          <cell r="D2721" t="str">
            <v/>
          </cell>
          <cell r="E2721" t="str">
            <v>15 de abril de 2016</v>
          </cell>
          <cell r="F2721" t="str">
            <v>ELIAS BISPO DA SILVA NETO</v>
          </cell>
          <cell r="G2721" t="str">
            <v>15/04/2016</v>
          </cell>
          <cell r="H2721" t="str">
            <v>19/04/2016</v>
          </cell>
          <cell r="I2721" t="str">
            <v>28</v>
          </cell>
          <cell r="J2721" t="str">
            <v>PESSOA FÍSICA</v>
          </cell>
          <cell r="K2721" t="str">
            <v>255.192.868-09</v>
          </cell>
          <cell r="L2721" t="str">
            <v>CS</v>
          </cell>
          <cell r="M2721" t="str">
            <v>ELIAS BISPO DA SILVA NETO</v>
          </cell>
          <cell r="N2721" t="str">
            <v>CTI9959</v>
          </cell>
          <cell r="O2721" t="str">
            <v>2001</v>
          </cell>
          <cell r="P2721" t="str">
            <v>25</v>
          </cell>
          <cell r="Q2721" t="str">
            <v>23</v>
          </cell>
        </row>
        <row r="2722">
          <cell r="B2722" t="str">
            <v>0886/16</v>
          </cell>
          <cell r="C2722" t="str">
            <v>2016-0.081.966-0</v>
          </cell>
          <cell r="D2722" t="str">
            <v/>
          </cell>
          <cell r="E2722" t="str">
            <v>18 de abril de 2016</v>
          </cell>
          <cell r="F2722" t="str">
            <v>EVERTON DA SILVA HONORIO</v>
          </cell>
          <cell r="G2722" t="str">
            <v>18/04/2016</v>
          </cell>
          <cell r="H2722" t="str">
            <v>21/04/2016</v>
          </cell>
          <cell r="I2722" t="str">
            <v>96</v>
          </cell>
          <cell r="J2722" t="str">
            <v>PESSOA FÍSICA</v>
          </cell>
          <cell r="K2722" t="str">
            <v>224.865.808-75</v>
          </cell>
          <cell r="L2722" t="str">
            <v>CS</v>
          </cell>
          <cell r="M2722" t="str">
            <v>EVERTON DA SILVA HONORIO</v>
          </cell>
          <cell r="N2722" t="str">
            <v>ELW7968</v>
          </cell>
          <cell r="O2722" t="str">
            <v>2011</v>
          </cell>
          <cell r="P2722" t="str">
            <v>18</v>
          </cell>
          <cell r="Q2722" t="str">
            <v>17</v>
          </cell>
        </row>
        <row r="2723">
          <cell r="B2723" t="str">
            <v>0887/16</v>
          </cell>
          <cell r="C2723" t="str">
            <v>2016-0.081.967-9</v>
          </cell>
          <cell r="D2723" t="str">
            <v/>
          </cell>
          <cell r="E2723" t="str">
            <v/>
          </cell>
          <cell r="F2723" t="str">
            <v>JANSEN FLORENTINO DE MORAES</v>
          </cell>
          <cell r="G2723" t="str">
            <v/>
          </cell>
          <cell r="H2723" t="str">
            <v/>
          </cell>
          <cell r="I2723" t="str">
            <v/>
          </cell>
          <cell r="J2723" t="str">
            <v>PESSOA FÍSICA</v>
          </cell>
          <cell r="K2723" t="str">
            <v>143.392.758-67</v>
          </cell>
          <cell r="L2723" t="str">
            <v>CS</v>
          </cell>
          <cell r="M2723" t="str">
            <v>JANSEN FLORENTINO DE MORAES</v>
          </cell>
          <cell r="N2723" t="str">
            <v>ELQ3553</v>
          </cell>
          <cell r="O2723" t="str">
            <v>2011</v>
          </cell>
          <cell r="P2723" t="str">
            <v>26</v>
          </cell>
          <cell r="Q2723" t="str">
            <v>25</v>
          </cell>
        </row>
        <row r="2724">
          <cell r="B2724" t="str">
            <v>0888/16</v>
          </cell>
          <cell r="C2724" t="str">
            <v>2016-0.081.969-5</v>
          </cell>
          <cell r="D2724" t="str">
            <v/>
          </cell>
          <cell r="E2724" t="str">
            <v>14 de abril de 2016</v>
          </cell>
          <cell r="F2724" t="str">
            <v>JOSE MILTON FERNANDES DA SILVA</v>
          </cell>
          <cell r="G2724" t="str">
            <v>14/04/2016</v>
          </cell>
          <cell r="H2724" t="str">
            <v>19/04/2016</v>
          </cell>
          <cell r="I2724" t="str">
            <v>28</v>
          </cell>
          <cell r="J2724" t="str">
            <v>PESSOA FÍSICA</v>
          </cell>
          <cell r="K2724" t="str">
            <v>540.169.086-04</v>
          </cell>
          <cell r="L2724" t="str">
            <v>CS</v>
          </cell>
          <cell r="M2724" t="str">
            <v>JOSE MILTON FERNANDES DA SILVA</v>
          </cell>
          <cell r="N2724" t="str">
            <v>DTC1184</v>
          </cell>
          <cell r="O2724" t="str">
            <v>2007</v>
          </cell>
          <cell r="P2724" t="str">
            <v>29</v>
          </cell>
          <cell r="Q2724" t="str">
            <v>28</v>
          </cell>
        </row>
        <row r="2725">
          <cell r="B2725" t="str">
            <v>0889/16</v>
          </cell>
          <cell r="C2725" t="str">
            <v>2016-0.081.970-9</v>
          </cell>
          <cell r="D2725" t="str">
            <v/>
          </cell>
          <cell r="E2725" t="str">
            <v>12 de abril de 2016</v>
          </cell>
          <cell r="F2725" t="str">
            <v>JULIO CESAR DA SILVA LAPA</v>
          </cell>
          <cell r="G2725" t="str">
            <v>12/04/2016</v>
          </cell>
          <cell r="H2725" t="str">
            <v>13/04/2016</v>
          </cell>
          <cell r="I2725" t="str">
            <v>51</v>
          </cell>
          <cell r="J2725" t="str">
            <v>PESSOA FÍSICA</v>
          </cell>
          <cell r="K2725" t="str">
            <v>270.331.918-55</v>
          </cell>
          <cell r="L2725" t="str">
            <v>CS</v>
          </cell>
          <cell r="M2725" t="str">
            <v>JULIO CESAR DA SILVA LAPA</v>
          </cell>
          <cell r="N2725" t="str">
            <v>DTD2437</v>
          </cell>
          <cell r="O2725" t="str">
            <v>2007</v>
          </cell>
          <cell r="P2725" t="str">
            <v>29</v>
          </cell>
          <cell r="Q2725" t="str">
            <v>27</v>
          </cell>
        </row>
        <row r="2726">
          <cell r="B2726" t="str">
            <v>0890/16</v>
          </cell>
          <cell r="C2726" t="str">
            <v>2016-0.081.972-5</v>
          </cell>
          <cell r="D2726" t="str">
            <v/>
          </cell>
          <cell r="E2726" t="str">
            <v>15 de abril de 2016</v>
          </cell>
          <cell r="F2726" t="str">
            <v>MANOEL LINS DE ASSUMPCAO</v>
          </cell>
          <cell r="G2726" t="str">
            <v>15/04/2016</v>
          </cell>
          <cell r="H2726" t="str">
            <v>19/04/2016</v>
          </cell>
          <cell r="I2726" t="str">
            <v>28</v>
          </cell>
          <cell r="J2726" t="str">
            <v>PESSOA FÍSICA</v>
          </cell>
          <cell r="K2726" t="str">
            <v>651.987.198-20</v>
          </cell>
          <cell r="L2726" t="str">
            <v>CS</v>
          </cell>
          <cell r="M2726" t="str">
            <v>MANOEL LINS DE ASSUMPCAO</v>
          </cell>
          <cell r="N2726" t="str">
            <v>DTD1309</v>
          </cell>
          <cell r="O2726" t="str">
            <v>2008</v>
          </cell>
          <cell r="P2726" t="str">
            <v>29</v>
          </cell>
          <cell r="Q2726" t="str">
            <v>27</v>
          </cell>
        </row>
        <row r="2727">
          <cell r="B2727" t="str">
            <v>0891/16</v>
          </cell>
          <cell r="C2727" t="str">
            <v>2016-0.081.974-1</v>
          </cell>
          <cell r="D2727" t="str">
            <v/>
          </cell>
          <cell r="E2727" t="str">
            <v>20 de abril de 2016</v>
          </cell>
          <cell r="F2727" t="str">
            <v>MANOEL RODRIGUES BARBOSA</v>
          </cell>
          <cell r="G2727" t="str">
            <v>20/04/2016</v>
          </cell>
          <cell r="H2727" t="str">
            <v>21/04/2016</v>
          </cell>
          <cell r="I2727" t="str">
            <v>96</v>
          </cell>
          <cell r="J2727" t="str">
            <v>PESSOA FÍSICA</v>
          </cell>
          <cell r="K2727" t="str">
            <v>996.946.978-91</v>
          </cell>
          <cell r="L2727" t="str">
            <v>CS</v>
          </cell>
          <cell r="M2727" t="str">
            <v>MANOEL RODRIGUES BARBOSA</v>
          </cell>
          <cell r="N2727" t="str">
            <v>EUL1330</v>
          </cell>
          <cell r="O2727" t="str">
            <v>2011</v>
          </cell>
          <cell r="P2727" t="str">
            <v>15</v>
          </cell>
          <cell r="Q2727" t="str">
            <v>14</v>
          </cell>
        </row>
        <row r="2728">
          <cell r="B2728" t="str">
            <v>0892/16</v>
          </cell>
          <cell r="C2728" t="str">
            <v>2016-0.081.976-8</v>
          </cell>
          <cell r="D2728" t="str">
            <v/>
          </cell>
          <cell r="E2728" t="str">
            <v>12 de abril de 2016</v>
          </cell>
          <cell r="F2728" t="str">
            <v>PAULO WANDUILSOM GOMES</v>
          </cell>
          <cell r="G2728" t="str">
            <v>12/04/2016</v>
          </cell>
          <cell r="H2728" t="str">
            <v>13/04/2016</v>
          </cell>
          <cell r="I2728" t="str">
            <v>51</v>
          </cell>
          <cell r="J2728" t="str">
            <v>PESSOA FÍSICA</v>
          </cell>
          <cell r="K2728" t="str">
            <v>271.039.728-50</v>
          </cell>
          <cell r="L2728" t="str">
            <v>CS</v>
          </cell>
          <cell r="M2728" t="str">
            <v>PAULO WANDUILSOM GOMES</v>
          </cell>
          <cell r="N2728" t="str">
            <v>FXL1359</v>
          </cell>
          <cell r="O2728" t="str">
            <v>2014</v>
          </cell>
          <cell r="P2728" t="str">
            <v>45</v>
          </cell>
          <cell r="Q2728" t="str">
            <v>44</v>
          </cell>
        </row>
        <row r="2729">
          <cell r="B2729" t="str">
            <v>0893/16</v>
          </cell>
          <cell r="C2729" t="str">
            <v>2016-0.081.977-6</v>
          </cell>
          <cell r="D2729" t="str">
            <v/>
          </cell>
          <cell r="E2729" t="str">
            <v>12 de abril de 2016</v>
          </cell>
          <cell r="F2729" t="str">
            <v>EDSON MOREIRA DE CASTRO</v>
          </cell>
          <cell r="G2729" t="str">
            <v>12/04/2016</v>
          </cell>
          <cell r="H2729" t="str">
            <v>13/04/2016</v>
          </cell>
          <cell r="I2729" t="str">
            <v>51</v>
          </cell>
          <cell r="J2729" t="str">
            <v>PESSOA FÍSICA</v>
          </cell>
          <cell r="K2729" t="str">
            <v>088.096.758-78</v>
          </cell>
          <cell r="L2729" t="str">
            <v>CS</v>
          </cell>
          <cell r="M2729" t="str">
            <v>EDSON MOREIRA DE CASTRO</v>
          </cell>
          <cell r="N2729" t="str">
            <v>DTC6611</v>
          </cell>
          <cell r="O2729" t="str">
            <v>2008</v>
          </cell>
          <cell r="P2729" t="str">
            <v>11</v>
          </cell>
          <cell r="Q2729" t="str">
            <v>10</v>
          </cell>
        </row>
        <row r="2730">
          <cell r="B2730" t="str">
            <v>0894/16</v>
          </cell>
          <cell r="C2730" t="str">
            <v>2016-0.081.978-4</v>
          </cell>
          <cell r="D2730" t="str">
            <v/>
          </cell>
          <cell r="E2730" t="str">
            <v>13 de abril de 2016</v>
          </cell>
          <cell r="F2730" t="str">
            <v>JOAO CARLOS ROSA</v>
          </cell>
          <cell r="G2730" t="str">
            <v>13/04/2016</v>
          </cell>
          <cell r="H2730" t="str">
            <v>19/04/2016</v>
          </cell>
          <cell r="I2730" t="str">
            <v>28</v>
          </cell>
          <cell r="J2730" t="str">
            <v>PESSOA FÍSICA</v>
          </cell>
          <cell r="K2730" t="str">
            <v>082.682.288-65</v>
          </cell>
          <cell r="L2730" t="str">
            <v>CS</v>
          </cell>
          <cell r="M2730" t="str">
            <v>JOAO CARLOS ROSA</v>
          </cell>
          <cell r="N2730" t="str">
            <v>LPV0318</v>
          </cell>
          <cell r="O2730" t="str">
            <v>2004</v>
          </cell>
          <cell r="P2730" t="str">
            <v>23</v>
          </cell>
          <cell r="Q2730" t="str">
            <v>21</v>
          </cell>
        </row>
        <row r="2731">
          <cell r="B2731" t="str">
            <v>0895/16</v>
          </cell>
          <cell r="C2731" t="str">
            <v>2016-0.081.979-2</v>
          </cell>
          <cell r="D2731" t="str">
            <v/>
          </cell>
          <cell r="E2731" t="str">
            <v/>
          </cell>
          <cell r="F2731" t="str">
            <v>CHARLES MINUTENTAG</v>
          </cell>
          <cell r="G2731" t="str">
            <v/>
          </cell>
          <cell r="H2731" t="str">
            <v/>
          </cell>
          <cell r="I2731" t="str">
            <v/>
          </cell>
          <cell r="J2731" t="str">
            <v>PESSOA FÍSICA</v>
          </cell>
          <cell r="K2731" t="str">
            <v>256.472.428-04</v>
          </cell>
          <cell r="L2731" t="str">
            <v>CS</v>
          </cell>
          <cell r="M2731" t="str">
            <v>CHARLES MINUTENTAG</v>
          </cell>
          <cell r="N2731" t="str">
            <v>DTC3768</v>
          </cell>
          <cell r="O2731" t="str">
            <v>2008</v>
          </cell>
          <cell r="P2731" t="str">
            <v>29</v>
          </cell>
          <cell r="Q2731" t="str">
            <v>27</v>
          </cell>
        </row>
        <row r="2732">
          <cell r="B2732" t="str">
            <v>0896/16</v>
          </cell>
          <cell r="C2732" t="str">
            <v>2016-0.081.980-6</v>
          </cell>
          <cell r="D2732" t="str">
            <v/>
          </cell>
          <cell r="E2732" t="str">
            <v/>
          </cell>
          <cell r="F2732" t="str">
            <v>VANUSA MARTINS MINUTENTAG</v>
          </cell>
          <cell r="G2732" t="str">
            <v/>
          </cell>
          <cell r="H2732" t="str">
            <v/>
          </cell>
          <cell r="I2732" t="str">
            <v/>
          </cell>
          <cell r="J2732" t="str">
            <v>PESSOA FÍSICA</v>
          </cell>
          <cell r="K2732" t="str">
            <v>286.906.238-92</v>
          </cell>
          <cell r="L2732" t="str">
            <v>CS</v>
          </cell>
          <cell r="M2732" t="str">
            <v>VANUSA MARTINS MINUTENTAG</v>
          </cell>
          <cell r="N2732" t="str">
            <v>DTD4321</v>
          </cell>
          <cell r="O2732" t="str">
            <v>2008</v>
          </cell>
          <cell r="P2732" t="str">
            <v>29</v>
          </cell>
          <cell r="Q2732" t="str">
            <v>28</v>
          </cell>
        </row>
        <row r="2733">
          <cell r="B2733" t="str">
            <v>0897/16</v>
          </cell>
          <cell r="C2733" t="str">
            <v>2016-0.081.981-4</v>
          </cell>
          <cell r="D2733" t="str">
            <v/>
          </cell>
          <cell r="E2733" t="str">
            <v>15 de abril de 2016</v>
          </cell>
          <cell r="F2733" t="str">
            <v>GERMANO LOURENCO SIQUEIRA</v>
          </cell>
          <cell r="G2733" t="str">
            <v>15/04/2016</v>
          </cell>
          <cell r="H2733" t="str">
            <v>19/04/2016</v>
          </cell>
          <cell r="I2733" t="str">
            <v>28</v>
          </cell>
          <cell r="J2733" t="str">
            <v>PESSOA FÍSICA</v>
          </cell>
          <cell r="K2733" t="str">
            <v>170.048.998-45</v>
          </cell>
          <cell r="L2733" t="str">
            <v>CS</v>
          </cell>
          <cell r="M2733" t="str">
            <v>GERMANO LOURENCO SIQUEIRA</v>
          </cell>
          <cell r="N2733" t="str">
            <v>FAG5659</v>
          </cell>
          <cell r="O2733" t="str">
            <v>2012</v>
          </cell>
          <cell r="P2733" t="str">
            <v>19</v>
          </cell>
          <cell r="Q2733" t="str">
            <v>18</v>
          </cell>
        </row>
        <row r="2734">
          <cell r="B2734" t="str">
            <v>0898/16</v>
          </cell>
          <cell r="C2734" t="str">
            <v>2016-0.081.983-0</v>
          </cell>
          <cell r="D2734" t="str">
            <v/>
          </cell>
          <cell r="E2734" t="str">
            <v/>
          </cell>
          <cell r="F2734" t="str">
            <v>JOSE AMANCIO DA SILVA</v>
          </cell>
          <cell r="G2734" t="str">
            <v/>
          </cell>
          <cell r="H2734" t="str">
            <v/>
          </cell>
          <cell r="I2734" t="str">
            <v/>
          </cell>
          <cell r="J2734" t="str">
            <v>PESSOA FÍSICA</v>
          </cell>
          <cell r="K2734" t="str">
            <v>311.279.594-68</v>
          </cell>
          <cell r="L2734" t="str">
            <v>CS</v>
          </cell>
          <cell r="M2734" t="str">
            <v>JOSE AMANCIO DA SILVA</v>
          </cell>
          <cell r="N2734" t="str">
            <v>FAW9430</v>
          </cell>
          <cell r="O2734" t="str">
            <v>2012</v>
          </cell>
          <cell r="P2734" t="str">
            <v>19</v>
          </cell>
          <cell r="Q2734" t="str">
            <v>18</v>
          </cell>
        </row>
        <row r="2735">
          <cell r="B2735" t="str">
            <v>0899/16</v>
          </cell>
          <cell r="C2735" t="str">
            <v>2016-0.081.984-9</v>
          </cell>
          <cell r="D2735" t="str">
            <v/>
          </cell>
          <cell r="E2735" t="str">
            <v>14 de abril de 2016</v>
          </cell>
          <cell r="F2735" t="str">
            <v>RICARDO VIEIRA SILVA</v>
          </cell>
          <cell r="G2735" t="str">
            <v>14/04/2016</v>
          </cell>
          <cell r="H2735" t="str">
            <v>19/04/2016</v>
          </cell>
          <cell r="I2735" t="str">
            <v>28</v>
          </cell>
          <cell r="J2735" t="str">
            <v>PESSOA FÍSICA</v>
          </cell>
          <cell r="K2735" t="str">
            <v>153.692.768-62</v>
          </cell>
          <cell r="L2735" t="str">
            <v>CS</v>
          </cell>
          <cell r="M2735" t="str">
            <v>RICARDO VIEIRA SILVA</v>
          </cell>
          <cell r="N2735" t="str">
            <v>CZZ1643</v>
          </cell>
          <cell r="O2735" t="str">
            <v>2002</v>
          </cell>
          <cell r="P2735" t="str">
            <v>25</v>
          </cell>
          <cell r="Q2735" t="str">
            <v>23</v>
          </cell>
        </row>
        <row r="2736">
          <cell r="B2736" t="str">
            <v>0900/16</v>
          </cell>
          <cell r="C2736" t="str">
            <v>2016-0.081.985-7</v>
          </cell>
          <cell r="D2736" t="str">
            <v/>
          </cell>
          <cell r="E2736" t="str">
            <v/>
          </cell>
          <cell r="F2736" t="str">
            <v>MARIA CARSILENE DE FREITAS OLIVEIRA</v>
          </cell>
          <cell r="G2736" t="str">
            <v/>
          </cell>
          <cell r="H2736" t="str">
            <v/>
          </cell>
          <cell r="I2736" t="str">
            <v/>
          </cell>
          <cell r="J2736" t="str">
            <v>PESSOA FÍSICA</v>
          </cell>
          <cell r="K2736" t="str">
            <v>180.441.178-73</v>
          </cell>
          <cell r="L2736" t="str">
            <v>CS</v>
          </cell>
          <cell r="M2736" t="str">
            <v>MARIA CARSILENE DE FREITAS OLIVEIRA</v>
          </cell>
          <cell r="N2736" t="str">
            <v>FCB4049</v>
          </cell>
          <cell r="O2736" t="str">
            <v>2012</v>
          </cell>
          <cell r="P2736" t="str">
            <v>19</v>
          </cell>
          <cell r="Q2736" t="str">
            <v>18</v>
          </cell>
        </row>
        <row r="2737">
          <cell r="B2737" t="str">
            <v>0901/16</v>
          </cell>
          <cell r="C2737" t="str">
            <v>2016-0.081.989-0</v>
          </cell>
          <cell r="D2737" t="str">
            <v/>
          </cell>
          <cell r="E2737" t="str">
            <v>15 de abril de 2016</v>
          </cell>
          <cell r="F2737" t="str">
            <v>VALDIK SANTOS DO NASCIMENTO</v>
          </cell>
          <cell r="G2737" t="str">
            <v>15/04/2016</v>
          </cell>
          <cell r="H2737" t="str">
            <v>19/04/2016</v>
          </cell>
          <cell r="I2737" t="str">
            <v>28</v>
          </cell>
          <cell r="J2737" t="str">
            <v>PESSOA FÍSICA</v>
          </cell>
          <cell r="K2737" t="str">
            <v>021.960.064-32</v>
          </cell>
          <cell r="L2737" t="str">
            <v>CS</v>
          </cell>
          <cell r="M2737" t="str">
            <v>VALDIK SANTOS DO NASCIMENTO</v>
          </cell>
          <cell r="N2737" t="str">
            <v>FOV2039</v>
          </cell>
          <cell r="O2737" t="str">
            <v>2015</v>
          </cell>
          <cell r="P2737" t="str">
            <v>19</v>
          </cell>
          <cell r="Q2737" t="str">
            <v>18</v>
          </cell>
        </row>
        <row r="2738">
          <cell r="B2738" t="str">
            <v>0902/16</v>
          </cell>
          <cell r="C2738" t="str">
            <v>2016-0.081.995-4</v>
          </cell>
          <cell r="D2738" t="str">
            <v>04/03/2016</v>
          </cell>
          <cell r="E2738" t="str">
            <v>11 de abril de 2016</v>
          </cell>
          <cell r="F2738" t="str">
            <v>PEDRO CESAR ZILLISG</v>
          </cell>
          <cell r="G2738" t="str">
            <v>11/04/2016</v>
          </cell>
          <cell r="H2738" t="str">
            <v>13/04/2016</v>
          </cell>
          <cell r="I2738" t="str">
            <v>51</v>
          </cell>
          <cell r="J2738" t="str">
            <v>PESSOA FÍSICA</v>
          </cell>
          <cell r="K2738" t="str">
            <v>075.924.478-27</v>
          </cell>
          <cell r="L2738" t="str">
            <v>CS</v>
          </cell>
          <cell r="M2738" t="str">
            <v>PEDRO CESAR ZILLISG</v>
          </cell>
          <cell r="N2738" t="str">
            <v>DEZ8808</v>
          </cell>
          <cell r="O2738" t="str">
            <v>2001</v>
          </cell>
          <cell r="P2738" t="str">
            <v>21</v>
          </cell>
          <cell r="Q2738" t="str">
            <v>19</v>
          </cell>
        </row>
        <row r="2739">
          <cell r="B2739" t="str">
            <v>0903/16</v>
          </cell>
          <cell r="C2739" t="str">
            <v>2016-0.081.999-7</v>
          </cell>
          <cell r="D2739" t="str">
            <v>01/03/2016</v>
          </cell>
          <cell r="E2739" t="str">
            <v>08 de abril de 2016</v>
          </cell>
          <cell r="F2739" t="str">
            <v>JOSE CRISTIANO FILHO</v>
          </cell>
          <cell r="G2739" t="str">
            <v>08/04/2016</v>
          </cell>
          <cell r="H2739" t="str">
            <v>09/04/2016</v>
          </cell>
          <cell r="I2739" t="str">
            <v>33</v>
          </cell>
          <cell r="J2739" t="str">
            <v>PESSOA FÍSICA</v>
          </cell>
          <cell r="K2739" t="str">
            <v>469.176.756-87</v>
          </cell>
          <cell r="L2739" t="str">
            <v>CS</v>
          </cell>
          <cell r="M2739" t="str">
            <v>JOSE CRISTIANO FILHO</v>
          </cell>
          <cell r="N2739" t="str">
            <v>DBA6630</v>
          </cell>
          <cell r="O2739" t="str">
            <v>2002</v>
          </cell>
          <cell r="P2739" t="str">
            <v>15</v>
          </cell>
          <cell r="Q2739" t="str">
            <v>13</v>
          </cell>
        </row>
        <row r="2740">
          <cell r="B2740" t="str">
            <v>0904/16</v>
          </cell>
          <cell r="C2740" t="str">
            <v>2016-0.082.002-2</v>
          </cell>
          <cell r="D2740" t="str">
            <v>24/02/2016</v>
          </cell>
          <cell r="E2740" t="str">
            <v>13 de abril de 2016</v>
          </cell>
          <cell r="F2740" t="str">
            <v>ELDA DE SOUZA GONCALVES</v>
          </cell>
          <cell r="G2740" t="str">
            <v>13/04/2016</v>
          </cell>
          <cell r="H2740" t="str">
            <v>19/04/2016</v>
          </cell>
          <cell r="I2740" t="str">
            <v>28</v>
          </cell>
          <cell r="J2740" t="str">
            <v>PESSOA FÍSICA</v>
          </cell>
          <cell r="K2740" t="str">
            <v>195.858.548-30</v>
          </cell>
          <cell r="L2740" t="str">
            <v>CS</v>
          </cell>
          <cell r="M2740" t="str">
            <v>ELDA DE SOUZA GONCALVES</v>
          </cell>
          <cell r="N2740" t="str">
            <v>ERM6437</v>
          </cell>
          <cell r="O2740" t="str">
            <v>2010</v>
          </cell>
          <cell r="P2740" t="str">
            <v>19</v>
          </cell>
          <cell r="Q2740" t="str">
            <v>18</v>
          </cell>
        </row>
        <row r="2741">
          <cell r="B2741" t="str">
            <v>0905/16</v>
          </cell>
          <cell r="C2741" t="str">
            <v>2016-0.082.004-9</v>
          </cell>
          <cell r="D2741" t="str">
            <v>24/02/2016</v>
          </cell>
          <cell r="E2741" t="str">
            <v>11 de abril de 2016</v>
          </cell>
          <cell r="F2741" t="str">
            <v>JEFFERSON PEREIRA SANTOS FEITOSA</v>
          </cell>
          <cell r="G2741" t="str">
            <v>11/04/2016</v>
          </cell>
          <cell r="H2741" t="str">
            <v>13/04/2016</v>
          </cell>
          <cell r="I2741" t="str">
            <v>51</v>
          </cell>
          <cell r="J2741" t="str">
            <v>PESSOA FÍSICA</v>
          </cell>
          <cell r="K2741" t="str">
            <v>224.119.818-80</v>
          </cell>
          <cell r="L2741" t="str">
            <v>CS</v>
          </cell>
          <cell r="M2741" t="str">
            <v>JEFFERSON PEREIRA SANTOS FEITOSA</v>
          </cell>
          <cell r="N2741" t="str">
            <v>EFU4644</v>
          </cell>
          <cell r="O2741" t="str">
            <v>2009</v>
          </cell>
          <cell r="P2741" t="str">
            <v>27</v>
          </cell>
          <cell r="Q2741" t="str">
            <v>25</v>
          </cell>
        </row>
        <row r="2742">
          <cell r="B2742" t="str">
            <v>0906/16</v>
          </cell>
          <cell r="C2742" t="str">
            <v>2016-0.082.007-3</v>
          </cell>
          <cell r="D2742" t="str">
            <v>24/02/2016</v>
          </cell>
          <cell r="E2742" t="str">
            <v>15 de abril de 2016</v>
          </cell>
          <cell r="F2742" t="str">
            <v>ROBERTO SILVA DE PAULA</v>
          </cell>
          <cell r="G2742" t="str">
            <v>15/04/2016</v>
          </cell>
          <cell r="H2742" t="str">
            <v>19/04/2016</v>
          </cell>
          <cell r="I2742" t="str">
            <v>28</v>
          </cell>
          <cell r="J2742" t="str">
            <v>PESSOA FÍSICA</v>
          </cell>
          <cell r="K2742" t="str">
            <v>091.545.948-55</v>
          </cell>
          <cell r="L2742" t="str">
            <v>CS</v>
          </cell>
          <cell r="M2742" t="str">
            <v>ROBERTO SILVA DE PAULA</v>
          </cell>
          <cell r="N2742" t="str">
            <v>DTC4095</v>
          </cell>
          <cell r="O2742" t="str">
            <v>2007</v>
          </cell>
          <cell r="P2742" t="str">
            <v>29</v>
          </cell>
          <cell r="Q2742" t="str">
            <v>27</v>
          </cell>
        </row>
        <row r="2743">
          <cell r="B2743" t="str">
            <v>0907/16</v>
          </cell>
          <cell r="C2743" t="str">
            <v>2016-0.082.008-1</v>
          </cell>
          <cell r="D2743" t="str">
            <v>24/02/2016</v>
          </cell>
          <cell r="E2743" t="str">
            <v>11 de abril de 2016</v>
          </cell>
          <cell r="F2743" t="str">
            <v>LUIS CARLOS MATIAS</v>
          </cell>
          <cell r="G2743" t="str">
            <v>11/04/2016</v>
          </cell>
          <cell r="H2743" t="str">
            <v>13/04/2016</v>
          </cell>
          <cell r="I2743" t="str">
            <v>51</v>
          </cell>
          <cell r="J2743" t="str">
            <v>PESSOA FÍSICA</v>
          </cell>
          <cell r="K2743" t="str">
            <v>126.355.828-31</v>
          </cell>
          <cell r="L2743" t="str">
            <v>CS</v>
          </cell>
          <cell r="M2743" t="str">
            <v>LUIS CARLOS MATIAS</v>
          </cell>
          <cell r="N2743" t="str">
            <v>DON0162</v>
          </cell>
          <cell r="O2743" t="str">
            <v>2005</v>
          </cell>
          <cell r="P2743" t="str">
            <v>15</v>
          </cell>
          <cell r="Q2743" t="str">
            <v>13</v>
          </cell>
        </row>
        <row r="2744">
          <cell r="B2744" t="str">
            <v>0908/16</v>
          </cell>
          <cell r="C2744" t="str">
            <v>2016-0.082.012-0</v>
          </cell>
          <cell r="D2744" t="str">
            <v>04/03/2016</v>
          </cell>
          <cell r="E2744" t="str">
            <v>14 de abril de 2016</v>
          </cell>
          <cell r="F2744" t="str">
            <v>VALTER MENDONCA</v>
          </cell>
          <cell r="G2744" t="str">
            <v>14/04/2016</v>
          </cell>
          <cell r="H2744" t="str">
            <v>19/04/2016</v>
          </cell>
          <cell r="I2744" t="str">
            <v>28</v>
          </cell>
          <cell r="J2744" t="str">
            <v>PESSOA FÍSICA</v>
          </cell>
          <cell r="K2744" t="str">
            <v>288.548.008-48</v>
          </cell>
          <cell r="L2744" t="str">
            <v>MP</v>
          </cell>
          <cell r="M2744" t="str">
            <v>VALTER MENDONCA</v>
          </cell>
          <cell r="N2744" t="str">
            <v>FJO6579</v>
          </cell>
          <cell r="O2744" t="str">
            <v>2013</v>
          </cell>
          <cell r="P2744" t="str">
            <v>19</v>
          </cell>
          <cell r="Q2744" t="str">
            <v>18</v>
          </cell>
        </row>
        <row r="2745">
          <cell r="B2745" t="str">
            <v>0909/16</v>
          </cell>
          <cell r="C2745" t="str">
            <v>2016-0.082.015-4</v>
          </cell>
          <cell r="D2745" t="str">
            <v/>
          </cell>
          <cell r="E2745" t="str">
            <v>15 de abril de 2016</v>
          </cell>
          <cell r="F2745" t="str">
            <v>MAURICIO MAXIMO DA SILVA</v>
          </cell>
          <cell r="G2745" t="str">
            <v>15/04/2016</v>
          </cell>
          <cell r="H2745" t="str">
            <v>19/04/2016</v>
          </cell>
          <cell r="I2745" t="str">
            <v>28</v>
          </cell>
          <cell r="J2745" t="str">
            <v>PESSOA FÍSICA</v>
          </cell>
          <cell r="K2745" t="str">
            <v>064.594.118-24</v>
          </cell>
          <cell r="L2745" t="str">
            <v>JT</v>
          </cell>
          <cell r="M2745" t="str">
            <v>MAURICIO MAXIMO DA SILVA</v>
          </cell>
          <cell r="N2745" t="str">
            <v>EFU8590</v>
          </cell>
          <cell r="O2745" t="str">
            <v>2009</v>
          </cell>
          <cell r="P2745" t="str">
            <v>19</v>
          </cell>
          <cell r="Q2745" t="str">
            <v>18</v>
          </cell>
        </row>
        <row r="2746">
          <cell r="B2746" t="str">
            <v>0910/16</v>
          </cell>
          <cell r="C2746" t="str">
            <v>2016-0.082.017-0</v>
          </cell>
          <cell r="D2746" t="str">
            <v/>
          </cell>
          <cell r="E2746" t="str">
            <v>28 de março de 2016</v>
          </cell>
          <cell r="F2746" t="str">
            <v>ARMANDO BOCCIA JUNIOR</v>
          </cell>
          <cell r="G2746" t="str">
            <v>28/03/2016</v>
          </cell>
          <cell r="H2746" t="str">
            <v>13/04/2016</v>
          </cell>
          <cell r="I2746" t="str">
            <v>51</v>
          </cell>
          <cell r="J2746" t="str">
            <v>PESSOA FÍSICA</v>
          </cell>
          <cell r="K2746" t="str">
            <v>290.190.768-76</v>
          </cell>
          <cell r="L2746" t="str">
            <v>JT</v>
          </cell>
          <cell r="M2746" t="str">
            <v>ARMANDO BOCCIA JUNIOR</v>
          </cell>
          <cell r="N2746" t="str">
            <v>DJF1979</v>
          </cell>
          <cell r="O2746" t="str">
            <v>2008</v>
          </cell>
          <cell r="P2746" t="str">
            <v>20</v>
          </cell>
          <cell r="Q2746" t="str">
            <v>19</v>
          </cell>
        </row>
        <row r="2747">
          <cell r="B2747" t="str">
            <v>0911/16</v>
          </cell>
          <cell r="C2747" t="str">
            <v>2016-0.082.592-0</v>
          </cell>
          <cell r="D2747" t="str">
            <v/>
          </cell>
          <cell r="E2747" t="str">
            <v>11 de abril de 2016</v>
          </cell>
          <cell r="F2747" t="str">
            <v>ADRIANA ROBERTA PINTI</v>
          </cell>
          <cell r="G2747" t="str">
            <v>11/04/2016</v>
          </cell>
          <cell r="H2747" t="str">
            <v>19/04/2016</v>
          </cell>
          <cell r="I2747" t="str">
            <v>28</v>
          </cell>
          <cell r="J2747" t="str">
            <v>PESSOA FÍSICA</v>
          </cell>
          <cell r="K2747" t="str">
            <v>253.364.208-83</v>
          </cell>
          <cell r="L2747" t="str">
            <v>JT</v>
          </cell>
          <cell r="M2747" t="str">
            <v>ADRIANA ROBERTA PINTI</v>
          </cell>
          <cell r="N2747" t="str">
            <v>DTE9120</v>
          </cell>
          <cell r="O2747" t="str">
            <v>2009</v>
          </cell>
          <cell r="P2747" t="str">
            <v>19</v>
          </cell>
          <cell r="Q2747" t="str">
            <v>18</v>
          </cell>
        </row>
        <row r="2748">
          <cell r="B2748" t="str">
            <v>0912/16</v>
          </cell>
          <cell r="C2748" t="str">
            <v>2016-0.082.593-8</v>
          </cell>
          <cell r="D2748" t="str">
            <v>18/03/2016</v>
          </cell>
          <cell r="E2748" t="str">
            <v>15 de abril de 2016</v>
          </cell>
          <cell r="F2748" t="str">
            <v>ELIANE APARECIDA DOS SANTOS PIRES</v>
          </cell>
          <cell r="G2748" t="str">
            <v>15/04/2016</v>
          </cell>
          <cell r="H2748" t="str">
            <v>19/04/2016</v>
          </cell>
          <cell r="I2748" t="str">
            <v>28</v>
          </cell>
          <cell r="J2748" t="str">
            <v>PESSOA FÍSICA</v>
          </cell>
          <cell r="K2748" t="str">
            <v>303.094.598-77</v>
          </cell>
          <cell r="L2748" t="str">
            <v>MP</v>
          </cell>
          <cell r="M2748" t="str">
            <v>ELIANE APARECIDA DOS SANTOS PIRES</v>
          </cell>
          <cell r="N2748" t="str">
            <v>EXI8175</v>
          </cell>
          <cell r="O2748" t="str">
            <v>2011</v>
          </cell>
          <cell r="P2748" t="str">
            <v>15</v>
          </cell>
          <cell r="Q2748" t="str">
            <v>14</v>
          </cell>
        </row>
        <row r="2749">
          <cell r="B2749" t="str">
            <v>0913/16</v>
          </cell>
          <cell r="C2749" t="str">
            <v>2016-0.082.595-4</v>
          </cell>
          <cell r="D2749" t="str">
            <v/>
          </cell>
          <cell r="E2749" t="str">
            <v>04 de abril de 2016</v>
          </cell>
          <cell r="F2749" t="str">
            <v>ERASTO IRIO VASCONCELOS FROES</v>
          </cell>
          <cell r="G2749" t="str">
            <v>04/04/2016</v>
          </cell>
          <cell r="H2749" t="str">
            <v>19/04/2016</v>
          </cell>
          <cell r="I2749" t="str">
            <v>28</v>
          </cell>
          <cell r="J2749" t="str">
            <v>PESSOA FÍSICA</v>
          </cell>
          <cell r="K2749" t="str">
            <v>842.620.018-49</v>
          </cell>
          <cell r="L2749" t="str">
            <v>JT</v>
          </cell>
          <cell r="M2749" t="str">
            <v>ERASTO IRIO VASCONCELOS FROES</v>
          </cell>
          <cell r="N2749" t="str">
            <v>CZX8728</v>
          </cell>
          <cell r="O2749" t="str">
            <v>2002</v>
          </cell>
          <cell r="P2749" t="str">
            <v>25</v>
          </cell>
          <cell r="Q2749" t="str">
            <v>23</v>
          </cell>
        </row>
        <row r="2750">
          <cell r="B2750" t="str">
            <v>0914/16</v>
          </cell>
          <cell r="C2750" t="str">
            <v>2016-0.082.596-2</v>
          </cell>
          <cell r="D2750" t="str">
            <v>08/03/2016</v>
          </cell>
          <cell r="E2750" t="str">
            <v>15 de abril de 2016</v>
          </cell>
          <cell r="F2750" t="str">
            <v>EVERTON SEVERO DA SILVA</v>
          </cell>
          <cell r="G2750" t="str">
            <v>15/04/2016</v>
          </cell>
          <cell r="H2750" t="str">
            <v>19/04/2016</v>
          </cell>
          <cell r="I2750" t="str">
            <v>28</v>
          </cell>
          <cell r="J2750" t="str">
            <v>PESSOA FÍSICA</v>
          </cell>
          <cell r="K2750" t="str">
            <v>305.670.078-71</v>
          </cell>
          <cell r="L2750" t="str">
            <v>MP</v>
          </cell>
          <cell r="M2750" t="str">
            <v>EVERTON SEVERO DA SILVA</v>
          </cell>
          <cell r="N2750" t="str">
            <v>ELX5089</v>
          </cell>
          <cell r="O2750" t="str">
            <v>2012</v>
          </cell>
          <cell r="P2750" t="str">
            <v>19</v>
          </cell>
          <cell r="Q2750" t="str">
            <v>18</v>
          </cell>
        </row>
        <row r="2751">
          <cell r="B2751" t="str">
            <v>0915/16</v>
          </cell>
          <cell r="C2751" t="str">
            <v>2016-0.082.597-0</v>
          </cell>
          <cell r="D2751" t="str">
            <v>23/03/2016</v>
          </cell>
          <cell r="E2751" t="str">
            <v>19 de abril de 2016</v>
          </cell>
          <cell r="F2751" t="str">
            <v>EDSON RONIE GOMES DE SOUSA</v>
          </cell>
          <cell r="G2751" t="str">
            <v>19/04/2016</v>
          </cell>
          <cell r="H2751" t="str">
            <v>21/04/2016</v>
          </cell>
          <cell r="I2751" t="str">
            <v>96</v>
          </cell>
          <cell r="J2751" t="str">
            <v>PESSOA FÍSICA</v>
          </cell>
          <cell r="K2751" t="str">
            <v>168.836.058-19</v>
          </cell>
          <cell r="L2751" t="str">
            <v>MP</v>
          </cell>
          <cell r="M2751" t="str">
            <v>EDSON RONIE GOMES DE SOUSA</v>
          </cell>
          <cell r="N2751" t="str">
            <v>BPY2937</v>
          </cell>
          <cell r="O2751" t="str">
            <v>2002</v>
          </cell>
          <cell r="P2751" t="str">
            <v>32</v>
          </cell>
          <cell r="Q2751" t="str">
            <v>30</v>
          </cell>
        </row>
        <row r="2752">
          <cell r="B2752" t="str">
            <v>0916/16</v>
          </cell>
          <cell r="C2752" t="str">
            <v>2016-0.082.599-7</v>
          </cell>
          <cell r="D2752" t="str">
            <v>29/03/2016</v>
          </cell>
          <cell r="E2752" t="str">
            <v>14 de abril de 2016</v>
          </cell>
          <cell r="F2752" t="str">
            <v>CARLOS ALBERTO LEAL</v>
          </cell>
          <cell r="G2752" t="str">
            <v>14/04/2016</v>
          </cell>
          <cell r="H2752" t="str">
            <v>19/04/2016</v>
          </cell>
          <cell r="I2752" t="str">
            <v>28</v>
          </cell>
          <cell r="J2752" t="str">
            <v>PESSOA FÍSICA</v>
          </cell>
          <cell r="K2752" t="str">
            <v>086.654.298-16</v>
          </cell>
          <cell r="L2752" t="str">
            <v>CS</v>
          </cell>
          <cell r="M2752" t="str">
            <v>CARLOS ALBERTO LEAL</v>
          </cell>
          <cell r="N2752" t="str">
            <v>DDS3650</v>
          </cell>
          <cell r="O2752" t="str">
            <v>2000</v>
          </cell>
          <cell r="P2752" t="str">
            <v>25</v>
          </cell>
          <cell r="Q2752" t="str">
            <v>23</v>
          </cell>
        </row>
        <row r="2753">
          <cell r="B2753" t="str">
            <v>0917/16</v>
          </cell>
          <cell r="C2753" t="str">
            <v>2016-0.082.600-4</v>
          </cell>
          <cell r="D2753" t="str">
            <v>14/03/2016</v>
          </cell>
          <cell r="E2753" t="str">
            <v>08 de abril de 2016</v>
          </cell>
          <cell r="F2753" t="str">
            <v>WELLINGTON HENRIQUE RIBEIRO BRITO</v>
          </cell>
          <cell r="G2753" t="str">
            <v>08/04/2016</v>
          </cell>
          <cell r="H2753" t="str">
            <v>09/04/2016</v>
          </cell>
          <cell r="I2753" t="str">
            <v>33</v>
          </cell>
          <cell r="J2753" t="str">
            <v>PESSOA FÍSICA</v>
          </cell>
          <cell r="K2753" t="str">
            <v>225.027.468-17</v>
          </cell>
          <cell r="L2753" t="str">
            <v>G</v>
          </cell>
          <cell r="M2753" t="str">
            <v>WELLINGTON HENRIQUE RIBEIRO BRITO</v>
          </cell>
          <cell r="N2753" t="str">
            <v>FHU8628</v>
          </cell>
          <cell r="O2753" t="str">
            <v>2012</v>
          </cell>
          <cell r="P2753" t="str">
            <v>15</v>
          </cell>
          <cell r="Q2753" t="str">
            <v>14</v>
          </cell>
        </row>
        <row r="2754">
          <cell r="B2754" t="str">
            <v>0918/16</v>
          </cell>
          <cell r="C2754" t="str">
            <v>2016-0.084.000-7</v>
          </cell>
          <cell r="D2754" t="str">
            <v>14/03/2016</v>
          </cell>
          <cell r="E2754" t="str">
            <v/>
          </cell>
          <cell r="F2754" t="str">
            <v>CARLOS DE ALMEIDA FERNANDES</v>
          </cell>
          <cell r="G2754" t="str">
            <v/>
          </cell>
          <cell r="H2754" t="str">
            <v/>
          </cell>
          <cell r="I2754" t="str">
            <v/>
          </cell>
          <cell r="J2754" t="str">
            <v>PESSOA FÍSICA</v>
          </cell>
          <cell r="K2754" t="str">
            <v>345.849.268-24</v>
          </cell>
          <cell r="L2754" t="str">
            <v>FO</v>
          </cell>
          <cell r="M2754" t="str">
            <v>CARLOS DE ALMEIDA FERNANDES</v>
          </cell>
          <cell r="N2754" t="str">
            <v>EXO0223</v>
          </cell>
          <cell r="O2754" t="str">
            <v>2012</v>
          </cell>
          <cell r="P2754" t="str">
            <v>15</v>
          </cell>
          <cell r="Q2754" t="str">
            <v>14</v>
          </cell>
        </row>
        <row r="2755">
          <cell r="B2755" t="str">
            <v>0919/16</v>
          </cell>
          <cell r="C2755" t="str">
            <v>2016-0.084.001-5</v>
          </cell>
          <cell r="D2755" t="str">
            <v/>
          </cell>
          <cell r="E2755" t="str">
            <v>15 de abril de 2016</v>
          </cell>
          <cell r="F2755" t="str">
            <v>WALTER WILLIAN COBO</v>
          </cell>
          <cell r="G2755" t="str">
            <v>15/04/2016</v>
          </cell>
          <cell r="H2755" t="str">
            <v>19/04/2016</v>
          </cell>
          <cell r="I2755" t="str">
            <v>28</v>
          </cell>
          <cell r="J2755" t="str">
            <v>PESSOA FÍSICA</v>
          </cell>
          <cell r="K2755" t="str">
            <v>008.248.418-08</v>
          </cell>
          <cell r="L2755" t="str">
            <v>FO</v>
          </cell>
          <cell r="M2755" t="str">
            <v>WALTER WILLIAN COBO</v>
          </cell>
          <cell r="N2755" t="str">
            <v>CZZ2567</v>
          </cell>
          <cell r="O2755" t="str">
            <v>2003</v>
          </cell>
          <cell r="P2755" t="str">
            <v>25</v>
          </cell>
          <cell r="Q2755" t="str">
            <v>23</v>
          </cell>
        </row>
        <row r="2756">
          <cell r="B2756" t="str">
            <v>0920/16</v>
          </cell>
          <cell r="C2756" t="str">
            <v>2016-0.084.002-3</v>
          </cell>
          <cell r="D2756" t="str">
            <v/>
          </cell>
          <cell r="E2756" t="str">
            <v>11 de abril de 2016</v>
          </cell>
          <cell r="F2756" t="str">
            <v>MARCEL LUIZ TOCANTINS DA SILVA</v>
          </cell>
          <cell r="G2756" t="str">
            <v>11/04/2016</v>
          </cell>
          <cell r="H2756" t="str">
            <v>19/04/2016</v>
          </cell>
          <cell r="I2756" t="str">
            <v>28</v>
          </cell>
          <cell r="J2756" t="str">
            <v>PESSOA FÍSICA</v>
          </cell>
          <cell r="K2756" t="str">
            <v>284.857.518-25</v>
          </cell>
          <cell r="L2756" t="str">
            <v>FO</v>
          </cell>
          <cell r="M2756" t="str">
            <v>MARCEL LUIZ TOCANTINS DA SILVA</v>
          </cell>
          <cell r="N2756" t="str">
            <v>APP7664</v>
          </cell>
          <cell r="O2756" t="str">
            <v>2007</v>
          </cell>
          <cell r="P2756" t="str">
            <v>29</v>
          </cell>
          <cell r="Q2756" t="str">
            <v>27</v>
          </cell>
        </row>
        <row r="2757">
          <cell r="B2757" t="str">
            <v>0921/16</v>
          </cell>
          <cell r="C2757" t="str">
            <v>2016-0.084.003-1</v>
          </cell>
          <cell r="D2757" t="str">
            <v/>
          </cell>
          <cell r="E2757" t="str">
            <v/>
          </cell>
          <cell r="F2757" t="str">
            <v>MARCELY JACOMO VIEIRA SOUZA</v>
          </cell>
          <cell r="G2757" t="str">
            <v/>
          </cell>
          <cell r="H2757" t="str">
            <v/>
          </cell>
          <cell r="I2757" t="str">
            <v/>
          </cell>
          <cell r="J2757" t="str">
            <v>PESSOA FÍSICA</v>
          </cell>
          <cell r="K2757" t="str">
            <v>322.132.628-96</v>
          </cell>
          <cell r="L2757" t="str">
            <v>FO</v>
          </cell>
          <cell r="M2757" t="str">
            <v>MARCELY JACOMO VIEIRA SOUZA</v>
          </cell>
          <cell r="N2757" t="str">
            <v>FZD4278</v>
          </cell>
          <cell r="O2757" t="str">
            <v>2014</v>
          </cell>
          <cell r="P2757" t="str">
            <v>19</v>
          </cell>
          <cell r="Q2757" t="str">
            <v>18</v>
          </cell>
        </row>
        <row r="2758">
          <cell r="B2758" t="str">
            <v>0922/16</v>
          </cell>
          <cell r="C2758" t="str">
            <v>2016-0.084.004-0</v>
          </cell>
          <cell r="D2758" t="str">
            <v/>
          </cell>
          <cell r="E2758" t="str">
            <v>11 de abril de 2016</v>
          </cell>
          <cell r="F2758" t="str">
            <v>SUZANA AMORIM DE LIMA</v>
          </cell>
          <cell r="G2758" t="str">
            <v>11/04/2016</v>
          </cell>
          <cell r="H2758" t="str">
            <v>19/04/2016</v>
          </cell>
          <cell r="I2758" t="str">
            <v>29</v>
          </cell>
          <cell r="J2758" t="str">
            <v>PESSOA FÍSICA</v>
          </cell>
          <cell r="K2758" t="str">
            <v>277.082.588-71</v>
          </cell>
          <cell r="L2758" t="str">
            <v>FO</v>
          </cell>
          <cell r="M2758" t="str">
            <v>SUZANA AMORIM DE LIMA</v>
          </cell>
          <cell r="N2758" t="str">
            <v>FCB4855</v>
          </cell>
          <cell r="O2758" t="str">
            <v>2012</v>
          </cell>
          <cell r="P2758" t="str">
            <v>19</v>
          </cell>
          <cell r="Q2758" t="str">
            <v>18</v>
          </cell>
        </row>
        <row r="2759">
          <cell r="B2759" t="str">
            <v>0923/16</v>
          </cell>
          <cell r="C2759" t="str">
            <v>2016-0.084.005-8</v>
          </cell>
          <cell r="D2759" t="str">
            <v/>
          </cell>
          <cell r="E2759" t="str">
            <v>11 de abril de 2016</v>
          </cell>
          <cell r="F2759" t="str">
            <v>CLAUDIO SANTIAGO</v>
          </cell>
          <cell r="G2759" t="str">
            <v>11/04/2016</v>
          </cell>
          <cell r="H2759" t="str">
            <v>19/04/2016</v>
          </cell>
          <cell r="I2759" t="str">
            <v>29</v>
          </cell>
          <cell r="J2759" t="str">
            <v>PESSOA FÍSICA</v>
          </cell>
          <cell r="K2759" t="str">
            <v>804.232.568-15</v>
          </cell>
          <cell r="L2759" t="str">
            <v>FO</v>
          </cell>
          <cell r="M2759" t="str">
            <v>CLAUDIO SANTIAGO</v>
          </cell>
          <cell r="N2759" t="str">
            <v>CXA8540</v>
          </cell>
          <cell r="O2759" t="str">
            <v>2002</v>
          </cell>
          <cell r="P2759" t="str">
            <v>25</v>
          </cell>
          <cell r="Q2759" t="str">
            <v>23</v>
          </cell>
        </row>
        <row r="2760">
          <cell r="B2760" t="str">
            <v>0924/16</v>
          </cell>
          <cell r="C2760" t="str">
            <v>2016-0.084.006-6</v>
          </cell>
          <cell r="D2760" t="str">
            <v/>
          </cell>
          <cell r="E2760" t="str">
            <v>11 de abril de 2016</v>
          </cell>
          <cell r="F2760" t="str">
            <v>LUCIA MARIZ RAMOS CONTELI</v>
          </cell>
          <cell r="G2760" t="str">
            <v>11/04/2016</v>
          </cell>
          <cell r="H2760" t="str">
            <v>19/04/2016</v>
          </cell>
          <cell r="I2760" t="str">
            <v>29</v>
          </cell>
          <cell r="J2760" t="str">
            <v>PESSOA FÍSICA</v>
          </cell>
          <cell r="K2760" t="str">
            <v>248.058.438-02</v>
          </cell>
          <cell r="L2760" t="str">
            <v>FO</v>
          </cell>
          <cell r="M2760" t="str">
            <v>LUCIA MARIZ RAMOS CONTELI</v>
          </cell>
          <cell r="N2760" t="str">
            <v>ELB6980</v>
          </cell>
          <cell r="O2760" t="str">
            <v>2009</v>
          </cell>
          <cell r="P2760" t="str">
            <v>19</v>
          </cell>
          <cell r="Q2760" t="str">
            <v>18</v>
          </cell>
        </row>
        <row r="2761">
          <cell r="B2761" t="str">
            <v>0925/16</v>
          </cell>
          <cell r="C2761" t="str">
            <v>2016-0.084.007-4</v>
          </cell>
          <cell r="D2761" t="str">
            <v/>
          </cell>
          <cell r="E2761" t="str">
            <v>11 de abril de 2016</v>
          </cell>
          <cell r="F2761" t="str">
            <v>FABIO ILIA COVANZI</v>
          </cell>
          <cell r="G2761" t="str">
            <v>11/04/2016</v>
          </cell>
          <cell r="H2761" t="str">
            <v>19/04/2016</v>
          </cell>
          <cell r="I2761" t="str">
            <v>29</v>
          </cell>
          <cell r="J2761" t="str">
            <v>PESSOA FÍSICA</v>
          </cell>
          <cell r="K2761" t="str">
            <v>036.458.298-73</v>
          </cell>
          <cell r="L2761" t="str">
            <v>FO</v>
          </cell>
          <cell r="M2761" t="str">
            <v>FABIO ILIA COVANZI</v>
          </cell>
          <cell r="N2761" t="str">
            <v>CZZ1619</v>
          </cell>
          <cell r="O2761" t="str">
            <v>2003</v>
          </cell>
          <cell r="P2761" t="str">
            <v>25</v>
          </cell>
          <cell r="Q2761" t="str">
            <v>23</v>
          </cell>
        </row>
        <row r="2762">
          <cell r="B2762" t="str">
            <v>0926/16</v>
          </cell>
          <cell r="C2762" t="str">
            <v>2016-0.084.008-2</v>
          </cell>
          <cell r="D2762" t="str">
            <v/>
          </cell>
          <cell r="E2762" t="str">
            <v>15 de abril de 2016</v>
          </cell>
          <cell r="F2762" t="str">
            <v>MARIO AUGUSTO DA SILVA</v>
          </cell>
          <cell r="G2762" t="str">
            <v>15/04/2016</v>
          </cell>
          <cell r="H2762" t="str">
            <v>19/04/2016</v>
          </cell>
          <cell r="I2762" t="str">
            <v>29</v>
          </cell>
          <cell r="J2762" t="str">
            <v>PESSOA FÍSICA</v>
          </cell>
          <cell r="K2762" t="str">
            <v>129.085.318-52</v>
          </cell>
          <cell r="L2762" t="str">
            <v>FO</v>
          </cell>
          <cell r="M2762" t="str">
            <v>MARIO AUGUSTO DA SILVA</v>
          </cell>
          <cell r="N2762" t="str">
            <v>EFW5063</v>
          </cell>
          <cell r="O2762" t="str">
            <v>2010</v>
          </cell>
          <cell r="P2762" t="str">
            <v>19</v>
          </cell>
          <cell r="Q2762" t="str">
            <v>18</v>
          </cell>
        </row>
        <row r="2763">
          <cell r="B2763" t="str">
            <v>0927/16</v>
          </cell>
          <cell r="C2763" t="str">
            <v>2016-0.084.009-0</v>
          </cell>
          <cell r="D2763" t="str">
            <v/>
          </cell>
          <cell r="E2763" t="str">
            <v>11 de abril de 2016</v>
          </cell>
          <cell r="F2763" t="str">
            <v>LUZINETE DE JESUS CARVALHO PEREIRA</v>
          </cell>
          <cell r="G2763" t="str">
            <v>11/04/2016</v>
          </cell>
          <cell r="H2763" t="str">
            <v>19/04/2016</v>
          </cell>
          <cell r="I2763" t="str">
            <v>29</v>
          </cell>
          <cell r="J2763" t="str">
            <v>PESSOA FÍSICA</v>
          </cell>
          <cell r="K2763" t="str">
            <v>334.667.343-04</v>
          </cell>
          <cell r="L2763" t="str">
            <v>FO</v>
          </cell>
          <cell r="M2763" t="str">
            <v>LUZINETE DE JESUS CARVALHO PEREIRA</v>
          </cell>
          <cell r="N2763" t="str">
            <v>ENL3689</v>
          </cell>
          <cell r="O2763" t="str">
            <v>2009</v>
          </cell>
          <cell r="P2763" t="str">
            <v>19</v>
          </cell>
          <cell r="Q2763" t="str">
            <v>18</v>
          </cell>
        </row>
        <row r="2764">
          <cell r="B2764" t="str">
            <v>0928/16</v>
          </cell>
          <cell r="C2764" t="str">
            <v>2016-0.084.010-4</v>
          </cell>
          <cell r="D2764" t="str">
            <v/>
          </cell>
          <cell r="E2764" t="str">
            <v>11 de abril de 2016</v>
          </cell>
          <cell r="F2764" t="str">
            <v>JOSE ANTONIO DA SILVA</v>
          </cell>
          <cell r="G2764" t="str">
            <v>11/04/2016</v>
          </cell>
          <cell r="H2764" t="str">
            <v>19/04/2016</v>
          </cell>
          <cell r="I2764" t="str">
            <v>29</v>
          </cell>
          <cell r="J2764" t="str">
            <v>PESSOA FÍSICA</v>
          </cell>
          <cell r="K2764" t="str">
            <v>012.760.258-58</v>
          </cell>
          <cell r="L2764" t="str">
            <v>FO</v>
          </cell>
          <cell r="M2764" t="str">
            <v>JOSE ANTONIO DA SILVA</v>
          </cell>
          <cell r="N2764" t="str">
            <v>DTC4582</v>
          </cell>
          <cell r="O2764" t="str">
            <v>2008</v>
          </cell>
          <cell r="P2764" t="str">
            <v>29</v>
          </cell>
          <cell r="Q2764" t="str">
            <v>27</v>
          </cell>
        </row>
        <row r="2765">
          <cell r="B2765" t="str">
            <v>0929/16</v>
          </cell>
          <cell r="C2765" t="str">
            <v>2016-0.084.011-2</v>
          </cell>
          <cell r="D2765" t="str">
            <v/>
          </cell>
          <cell r="E2765" t="str">
            <v>11 de abril de 2016</v>
          </cell>
          <cell r="F2765" t="str">
            <v>SEBASTIAO MELO DE FREITAS</v>
          </cell>
          <cell r="G2765" t="str">
            <v>11/04/2016</v>
          </cell>
          <cell r="H2765" t="str">
            <v>19/04/2016</v>
          </cell>
          <cell r="I2765" t="str">
            <v>29</v>
          </cell>
          <cell r="J2765" t="str">
            <v>PESSOA FÍSICA</v>
          </cell>
          <cell r="K2765" t="str">
            <v>846.819.348-87</v>
          </cell>
          <cell r="L2765" t="str">
            <v>FO</v>
          </cell>
          <cell r="M2765" t="str">
            <v>SEBASTIAO MELO DE FREITAS</v>
          </cell>
          <cell r="N2765" t="str">
            <v>DTC4338</v>
          </cell>
          <cell r="O2765" t="str">
            <v>2008</v>
          </cell>
          <cell r="P2765" t="str">
            <v>29</v>
          </cell>
          <cell r="Q2765" t="str">
            <v>27</v>
          </cell>
        </row>
        <row r="2766">
          <cell r="B2766" t="str">
            <v>0930/16</v>
          </cell>
          <cell r="C2766" t="str">
            <v>2016-0.084.012-0</v>
          </cell>
          <cell r="D2766" t="str">
            <v/>
          </cell>
          <cell r="E2766" t="str">
            <v>04 de abril de 2016</v>
          </cell>
          <cell r="F2766" t="str">
            <v>ADILSON RIBEIRO ALEIXO</v>
          </cell>
          <cell r="G2766" t="str">
            <v>04/04/2016</v>
          </cell>
          <cell r="H2766" t="str">
            <v>13/04/2016</v>
          </cell>
          <cell r="I2766" t="str">
            <v>51</v>
          </cell>
          <cell r="J2766" t="str">
            <v>PESSOA FÍSICA</v>
          </cell>
          <cell r="K2766" t="str">
            <v>875.316.828-34</v>
          </cell>
          <cell r="L2766" t="str">
            <v>FO</v>
          </cell>
          <cell r="M2766" t="str">
            <v>ADILSON RIBEIRO ALEIXO</v>
          </cell>
          <cell r="N2766" t="str">
            <v>ELQ8359</v>
          </cell>
          <cell r="O2766" t="str">
            <v>2010</v>
          </cell>
          <cell r="P2766" t="str">
            <v>15</v>
          </cell>
          <cell r="Q2766" t="str">
            <v>14</v>
          </cell>
        </row>
        <row r="2767">
          <cell r="B2767" t="str">
            <v>0931/16</v>
          </cell>
          <cell r="C2767" t="str">
            <v>2016-0.084.013-9</v>
          </cell>
          <cell r="D2767" t="str">
            <v/>
          </cell>
          <cell r="E2767" t="str">
            <v>11 de abril de 2016</v>
          </cell>
          <cell r="F2767" t="str">
            <v>DIONISIO SCARPONE</v>
          </cell>
          <cell r="G2767" t="str">
            <v>11/04/2016</v>
          </cell>
          <cell r="H2767" t="str">
            <v>19/04/2016</v>
          </cell>
          <cell r="I2767" t="str">
            <v>29</v>
          </cell>
          <cell r="J2767" t="str">
            <v>PESSOA FÍSICA</v>
          </cell>
          <cell r="K2767" t="str">
            <v>592.649.938-00</v>
          </cell>
          <cell r="L2767" t="str">
            <v>FO</v>
          </cell>
          <cell r="M2767" t="str">
            <v>DIONISIO SCARPONE</v>
          </cell>
          <cell r="N2767" t="str">
            <v>CXA5755</v>
          </cell>
          <cell r="O2767" t="str">
            <v>2002</v>
          </cell>
          <cell r="P2767" t="str">
            <v>25</v>
          </cell>
          <cell r="Q2767" t="str">
            <v>23</v>
          </cell>
        </row>
        <row r="2768">
          <cell r="B2768" t="str">
            <v>0932/16</v>
          </cell>
          <cell r="C2768" t="str">
            <v>2016-0.084.014-7</v>
          </cell>
          <cell r="D2768" t="str">
            <v/>
          </cell>
          <cell r="E2768" t="str">
            <v>19 de abril de 2016</v>
          </cell>
          <cell r="F2768" t="str">
            <v>ADEIR RODRIGUES DE MORAES</v>
          </cell>
          <cell r="G2768" t="str">
            <v>19/04/2016</v>
          </cell>
          <cell r="H2768" t="str">
            <v>21/04/2016</v>
          </cell>
          <cell r="I2768" t="str">
            <v>96</v>
          </cell>
          <cell r="J2768" t="str">
            <v>PESSOA FÍSICA</v>
          </cell>
          <cell r="K2768" t="str">
            <v>065.982.438-82</v>
          </cell>
          <cell r="L2768" t="str">
            <v>G</v>
          </cell>
          <cell r="M2768" t="str">
            <v>ADEIR RODRIGUES DE MORAES</v>
          </cell>
          <cell r="N2768" t="str">
            <v>DTC6626</v>
          </cell>
          <cell r="O2768" t="str">
            <v>2009</v>
          </cell>
          <cell r="P2768" t="str">
            <v>10</v>
          </cell>
          <cell r="Q2768" t="str">
            <v>9</v>
          </cell>
        </row>
        <row r="2769">
          <cell r="B2769" t="str">
            <v>0933/16</v>
          </cell>
          <cell r="C2769" t="str">
            <v>2016-0.084.015-5</v>
          </cell>
          <cell r="D2769" t="str">
            <v>07/03/2016</v>
          </cell>
          <cell r="E2769" t="str">
            <v>13 de abril de 2016</v>
          </cell>
          <cell r="F2769" t="str">
            <v>ALTAIR ELIAS CARNEIRO</v>
          </cell>
          <cell r="G2769" t="str">
            <v>13/04/2016</v>
          </cell>
          <cell r="H2769" t="str">
            <v>19/04/2016</v>
          </cell>
          <cell r="I2769" t="str">
            <v>29</v>
          </cell>
          <cell r="J2769" t="str">
            <v>PESSOA FÍSICA</v>
          </cell>
          <cell r="K2769" t="str">
            <v>763.850.198-53</v>
          </cell>
          <cell r="L2769" t="str">
            <v>G</v>
          </cell>
          <cell r="M2769" t="str">
            <v>ALTAIR ELIAS CARNEIRO</v>
          </cell>
          <cell r="N2769" t="str">
            <v>CZX5065</v>
          </cell>
          <cell r="O2769" t="str">
            <v>2002</v>
          </cell>
          <cell r="P2769" t="str">
            <v>25</v>
          </cell>
          <cell r="Q2769" t="str">
            <v>23</v>
          </cell>
        </row>
        <row r="2770">
          <cell r="B2770" t="str">
            <v>0934/16</v>
          </cell>
          <cell r="C2770" t="str">
            <v>2016-0.084.016-3</v>
          </cell>
          <cell r="D2770" t="str">
            <v/>
          </cell>
          <cell r="E2770" t="str">
            <v>28 de março de 2016</v>
          </cell>
          <cell r="F2770" t="str">
            <v>ALTIMAR CHAVES RIBEIRO</v>
          </cell>
          <cell r="G2770" t="str">
            <v>28/03/2016</v>
          </cell>
          <cell r="H2770" t="str">
            <v>13/04/2016</v>
          </cell>
          <cell r="I2770" t="str">
            <v>51</v>
          </cell>
          <cell r="J2770" t="str">
            <v>PESSOA FÍSICA</v>
          </cell>
          <cell r="K2770" t="str">
            <v>806.209.308-53</v>
          </cell>
          <cell r="L2770" t="str">
            <v>G</v>
          </cell>
          <cell r="M2770" t="str">
            <v>ALTIMAR CHAVES RIBEIRO</v>
          </cell>
          <cell r="N2770" t="str">
            <v>DTC3630</v>
          </cell>
          <cell r="O2770" t="str">
            <v>2007</v>
          </cell>
          <cell r="P2770" t="str">
            <v>29</v>
          </cell>
          <cell r="Q2770" t="str">
            <v>27</v>
          </cell>
        </row>
        <row r="2771">
          <cell r="B2771" t="str">
            <v>0935/16</v>
          </cell>
          <cell r="C2771" t="str">
            <v>2016-0.084.017-1</v>
          </cell>
          <cell r="D2771" t="str">
            <v>04/03/2016</v>
          </cell>
          <cell r="E2771" t="str">
            <v>12 de abril de 2016</v>
          </cell>
          <cell r="F2771" t="str">
            <v>CARLOS VITORINO FIGUEIREDO</v>
          </cell>
          <cell r="G2771" t="str">
            <v>12/04/2016</v>
          </cell>
          <cell r="H2771" t="str">
            <v>13/04/2016</v>
          </cell>
          <cell r="I2771" t="str">
            <v>51</v>
          </cell>
          <cell r="J2771" t="str">
            <v>PESSOA FÍSICA</v>
          </cell>
          <cell r="K2771" t="str">
            <v>295.127.768-71</v>
          </cell>
          <cell r="L2771" t="str">
            <v>G</v>
          </cell>
          <cell r="M2771" t="str">
            <v>CARLOS VITORINO FIGUEIREDO</v>
          </cell>
          <cell r="N2771" t="str">
            <v>DTE2230</v>
          </cell>
          <cell r="O2771" t="str">
            <v>2009</v>
          </cell>
          <cell r="P2771" t="str">
            <v>11</v>
          </cell>
          <cell r="Q2771" t="str">
            <v>10</v>
          </cell>
        </row>
        <row r="2772">
          <cell r="B2772" t="str">
            <v>0936/16</v>
          </cell>
          <cell r="C2772" t="str">
            <v>2016-0.084.018-0</v>
          </cell>
          <cell r="D2772" t="str">
            <v>14/03/2016</v>
          </cell>
          <cell r="E2772" t="str">
            <v>11 de abril de 2016</v>
          </cell>
          <cell r="F2772" t="str">
            <v>CLAUDINEY RICARDO ALVES DOS SANTOS</v>
          </cell>
          <cell r="G2772" t="str">
            <v>11/04/2016</v>
          </cell>
          <cell r="H2772" t="str">
            <v>13/04/2016</v>
          </cell>
          <cell r="I2772" t="str">
            <v>51</v>
          </cell>
          <cell r="J2772" t="str">
            <v>PESSOA FÍSICA</v>
          </cell>
          <cell r="K2772" t="str">
            <v>036.486.248-30</v>
          </cell>
          <cell r="L2772" t="str">
            <v>G</v>
          </cell>
          <cell r="M2772" t="str">
            <v>CLAUDINEY RICARDO ALVES DOS SANTOS</v>
          </cell>
          <cell r="N2772" t="str">
            <v>DTC3377</v>
          </cell>
          <cell r="O2772" t="str">
            <v>2007</v>
          </cell>
          <cell r="P2772" t="str">
            <v>29</v>
          </cell>
          <cell r="Q2772" t="str">
            <v>27</v>
          </cell>
        </row>
        <row r="2773">
          <cell r="B2773" t="str">
            <v>0937/16</v>
          </cell>
          <cell r="C2773" t="str">
            <v>2016-0.084.019-8</v>
          </cell>
          <cell r="D2773" t="str">
            <v>14/03/2016</v>
          </cell>
          <cell r="E2773" t="str">
            <v>14 de abril de 2016</v>
          </cell>
          <cell r="F2773" t="str">
            <v>EDSON AMARO DA SILVA</v>
          </cell>
          <cell r="G2773" t="str">
            <v>14/04/2016</v>
          </cell>
          <cell r="H2773" t="str">
            <v>19/04/2016</v>
          </cell>
          <cell r="I2773" t="str">
            <v>29</v>
          </cell>
          <cell r="J2773" t="str">
            <v>PESSOA FÍSICA</v>
          </cell>
          <cell r="K2773" t="str">
            <v>050.117.638-11</v>
          </cell>
          <cell r="L2773" t="str">
            <v>G</v>
          </cell>
          <cell r="M2773" t="str">
            <v>EDSON AMARO DA SILVA</v>
          </cell>
          <cell r="N2773" t="str">
            <v>DTA6627</v>
          </cell>
          <cell r="O2773" t="str">
            <v>2007</v>
          </cell>
          <cell r="P2773" t="str">
            <v>29</v>
          </cell>
          <cell r="Q2773" t="str">
            <v>27</v>
          </cell>
        </row>
        <row r="2774">
          <cell r="B2774" t="str">
            <v>0938/16</v>
          </cell>
          <cell r="C2774" t="str">
            <v>2016-0.084.020-1</v>
          </cell>
          <cell r="D2774" t="str">
            <v>14/03/2016</v>
          </cell>
          <cell r="E2774" t="str">
            <v>11 de abril de 2016</v>
          </cell>
          <cell r="F2774" t="str">
            <v>ERIK BRASIL DE VASCONCELOS</v>
          </cell>
          <cell r="G2774" t="str">
            <v>11/04/2016</v>
          </cell>
          <cell r="H2774" t="str">
            <v>13/04/2016</v>
          </cell>
          <cell r="I2774" t="str">
            <v>51</v>
          </cell>
          <cell r="J2774" t="str">
            <v>PESSOA FÍSICA</v>
          </cell>
          <cell r="K2774" t="str">
            <v>338.493.288-99</v>
          </cell>
          <cell r="L2774" t="str">
            <v>G</v>
          </cell>
          <cell r="M2774" t="str">
            <v>ERIK BRASIL DE VASCONCELOS</v>
          </cell>
          <cell r="N2774" t="str">
            <v>DTD2868</v>
          </cell>
          <cell r="O2774" t="str">
            <v>2007</v>
          </cell>
          <cell r="P2774" t="str">
            <v>29</v>
          </cell>
          <cell r="Q2774" t="str">
            <v>27</v>
          </cell>
        </row>
        <row r="2775">
          <cell r="B2775" t="str">
            <v>0939/16</v>
          </cell>
          <cell r="C2775" t="str">
            <v>2016-0.084.021-0</v>
          </cell>
          <cell r="D2775" t="str">
            <v/>
          </cell>
          <cell r="E2775" t="str">
            <v>11 de abril de 2016</v>
          </cell>
          <cell r="F2775" t="str">
            <v>GERALDO CONCEICAO DA SILVA</v>
          </cell>
          <cell r="G2775" t="str">
            <v>11/04/2016</v>
          </cell>
          <cell r="H2775" t="str">
            <v>19/04/2016</v>
          </cell>
          <cell r="I2775" t="str">
            <v>29</v>
          </cell>
          <cell r="J2775" t="str">
            <v>PESSOA FÍSICA</v>
          </cell>
          <cell r="K2775" t="str">
            <v>124.861.108-01</v>
          </cell>
          <cell r="L2775" t="str">
            <v>G</v>
          </cell>
          <cell r="M2775" t="str">
            <v>GERALDO CONCEICAO DA SILVA</v>
          </cell>
          <cell r="N2775" t="str">
            <v>DTB5538</v>
          </cell>
          <cell r="O2775" t="str">
            <v>2009</v>
          </cell>
          <cell r="P2775" t="str">
            <v>19</v>
          </cell>
          <cell r="Q2775" t="str">
            <v>18</v>
          </cell>
        </row>
        <row r="2776">
          <cell r="B2776" t="str">
            <v>0940/16</v>
          </cell>
          <cell r="C2776" t="str">
            <v>2016-0.084.022-8</v>
          </cell>
          <cell r="D2776" t="str">
            <v>21/03/2016</v>
          </cell>
          <cell r="E2776" t="str">
            <v>15 de abril de 2016</v>
          </cell>
          <cell r="F2776" t="str">
            <v>ISRAEL GIMENES</v>
          </cell>
          <cell r="G2776" t="str">
            <v>15/04/2016</v>
          </cell>
          <cell r="H2776" t="str">
            <v>19/04/2016</v>
          </cell>
          <cell r="I2776" t="str">
            <v>29</v>
          </cell>
          <cell r="J2776" t="str">
            <v>PESSOA FÍSICA</v>
          </cell>
          <cell r="K2776" t="str">
            <v>136.529.208-80</v>
          </cell>
          <cell r="L2776" t="str">
            <v>G</v>
          </cell>
          <cell r="M2776" t="str">
            <v>ISRAEL GIMENES</v>
          </cell>
          <cell r="N2776" t="str">
            <v>DTE2390</v>
          </cell>
          <cell r="O2776" t="str">
            <v>2008</v>
          </cell>
          <cell r="P2776" t="str">
            <v>29</v>
          </cell>
          <cell r="Q2776" t="str">
            <v>27</v>
          </cell>
        </row>
        <row r="2777">
          <cell r="B2777" t="str">
            <v>0941/16</v>
          </cell>
          <cell r="C2777" t="str">
            <v>2016-0.084.023-6</v>
          </cell>
          <cell r="D2777" t="str">
            <v/>
          </cell>
          <cell r="E2777" t="str">
            <v>28 de março de 2016</v>
          </cell>
          <cell r="F2777" t="str">
            <v>IZAQUE MOREIRA DOS SANTOS</v>
          </cell>
          <cell r="G2777" t="str">
            <v>28/03/2016</v>
          </cell>
          <cell r="H2777" t="str">
            <v>13/04/2016</v>
          </cell>
          <cell r="I2777" t="str">
            <v>51</v>
          </cell>
          <cell r="J2777" t="str">
            <v>PESSOA FÍSICA</v>
          </cell>
          <cell r="K2777" t="str">
            <v>987.908.388-15</v>
          </cell>
          <cell r="L2777" t="str">
            <v>G</v>
          </cell>
          <cell r="M2777" t="str">
            <v>IZAQUE MOREIRA DOS SANTOS</v>
          </cell>
          <cell r="N2777" t="str">
            <v>KPH0419</v>
          </cell>
          <cell r="O2777" t="str">
            <v>2005</v>
          </cell>
          <cell r="P2777" t="str">
            <v>25</v>
          </cell>
          <cell r="Q2777" t="str">
            <v>23</v>
          </cell>
        </row>
        <row r="2778">
          <cell r="B2778" t="str">
            <v>0942/16</v>
          </cell>
          <cell r="C2778" t="str">
            <v>2016-0.084.024-4</v>
          </cell>
          <cell r="D2778" t="str">
            <v/>
          </cell>
          <cell r="E2778" t="str">
            <v>04 de abril de 2016</v>
          </cell>
          <cell r="F2778" t="str">
            <v>JANICE ARAUJO VIEIRA</v>
          </cell>
          <cell r="G2778" t="str">
            <v>04/04/2016</v>
          </cell>
          <cell r="H2778" t="str">
            <v>19/04/2016</v>
          </cell>
          <cell r="I2778" t="str">
            <v>29</v>
          </cell>
          <cell r="J2778" t="str">
            <v>PESSOA FÍSICA</v>
          </cell>
          <cell r="K2778" t="str">
            <v>082.996.368-50</v>
          </cell>
          <cell r="L2778" t="str">
            <v>G</v>
          </cell>
          <cell r="M2778" t="str">
            <v>JANICE ARAUJO VIEIRA</v>
          </cell>
          <cell r="N2778" t="str">
            <v>ECT3569</v>
          </cell>
          <cell r="O2778" t="str">
            <v>2008</v>
          </cell>
          <cell r="P2778" t="str">
            <v>29</v>
          </cell>
          <cell r="Q2778" t="str">
            <v>27</v>
          </cell>
        </row>
        <row r="2779">
          <cell r="B2779" t="str">
            <v>0943/16</v>
          </cell>
          <cell r="C2779" t="str">
            <v>2016-0.084.025-2</v>
          </cell>
          <cell r="D2779" t="str">
            <v>10/03/2016</v>
          </cell>
          <cell r="E2779" t="str">
            <v>13 de abril de 2016</v>
          </cell>
          <cell r="F2779" t="str">
            <v>JOAO MOREIRA DE LUCENA</v>
          </cell>
          <cell r="G2779" t="str">
            <v>13/04/2016</v>
          </cell>
          <cell r="H2779" t="str">
            <v>19/04/2016</v>
          </cell>
          <cell r="I2779" t="str">
            <v>29</v>
          </cell>
          <cell r="J2779" t="str">
            <v>PESSOA FÍSICA</v>
          </cell>
          <cell r="K2779" t="str">
            <v>118.914.948-64</v>
          </cell>
          <cell r="L2779" t="str">
            <v>G</v>
          </cell>
          <cell r="M2779" t="str">
            <v>JOAO MOREIRA DE LUCENA</v>
          </cell>
          <cell r="N2779" t="str">
            <v>CZX8736</v>
          </cell>
          <cell r="O2779" t="str">
            <v>2003</v>
          </cell>
          <cell r="P2779" t="str">
            <v>25</v>
          </cell>
          <cell r="Q2779" t="str">
            <v>23</v>
          </cell>
        </row>
        <row r="2780">
          <cell r="B2780" t="str">
            <v>0944/16</v>
          </cell>
          <cell r="C2780" t="str">
            <v>2016-0.084.026-0</v>
          </cell>
          <cell r="D2780" t="str">
            <v/>
          </cell>
          <cell r="E2780" t="str">
            <v>18 de abril de 2016</v>
          </cell>
          <cell r="F2780" t="str">
            <v>MARCELO DE CARVALHO BARBOSA</v>
          </cell>
          <cell r="G2780" t="str">
            <v>18/04/2016</v>
          </cell>
          <cell r="H2780" t="str">
            <v>21/04/2016</v>
          </cell>
          <cell r="I2780" t="str">
            <v>96</v>
          </cell>
          <cell r="J2780" t="str">
            <v>PESSOA FÍSICA</v>
          </cell>
          <cell r="K2780" t="str">
            <v>260.795.278-63</v>
          </cell>
          <cell r="L2780" t="str">
            <v>G</v>
          </cell>
          <cell r="M2780" t="str">
            <v>MARCELO DE CARVALHO BARBOSA</v>
          </cell>
          <cell r="N2780" t="str">
            <v>CZZ1954</v>
          </cell>
          <cell r="O2780" t="str">
            <v>2003</v>
          </cell>
          <cell r="P2780" t="str">
            <v>25</v>
          </cell>
          <cell r="Q2780" t="str">
            <v>23</v>
          </cell>
        </row>
        <row r="2781">
          <cell r="B2781" t="str">
            <v>0945/16</v>
          </cell>
          <cell r="C2781" t="str">
            <v>2016-0.084.027-9</v>
          </cell>
          <cell r="D2781" t="str">
            <v/>
          </cell>
          <cell r="E2781" t="str">
            <v>04 de abril de 2016</v>
          </cell>
          <cell r="F2781" t="str">
            <v>PEDRO ROSAS TAVARES</v>
          </cell>
          <cell r="G2781" t="str">
            <v>04/04/2016</v>
          </cell>
          <cell r="H2781" t="str">
            <v>13/04/2016</v>
          </cell>
          <cell r="I2781" t="str">
            <v>51</v>
          </cell>
          <cell r="J2781" t="str">
            <v>PESSOA FÍSICA</v>
          </cell>
          <cell r="K2781" t="str">
            <v>036.634.608-35</v>
          </cell>
          <cell r="L2781" t="str">
            <v>G</v>
          </cell>
          <cell r="M2781" t="str">
            <v>PEDRO ROSAS TAVARES</v>
          </cell>
          <cell r="N2781" t="str">
            <v>CZZ1630</v>
          </cell>
          <cell r="O2781" t="str">
            <v>2002</v>
          </cell>
          <cell r="P2781" t="str">
            <v>25</v>
          </cell>
          <cell r="Q2781" t="str">
            <v>23</v>
          </cell>
        </row>
        <row r="2782">
          <cell r="B2782" t="str">
            <v>0946/16</v>
          </cell>
          <cell r="C2782" t="str">
            <v>2016-0.084.028-7</v>
          </cell>
          <cell r="D2782" t="str">
            <v>07/03/2016</v>
          </cell>
          <cell r="E2782" t="str">
            <v>11 de abril de 2016</v>
          </cell>
          <cell r="F2782" t="str">
            <v>SEVIRINO ALBINO CARDOSO JUNIOR</v>
          </cell>
          <cell r="G2782" t="str">
            <v>11/04/2016</v>
          </cell>
          <cell r="H2782" t="str">
            <v>13/04/2016</v>
          </cell>
          <cell r="I2782" t="str">
            <v>51</v>
          </cell>
          <cell r="J2782" t="str">
            <v>PESSOA FÍSICA</v>
          </cell>
          <cell r="K2782" t="str">
            <v>152.267.578-75</v>
          </cell>
          <cell r="L2782" t="str">
            <v>G</v>
          </cell>
          <cell r="M2782" t="str">
            <v>SEVIRINO ALBINO CARDOSO JUNIOR</v>
          </cell>
          <cell r="N2782" t="str">
            <v>DZX5134</v>
          </cell>
          <cell r="O2782" t="str">
            <v>2007</v>
          </cell>
          <cell r="P2782" t="str">
            <v>29</v>
          </cell>
          <cell r="Q2782" t="str">
            <v>27</v>
          </cell>
        </row>
        <row r="2783">
          <cell r="B2783" t="str">
            <v>0947/16</v>
          </cell>
          <cell r="C2783" t="str">
            <v>2016-0.084.029-5</v>
          </cell>
          <cell r="D2783" t="str">
            <v>07/03/2016</v>
          </cell>
          <cell r="E2783" t="str">
            <v>13 de abril de 2016</v>
          </cell>
          <cell r="F2783" t="str">
            <v>TOLENTINO CATANHO DE MENEZES JUNIOR</v>
          </cell>
          <cell r="G2783" t="str">
            <v>13/04/2016</v>
          </cell>
          <cell r="H2783" t="str">
            <v>19/04/2016</v>
          </cell>
          <cell r="I2783" t="str">
            <v>29</v>
          </cell>
          <cell r="J2783" t="str">
            <v>PESSOA FÍSICA</v>
          </cell>
          <cell r="K2783" t="str">
            <v>152.814.518-63</v>
          </cell>
          <cell r="L2783" t="str">
            <v>G</v>
          </cell>
          <cell r="M2783" t="str">
            <v>TOLENTINO CATANHO DE MENEZES JUNIOR</v>
          </cell>
          <cell r="N2783" t="str">
            <v>CYR9513</v>
          </cell>
          <cell r="O2783" t="str">
            <v>2002</v>
          </cell>
          <cell r="P2783" t="str">
            <v>25</v>
          </cell>
          <cell r="Q2783" t="str">
            <v>23</v>
          </cell>
        </row>
        <row r="2784">
          <cell r="B2784" t="str">
            <v>0948/16</v>
          </cell>
          <cell r="C2784" t="str">
            <v>2016-0.084.030-9</v>
          </cell>
          <cell r="D2784" t="str">
            <v>28/03/2016</v>
          </cell>
          <cell r="E2784" t="str">
            <v>15 de abril de 2016</v>
          </cell>
          <cell r="F2784" t="str">
            <v>VANDERLI DE OLIVEIRA COELHO</v>
          </cell>
          <cell r="G2784" t="str">
            <v>15/04/2016</v>
          </cell>
          <cell r="H2784" t="str">
            <v>19/04/2016</v>
          </cell>
          <cell r="I2784" t="str">
            <v>29</v>
          </cell>
          <cell r="J2784" t="str">
            <v>PESSOA FÍSICA</v>
          </cell>
          <cell r="K2784" t="str">
            <v>021.340.288-23</v>
          </cell>
          <cell r="L2784" t="str">
            <v>G</v>
          </cell>
          <cell r="M2784" t="str">
            <v>VANDERLI DE OLIVEIRA COELHO</v>
          </cell>
          <cell r="N2784" t="str">
            <v>DJF8557</v>
          </cell>
          <cell r="O2784" t="str">
            <v>2006</v>
          </cell>
          <cell r="P2784" t="str">
            <v>25</v>
          </cell>
          <cell r="Q2784" t="str">
            <v>23</v>
          </cell>
        </row>
        <row r="2785">
          <cell r="B2785" t="str">
            <v>0949/16</v>
          </cell>
          <cell r="C2785" t="str">
            <v>2016-0.084.031-7</v>
          </cell>
          <cell r="D2785" t="str">
            <v/>
          </cell>
          <cell r="E2785" t="str">
            <v>04 de abril de 2016</v>
          </cell>
          <cell r="F2785" t="str">
            <v>WILSON BATISTA DE SOUZA</v>
          </cell>
          <cell r="G2785" t="str">
            <v>04/04/2016</v>
          </cell>
          <cell r="H2785" t="str">
            <v>19/04/2016</v>
          </cell>
          <cell r="I2785" t="str">
            <v>29</v>
          </cell>
          <cell r="J2785" t="str">
            <v>PESSOA FÍSICA</v>
          </cell>
          <cell r="K2785" t="str">
            <v>164.850.448-50</v>
          </cell>
          <cell r="L2785" t="str">
            <v>G</v>
          </cell>
          <cell r="M2785" t="str">
            <v>WILSON BATISTA DE SOUZA</v>
          </cell>
          <cell r="N2785" t="str">
            <v>DTB6240</v>
          </cell>
          <cell r="O2785" t="str">
            <v>2006</v>
          </cell>
          <cell r="P2785" t="str">
            <v>43</v>
          </cell>
          <cell r="Q2785" t="str">
            <v>41</v>
          </cell>
        </row>
        <row r="2786">
          <cell r="B2786" t="str">
            <v>0950/16</v>
          </cell>
          <cell r="C2786" t="str">
            <v>2016-0.084.032-5</v>
          </cell>
          <cell r="D2786" t="str">
            <v>29/02/2016</v>
          </cell>
          <cell r="E2786" t="str">
            <v>15 de abril de 2016</v>
          </cell>
          <cell r="F2786" t="str">
            <v>CARLOS GONCALVES DOS SANTOS</v>
          </cell>
          <cell r="G2786" t="str">
            <v>15/04/2016</v>
          </cell>
          <cell r="H2786" t="str">
            <v>19/04/2016</v>
          </cell>
          <cell r="I2786" t="str">
            <v>29</v>
          </cell>
          <cell r="J2786" t="str">
            <v>PESSOA FÍSICA</v>
          </cell>
          <cell r="K2786" t="str">
            <v>770.881.908-34</v>
          </cell>
          <cell r="L2786" t="str">
            <v>G</v>
          </cell>
          <cell r="M2786" t="str">
            <v>CARLOS GONCALVES DOS SANTOS</v>
          </cell>
          <cell r="N2786" t="str">
            <v>ECT4953</v>
          </cell>
          <cell r="O2786" t="str">
            <v>2009</v>
          </cell>
          <cell r="P2786" t="str">
            <v>11</v>
          </cell>
          <cell r="Q2786" t="str">
            <v>10</v>
          </cell>
        </row>
        <row r="2787">
          <cell r="B2787" t="str">
            <v>0951/16</v>
          </cell>
          <cell r="C2787" t="str">
            <v>2016-0.084.033-3</v>
          </cell>
          <cell r="D2787" t="str">
            <v/>
          </cell>
          <cell r="E2787" t="str">
            <v>15 de abril de 2016</v>
          </cell>
          <cell r="F2787" t="str">
            <v>MARCOS DUARTE BRITO</v>
          </cell>
          <cell r="G2787" t="str">
            <v>15/04/2016</v>
          </cell>
          <cell r="H2787" t="str">
            <v>19/04/2016</v>
          </cell>
          <cell r="I2787" t="str">
            <v>30</v>
          </cell>
          <cell r="J2787" t="str">
            <v>PESSOA FÍSICA</v>
          </cell>
          <cell r="K2787" t="str">
            <v>215.648.068-04</v>
          </cell>
          <cell r="L2787" t="str">
            <v>G</v>
          </cell>
          <cell r="M2787" t="str">
            <v>MARCOS DUARTE BRITO</v>
          </cell>
          <cell r="N2787" t="str">
            <v>EFV4786</v>
          </cell>
          <cell r="O2787" t="str">
            <v>2009</v>
          </cell>
          <cell r="P2787" t="str">
            <v>19</v>
          </cell>
          <cell r="Q2787" t="str">
            <v>18</v>
          </cell>
        </row>
        <row r="2788">
          <cell r="B2788" t="str">
            <v>0952/16</v>
          </cell>
          <cell r="C2788" t="str">
            <v>2016-0.084.034-1</v>
          </cell>
          <cell r="D2788" t="str">
            <v>28/03/2016</v>
          </cell>
          <cell r="E2788" t="str">
            <v>15 de abril de 2016</v>
          </cell>
          <cell r="F2788" t="str">
            <v>JOSE VALBERTO LOPES PIRES</v>
          </cell>
          <cell r="G2788" t="str">
            <v>15/04/2016</v>
          </cell>
          <cell r="H2788" t="str">
            <v>19/04/2016</v>
          </cell>
          <cell r="I2788" t="str">
            <v>30</v>
          </cell>
          <cell r="J2788" t="str">
            <v>PESSOA FÍSICA</v>
          </cell>
          <cell r="K2788" t="str">
            <v>275.808.928-98</v>
          </cell>
          <cell r="L2788" t="str">
            <v>G</v>
          </cell>
          <cell r="M2788" t="str">
            <v>JOSE VALBERTO LOPES PIRES</v>
          </cell>
          <cell r="N2788" t="str">
            <v>EPU7197</v>
          </cell>
          <cell r="O2788" t="str">
            <v>2011</v>
          </cell>
          <cell r="P2788" t="str">
            <v>24</v>
          </cell>
          <cell r="Q2788" t="str">
            <v>23</v>
          </cell>
        </row>
        <row r="2789">
          <cell r="B2789" t="str">
            <v>0953/16</v>
          </cell>
          <cell r="C2789" t="str">
            <v>2016-0.084.035-0</v>
          </cell>
          <cell r="D2789" t="str">
            <v/>
          </cell>
          <cell r="E2789" t="str">
            <v>04 de abril de 2016</v>
          </cell>
          <cell r="F2789" t="str">
            <v>CARLOS ALBERTO DE ARAUJO</v>
          </cell>
          <cell r="G2789" t="str">
            <v>04/04/2016</v>
          </cell>
          <cell r="H2789" t="str">
            <v>13/04/2016</v>
          </cell>
          <cell r="I2789" t="str">
            <v>51</v>
          </cell>
          <cell r="J2789" t="str">
            <v>PESSOA FÍSICA</v>
          </cell>
          <cell r="K2789" t="str">
            <v>073.135.718-36</v>
          </cell>
          <cell r="L2789" t="str">
            <v>G</v>
          </cell>
          <cell r="M2789" t="str">
            <v>CARLOS ALBERTO DE ARAUJO</v>
          </cell>
          <cell r="N2789" t="str">
            <v>FRC8739</v>
          </cell>
          <cell r="O2789" t="str">
            <v>2014</v>
          </cell>
          <cell r="P2789" t="str">
            <v>10</v>
          </cell>
          <cell r="Q2789" t="str">
            <v>09</v>
          </cell>
        </row>
        <row r="2790">
          <cell r="B2790" t="str">
            <v>0954/16</v>
          </cell>
          <cell r="C2790" t="str">
            <v>2016-0.084.036-8</v>
          </cell>
          <cell r="D2790" t="str">
            <v/>
          </cell>
          <cell r="E2790" t="str">
            <v>11 de abril de 2016</v>
          </cell>
          <cell r="F2790" t="str">
            <v>RONALDO JOSE DOMINGOS DA SILVA</v>
          </cell>
          <cell r="G2790" t="str">
            <v>11/04/2016</v>
          </cell>
          <cell r="H2790" t="str">
            <v>13/04/2016</v>
          </cell>
          <cell r="I2790" t="str">
            <v>51</v>
          </cell>
          <cell r="J2790" t="str">
            <v>PESSOA FÍSICA</v>
          </cell>
          <cell r="K2790" t="str">
            <v>289.759.058-02</v>
          </cell>
          <cell r="L2790" t="str">
            <v>G</v>
          </cell>
          <cell r="M2790" t="str">
            <v>RONALDO JOSE DOMINGOS DA SILVA</v>
          </cell>
          <cell r="N2790" t="str">
            <v>ECT5377</v>
          </cell>
          <cell r="O2790" t="str">
            <v>2008</v>
          </cell>
          <cell r="P2790" t="str">
            <v>29</v>
          </cell>
          <cell r="Q2790" t="str">
            <v>27</v>
          </cell>
        </row>
        <row r="2791">
          <cell r="B2791" t="str">
            <v>0955/16</v>
          </cell>
          <cell r="C2791" t="str">
            <v>2016-0.088.646-5</v>
          </cell>
          <cell r="D2791" t="str">
            <v>29/03/2016</v>
          </cell>
          <cell r="E2791" t="str">
            <v>25 de abril de 2016</v>
          </cell>
          <cell r="F2791" t="str">
            <v>ADRIANA FAGUNDES DE CARVALHO</v>
          </cell>
          <cell r="G2791" t="str">
            <v>25/04/2016</v>
          </cell>
          <cell r="H2791" t="str">
            <v>27/04/2016</v>
          </cell>
          <cell r="I2791" t="str">
            <v>54</v>
          </cell>
          <cell r="J2791" t="str">
            <v>PESSOA FÍSICA</v>
          </cell>
          <cell r="K2791" t="str">
            <v>112.062.268-97</v>
          </cell>
          <cell r="L2791" t="str">
            <v>PJ</v>
          </cell>
          <cell r="M2791" t="str">
            <v>ADRIANA FAGUNDES DE CARVALHO</v>
          </cell>
          <cell r="N2791" t="str">
            <v>FTT8230</v>
          </cell>
          <cell r="O2791" t="str">
            <v>2014</v>
          </cell>
          <cell r="P2791" t="str">
            <v>19</v>
          </cell>
          <cell r="Q2791" t="str">
            <v>18</v>
          </cell>
        </row>
        <row r="2792">
          <cell r="B2792" t="str">
            <v>0956/16</v>
          </cell>
          <cell r="C2792" t="str">
            <v>2016-0.088.649-0</v>
          </cell>
          <cell r="D2792" t="str">
            <v>04/03/2016</v>
          </cell>
          <cell r="E2792" t="str">
            <v>19 de abril de 2016</v>
          </cell>
          <cell r="F2792" t="str">
            <v>MARCOS DA SILVA CORDEIRO</v>
          </cell>
          <cell r="G2792" t="str">
            <v>19/04/2016</v>
          </cell>
          <cell r="H2792" t="str">
            <v>21/04/2016</v>
          </cell>
          <cell r="I2792" t="str">
            <v>96</v>
          </cell>
          <cell r="J2792" t="str">
            <v>PESSOA FÍSICA</v>
          </cell>
          <cell r="K2792" t="str">
            <v>321.327.958-78</v>
          </cell>
          <cell r="L2792" t="str">
            <v>G</v>
          </cell>
          <cell r="M2792" t="str">
            <v>MARCOS DA SILVA CORDEIRO</v>
          </cell>
          <cell r="N2792" t="str">
            <v>ELW7582</v>
          </cell>
          <cell r="O2792" t="str">
            <v>2011</v>
          </cell>
          <cell r="P2792" t="str">
            <v>15</v>
          </cell>
          <cell r="Q2792" t="str">
            <v>14</v>
          </cell>
        </row>
        <row r="2793">
          <cell r="B2793" t="str">
            <v>0957/16</v>
          </cell>
          <cell r="C2793" t="str">
            <v>2016-0.088.650-3</v>
          </cell>
          <cell r="D2793" t="str">
            <v>22/02/2016</v>
          </cell>
          <cell r="E2793" t="str">
            <v>25 de abril de 2016</v>
          </cell>
          <cell r="F2793" t="str">
            <v>EDER CROZARA</v>
          </cell>
          <cell r="G2793" t="str">
            <v>25/04/2016</v>
          </cell>
          <cell r="H2793" t="str">
            <v>27/04/2016</v>
          </cell>
          <cell r="I2793" t="str">
            <v>54</v>
          </cell>
          <cell r="J2793" t="str">
            <v>PESSOA FÍSICA</v>
          </cell>
          <cell r="K2793" t="str">
            <v>014.524.908-56</v>
          </cell>
          <cell r="L2793" t="str">
            <v>G</v>
          </cell>
          <cell r="M2793" t="str">
            <v>EDER CROZARA</v>
          </cell>
          <cell r="N2793" t="str">
            <v>DTE1839</v>
          </cell>
          <cell r="O2793" t="str">
            <v>2009</v>
          </cell>
          <cell r="P2793" t="str">
            <v>11</v>
          </cell>
          <cell r="Q2793" t="str">
            <v>10</v>
          </cell>
        </row>
        <row r="2794">
          <cell r="B2794" t="str">
            <v>0958/16</v>
          </cell>
          <cell r="C2794" t="str">
            <v>2016-0.088.651-1</v>
          </cell>
          <cell r="D2794" t="str">
            <v>15/02/2016</v>
          </cell>
          <cell r="E2794" t="str">
            <v>14 de abril de 2016</v>
          </cell>
          <cell r="F2794" t="str">
            <v>GETRAN SANTOS</v>
          </cell>
          <cell r="G2794" t="str">
            <v>14/04/2016</v>
          </cell>
          <cell r="H2794" t="str">
            <v>19/04/2016</v>
          </cell>
          <cell r="I2794" t="str">
            <v>30</v>
          </cell>
          <cell r="J2794" t="str">
            <v>PESSOA FÍSICA</v>
          </cell>
          <cell r="K2794" t="str">
            <v>280.925.818-00</v>
          </cell>
          <cell r="L2794" t="str">
            <v>G</v>
          </cell>
          <cell r="M2794" t="str">
            <v>GETRAN SANTOS</v>
          </cell>
          <cell r="N2794" t="str">
            <v>DTA0042</v>
          </cell>
          <cell r="O2794" t="str">
            <v>2012</v>
          </cell>
          <cell r="P2794" t="str">
            <v>10</v>
          </cell>
          <cell r="Q2794" t="str">
            <v>9</v>
          </cell>
        </row>
        <row r="2795">
          <cell r="B2795" t="str">
            <v>0959/16</v>
          </cell>
          <cell r="C2795" t="str">
            <v>2016-0.088.652-0</v>
          </cell>
          <cell r="D2795" t="str">
            <v>14/03/2016</v>
          </cell>
          <cell r="E2795" t="str">
            <v>20 de abril de 2016</v>
          </cell>
          <cell r="F2795" t="str">
            <v>CARLOS ALBERTO ARANA</v>
          </cell>
          <cell r="G2795" t="str">
            <v>20/04/2016</v>
          </cell>
          <cell r="H2795" t="str">
            <v>21/04/2016</v>
          </cell>
          <cell r="I2795" t="str">
            <v>96</v>
          </cell>
          <cell r="J2795" t="str">
            <v>PESSOA FÍSICA</v>
          </cell>
          <cell r="K2795" t="str">
            <v>182.876.288-14</v>
          </cell>
          <cell r="L2795" t="str">
            <v>SA</v>
          </cell>
          <cell r="M2795" t="str">
            <v>CARLOS ALBERTO ARANA</v>
          </cell>
          <cell r="N2795" t="str">
            <v>DTD7999</v>
          </cell>
          <cell r="O2795" t="str">
            <v>2008</v>
          </cell>
          <cell r="P2795" t="str">
            <v>19</v>
          </cell>
          <cell r="Q2795" t="str">
            <v>18</v>
          </cell>
        </row>
        <row r="2796">
          <cell r="B2796" t="str">
            <v>0960/16</v>
          </cell>
          <cell r="C2796" t="str">
            <v>2016-0.088.653-8</v>
          </cell>
          <cell r="D2796" t="str">
            <v>04/03/2016</v>
          </cell>
          <cell r="E2796" t="str">
            <v>15 de abril de 2016</v>
          </cell>
          <cell r="F2796" t="str">
            <v>MARCELO FRANCISCO DA CRUZ ROZENDO</v>
          </cell>
          <cell r="G2796" t="str">
            <v>15/04/2016</v>
          </cell>
          <cell r="H2796" t="str">
            <v>19/04/2016</v>
          </cell>
          <cell r="I2796" t="str">
            <v>30</v>
          </cell>
          <cell r="J2796" t="str">
            <v>PESSOA FÍSICA</v>
          </cell>
          <cell r="K2796" t="str">
            <v>216.641.338-28</v>
          </cell>
          <cell r="L2796" t="str">
            <v>G</v>
          </cell>
          <cell r="M2796" t="str">
            <v>MARCELO FRANCISCO DA CRUZ ROZENDO</v>
          </cell>
          <cell r="N2796" t="str">
            <v>DJB3058</v>
          </cell>
          <cell r="O2796" t="str">
            <v>2003</v>
          </cell>
          <cell r="P2796" t="str">
            <v>26</v>
          </cell>
          <cell r="Q2796" t="str">
            <v>24</v>
          </cell>
        </row>
        <row r="2797">
          <cell r="B2797" t="str">
            <v>0961/16</v>
          </cell>
          <cell r="C2797" t="str">
            <v>2016-0.088.654-6</v>
          </cell>
          <cell r="D2797" t="str">
            <v/>
          </cell>
          <cell r="E2797" t="str">
            <v/>
          </cell>
          <cell r="F2797" t="str">
            <v>CARLOS GUIMARAES LINS</v>
          </cell>
          <cell r="G2797" t="str">
            <v/>
          </cell>
          <cell r="H2797" t="str">
            <v/>
          </cell>
          <cell r="I2797" t="str">
            <v/>
          </cell>
          <cell r="J2797" t="str">
            <v>PESSOA FÍSICA</v>
          </cell>
          <cell r="K2797" t="str">
            <v>179.989.988-81</v>
          </cell>
          <cell r="L2797" t="str">
            <v xml:space="preserve">SA </v>
          </cell>
          <cell r="M2797" t="str">
            <v>CARLOS GUIMARAES LINS</v>
          </cell>
          <cell r="N2797" t="str">
            <v>FGM4309</v>
          </cell>
          <cell r="O2797" t="str">
            <v>2014</v>
          </cell>
          <cell r="P2797" t="str">
            <v>19</v>
          </cell>
          <cell r="Q2797" t="str">
            <v>18</v>
          </cell>
        </row>
        <row r="2798">
          <cell r="B2798" t="str">
            <v>0962/16</v>
          </cell>
          <cell r="C2798" t="str">
            <v>2016-0.088.655-4</v>
          </cell>
          <cell r="D2798" t="str">
            <v>14/03/2016</v>
          </cell>
          <cell r="E2798" t="str">
            <v>15 de abril de 2016</v>
          </cell>
          <cell r="F2798" t="str">
            <v>HELIO JOSE SILVA</v>
          </cell>
          <cell r="G2798" t="str">
            <v>15/04/2016</v>
          </cell>
          <cell r="H2798" t="str">
            <v>19/04/2016</v>
          </cell>
          <cell r="I2798" t="str">
            <v>30</v>
          </cell>
          <cell r="J2798" t="str">
            <v>PESSOA FÍSICA</v>
          </cell>
          <cell r="K2798" t="str">
            <v>114.995.688-78</v>
          </cell>
          <cell r="L2798" t="str">
            <v>SA</v>
          </cell>
          <cell r="M2798" t="str">
            <v>HELIO JOSE SILVA</v>
          </cell>
          <cell r="N2798" t="str">
            <v>FCB0639</v>
          </cell>
          <cell r="O2798" t="str">
            <v>2012</v>
          </cell>
          <cell r="P2798" t="str">
            <v>15</v>
          </cell>
          <cell r="Q2798" t="str">
            <v>14</v>
          </cell>
        </row>
        <row r="2799">
          <cell r="B2799" t="str">
            <v>0963/16</v>
          </cell>
          <cell r="C2799" t="str">
            <v>2016-0.088.656-2</v>
          </cell>
          <cell r="D2799" t="str">
            <v>21/03/2016</v>
          </cell>
          <cell r="E2799" t="str">
            <v>26 de abril de 2016</v>
          </cell>
          <cell r="F2799" t="str">
            <v>ANA PAULA DE SOUZA DA SILVA</v>
          </cell>
          <cell r="G2799" t="str">
            <v>26/04/2016</v>
          </cell>
          <cell r="H2799" t="str">
            <v>27/04/2016</v>
          </cell>
          <cell r="I2799" t="str">
            <v>54</v>
          </cell>
          <cell r="J2799" t="str">
            <v>PESSOA FÍSICA</v>
          </cell>
          <cell r="K2799" t="str">
            <v>313.425.108-60</v>
          </cell>
          <cell r="L2799" t="str">
            <v>SM</v>
          </cell>
          <cell r="M2799" t="str">
            <v>ANA PAULA DE SOUZA DA SILVA</v>
          </cell>
          <cell r="N2799" t="str">
            <v>KUT7534</v>
          </cell>
          <cell r="O2799" t="str">
            <v>2007</v>
          </cell>
          <cell r="P2799" t="str">
            <v>15</v>
          </cell>
          <cell r="Q2799" t="str">
            <v>13</v>
          </cell>
        </row>
        <row r="2800">
          <cell r="B2800" t="str">
            <v>0964/16</v>
          </cell>
          <cell r="C2800" t="str">
            <v>2016-0.088.658-9</v>
          </cell>
          <cell r="D2800" t="str">
            <v>29/02/2016</v>
          </cell>
          <cell r="E2800" t="str">
            <v>25 de abril de 2016</v>
          </cell>
          <cell r="F2800" t="str">
            <v>GILFREDO COELHO ROCHA</v>
          </cell>
          <cell r="G2800" t="str">
            <v>25/04/2016</v>
          </cell>
          <cell r="H2800" t="str">
            <v>27/04/2016</v>
          </cell>
          <cell r="I2800" t="str">
            <v>54</v>
          </cell>
          <cell r="J2800" t="str">
            <v>PESSOA FÍSICA</v>
          </cell>
          <cell r="K2800" t="str">
            <v>085.527.858-70</v>
          </cell>
          <cell r="L2800" t="str">
            <v>SM</v>
          </cell>
          <cell r="M2800" t="str">
            <v>GILFREDO COELHO ROCHA</v>
          </cell>
          <cell r="N2800" t="str">
            <v>EFW3199</v>
          </cell>
          <cell r="O2800" t="str">
            <v>2010</v>
          </cell>
          <cell r="P2800" t="str">
            <v>19</v>
          </cell>
          <cell r="Q2800" t="str">
            <v>18</v>
          </cell>
        </row>
        <row r="2801">
          <cell r="B2801" t="str">
            <v>0965/16</v>
          </cell>
          <cell r="C2801" t="str">
            <v>2016-0.088.659-7</v>
          </cell>
          <cell r="D2801" t="str">
            <v>21/03/2016</v>
          </cell>
          <cell r="E2801" t="str">
            <v>20 de abril de 2016</v>
          </cell>
          <cell r="F2801" t="str">
            <v>AGUSTINHO ANDRADE BARBOSA</v>
          </cell>
          <cell r="G2801" t="str">
            <v>20/04/2016</v>
          </cell>
          <cell r="H2801" t="str">
            <v>21/04/2016</v>
          </cell>
          <cell r="I2801" t="str">
            <v>96</v>
          </cell>
          <cell r="J2801" t="str">
            <v>PESSOA FÍSICA</v>
          </cell>
          <cell r="K2801" t="str">
            <v>105.999.835-15</v>
          </cell>
          <cell r="L2801" t="str">
            <v>PE</v>
          </cell>
          <cell r="M2801" t="str">
            <v>AGUSTINHO ANDRADE BARBOSA</v>
          </cell>
          <cell r="N2801" t="str">
            <v>DTB0695</v>
          </cell>
          <cell r="O2801" t="str">
            <v>2007</v>
          </cell>
          <cell r="P2801" t="str">
            <v>25</v>
          </cell>
          <cell r="Q2801" t="str">
            <v>23</v>
          </cell>
        </row>
        <row r="2802">
          <cell r="B2802" t="str">
            <v>0966/16</v>
          </cell>
          <cell r="C2802" t="str">
            <v>2016-0.088.662-7</v>
          </cell>
          <cell r="D2802" t="str">
            <v/>
          </cell>
          <cell r="E2802" t="str">
            <v/>
          </cell>
          <cell r="F2802" t="str">
            <v>ALAM PETERSON FERREIRA DA SILVA</v>
          </cell>
          <cell r="G2802" t="str">
            <v/>
          </cell>
          <cell r="H2802" t="str">
            <v/>
          </cell>
          <cell r="I2802" t="str">
            <v/>
          </cell>
          <cell r="J2802" t="str">
            <v>PESSOA FÍSICA</v>
          </cell>
          <cell r="K2802" t="str">
            <v>323.022.518-06</v>
          </cell>
          <cell r="L2802" t="str">
            <v>PE</v>
          </cell>
          <cell r="M2802" t="str">
            <v>ALAM PETERSON FERREIRA DA SILVA</v>
          </cell>
          <cell r="N2802" t="str">
            <v>EFW7137</v>
          </cell>
          <cell r="O2802" t="str">
            <v>2011</v>
          </cell>
          <cell r="P2802" t="str">
            <v>19</v>
          </cell>
          <cell r="Q2802" t="str">
            <v>18</v>
          </cell>
        </row>
        <row r="2803">
          <cell r="B2803" t="str">
            <v>0967/16</v>
          </cell>
          <cell r="C2803" t="str">
            <v>2016-0.088.663-5</v>
          </cell>
          <cell r="D2803" t="str">
            <v>08/03/2016</v>
          </cell>
          <cell r="E2803" t="str">
            <v>26 de abril de 2016</v>
          </cell>
          <cell r="F2803" t="str">
            <v>PATRICIA SERAFIM CORTESI</v>
          </cell>
          <cell r="G2803" t="str">
            <v>26/04/2016</v>
          </cell>
          <cell r="H2803" t="str">
            <v>27/04/2016</v>
          </cell>
          <cell r="I2803" t="str">
            <v>54</v>
          </cell>
          <cell r="J2803" t="str">
            <v>PESSOA FÍSICA</v>
          </cell>
          <cell r="K2803" t="str">
            <v>217.574.608-96</v>
          </cell>
          <cell r="L2803" t="str">
            <v>PE</v>
          </cell>
          <cell r="M2803" t="str">
            <v>PATRICIA SERAFIM CORTESI</v>
          </cell>
          <cell r="N2803" t="str">
            <v>FBW1941</v>
          </cell>
          <cell r="O2803" t="str">
            <v>2011</v>
          </cell>
          <cell r="P2803" t="str">
            <v>19</v>
          </cell>
          <cell r="Q2803" t="str">
            <v>18</v>
          </cell>
        </row>
        <row r="2804">
          <cell r="B2804" t="str">
            <v>0968/16</v>
          </cell>
          <cell r="C2804" t="str">
            <v>2016-0.088.664-3</v>
          </cell>
          <cell r="D2804" t="str">
            <v/>
          </cell>
          <cell r="E2804" t="str">
            <v/>
          </cell>
          <cell r="F2804" t="str">
            <v>ROGERIO SANTOS ROSARIO</v>
          </cell>
          <cell r="G2804" t="str">
            <v/>
          </cell>
          <cell r="H2804" t="str">
            <v/>
          </cell>
          <cell r="I2804" t="str">
            <v/>
          </cell>
          <cell r="J2804" t="str">
            <v>PESSOA FÍSICA</v>
          </cell>
          <cell r="K2804" t="str">
            <v>292.664.538-46</v>
          </cell>
          <cell r="L2804" t="str">
            <v>PE</v>
          </cell>
          <cell r="M2804" t="str">
            <v>ROGERIO SANTOS ROSARIO</v>
          </cell>
          <cell r="N2804" t="str">
            <v>CZZ1695</v>
          </cell>
          <cell r="O2804" t="str">
            <v>2002</v>
          </cell>
          <cell r="P2804" t="str">
            <v>25</v>
          </cell>
          <cell r="Q2804" t="str">
            <v>23</v>
          </cell>
        </row>
        <row r="2805">
          <cell r="B2805" t="str">
            <v>0969/16</v>
          </cell>
          <cell r="C2805" t="str">
            <v>2016-0.088.665-1</v>
          </cell>
          <cell r="D2805" t="str">
            <v>04/04/2016</v>
          </cell>
          <cell r="E2805" t="str">
            <v>14 de abril de 2016</v>
          </cell>
          <cell r="F2805" t="str">
            <v>MANUEL CARLOS FONSECA NORMANDIA</v>
          </cell>
          <cell r="G2805" t="str">
            <v>14/04/2016</v>
          </cell>
          <cell r="H2805" t="str">
            <v>19/04/2016</v>
          </cell>
          <cell r="I2805" t="str">
            <v>30</v>
          </cell>
          <cell r="J2805" t="str">
            <v>PESSOA FÍSICA</v>
          </cell>
          <cell r="K2805" t="str">
            <v>768.436.458-87</v>
          </cell>
          <cell r="L2805" t="str">
            <v>CL</v>
          </cell>
          <cell r="M2805" t="str">
            <v>MANUEL CARLOS FONSECA NORMANDIA</v>
          </cell>
          <cell r="N2805" t="str">
            <v>DTD4310</v>
          </cell>
          <cell r="O2805" t="str">
            <v>2007</v>
          </cell>
          <cell r="P2805" t="str">
            <v>29</v>
          </cell>
          <cell r="Q2805" t="str">
            <v>27</v>
          </cell>
        </row>
        <row r="2806">
          <cell r="B2806" t="str">
            <v>0970/16</v>
          </cell>
          <cell r="C2806" t="str">
            <v>2016-0.088.666-0</v>
          </cell>
          <cell r="D2806" t="str">
            <v>04/03/2016</v>
          </cell>
          <cell r="E2806" t="str">
            <v>14 de abril de 2016</v>
          </cell>
          <cell r="F2806" t="str">
            <v>ANTONIO CLAUDIO SANTANA DA SILVA</v>
          </cell>
          <cell r="G2806" t="str">
            <v>14/04/2016</v>
          </cell>
          <cell r="H2806" t="str">
            <v>19/04/2016</v>
          </cell>
          <cell r="I2806" t="str">
            <v>30</v>
          </cell>
          <cell r="J2806" t="str">
            <v>PESSOA FÍSICA</v>
          </cell>
          <cell r="K2806" t="str">
            <v>273.113.118-70</v>
          </cell>
          <cell r="L2806" t="str">
            <v>G</v>
          </cell>
          <cell r="M2806" t="str">
            <v>ANTONIO CLAUDIO SANTANA DA SILVA</v>
          </cell>
          <cell r="N2806" t="str">
            <v>FAC5843</v>
          </cell>
          <cell r="O2806" t="str">
            <v>2013</v>
          </cell>
          <cell r="P2806" t="str">
            <v>10</v>
          </cell>
          <cell r="Q2806" t="str">
            <v>09</v>
          </cell>
        </row>
        <row r="2807">
          <cell r="B2807" t="str">
            <v>0971/16</v>
          </cell>
          <cell r="C2807" t="str">
            <v>2016-0.088.667-8</v>
          </cell>
          <cell r="D2807" t="str">
            <v>14/03/2016</v>
          </cell>
          <cell r="E2807" t="str">
            <v>18 de abril de 2016</v>
          </cell>
          <cell r="F2807" t="str">
            <v>EDIVALDO FRANCISCO DO CARMO</v>
          </cell>
          <cell r="G2807" t="str">
            <v>18/04/2016</v>
          </cell>
          <cell r="H2807" t="str">
            <v>21/04/2016</v>
          </cell>
          <cell r="I2807" t="str">
            <v>96</v>
          </cell>
          <cell r="J2807" t="str">
            <v>PESSOA FÍSICA</v>
          </cell>
          <cell r="K2807" t="str">
            <v>131.782.548-97</v>
          </cell>
          <cell r="L2807" t="str">
            <v>G</v>
          </cell>
          <cell r="M2807" t="str">
            <v>EDIVALDO FRANCISCO DO CARMO</v>
          </cell>
          <cell r="N2807" t="str">
            <v>ECM5142</v>
          </cell>
          <cell r="O2807" t="str">
            <v>2008</v>
          </cell>
          <cell r="P2807" t="str">
            <v>10</v>
          </cell>
          <cell r="Q2807" t="str">
            <v>9</v>
          </cell>
        </row>
        <row r="2808">
          <cell r="B2808" t="str">
            <v>0973/16</v>
          </cell>
          <cell r="C2808" t="str">
            <v>2016-0.088.669-4</v>
          </cell>
          <cell r="D2808" t="str">
            <v>04/04/2016</v>
          </cell>
          <cell r="E2808" t="str">
            <v>27 de abril de 2016</v>
          </cell>
          <cell r="F2808" t="str">
            <v>VALDIR KIS</v>
          </cell>
          <cell r="G2808" t="str">
            <v>27/04/2016</v>
          </cell>
          <cell r="H2808" t="str">
            <v/>
          </cell>
          <cell r="I2808" t="str">
            <v/>
          </cell>
          <cell r="J2808" t="str">
            <v>PESSOA FÍSICA</v>
          </cell>
          <cell r="K2808" t="str">
            <v>012.043.528-44</v>
          </cell>
          <cell r="L2808" t="str">
            <v>PJ</v>
          </cell>
          <cell r="M2808" t="str">
            <v>VALDIR KIS</v>
          </cell>
          <cell r="N2808" t="str">
            <v>EFW2260</v>
          </cell>
          <cell r="O2808" t="str">
            <v>2010</v>
          </cell>
          <cell r="P2808" t="str">
            <v>15</v>
          </cell>
          <cell r="Q2808" t="str">
            <v>14</v>
          </cell>
        </row>
        <row r="2809">
          <cell r="B2809" t="str">
            <v>0974/16</v>
          </cell>
          <cell r="C2809" t="str">
            <v>2016-0.088.671-6</v>
          </cell>
          <cell r="D2809" t="str">
            <v>28/03/2016</v>
          </cell>
          <cell r="E2809" t="str">
            <v>26 de abril de 2016</v>
          </cell>
          <cell r="F2809" t="str">
            <v>ORLANDO SOUTO</v>
          </cell>
          <cell r="G2809" t="str">
            <v>26/04/2016</v>
          </cell>
          <cell r="H2809" t="str">
            <v>27/04/2016</v>
          </cell>
          <cell r="I2809" t="str">
            <v>54</v>
          </cell>
          <cell r="J2809" t="str">
            <v>PESSOA FÍSICA</v>
          </cell>
          <cell r="K2809" t="str">
            <v>132.876.438-94</v>
          </cell>
          <cell r="L2809" t="str">
            <v>PJ</v>
          </cell>
          <cell r="M2809" t="str">
            <v>ORLANDO SOUTO</v>
          </cell>
          <cell r="N2809" t="str">
            <v>EFV1609</v>
          </cell>
          <cell r="O2809" t="str">
            <v>2010</v>
          </cell>
          <cell r="P2809" t="str">
            <v>19</v>
          </cell>
          <cell r="Q2809" t="str">
            <v>18</v>
          </cell>
        </row>
        <row r="2810">
          <cell r="B2810" t="str">
            <v>0975/16</v>
          </cell>
          <cell r="C2810" t="str">
            <v>2016-0.088.672-4</v>
          </cell>
          <cell r="D2810" t="str">
            <v/>
          </cell>
          <cell r="E2810" t="str">
            <v/>
          </cell>
          <cell r="F2810" t="str">
            <v>ROSANI CARVALHAES CUSTODIO CAMPOS</v>
          </cell>
          <cell r="G2810" t="str">
            <v/>
          </cell>
          <cell r="H2810" t="str">
            <v/>
          </cell>
          <cell r="I2810" t="str">
            <v/>
          </cell>
          <cell r="J2810" t="str">
            <v>PESSOA FÍSICA</v>
          </cell>
          <cell r="K2810" t="str">
            <v>262.131.078-86</v>
          </cell>
          <cell r="L2810" t="str">
            <v>PJ</v>
          </cell>
          <cell r="M2810" t="str">
            <v>ROSANI CARVALHAES CUSTODIO CAMPOS</v>
          </cell>
          <cell r="N2810" t="str">
            <v>EFU9560</v>
          </cell>
          <cell r="O2810" t="str">
            <v>2010</v>
          </cell>
          <cell r="P2810" t="str">
            <v>15</v>
          </cell>
          <cell r="Q2810" t="str">
            <v>14</v>
          </cell>
        </row>
        <row r="2811">
          <cell r="B2811" t="str">
            <v>0976/16</v>
          </cell>
          <cell r="C2811" t="str">
            <v>2016-0.088.673-2</v>
          </cell>
          <cell r="D2811" t="str">
            <v/>
          </cell>
          <cell r="E2811" t="str">
            <v/>
          </cell>
          <cell r="F2811" t="str">
            <v>WILSON ROBERTO DOS SANTOS</v>
          </cell>
          <cell r="G2811" t="str">
            <v/>
          </cell>
          <cell r="H2811" t="str">
            <v/>
          </cell>
          <cell r="I2811" t="str">
            <v/>
          </cell>
          <cell r="J2811" t="str">
            <v>PESSOA FÍSICA</v>
          </cell>
          <cell r="K2811" t="str">
            <v>021.958.568-74</v>
          </cell>
          <cell r="L2811" t="str">
            <v>PJ</v>
          </cell>
          <cell r="M2811" t="str">
            <v>WILSON ROBERTO DOS SANTOS</v>
          </cell>
          <cell r="N2811" t="str">
            <v>CYR2077</v>
          </cell>
          <cell r="O2811" t="str">
            <v>2003</v>
          </cell>
          <cell r="P2811" t="str">
            <v>25</v>
          </cell>
          <cell r="Q2811" t="str">
            <v>24</v>
          </cell>
        </row>
        <row r="2812">
          <cell r="B2812" t="str">
            <v>0977/16</v>
          </cell>
          <cell r="C2812" t="str">
            <v>2016-0.088.674-0</v>
          </cell>
          <cell r="D2812" t="str">
            <v>28/03/2016</v>
          </cell>
          <cell r="E2812" t="str">
            <v>27 de abril de 2016</v>
          </cell>
          <cell r="F2812" t="str">
            <v>ARIVALDO REINALDO DE BRITO</v>
          </cell>
          <cell r="G2812" t="str">
            <v>27/04/2016</v>
          </cell>
          <cell r="H2812" t="str">
            <v/>
          </cell>
          <cell r="I2812" t="str">
            <v/>
          </cell>
          <cell r="J2812" t="str">
            <v>PESSOA FÍSICA</v>
          </cell>
          <cell r="K2812" t="str">
            <v>044.937.248-03</v>
          </cell>
          <cell r="L2812" t="str">
            <v>PJ</v>
          </cell>
          <cell r="M2812" t="str">
            <v>ARIVALDO REINALDO DE BRITO</v>
          </cell>
          <cell r="N2812" t="str">
            <v>EVQ1059</v>
          </cell>
          <cell r="O2812" t="str">
            <v>2011</v>
          </cell>
          <cell r="P2812" t="str">
            <v>27</v>
          </cell>
          <cell r="Q2812" t="str">
            <v>26</v>
          </cell>
        </row>
        <row r="2813">
          <cell r="B2813" t="str">
            <v>0978/16</v>
          </cell>
          <cell r="C2813" t="str">
            <v>2016-0.088.675-9</v>
          </cell>
          <cell r="D2813" t="str">
            <v/>
          </cell>
          <cell r="E2813" t="str">
            <v/>
          </cell>
          <cell r="F2813" t="str">
            <v>MARIA ALICE DA SILVA ROCHA</v>
          </cell>
          <cell r="G2813" t="str">
            <v/>
          </cell>
          <cell r="H2813" t="str">
            <v/>
          </cell>
          <cell r="I2813" t="str">
            <v/>
          </cell>
          <cell r="J2813" t="str">
            <v>PESSOA FÍSICA</v>
          </cell>
          <cell r="K2813" t="str">
            <v>094.424.338-06</v>
          </cell>
          <cell r="L2813" t="str">
            <v>PJ</v>
          </cell>
          <cell r="M2813" t="str">
            <v>MARIA ALICE DA SILVA ROCHA</v>
          </cell>
          <cell r="N2813" t="str">
            <v>DTD1890</v>
          </cell>
          <cell r="O2813" t="str">
            <v>2007</v>
          </cell>
          <cell r="P2813" t="str">
            <v>29</v>
          </cell>
          <cell r="Q2813" t="str">
            <v>27</v>
          </cell>
        </row>
        <row r="2814">
          <cell r="B2814" t="str">
            <v>0979/16</v>
          </cell>
          <cell r="C2814" t="str">
            <v>2016-0.088.676-7</v>
          </cell>
          <cell r="D2814" t="str">
            <v>04/04/2016</v>
          </cell>
          <cell r="E2814" t="str">
            <v>25 de abril de 2016</v>
          </cell>
          <cell r="F2814" t="str">
            <v>OLGA APARECIDA BERNARDES DE LIMA</v>
          </cell>
          <cell r="G2814" t="str">
            <v>25/04/2016</v>
          </cell>
          <cell r="H2814" t="str">
            <v>27/04/2016</v>
          </cell>
          <cell r="I2814" t="str">
            <v>54</v>
          </cell>
          <cell r="J2814" t="str">
            <v>PESSOA FÍSICA</v>
          </cell>
          <cell r="K2814" t="str">
            <v>226.177.698-52</v>
          </cell>
          <cell r="L2814" t="str">
            <v>PJ</v>
          </cell>
          <cell r="M2814" t="str">
            <v>OLGA APARECIDA BERNARDES DE LIMA</v>
          </cell>
          <cell r="N2814" t="str">
            <v>DZX5154</v>
          </cell>
          <cell r="O2814" t="str">
            <v>2007</v>
          </cell>
          <cell r="P2814" t="str">
            <v>29</v>
          </cell>
          <cell r="Q2814" t="str">
            <v>27</v>
          </cell>
        </row>
        <row r="2815">
          <cell r="B2815" t="str">
            <v>0980/16</v>
          </cell>
          <cell r="C2815" t="str">
            <v>2016-0.088.678-3</v>
          </cell>
          <cell r="D2815" t="str">
            <v>04/04/2016</v>
          </cell>
          <cell r="E2815" t="str">
            <v>27 de abril de 2016</v>
          </cell>
          <cell r="F2815" t="str">
            <v>MARIA DAS DORES FERREIRA SHIZUNO</v>
          </cell>
          <cell r="G2815" t="str">
            <v>27/04/2016</v>
          </cell>
          <cell r="H2815" t="str">
            <v/>
          </cell>
          <cell r="I2815" t="str">
            <v/>
          </cell>
          <cell r="J2815" t="str">
            <v>PESSOA FÍSICA</v>
          </cell>
          <cell r="K2815" t="str">
            <v>142.984.278-46</v>
          </cell>
          <cell r="L2815" t="str">
            <v>PJ</v>
          </cell>
          <cell r="M2815" t="str">
            <v>MARIA DAS DORES FERREIRA SHIZUNO</v>
          </cell>
          <cell r="N2815" t="str">
            <v>EWO7769</v>
          </cell>
          <cell r="O2815" t="str">
            <v>2011</v>
          </cell>
          <cell r="P2815" t="str">
            <v>19</v>
          </cell>
          <cell r="Q2815" t="str">
            <v>18</v>
          </cell>
        </row>
        <row r="2816">
          <cell r="B2816" t="str">
            <v>0981/16</v>
          </cell>
          <cell r="C2816" t="str">
            <v>2016-0.088.679-1</v>
          </cell>
          <cell r="D2816" t="str">
            <v>04/04/2016</v>
          </cell>
          <cell r="E2816" t="str">
            <v>28 de abril de 2016</v>
          </cell>
          <cell r="F2816" t="str">
            <v>GUTEN HERLY RUFINO DE LIMA</v>
          </cell>
          <cell r="G2816" t="str">
            <v>28/04/2016</v>
          </cell>
          <cell r="H2816" t="str">
            <v/>
          </cell>
          <cell r="I2816" t="str">
            <v/>
          </cell>
          <cell r="J2816" t="str">
            <v>PESSOA FÍSICA</v>
          </cell>
          <cell r="K2816" t="str">
            <v>219.128.348-98</v>
          </cell>
          <cell r="L2816" t="str">
            <v>PJ</v>
          </cell>
          <cell r="M2816" t="str">
            <v>GUTEN HERLY RUFINO DE LIMA</v>
          </cell>
          <cell r="N2816" t="str">
            <v>DTE9099</v>
          </cell>
          <cell r="O2816" t="str">
            <v>2009</v>
          </cell>
          <cell r="P2816" t="str">
            <v>19</v>
          </cell>
          <cell r="Q2816" t="str">
            <v>18</v>
          </cell>
        </row>
        <row r="2817">
          <cell r="B2817" t="str">
            <v>0982/16</v>
          </cell>
          <cell r="C2817" t="str">
            <v>2016-0.088.681-3</v>
          </cell>
          <cell r="D2817" t="str">
            <v/>
          </cell>
          <cell r="E2817" t="str">
            <v/>
          </cell>
          <cell r="F2817" t="str">
            <v>MONICA KAZUE HASHIMOTO MORENO</v>
          </cell>
          <cell r="G2817" t="str">
            <v/>
          </cell>
          <cell r="H2817" t="str">
            <v/>
          </cell>
          <cell r="I2817" t="str">
            <v/>
          </cell>
          <cell r="J2817" t="str">
            <v>PESSOA FÍSICA</v>
          </cell>
          <cell r="K2817" t="str">
            <v>126.779.888-28</v>
          </cell>
          <cell r="L2817" t="str">
            <v>PJ</v>
          </cell>
          <cell r="M2817" t="str">
            <v>MONICA KAZUE HASHIMOTO MORENO</v>
          </cell>
          <cell r="N2817" t="str">
            <v>DBM8050</v>
          </cell>
          <cell r="O2817" t="str">
            <v>2008</v>
          </cell>
          <cell r="P2817" t="str">
            <v>19</v>
          </cell>
          <cell r="Q2817" t="str">
            <v>18</v>
          </cell>
        </row>
        <row r="2818">
          <cell r="B2818" t="str">
            <v>0983/16</v>
          </cell>
          <cell r="C2818" t="str">
            <v>2016-0.088.682-1</v>
          </cell>
          <cell r="D2818" t="str">
            <v/>
          </cell>
          <cell r="E2818" t="str">
            <v>20 de abril de 2016</v>
          </cell>
          <cell r="F2818" t="str">
            <v>WILSON BENTO MONTEIRO</v>
          </cell>
          <cell r="G2818" t="str">
            <v>20/04/2016</v>
          </cell>
          <cell r="H2818" t="str">
            <v>21/04/2016</v>
          </cell>
          <cell r="I2818" t="str">
            <v>96</v>
          </cell>
          <cell r="J2818" t="str">
            <v>PESSOA FÍSICA</v>
          </cell>
          <cell r="K2818" t="str">
            <v>055.691.478-37</v>
          </cell>
          <cell r="L2818" t="str">
            <v>PJ</v>
          </cell>
          <cell r="M2818" t="str">
            <v>WILSON BENTO MONTEIRO</v>
          </cell>
          <cell r="N2818" t="str">
            <v>DTE9300</v>
          </cell>
          <cell r="O2818" t="str">
            <v>2009</v>
          </cell>
          <cell r="P2818" t="str">
            <v>19</v>
          </cell>
          <cell r="Q2818" t="str">
            <v>18</v>
          </cell>
        </row>
        <row r="2819">
          <cell r="B2819" t="str">
            <v>0984/16</v>
          </cell>
          <cell r="C2819" t="str">
            <v>2016-0.093.451-6</v>
          </cell>
          <cell r="D2819" t="str">
            <v>14/03/2016</v>
          </cell>
          <cell r="E2819" t="str">
            <v>26 de abril de 2016</v>
          </cell>
          <cell r="F2819" t="str">
            <v>NEILTON DA SILVA</v>
          </cell>
          <cell r="G2819" t="str">
            <v>26/04/2016</v>
          </cell>
          <cell r="H2819" t="str">
            <v>27/04/2016</v>
          </cell>
          <cell r="I2819" t="str">
            <v>55</v>
          </cell>
          <cell r="J2819" t="str">
            <v>PESSOA FÍSICA</v>
          </cell>
          <cell r="K2819" t="str">
            <v>127.540.538-08</v>
          </cell>
          <cell r="L2819" t="str">
            <v>SM</v>
          </cell>
          <cell r="M2819" t="str">
            <v>NEILTON DA SILVA</v>
          </cell>
          <cell r="N2819" t="str">
            <v>EXO0566</v>
          </cell>
          <cell r="O2819" t="str">
            <v>2012</v>
          </cell>
          <cell r="P2819" t="str">
            <v>19</v>
          </cell>
          <cell r="Q2819" t="str">
            <v>18</v>
          </cell>
        </row>
        <row r="2820">
          <cell r="B2820" t="str">
            <v>0985/16</v>
          </cell>
          <cell r="C2820" t="str">
            <v>2016-0.093.452-4</v>
          </cell>
          <cell r="D2820" t="str">
            <v>21/03/2016</v>
          </cell>
          <cell r="E2820" t="str">
            <v>20 de abril de 2016</v>
          </cell>
          <cell r="F2820" t="str">
            <v>ANTONIO MARCOS DOS SANTOS</v>
          </cell>
          <cell r="G2820" t="str">
            <v>20/04/2016</v>
          </cell>
          <cell r="H2820" t="str">
            <v>21/04/2016</v>
          </cell>
          <cell r="I2820" t="str">
            <v>96</v>
          </cell>
          <cell r="J2820" t="str">
            <v>PESSOA FÍSICA</v>
          </cell>
          <cell r="K2820" t="str">
            <v>118.144.658-98</v>
          </cell>
          <cell r="L2820" t="str">
            <v>SM</v>
          </cell>
          <cell r="M2820" t="str">
            <v>ANTONIO MARCOS DOS SANTOS</v>
          </cell>
          <cell r="N2820" t="str">
            <v>CZX0731</v>
          </cell>
          <cell r="O2820" t="str">
            <v>2002</v>
          </cell>
          <cell r="P2820" t="str">
            <v>19</v>
          </cell>
          <cell r="Q2820" t="str">
            <v>17</v>
          </cell>
        </row>
        <row r="2821">
          <cell r="B2821" t="str">
            <v>0986/16</v>
          </cell>
          <cell r="C2821" t="str">
            <v>2016-0.093.455-9</v>
          </cell>
          <cell r="D2821" t="str">
            <v/>
          </cell>
          <cell r="E2821" t="str">
            <v/>
          </cell>
          <cell r="F2821" t="str">
            <v>SILVANIA SILVA CHAVES</v>
          </cell>
          <cell r="G2821" t="str">
            <v/>
          </cell>
          <cell r="H2821" t="str">
            <v/>
          </cell>
          <cell r="I2821" t="str">
            <v/>
          </cell>
          <cell r="J2821" t="str">
            <v>PESSOA FÍSICA</v>
          </cell>
          <cell r="K2821" t="str">
            <v>190.663.008-92</v>
          </cell>
          <cell r="L2821" t="str">
            <v>SM</v>
          </cell>
          <cell r="M2821" t="str">
            <v>SILVANIA SILVA CHAVES</v>
          </cell>
          <cell r="N2821" t="str">
            <v>ELQ4577</v>
          </cell>
          <cell r="O2821" t="str">
            <v>2011</v>
          </cell>
          <cell r="P2821" t="str">
            <v>19</v>
          </cell>
          <cell r="Q2821" t="str">
            <v>18</v>
          </cell>
        </row>
        <row r="2822">
          <cell r="B2822" t="str">
            <v>0987/16</v>
          </cell>
          <cell r="C2822" t="str">
            <v>2016-0.093.456-7</v>
          </cell>
          <cell r="D2822" t="str">
            <v/>
          </cell>
          <cell r="E2822" t="str">
            <v/>
          </cell>
          <cell r="F2822" t="str">
            <v>LUIZ CARLOS VALENTIM TAVEIROS</v>
          </cell>
          <cell r="G2822" t="str">
            <v/>
          </cell>
          <cell r="H2822" t="str">
            <v/>
          </cell>
          <cell r="I2822" t="str">
            <v/>
          </cell>
          <cell r="J2822" t="str">
            <v>PESSOA FÍSICA</v>
          </cell>
          <cell r="K2822" t="str">
            <v>127.426.058-27</v>
          </cell>
          <cell r="L2822" t="str">
            <v>SM</v>
          </cell>
          <cell r="M2822" t="str">
            <v>LUIZ CARLOS VALENTIM TAVEIROS</v>
          </cell>
          <cell r="N2822" t="str">
            <v>DFG2786</v>
          </cell>
          <cell r="O2822" t="str">
            <v>2002</v>
          </cell>
          <cell r="P2822" t="str">
            <v>33</v>
          </cell>
          <cell r="Q2822" t="str">
            <v>31</v>
          </cell>
        </row>
        <row r="2823">
          <cell r="B2823" t="str">
            <v>0988/16</v>
          </cell>
          <cell r="C2823" t="str">
            <v>2016-0.093.457-5</v>
          </cell>
          <cell r="D2823" t="str">
            <v/>
          </cell>
          <cell r="E2823" t="str">
            <v/>
          </cell>
          <cell r="F2823" t="str">
            <v>DENISE APARECIDA AFONSO</v>
          </cell>
          <cell r="G2823" t="str">
            <v/>
          </cell>
          <cell r="H2823" t="str">
            <v/>
          </cell>
          <cell r="I2823" t="str">
            <v/>
          </cell>
          <cell r="J2823" t="str">
            <v>PESSOA FÍSICA</v>
          </cell>
          <cell r="K2823" t="str">
            <v>032.178.588-67</v>
          </cell>
          <cell r="L2823" t="str">
            <v>JT</v>
          </cell>
          <cell r="M2823" t="str">
            <v>DENISE APARECIDA AFONSO</v>
          </cell>
          <cell r="N2823" t="str">
            <v>NXL8691</v>
          </cell>
          <cell r="O2823" t="str">
            <v>2011</v>
          </cell>
          <cell r="P2823" t="str">
            <v>15</v>
          </cell>
          <cell r="Q2823" t="str">
            <v>14</v>
          </cell>
        </row>
        <row r="2824">
          <cell r="B2824" t="str">
            <v>0989/16</v>
          </cell>
          <cell r="C2824" t="str">
            <v>2016-0.093.458-3</v>
          </cell>
          <cell r="D2824" t="str">
            <v/>
          </cell>
          <cell r="E2824" t="str">
            <v/>
          </cell>
          <cell r="F2824" t="str">
            <v>JACQUELINE GUARACIARA PAES DO NASCIMENTO</v>
          </cell>
          <cell r="G2824" t="str">
            <v/>
          </cell>
          <cell r="H2824" t="str">
            <v/>
          </cell>
          <cell r="I2824" t="str">
            <v/>
          </cell>
          <cell r="J2824" t="str">
            <v>PESSOA FÍSICA</v>
          </cell>
          <cell r="K2824" t="str">
            <v>142.604.138-13</v>
          </cell>
          <cell r="L2824" t="str">
            <v>PJ</v>
          </cell>
          <cell r="M2824" t="str">
            <v>JACQUELINE GUARACIARA PAES DO NASCIMENTO</v>
          </cell>
          <cell r="N2824" t="str">
            <v>DTA6929</v>
          </cell>
          <cell r="O2824" t="str">
            <v>2007</v>
          </cell>
          <cell r="P2824" t="str">
            <v>25</v>
          </cell>
          <cell r="Q2824" t="str">
            <v>23</v>
          </cell>
        </row>
        <row r="2825">
          <cell r="B2825" t="str">
            <v>0990/16</v>
          </cell>
          <cell r="C2825" t="str">
            <v>2016-0.093.459-1</v>
          </cell>
          <cell r="D2825" t="str">
            <v>26/02/2016</v>
          </cell>
          <cell r="E2825" t="str">
            <v/>
          </cell>
          <cell r="F2825" t="str">
            <v>JAIME JOAQUIM DE FREITAS</v>
          </cell>
          <cell r="G2825" t="str">
            <v/>
          </cell>
          <cell r="H2825" t="str">
            <v/>
          </cell>
          <cell r="I2825" t="str">
            <v/>
          </cell>
          <cell r="J2825" t="str">
            <v>PESSOA FÍSICA</v>
          </cell>
          <cell r="K2825" t="str">
            <v>418.993.778-91</v>
          </cell>
          <cell r="L2825" t="str">
            <v>JT</v>
          </cell>
          <cell r="M2825" t="str">
            <v>JAIME JOAQUIM DE FREITAS</v>
          </cell>
          <cell r="N2825" t="str">
            <v>ELQ7280</v>
          </cell>
          <cell r="O2825" t="str">
            <v>2010</v>
          </cell>
          <cell r="P2825" t="str">
            <v>19</v>
          </cell>
          <cell r="Q2825" t="str">
            <v>18</v>
          </cell>
        </row>
        <row r="2826">
          <cell r="B2826" t="str">
            <v>0991/16</v>
          </cell>
          <cell r="C2826" t="str">
            <v>2016-0.093.460-5</v>
          </cell>
          <cell r="D2826" t="str">
            <v/>
          </cell>
          <cell r="E2826" t="str">
            <v/>
          </cell>
          <cell r="F2826" t="str">
            <v>JOSE JUVENAL DE OLIVEIRA SOBRINHO</v>
          </cell>
          <cell r="G2826" t="str">
            <v/>
          </cell>
          <cell r="H2826" t="str">
            <v/>
          </cell>
          <cell r="I2826" t="str">
            <v/>
          </cell>
          <cell r="J2826" t="str">
            <v>PESSOA FÍSICA</v>
          </cell>
          <cell r="K2826" t="str">
            <v>872.889.158-91</v>
          </cell>
          <cell r="L2826" t="str">
            <v>PJ</v>
          </cell>
          <cell r="M2826" t="str">
            <v>JOSE JUVENAL DE OLIVEIRA SOBRINHO</v>
          </cell>
          <cell r="N2826" t="str">
            <v>CZZ1465</v>
          </cell>
          <cell r="O2826" t="str">
            <v>2002</v>
          </cell>
          <cell r="P2826" t="str">
            <v>25</v>
          </cell>
          <cell r="Q2826" t="str">
            <v>23</v>
          </cell>
        </row>
        <row r="2827">
          <cell r="B2827" t="str">
            <v>0992/16</v>
          </cell>
          <cell r="C2827" t="str">
            <v>2016-0.093.461-3</v>
          </cell>
          <cell r="D2827" t="str">
            <v/>
          </cell>
          <cell r="E2827" t="str">
            <v/>
          </cell>
          <cell r="F2827" t="str">
            <v>GILBERTO CARDOSO MACHADO</v>
          </cell>
          <cell r="G2827" t="str">
            <v/>
          </cell>
          <cell r="H2827" t="str">
            <v/>
          </cell>
          <cell r="I2827" t="str">
            <v/>
          </cell>
          <cell r="J2827" t="str">
            <v>PESSOA FÍSICA</v>
          </cell>
          <cell r="K2827" t="str">
            <v>988.622.008-20</v>
          </cell>
          <cell r="L2827" t="str">
            <v>PJ</v>
          </cell>
          <cell r="M2827" t="str">
            <v>GILBERTO CARDOSO MACHADO</v>
          </cell>
          <cell r="N2827" t="str">
            <v>EFU9909</v>
          </cell>
          <cell r="O2827" t="str">
            <v>2009</v>
          </cell>
          <cell r="P2827" t="str">
            <v>19</v>
          </cell>
          <cell r="Q2827" t="str">
            <v>18</v>
          </cell>
        </row>
        <row r="2828">
          <cell r="B2828" t="str">
            <v>0993/16</v>
          </cell>
          <cell r="C2828" t="str">
            <v>2016-0.093.462-1</v>
          </cell>
          <cell r="D2828" t="str">
            <v>04/04/2016</v>
          </cell>
          <cell r="E2828" t="str">
            <v>28 de abril de 2016</v>
          </cell>
          <cell r="F2828" t="str">
            <v>PAULO SERGIO GOMES MINEIRO</v>
          </cell>
          <cell r="G2828" t="str">
            <v/>
          </cell>
          <cell r="H2828" t="str">
            <v/>
          </cell>
          <cell r="I2828" t="str">
            <v/>
          </cell>
          <cell r="J2828" t="str">
            <v>PESSOA FÍSICA</v>
          </cell>
          <cell r="K2828" t="str">
            <v>089.923.498-40</v>
          </cell>
          <cell r="L2828" t="str">
            <v>PJ</v>
          </cell>
          <cell r="M2828" t="str">
            <v>PAULO SERGIO GOMES MINEIRO</v>
          </cell>
          <cell r="N2828" t="str">
            <v>ECT5706</v>
          </cell>
          <cell r="O2828" t="str">
            <v>2008</v>
          </cell>
          <cell r="P2828" t="str">
            <v>25</v>
          </cell>
          <cell r="Q2828" t="str">
            <v>23</v>
          </cell>
        </row>
        <row r="2829">
          <cell r="B2829" t="str">
            <v>0994/16</v>
          </cell>
          <cell r="C2829" t="str">
            <v>2016-0.093.463-0</v>
          </cell>
          <cell r="D2829" t="str">
            <v/>
          </cell>
          <cell r="E2829" t="str">
            <v/>
          </cell>
          <cell r="F2829" t="str">
            <v>ANDRE MACHADO DA SILVA</v>
          </cell>
          <cell r="G2829" t="str">
            <v/>
          </cell>
          <cell r="H2829" t="str">
            <v/>
          </cell>
          <cell r="I2829" t="str">
            <v/>
          </cell>
          <cell r="J2829" t="str">
            <v>PESSOA FÍSICA</v>
          </cell>
          <cell r="K2829" t="str">
            <v>289.812.688-86</v>
          </cell>
          <cell r="L2829" t="str">
            <v>PJ</v>
          </cell>
          <cell r="M2829" t="str">
            <v>ANDRE MACHADO DA SILVA</v>
          </cell>
          <cell r="N2829" t="str">
            <v>DTC3280</v>
          </cell>
          <cell r="O2829" t="str">
            <v>2008</v>
          </cell>
          <cell r="P2829" t="str">
            <v>25</v>
          </cell>
          <cell r="Q2829" t="str">
            <v>23</v>
          </cell>
        </row>
        <row r="2830">
          <cell r="B2830" t="str">
            <v>0995/16</v>
          </cell>
          <cell r="C2830" t="str">
            <v>2016-0.093.464-8</v>
          </cell>
          <cell r="D2830" t="str">
            <v/>
          </cell>
          <cell r="E2830" t="str">
            <v>18 de abril de 2016</v>
          </cell>
          <cell r="F2830" t="str">
            <v>ALDIVIO MIRANDA DE SOUZA</v>
          </cell>
          <cell r="G2830" t="str">
            <v>18/04/2016</v>
          </cell>
          <cell r="H2830" t="str">
            <v/>
          </cell>
          <cell r="I2830" t="str">
            <v/>
          </cell>
          <cell r="J2830" t="str">
            <v>PESSOA FÍSICA</v>
          </cell>
          <cell r="K2830" t="str">
            <v>153.162.458-81</v>
          </cell>
          <cell r="L2830" t="str">
            <v>PJ</v>
          </cell>
          <cell r="M2830" t="str">
            <v>ALDIVIO MIRANDA DE SOUZA</v>
          </cell>
          <cell r="N2830" t="str">
            <v>ELW4810</v>
          </cell>
          <cell r="O2830" t="str">
            <v>2013</v>
          </cell>
          <cell r="P2830" t="str">
            <v>19</v>
          </cell>
          <cell r="Q2830" t="str">
            <v>18</v>
          </cell>
        </row>
        <row r="2831">
          <cell r="B2831" t="str">
            <v>0996/16</v>
          </cell>
          <cell r="C2831" t="str">
            <v>2016-0.093.465-6</v>
          </cell>
          <cell r="D2831" t="str">
            <v/>
          </cell>
          <cell r="E2831" t="str">
            <v/>
          </cell>
          <cell r="F2831" t="str">
            <v>LUIS PAULO DA SILVA FAVA</v>
          </cell>
          <cell r="G2831" t="str">
            <v/>
          </cell>
          <cell r="H2831" t="str">
            <v/>
          </cell>
          <cell r="I2831" t="str">
            <v/>
          </cell>
          <cell r="J2831" t="str">
            <v>PESSOA FÍSICA</v>
          </cell>
          <cell r="K2831" t="str">
            <v>352.023.498-07</v>
          </cell>
          <cell r="L2831" t="str">
            <v>PJ</v>
          </cell>
          <cell r="M2831" t="str">
            <v>LUIS PAULO DA SILVA FAVA</v>
          </cell>
          <cell r="N2831" t="str">
            <v>ECT1709</v>
          </cell>
          <cell r="O2831" t="str">
            <v>2008</v>
          </cell>
          <cell r="P2831" t="str">
            <v>19</v>
          </cell>
          <cell r="Q2831" t="str">
            <v>18</v>
          </cell>
        </row>
        <row r="2832">
          <cell r="B2832" t="str">
            <v>0997/16</v>
          </cell>
          <cell r="C2832" t="str">
            <v>2016-0.093.467-2</v>
          </cell>
          <cell r="D2832" t="str">
            <v/>
          </cell>
          <cell r="E2832" t="str">
            <v/>
          </cell>
          <cell r="F2832" t="str">
            <v>MARIZIA ANTONIO DA SILVA</v>
          </cell>
          <cell r="G2832" t="str">
            <v/>
          </cell>
          <cell r="H2832" t="str">
            <v/>
          </cell>
          <cell r="I2832" t="str">
            <v/>
          </cell>
          <cell r="J2832" t="str">
            <v>PESSOA FÍSICA</v>
          </cell>
          <cell r="K2832" t="str">
            <v>170.056.978-39</v>
          </cell>
          <cell r="L2832" t="str">
            <v>PJ</v>
          </cell>
          <cell r="M2832" t="str">
            <v>MARIZIA ANTONIO DA SILVA</v>
          </cell>
          <cell r="N2832" t="str">
            <v>ELW7115</v>
          </cell>
          <cell r="O2832" t="str">
            <v>2011</v>
          </cell>
          <cell r="P2832" t="str">
            <v>19</v>
          </cell>
          <cell r="Q2832" t="str">
            <v>18</v>
          </cell>
        </row>
        <row r="2833">
          <cell r="B2833" t="str">
            <v>0998/16</v>
          </cell>
          <cell r="C2833" t="str">
            <v>2016-0.093.468-0</v>
          </cell>
          <cell r="D2833" t="str">
            <v/>
          </cell>
          <cell r="E2833" t="str">
            <v/>
          </cell>
          <cell r="F2833" t="str">
            <v>CLOVIS DE LIMA</v>
          </cell>
          <cell r="G2833" t="str">
            <v/>
          </cell>
          <cell r="H2833" t="str">
            <v/>
          </cell>
          <cell r="I2833" t="str">
            <v/>
          </cell>
          <cell r="J2833" t="str">
            <v>PESSOA FÍSICA</v>
          </cell>
          <cell r="K2833" t="str">
            <v>042.981.598-09</v>
          </cell>
          <cell r="L2833" t="str">
            <v>PJ</v>
          </cell>
          <cell r="M2833" t="str">
            <v>CLOVIS DE LIMA</v>
          </cell>
          <cell r="N2833" t="str">
            <v>DSH8891</v>
          </cell>
          <cell r="O2833" t="str">
            <v>2009</v>
          </cell>
          <cell r="P2833" t="str">
            <v>19</v>
          </cell>
          <cell r="Q2833" t="str">
            <v>18</v>
          </cell>
        </row>
        <row r="2834">
          <cell r="B2834" t="str">
            <v>0999/16</v>
          </cell>
          <cell r="C2834" t="str">
            <v>2016-0.093.470-2</v>
          </cell>
          <cell r="D2834" t="str">
            <v/>
          </cell>
          <cell r="E2834" t="str">
            <v/>
          </cell>
          <cell r="F2834" t="str">
            <v>MARIA INEZ DE PAULA LEITE</v>
          </cell>
          <cell r="G2834" t="str">
            <v/>
          </cell>
          <cell r="H2834" t="str">
            <v/>
          </cell>
          <cell r="I2834" t="str">
            <v/>
          </cell>
          <cell r="J2834" t="str">
            <v>PESSOA FÍSICA</v>
          </cell>
          <cell r="K2834" t="str">
            <v>155.556.688-05</v>
          </cell>
          <cell r="L2834" t="str">
            <v>PJ</v>
          </cell>
          <cell r="M2834" t="str">
            <v>MARIA INEZ DE PAULA LEITE</v>
          </cell>
          <cell r="N2834" t="str">
            <v>EFV1320</v>
          </cell>
          <cell r="O2834" t="str">
            <v>2009</v>
          </cell>
          <cell r="P2834" t="str">
            <v>19</v>
          </cell>
          <cell r="Q2834" t="str">
            <v>18</v>
          </cell>
        </row>
        <row r="2835">
          <cell r="B2835" t="str">
            <v>1000/16</v>
          </cell>
          <cell r="C2835" t="str">
            <v>2016-0.093.471-0</v>
          </cell>
          <cell r="D2835" t="str">
            <v>17/02/2016</v>
          </cell>
          <cell r="E2835" t="str">
            <v>27 de abril de 2016</v>
          </cell>
          <cell r="F2835" t="str">
            <v>ADELSON DE CARVALHO SILVA</v>
          </cell>
          <cell r="G2835" t="str">
            <v>27/04/2016</v>
          </cell>
          <cell r="H2835" t="str">
            <v/>
          </cell>
          <cell r="I2835" t="str">
            <v/>
          </cell>
          <cell r="J2835" t="str">
            <v>PESSOA FÍSICA</v>
          </cell>
          <cell r="K2835" t="str">
            <v>157.798.698-98</v>
          </cell>
          <cell r="L2835" t="str">
            <v>PJ</v>
          </cell>
          <cell r="M2835" t="str">
            <v>ADELSON DE CARVALHO SILVA</v>
          </cell>
          <cell r="N2835" t="str">
            <v>FXQ3350</v>
          </cell>
          <cell r="O2835" t="str">
            <v>2015</v>
          </cell>
          <cell r="P2835" t="str">
            <v>19</v>
          </cell>
          <cell r="Q2835" t="str">
            <v>18</v>
          </cell>
        </row>
        <row r="2836">
          <cell r="B2836" t="str">
            <v>1001/16</v>
          </cell>
          <cell r="C2836" t="str">
            <v>2016-0.093.472-9</v>
          </cell>
          <cell r="D2836" t="str">
            <v>21/03/2016</v>
          </cell>
          <cell r="E2836" t="str">
            <v>28 de abril de 2016</v>
          </cell>
          <cell r="F2836" t="str">
            <v>LUIZ NUNES PONTES</v>
          </cell>
          <cell r="G2836" t="str">
            <v>28/04/2016</v>
          </cell>
          <cell r="H2836" t="str">
            <v/>
          </cell>
          <cell r="I2836" t="str">
            <v/>
          </cell>
          <cell r="J2836" t="str">
            <v>PESSOA FÍSICA</v>
          </cell>
          <cell r="K2836" t="str">
            <v>003.265.908-38</v>
          </cell>
          <cell r="L2836" t="str">
            <v>JT</v>
          </cell>
          <cell r="M2836" t="str">
            <v>LUIZ NUNES PONTES</v>
          </cell>
          <cell r="N2836" t="str">
            <v>CZX3604</v>
          </cell>
          <cell r="O2836" t="str">
            <v>2003</v>
          </cell>
          <cell r="P2836" t="str">
            <v>25</v>
          </cell>
          <cell r="Q2836" t="str">
            <v>23</v>
          </cell>
        </row>
        <row r="2837">
          <cell r="B2837" t="str">
            <v>1002/16</v>
          </cell>
          <cell r="C2837" t="str">
            <v>2016-0.093.474-5</v>
          </cell>
          <cell r="D2837" t="str">
            <v>18/03/2016</v>
          </cell>
          <cell r="E2837" t="str">
            <v>26 de abril de 2016</v>
          </cell>
          <cell r="F2837" t="str">
            <v>RAQUEL DANTAS BARRETO DA SILVA</v>
          </cell>
          <cell r="G2837" t="str">
            <v>26/04/2016</v>
          </cell>
          <cell r="H2837" t="str">
            <v>27/04/2016</v>
          </cell>
          <cell r="I2837" t="str">
            <v>55</v>
          </cell>
          <cell r="J2837" t="str">
            <v>PESSOA FÍSICA</v>
          </cell>
          <cell r="K2837" t="str">
            <v>268.516.968-78</v>
          </cell>
          <cell r="L2837" t="str">
            <v>CL</v>
          </cell>
          <cell r="M2837" t="str">
            <v>RAQUEL DANTAS BARRETO DA SILVA</v>
          </cell>
          <cell r="N2837" t="str">
            <v>CZX0589</v>
          </cell>
          <cell r="O2837" t="str">
            <v>2002</v>
          </cell>
          <cell r="P2837" t="str">
            <v>19</v>
          </cell>
          <cell r="Q2837" t="str">
            <v>17</v>
          </cell>
        </row>
        <row r="2838">
          <cell r="B2838" t="str">
            <v>1003/16</v>
          </cell>
          <cell r="C2838" t="str">
            <v>2016-0.093.475-3</v>
          </cell>
          <cell r="D2838" t="str">
            <v>24/03/2016</v>
          </cell>
          <cell r="E2838" t="str">
            <v>27 de abril de 2016</v>
          </cell>
          <cell r="F2838" t="str">
            <v>MARCELO RAMOS DOS SANTOS</v>
          </cell>
          <cell r="G2838" t="str">
            <v>27/04/2016</v>
          </cell>
          <cell r="H2838" t="str">
            <v/>
          </cell>
          <cell r="I2838" t="str">
            <v/>
          </cell>
          <cell r="J2838" t="str">
            <v>PESSOA FÍSICA</v>
          </cell>
          <cell r="K2838" t="str">
            <v>116.159.558-95</v>
          </cell>
          <cell r="L2838" t="str">
            <v>CL</v>
          </cell>
          <cell r="M2838" t="str">
            <v>MARCELO RAMOS DOS SANTOS</v>
          </cell>
          <cell r="N2838" t="str">
            <v>FMP0045</v>
          </cell>
          <cell r="O2838" t="str">
            <v>2013</v>
          </cell>
          <cell r="P2838" t="str">
            <v>19</v>
          </cell>
          <cell r="Q2838" t="str">
            <v>18</v>
          </cell>
        </row>
        <row r="2839">
          <cell r="B2839" t="str">
            <v>1004/16</v>
          </cell>
          <cell r="C2839" t="str">
            <v>2016-0.093.476-1</v>
          </cell>
          <cell r="D2839" t="str">
            <v>28/03/2016</v>
          </cell>
          <cell r="E2839" t="str">
            <v>28 de abril de 2016</v>
          </cell>
          <cell r="F2839" t="str">
            <v>ANTONIO CARLOS DIAS BEZERRA</v>
          </cell>
          <cell r="G2839" t="str">
            <v>28/04/2016</v>
          </cell>
          <cell r="H2839" t="str">
            <v/>
          </cell>
          <cell r="I2839" t="str">
            <v/>
          </cell>
          <cell r="J2839" t="str">
            <v>PESSOA FÍSICA</v>
          </cell>
          <cell r="K2839" t="str">
            <v>055.716.288-20</v>
          </cell>
          <cell r="L2839" t="str">
            <v>MP</v>
          </cell>
          <cell r="M2839" t="str">
            <v>ANTONIO CARLOS DIAS BEZERRA</v>
          </cell>
          <cell r="N2839" t="str">
            <v>ANU1720</v>
          </cell>
          <cell r="O2839" t="str">
            <v>2006</v>
          </cell>
          <cell r="P2839" t="str">
            <v>19</v>
          </cell>
          <cell r="Q2839" t="str">
            <v>18</v>
          </cell>
        </row>
        <row r="2840">
          <cell r="B2840" t="str">
            <v>1005/16</v>
          </cell>
          <cell r="C2840" t="str">
            <v>2016-0.093.477-0</v>
          </cell>
          <cell r="D2840" t="str">
            <v/>
          </cell>
          <cell r="E2840" t="str">
            <v/>
          </cell>
          <cell r="F2840" t="str">
            <v>DIEGO BAPTISTA DOS SANTOS SOUZA</v>
          </cell>
          <cell r="G2840" t="str">
            <v/>
          </cell>
          <cell r="H2840" t="str">
            <v/>
          </cell>
          <cell r="I2840" t="str">
            <v/>
          </cell>
          <cell r="J2840" t="str">
            <v>PESSOA FÍSICA</v>
          </cell>
          <cell r="K2840" t="str">
            <v>360.842.818-69</v>
          </cell>
          <cell r="L2840" t="str">
            <v>IQ</v>
          </cell>
          <cell r="M2840" t="str">
            <v>DIEGO BAPTISTA DOS SANTOS SOUZA</v>
          </cell>
          <cell r="N2840" t="str">
            <v>EFW3188</v>
          </cell>
          <cell r="O2840" t="str">
            <v>2010</v>
          </cell>
          <cell r="P2840" t="str">
            <v>18</v>
          </cell>
          <cell r="Q2840" t="str">
            <v>17</v>
          </cell>
        </row>
        <row r="2841">
          <cell r="B2841" t="str">
            <v>1006/16</v>
          </cell>
          <cell r="C2841" t="str">
            <v>2016-0.093.478-8</v>
          </cell>
          <cell r="D2841" t="str">
            <v>14/03/2016</v>
          </cell>
          <cell r="E2841" t="str">
            <v/>
          </cell>
          <cell r="F2841" t="str">
            <v>CRISTIANE ROSIMEIRE DIAS</v>
          </cell>
          <cell r="G2841" t="str">
            <v/>
          </cell>
          <cell r="H2841" t="str">
            <v/>
          </cell>
          <cell r="I2841" t="str">
            <v/>
          </cell>
          <cell r="J2841" t="str">
            <v>PESSOA FÍSICA</v>
          </cell>
          <cell r="K2841" t="str">
            <v>261.883.798-30</v>
          </cell>
          <cell r="L2841" t="str">
            <v>FO</v>
          </cell>
          <cell r="M2841" t="str">
            <v>CRISTIANE ROSIMEIRE DIAS</v>
          </cell>
          <cell r="N2841" t="str">
            <v>DTA8459</v>
          </cell>
          <cell r="O2841" t="str">
            <v>2007</v>
          </cell>
          <cell r="P2841" t="str">
            <v>15</v>
          </cell>
          <cell r="Q2841" t="str">
            <v>13</v>
          </cell>
        </row>
        <row r="2842">
          <cell r="B2842" t="str">
            <v>1007/16</v>
          </cell>
          <cell r="C2842" t="str">
            <v>2016-0.093.479-6</v>
          </cell>
          <cell r="D2842" t="str">
            <v>17/03/2016</v>
          </cell>
          <cell r="E2842" t="str">
            <v/>
          </cell>
          <cell r="F2842" t="str">
            <v>GABRIEL ANTONIO ALMEIDA SOUZA</v>
          </cell>
          <cell r="G2842" t="str">
            <v/>
          </cell>
          <cell r="H2842" t="str">
            <v/>
          </cell>
          <cell r="I2842" t="str">
            <v/>
          </cell>
          <cell r="J2842" t="str">
            <v>PESSOA FÍSICA</v>
          </cell>
          <cell r="K2842" t="str">
            <v>340.484.098-40</v>
          </cell>
          <cell r="L2842" t="str">
            <v>FO</v>
          </cell>
          <cell r="M2842" t="str">
            <v>GABRIEL ANTONIO ALMEIDA SOUZA</v>
          </cell>
          <cell r="N2842" t="str">
            <v>FDO7322</v>
          </cell>
          <cell r="O2842" t="str">
            <v>2012</v>
          </cell>
          <cell r="P2842" t="str">
            <v>19</v>
          </cell>
          <cell r="Q2842" t="str">
            <v>18</v>
          </cell>
        </row>
        <row r="2843">
          <cell r="B2843" t="str">
            <v>1008/16</v>
          </cell>
          <cell r="C2843" t="str">
            <v>2016-0.093.480-0</v>
          </cell>
          <cell r="D2843" t="str">
            <v>14/03/2016</v>
          </cell>
          <cell r="E2843" t="str">
            <v/>
          </cell>
          <cell r="F2843" t="str">
            <v>ALAN ALVES ARAUJO MACHADO</v>
          </cell>
          <cell r="G2843" t="str">
            <v/>
          </cell>
          <cell r="H2843" t="str">
            <v/>
          </cell>
          <cell r="I2843" t="str">
            <v/>
          </cell>
          <cell r="J2843" t="str">
            <v>PESSOA FÍSICA</v>
          </cell>
          <cell r="K2843" t="str">
            <v>376.266.468-43</v>
          </cell>
          <cell r="L2843" t="str">
            <v>FO</v>
          </cell>
          <cell r="M2843" t="str">
            <v>ALAN ALVES ARAUJO MACHADO</v>
          </cell>
          <cell r="N2843" t="str">
            <v>GDR0410</v>
          </cell>
          <cell r="O2843" t="str">
            <v>2015</v>
          </cell>
          <cell r="P2843" t="str">
            <v>19</v>
          </cell>
          <cell r="Q2843" t="str">
            <v>18</v>
          </cell>
        </row>
        <row r="2844">
          <cell r="B2844" t="str">
            <v>1009/16</v>
          </cell>
          <cell r="C2844" t="str">
            <v>2016-0.093.481-8</v>
          </cell>
          <cell r="D2844" t="str">
            <v>19/02/2016</v>
          </cell>
          <cell r="E2844" t="str">
            <v/>
          </cell>
          <cell r="F2844" t="str">
            <v>ANDREIA PEREIRA DA SILVA</v>
          </cell>
          <cell r="G2844" t="str">
            <v/>
          </cell>
          <cell r="H2844" t="str">
            <v/>
          </cell>
          <cell r="I2844" t="str">
            <v/>
          </cell>
          <cell r="J2844" t="str">
            <v>PESSOA FÍSICA</v>
          </cell>
          <cell r="K2844" t="str">
            <v>254.500.198-82</v>
          </cell>
          <cell r="L2844" t="str">
            <v>CL</v>
          </cell>
          <cell r="M2844" t="str">
            <v>ANDREIA PEREIRA DA SILVA</v>
          </cell>
          <cell r="N2844" t="str">
            <v>EFV2108</v>
          </cell>
          <cell r="O2844" t="str">
            <v>2010</v>
          </cell>
          <cell r="P2844" t="str">
            <v>19</v>
          </cell>
          <cell r="Q2844" t="str">
            <v>18</v>
          </cell>
        </row>
        <row r="2845">
          <cell r="B2845" t="str">
            <v>1010/16</v>
          </cell>
          <cell r="C2845" t="str">
            <v>2016-0.093.483-4</v>
          </cell>
          <cell r="D2845" t="str">
            <v>18/03/2016</v>
          </cell>
          <cell r="E2845" t="str">
            <v/>
          </cell>
          <cell r="F2845" t="str">
            <v>LUIZ CARLOS BACCO DA SILVA</v>
          </cell>
          <cell r="G2845" t="str">
            <v/>
          </cell>
          <cell r="H2845" t="str">
            <v/>
          </cell>
          <cell r="I2845" t="str">
            <v/>
          </cell>
          <cell r="J2845" t="str">
            <v>PESSOA FÍSICA</v>
          </cell>
          <cell r="K2845" t="str">
            <v>052.939.568-17</v>
          </cell>
          <cell r="L2845" t="str">
            <v>CL</v>
          </cell>
          <cell r="M2845" t="str">
            <v>LUIZ CARLOS BACCO DA SILVA</v>
          </cell>
          <cell r="N2845" t="str">
            <v>KRS1631</v>
          </cell>
          <cell r="O2845" t="str">
            <v>2011</v>
          </cell>
          <cell r="P2845" t="str">
            <v>15</v>
          </cell>
          <cell r="Q2845" t="str">
            <v>14</v>
          </cell>
        </row>
        <row r="2846">
          <cell r="B2846" t="str">
            <v>1011/16</v>
          </cell>
          <cell r="C2846" t="str">
            <v>2016-0.093.484-2</v>
          </cell>
          <cell r="D2846" t="str">
            <v/>
          </cell>
          <cell r="E2846" t="str">
            <v/>
          </cell>
          <cell r="F2846" t="str">
            <v>BENEDITO CANDIDO DA SILVA FILHO</v>
          </cell>
          <cell r="G2846" t="str">
            <v/>
          </cell>
          <cell r="H2846" t="str">
            <v/>
          </cell>
          <cell r="I2846" t="str">
            <v/>
          </cell>
          <cell r="J2846" t="str">
            <v>PESSOA FÍSICA</v>
          </cell>
          <cell r="K2846" t="str">
            <v>057.663.288-00</v>
          </cell>
          <cell r="L2846" t="str">
            <v>CL</v>
          </cell>
          <cell r="M2846" t="str">
            <v>BENEDITO CANDIDO DA SILVA FILHO</v>
          </cell>
          <cell r="N2846" t="str">
            <v>CZZ1969</v>
          </cell>
          <cell r="O2846" t="str">
            <v>2002</v>
          </cell>
          <cell r="P2846" t="str">
            <v>25</v>
          </cell>
          <cell r="Q2846" t="str">
            <v>23</v>
          </cell>
        </row>
        <row r="2847">
          <cell r="B2847" t="str">
            <v>1012/16</v>
          </cell>
          <cell r="C2847" t="str">
            <v>2016-0.093.486-9</v>
          </cell>
          <cell r="D2847" t="str">
            <v/>
          </cell>
          <cell r="E2847" t="str">
            <v/>
          </cell>
          <cell r="F2847" t="str">
            <v>WALTER DA MOTTA</v>
          </cell>
          <cell r="G2847" t="str">
            <v/>
          </cell>
          <cell r="H2847" t="str">
            <v/>
          </cell>
          <cell r="I2847" t="str">
            <v/>
          </cell>
          <cell r="J2847" t="str">
            <v>PESSOA FÍSICA</v>
          </cell>
          <cell r="K2847" t="str">
            <v>126.822.638-60</v>
          </cell>
          <cell r="L2847" t="str">
            <v>CL</v>
          </cell>
          <cell r="M2847" t="str">
            <v>WALTER DA MOTTA</v>
          </cell>
          <cell r="N2847" t="str">
            <v>FCB4981</v>
          </cell>
          <cell r="O2847" t="str">
            <v>2013</v>
          </cell>
          <cell r="P2847" t="str">
            <v>19</v>
          </cell>
          <cell r="Q2847" t="str">
            <v>18</v>
          </cell>
        </row>
        <row r="2848">
          <cell r="B2848" t="str">
            <v>1013/16</v>
          </cell>
          <cell r="C2848" t="str">
            <v>2016-0.093.487-7</v>
          </cell>
          <cell r="D2848" t="str">
            <v/>
          </cell>
          <cell r="E2848" t="str">
            <v/>
          </cell>
          <cell r="F2848" t="str">
            <v>DJALMA DELFINO DA COSTA</v>
          </cell>
          <cell r="G2848" t="str">
            <v/>
          </cell>
          <cell r="H2848" t="str">
            <v/>
          </cell>
          <cell r="I2848" t="str">
            <v/>
          </cell>
          <cell r="J2848" t="str">
            <v>PESSOA FÍSICA</v>
          </cell>
          <cell r="K2848" t="str">
            <v>289.604.368-36</v>
          </cell>
          <cell r="L2848" t="str">
            <v>CL</v>
          </cell>
          <cell r="M2848" t="str">
            <v>DJALMA DELFINO DA COSTA</v>
          </cell>
          <cell r="N2848" t="str">
            <v>FLR6010</v>
          </cell>
          <cell r="O2848" t="str">
            <v>2013</v>
          </cell>
          <cell r="P2848" t="str">
            <v>19</v>
          </cell>
          <cell r="Q2848" t="str">
            <v>18</v>
          </cell>
        </row>
        <row r="2849">
          <cell r="B2849" t="str">
            <v>1014/16</v>
          </cell>
          <cell r="C2849" t="str">
            <v>2016-0.093.489-3</v>
          </cell>
          <cell r="D2849" t="str">
            <v/>
          </cell>
          <cell r="E2849" t="str">
            <v/>
          </cell>
          <cell r="F2849" t="str">
            <v>EDMILSON TAVARES DE OLIVEIRA</v>
          </cell>
          <cell r="G2849" t="str">
            <v/>
          </cell>
          <cell r="H2849" t="str">
            <v/>
          </cell>
          <cell r="I2849" t="str">
            <v/>
          </cell>
          <cell r="J2849" t="str">
            <v>PESSOA FÍSICA</v>
          </cell>
          <cell r="K2849" t="str">
            <v>022.768.158-41</v>
          </cell>
          <cell r="L2849" t="str">
            <v>CL</v>
          </cell>
          <cell r="M2849" t="str">
            <v>EDMILSON TAVARES DE OLIVEIRA</v>
          </cell>
          <cell r="N2849" t="str">
            <v>FAO7856</v>
          </cell>
          <cell r="O2849" t="str">
            <v>2013</v>
          </cell>
          <cell r="P2849" t="str">
            <v>19</v>
          </cell>
          <cell r="Q2849" t="str">
            <v>18</v>
          </cell>
        </row>
        <row r="2850">
          <cell r="B2850" t="str">
            <v>1015/16</v>
          </cell>
          <cell r="C2850" t="str">
            <v>2016-0.093.491-5</v>
          </cell>
          <cell r="D2850" t="str">
            <v/>
          </cell>
          <cell r="E2850" t="str">
            <v/>
          </cell>
          <cell r="F2850" t="str">
            <v>FABIO JACINTO</v>
          </cell>
          <cell r="G2850" t="str">
            <v/>
          </cell>
          <cell r="H2850" t="str">
            <v/>
          </cell>
          <cell r="I2850" t="str">
            <v/>
          </cell>
          <cell r="J2850" t="str">
            <v>PESSOA FÍSICA</v>
          </cell>
          <cell r="K2850" t="str">
            <v>201.241.668-30</v>
          </cell>
          <cell r="L2850" t="str">
            <v>CL</v>
          </cell>
          <cell r="M2850" t="str">
            <v>FABIO JACINTO</v>
          </cell>
          <cell r="N2850" t="str">
            <v>DTD4049</v>
          </cell>
          <cell r="O2850" t="str">
            <v>2007</v>
          </cell>
          <cell r="P2850" t="str">
            <v>30</v>
          </cell>
          <cell r="Q2850" t="str">
            <v>28</v>
          </cell>
        </row>
        <row r="2851">
          <cell r="B2851" t="str">
            <v>1016/16</v>
          </cell>
          <cell r="C2851" t="str">
            <v>2016-0.093.492-3</v>
          </cell>
          <cell r="D2851" t="str">
            <v/>
          </cell>
          <cell r="E2851" t="str">
            <v/>
          </cell>
          <cell r="F2851" t="str">
            <v>MARIA CRISTINA DA CRUZ CINTRA SANTOS</v>
          </cell>
          <cell r="G2851" t="str">
            <v/>
          </cell>
          <cell r="H2851" t="str">
            <v/>
          </cell>
          <cell r="I2851" t="str">
            <v/>
          </cell>
          <cell r="J2851" t="str">
            <v>PESSOA FÍSICA</v>
          </cell>
          <cell r="K2851" t="str">
            <v>152.087.948-29</v>
          </cell>
          <cell r="L2851" t="str">
            <v>CL</v>
          </cell>
          <cell r="M2851" t="str">
            <v>MARIA CRISTINA DA CRUZ CINTRA SANTOS</v>
          </cell>
          <cell r="N2851" t="str">
            <v>EXY9969</v>
          </cell>
          <cell r="O2851" t="str">
            <v>2011</v>
          </cell>
          <cell r="P2851" t="str">
            <v>15</v>
          </cell>
          <cell r="Q2851" t="str">
            <v>14</v>
          </cell>
        </row>
        <row r="2852">
          <cell r="B2852" t="str">
            <v>1017/16</v>
          </cell>
          <cell r="C2852" t="str">
            <v>2016-0.093.494-0</v>
          </cell>
          <cell r="D2852" t="str">
            <v/>
          </cell>
          <cell r="E2852" t="str">
            <v>11 de abril de 2016</v>
          </cell>
          <cell r="F2852" t="str">
            <v>NIVALDO CORREIA DA SILVA</v>
          </cell>
          <cell r="G2852" t="str">
            <v>11/04/2016</v>
          </cell>
          <cell r="H2852" t="str">
            <v>27/04/2016</v>
          </cell>
          <cell r="I2852" t="str">
            <v>55</v>
          </cell>
          <cell r="J2852" t="str">
            <v>PESSOA FÍSICA</v>
          </cell>
          <cell r="K2852" t="str">
            <v>214.756.284-04</v>
          </cell>
          <cell r="L2852" t="str">
            <v>CL</v>
          </cell>
          <cell r="M2852" t="str">
            <v>NIVALDO CORREIA DA SILVA</v>
          </cell>
          <cell r="N2852" t="str">
            <v>ECM4456</v>
          </cell>
          <cell r="O2852" t="str">
            <v>2010</v>
          </cell>
          <cell r="P2852" t="str">
            <v>19</v>
          </cell>
          <cell r="Q2852" t="str">
            <v>18</v>
          </cell>
        </row>
        <row r="2853">
          <cell r="B2853" t="str">
            <v>1018/16</v>
          </cell>
          <cell r="C2853" t="str">
            <v>2016-0.093.495-8</v>
          </cell>
          <cell r="D2853" t="str">
            <v/>
          </cell>
          <cell r="E2853" t="str">
            <v/>
          </cell>
          <cell r="F2853" t="str">
            <v>RICARDO ALVES</v>
          </cell>
          <cell r="G2853" t="str">
            <v/>
          </cell>
          <cell r="H2853" t="str">
            <v/>
          </cell>
          <cell r="I2853" t="str">
            <v/>
          </cell>
          <cell r="J2853" t="str">
            <v>PESSOA FÍSICA</v>
          </cell>
          <cell r="K2853" t="str">
            <v>295.453.468-09</v>
          </cell>
          <cell r="L2853" t="str">
            <v>CL</v>
          </cell>
          <cell r="M2853" t="str">
            <v>RICARDO ALVES</v>
          </cell>
          <cell r="N2853" t="str">
            <v>FLW3210</v>
          </cell>
          <cell r="O2853" t="str">
            <v>2014</v>
          </cell>
          <cell r="P2853" t="str">
            <v>19</v>
          </cell>
          <cell r="Q2853" t="str">
            <v>18</v>
          </cell>
        </row>
        <row r="2854">
          <cell r="B2854" t="str">
            <v>1019/16</v>
          </cell>
          <cell r="C2854" t="str">
            <v>2016-0.093.496-6</v>
          </cell>
          <cell r="D2854" t="str">
            <v/>
          </cell>
          <cell r="E2854" t="str">
            <v/>
          </cell>
          <cell r="F2854" t="str">
            <v>RONALDO BARBOSA</v>
          </cell>
          <cell r="G2854" t="str">
            <v/>
          </cell>
          <cell r="H2854" t="str">
            <v/>
          </cell>
          <cell r="I2854" t="str">
            <v/>
          </cell>
          <cell r="J2854" t="str">
            <v>PESSOA FÍSICA</v>
          </cell>
          <cell r="K2854" t="str">
            <v>124.095.388-78</v>
          </cell>
          <cell r="L2854" t="str">
            <v>CL</v>
          </cell>
          <cell r="M2854" t="str">
            <v>RONALDO BARBOSA</v>
          </cell>
          <cell r="N2854" t="str">
            <v>DTC3982</v>
          </cell>
          <cell r="O2854" t="str">
            <v>2008</v>
          </cell>
          <cell r="P2854" t="str">
            <v>29</v>
          </cell>
          <cell r="Q2854" t="str">
            <v>27</v>
          </cell>
        </row>
        <row r="2855">
          <cell r="B2855" t="str">
            <v>1020/16</v>
          </cell>
          <cell r="C2855" t="str">
            <v>2016-0.095.768-0</v>
          </cell>
          <cell r="D2855" t="str">
            <v/>
          </cell>
          <cell r="E2855" t="str">
            <v/>
          </cell>
          <cell r="F2855" t="str">
            <v>LAUDELINO MORORO DE SA</v>
          </cell>
          <cell r="G2855" t="str">
            <v/>
          </cell>
          <cell r="H2855" t="str">
            <v/>
          </cell>
          <cell r="I2855" t="str">
            <v/>
          </cell>
          <cell r="J2855" t="str">
            <v>PESSOA FÍSICA</v>
          </cell>
          <cell r="K2855" t="str">
            <v>007.080.508-32</v>
          </cell>
          <cell r="L2855" t="str">
            <v>CL</v>
          </cell>
          <cell r="M2855" t="str">
            <v>LAUDELINO MORORO DE SA</v>
          </cell>
          <cell r="N2855" t="str">
            <v>EFU6359</v>
          </cell>
          <cell r="O2855" t="str">
            <v>2009</v>
          </cell>
          <cell r="P2855" t="str">
            <v>19</v>
          </cell>
          <cell r="Q2855" t="str">
            <v>18</v>
          </cell>
        </row>
        <row r="2856">
          <cell r="B2856" t="str">
            <v>1021/16</v>
          </cell>
          <cell r="C2856" t="str">
            <v>2016-0.095.769-9</v>
          </cell>
          <cell r="D2856" t="str">
            <v/>
          </cell>
          <cell r="E2856" t="str">
            <v>11 de abril de 2016</v>
          </cell>
          <cell r="F2856" t="str">
            <v>ROGERIO SIQUEIRA DA SILVA</v>
          </cell>
          <cell r="G2856" t="str">
            <v>11/04/2016</v>
          </cell>
          <cell r="H2856" t="str">
            <v/>
          </cell>
          <cell r="I2856" t="str">
            <v/>
          </cell>
          <cell r="J2856" t="str">
            <v>PESSOA FÍSICA</v>
          </cell>
          <cell r="K2856" t="str">
            <v>124.750.678-96</v>
          </cell>
          <cell r="L2856" t="str">
            <v>CL</v>
          </cell>
          <cell r="M2856" t="str">
            <v>ROGERIO SIQUEIRA DA SILVA</v>
          </cell>
          <cell r="N2856" t="str">
            <v>CZX8625</v>
          </cell>
          <cell r="O2856" t="str">
            <v>2002</v>
          </cell>
          <cell r="P2856" t="str">
            <v>25</v>
          </cell>
          <cell r="Q2856" t="str">
            <v>23</v>
          </cell>
        </row>
        <row r="2857">
          <cell r="B2857" t="str">
            <v>1022/16</v>
          </cell>
          <cell r="C2857" t="str">
            <v>2016-0.095.770-2</v>
          </cell>
          <cell r="D2857" t="str">
            <v/>
          </cell>
          <cell r="E2857" t="str">
            <v/>
          </cell>
          <cell r="F2857" t="str">
            <v>LEANDRO BRANDOLIN AVANSO</v>
          </cell>
          <cell r="G2857" t="str">
            <v/>
          </cell>
          <cell r="H2857" t="str">
            <v/>
          </cell>
          <cell r="I2857" t="str">
            <v/>
          </cell>
          <cell r="J2857" t="str">
            <v>PESSOA FÍSICA</v>
          </cell>
          <cell r="K2857" t="str">
            <v>323.393.268-50</v>
          </cell>
          <cell r="L2857" t="str">
            <v>CL</v>
          </cell>
          <cell r="M2857" t="str">
            <v>LEANDRO BRANDOLIN AVANSO</v>
          </cell>
          <cell r="N2857" t="str">
            <v>ETQ7094</v>
          </cell>
          <cell r="O2857" t="str">
            <v>2010</v>
          </cell>
          <cell r="P2857" t="str">
            <v>15</v>
          </cell>
          <cell r="Q2857" t="str">
            <v>14</v>
          </cell>
        </row>
        <row r="2858">
          <cell r="B2858" t="str">
            <v>1023/16</v>
          </cell>
          <cell r="C2858" t="str">
            <v>2016-0.095.771-0</v>
          </cell>
          <cell r="D2858" t="str">
            <v/>
          </cell>
          <cell r="E2858" t="str">
            <v/>
          </cell>
          <cell r="F2858" t="str">
            <v>SORAIA MARIA MOUTA</v>
          </cell>
          <cell r="G2858" t="str">
            <v/>
          </cell>
          <cell r="H2858" t="str">
            <v/>
          </cell>
          <cell r="I2858" t="str">
            <v/>
          </cell>
          <cell r="J2858" t="str">
            <v>PESSOA FÍSICA</v>
          </cell>
          <cell r="K2858" t="str">
            <v>033.225.518-22</v>
          </cell>
          <cell r="L2858" t="str">
            <v>CL</v>
          </cell>
          <cell r="M2858" t="str">
            <v>SORAIA MARIA MOUTA</v>
          </cell>
          <cell r="N2858" t="str">
            <v>EZT9250</v>
          </cell>
          <cell r="O2858" t="str">
            <v>2011</v>
          </cell>
          <cell r="P2858" t="str">
            <v>19</v>
          </cell>
          <cell r="Q2858" t="str">
            <v>18</v>
          </cell>
        </row>
        <row r="2859">
          <cell r="B2859" t="str">
            <v>1024/16</v>
          </cell>
          <cell r="C2859" t="str">
            <v>2016-0.095.772-9</v>
          </cell>
          <cell r="D2859" t="str">
            <v/>
          </cell>
          <cell r="E2859" t="str">
            <v>25 de abril de 2016</v>
          </cell>
          <cell r="F2859" t="str">
            <v>ADEMIR PIMENTEL DA SILVA</v>
          </cell>
          <cell r="G2859" t="str">
            <v>25/04/2016</v>
          </cell>
          <cell r="H2859" t="str">
            <v/>
          </cell>
          <cell r="I2859" t="str">
            <v/>
          </cell>
          <cell r="J2859" t="str">
            <v>PESSOA FÍSICA</v>
          </cell>
          <cell r="K2859" t="str">
            <v>006.122.588-66</v>
          </cell>
          <cell r="L2859" t="str">
            <v>CL</v>
          </cell>
          <cell r="M2859" t="str">
            <v>ADEMIR PIMENTEL DA SILVA</v>
          </cell>
          <cell r="N2859" t="str">
            <v>CZZ3420</v>
          </cell>
          <cell r="O2859" t="str">
            <v>2003</v>
          </cell>
          <cell r="P2859" t="str">
            <v>25</v>
          </cell>
          <cell r="Q2859" t="str">
            <v>23</v>
          </cell>
        </row>
        <row r="2860">
          <cell r="B2860" t="str">
            <v>1025/16</v>
          </cell>
          <cell r="C2860" t="str">
            <v>2016-0.095.773-7</v>
          </cell>
          <cell r="D2860" t="str">
            <v/>
          </cell>
          <cell r="E2860" t="str">
            <v>25 de abril de 2016</v>
          </cell>
          <cell r="F2860" t="str">
            <v>AMERICO MATIAS DA SILVA</v>
          </cell>
          <cell r="G2860" t="str">
            <v>25/04/2016</v>
          </cell>
          <cell r="H2860" t="str">
            <v/>
          </cell>
          <cell r="I2860" t="str">
            <v/>
          </cell>
          <cell r="J2860" t="str">
            <v>PESSOA FÍSICA</v>
          </cell>
          <cell r="K2860" t="str">
            <v>920.071.473-00</v>
          </cell>
          <cell r="L2860" t="str">
            <v>CL</v>
          </cell>
          <cell r="M2860" t="str">
            <v>AMERICO MATIAS DA SILVA</v>
          </cell>
          <cell r="N2860" t="str">
            <v>ERM6875</v>
          </cell>
          <cell r="O2860" t="str">
            <v>2010</v>
          </cell>
          <cell r="P2860" t="str">
            <v>19</v>
          </cell>
          <cell r="Q2860" t="str">
            <v>18</v>
          </cell>
        </row>
        <row r="2861">
          <cell r="B2861" t="str">
            <v>1026/16</v>
          </cell>
          <cell r="C2861" t="str">
            <v>2016-0.095.774-5</v>
          </cell>
          <cell r="D2861" t="str">
            <v/>
          </cell>
          <cell r="E2861" t="str">
            <v/>
          </cell>
          <cell r="F2861" t="str">
            <v>HUGO RODRIGUES DE FREITAS</v>
          </cell>
          <cell r="G2861" t="str">
            <v/>
          </cell>
          <cell r="H2861" t="str">
            <v/>
          </cell>
          <cell r="I2861" t="str">
            <v/>
          </cell>
          <cell r="J2861" t="str">
            <v>PESSOA FÍSICA</v>
          </cell>
          <cell r="K2861" t="str">
            <v>249.105.148-64</v>
          </cell>
          <cell r="L2861" t="str">
            <v>CL</v>
          </cell>
          <cell r="M2861" t="str">
            <v>HUGO RODRIGUES DE FREITAS</v>
          </cell>
          <cell r="N2861" t="str">
            <v>DTC4165</v>
          </cell>
          <cell r="O2861" t="str">
            <v>2009</v>
          </cell>
          <cell r="P2861" t="str">
            <v>11</v>
          </cell>
          <cell r="Q2861" t="str">
            <v>10</v>
          </cell>
        </row>
        <row r="2862">
          <cell r="B2862" t="str">
            <v>1027/16</v>
          </cell>
          <cell r="C2862" t="str">
            <v>2016-0.095.775-3</v>
          </cell>
          <cell r="D2862" t="str">
            <v/>
          </cell>
          <cell r="E2862" t="str">
            <v/>
          </cell>
          <cell r="F2862" t="str">
            <v>IVONALDO FERREIRA ESTIMA</v>
          </cell>
          <cell r="G2862" t="str">
            <v/>
          </cell>
          <cell r="H2862" t="str">
            <v/>
          </cell>
          <cell r="I2862" t="str">
            <v/>
          </cell>
          <cell r="J2862" t="str">
            <v>PESSOA FÍSICA</v>
          </cell>
          <cell r="K2862" t="str">
            <v>047.420.318-22</v>
          </cell>
          <cell r="L2862" t="str">
            <v>CL</v>
          </cell>
          <cell r="M2862" t="str">
            <v>IVONALDO FERREIRA ESTIMA</v>
          </cell>
          <cell r="N2862" t="str">
            <v>CZX2619</v>
          </cell>
          <cell r="O2862" t="str">
            <v>2003</v>
          </cell>
          <cell r="P2862" t="str">
            <v>24</v>
          </cell>
          <cell r="Q2862" t="str">
            <v>22</v>
          </cell>
        </row>
        <row r="2863">
          <cell r="B2863" t="str">
            <v>1028/16</v>
          </cell>
          <cell r="C2863" t="str">
            <v>2016-0.095.776-1</v>
          </cell>
          <cell r="D2863" t="str">
            <v/>
          </cell>
          <cell r="E2863" t="str">
            <v>25 de abril de 2016</v>
          </cell>
          <cell r="F2863" t="str">
            <v>JOSE CARLOS OLIVEIRA FERREIRA</v>
          </cell>
          <cell r="G2863" t="str">
            <v>25/04/2016</v>
          </cell>
          <cell r="H2863" t="str">
            <v/>
          </cell>
          <cell r="I2863" t="str">
            <v/>
          </cell>
          <cell r="J2863" t="str">
            <v>PESSOA FÍSICA</v>
          </cell>
          <cell r="K2863" t="str">
            <v>362.571.845-68</v>
          </cell>
          <cell r="L2863" t="str">
            <v>CL</v>
          </cell>
          <cell r="M2863" t="str">
            <v>JOSE CARLOS OLIVEIRA FERREIRA</v>
          </cell>
          <cell r="N2863" t="str">
            <v>DTE1824</v>
          </cell>
          <cell r="O2863" t="str">
            <v>2009</v>
          </cell>
          <cell r="P2863" t="str">
            <v>19</v>
          </cell>
          <cell r="Q2863" t="str">
            <v>18</v>
          </cell>
        </row>
        <row r="2864">
          <cell r="B2864" t="str">
            <v>1029/16</v>
          </cell>
          <cell r="C2864" t="str">
            <v>2016-0.095.777-0</v>
          </cell>
          <cell r="D2864" t="str">
            <v/>
          </cell>
          <cell r="E2864" t="str">
            <v/>
          </cell>
          <cell r="F2864" t="str">
            <v>JOSE EDIVALDO BEZERRA</v>
          </cell>
          <cell r="G2864" t="str">
            <v/>
          </cell>
          <cell r="H2864" t="str">
            <v/>
          </cell>
          <cell r="I2864" t="str">
            <v/>
          </cell>
          <cell r="J2864" t="str">
            <v>PESSOA FÍSICA</v>
          </cell>
          <cell r="K2864" t="str">
            <v>599.529.204-82</v>
          </cell>
          <cell r="L2864" t="str">
            <v>CL</v>
          </cell>
          <cell r="M2864" t="str">
            <v>JOSE EDIVALDO BEZERRA</v>
          </cell>
          <cell r="N2864" t="str">
            <v>ECT6597</v>
          </cell>
          <cell r="O2864" t="str">
            <v>2009</v>
          </cell>
          <cell r="P2864" t="str">
            <v>30</v>
          </cell>
          <cell r="Q2864" t="str">
            <v>29</v>
          </cell>
        </row>
        <row r="2865">
          <cell r="B2865" t="str">
            <v>1030/16</v>
          </cell>
          <cell r="C2865" t="str">
            <v>2016-0.095.778-8</v>
          </cell>
          <cell r="D2865" t="str">
            <v/>
          </cell>
          <cell r="E2865" t="str">
            <v/>
          </cell>
          <cell r="F2865" t="str">
            <v>JOSIAS BARBOSA DE ALMEIDA</v>
          </cell>
          <cell r="G2865" t="str">
            <v/>
          </cell>
          <cell r="H2865" t="str">
            <v/>
          </cell>
          <cell r="I2865" t="str">
            <v/>
          </cell>
          <cell r="J2865" t="str">
            <v>PESSOA FÍSICA</v>
          </cell>
          <cell r="K2865" t="str">
            <v>093.323.138-57</v>
          </cell>
          <cell r="L2865" t="str">
            <v>CL</v>
          </cell>
          <cell r="M2865" t="str">
            <v>JOSIAS BARBOSA DE ALMEIDA</v>
          </cell>
          <cell r="N2865" t="str">
            <v>DTC0591</v>
          </cell>
          <cell r="O2865" t="str">
            <v>2007</v>
          </cell>
          <cell r="P2865" t="str">
            <v>30</v>
          </cell>
          <cell r="Q2865" t="str">
            <v>29</v>
          </cell>
        </row>
        <row r="2866">
          <cell r="B2866" t="str">
            <v>1031/16</v>
          </cell>
          <cell r="C2866" t="str">
            <v>2016-0.095.779-6</v>
          </cell>
          <cell r="D2866" t="str">
            <v/>
          </cell>
          <cell r="E2866" t="str">
            <v/>
          </cell>
          <cell r="F2866" t="str">
            <v>MARCOS PAULO DA SILVA SANTOS</v>
          </cell>
          <cell r="G2866" t="str">
            <v/>
          </cell>
          <cell r="H2866" t="str">
            <v/>
          </cell>
          <cell r="I2866" t="str">
            <v/>
          </cell>
          <cell r="J2866" t="str">
            <v>PESSOA FÍSICA</v>
          </cell>
          <cell r="K2866" t="str">
            <v>191.886.678-39</v>
          </cell>
          <cell r="L2866" t="str">
            <v>CL</v>
          </cell>
          <cell r="M2866" t="str">
            <v>MARCOS PAULO DA SILVA SANTOS</v>
          </cell>
          <cell r="N2866" t="str">
            <v>CYR8350</v>
          </cell>
          <cell r="O2866" t="str">
            <v>2001</v>
          </cell>
          <cell r="P2866" t="str">
            <v>25</v>
          </cell>
          <cell r="Q2866" t="str">
            <v>23</v>
          </cell>
        </row>
        <row r="2867">
          <cell r="B2867" t="str">
            <v>1032/16</v>
          </cell>
          <cell r="C2867" t="str">
            <v>2016-0.095.780-0</v>
          </cell>
          <cell r="D2867" t="str">
            <v/>
          </cell>
          <cell r="E2867" t="str">
            <v/>
          </cell>
          <cell r="F2867" t="str">
            <v>MARGARIDA MARIA PEREIRA</v>
          </cell>
          <cell r="G2867" t="str">
            <v/>
          </cell>
          <cell r="H2867" t="str">
            <v/>
          </cell>
          <cell r="I2867" t="str">
            <v/>
          </cell>
          <cell r="J2867" t="str">
            <v>PESSOA FÍSICA</v>
          </cell>
          <cell r="K2867" t="str">
            <v>167.004.378-90</v>
          </cell>
          <cell r="L2867" t="str">
            <v>CL</v>
          </cell>
          <cell r="M2867" t="str">
            <v>MARGARIDA MARIA PEREIRA</v>
          </cell>
          <cell r="N2867" t="str">
            <v>CZZ1628</v>
          </cell>
          <cell r="O2867" t="str">
            <v>2003</v>
          </cell>
          <cell r="P2867" t="str">
            <v>25</v>
          </cell>
          <cell r="Q2867" t="str">
            <v>23</v>
          </cell>
        </row>
        <row r="2868">
          <cell r="B2868" t="str">
            <v>1033/16</v>
          </cell>
          <cell r="C2868" t="str">
            <v>2016-0.095.781-8</v>
          </cell>
          <cell r="D2868" t="str">
            <v/>
          </cell>
          <cell r="E2868" t="str">
            <v/>
          </cell>
          <cell r="F2868" t="str">
            <v>SIMONE CAMARA ASCANHO DE JESUS</v>
          </cell>
          <cell r="G2868" t="str">
            <v/>
          </cell>
          <cell r="H2868" t="str">
            <v/>
          </cell>
          <cell r="I2868" t="str">
            <v/>
          </cell>
          <cell r="J2868" t="str">
            <v>PESSOA FÍSICA</v>
          </cell>
          <cell r="K2868" t="str">
            <v>225.283.128-65</v>
          </cell>
          <cell r="L2868" t="str">
            <v>CL</v>
          </cell>
          <cell r="M2868" t="str">
            <v>SIMONE CAMARA ASCANHO DE JESUS</v>
          </cell>
          <cell r="N2868" t="str">
            <v>EFU8911</v>
          </cell>
          <cell r="O2868" t="str">
            <v>2009</v>
          </cell>
          <cell r="P2868" t="str">
            <v>15</v>
          </cell>
          <cell r="Q2868" t="str">
            <v>14</v>
          </cell>
        </row>
        <row r="2869">
          <cell r="B2869" t="str">
            <v>1034/16</v>
          </cell>
          <cell r="C2869" t="str">
            <v>2016-0.095.782-6</v>
          </cell>
          <cell r="D2869" t="str">
            <v/>
          </cell>
          <cell r="E2869" t="str">
            <v/>
          </cell>
          <cell r="F2869" t="str">
            <v>ADEILDA MARIA DOS REIS</v>
          </cell>
          <cell r="G2869" t="str">
            <v/>
          </cell>
          <cell r="H2869" t="str">
            <v/>
          </cell>
          <cell r="I2869" t="str">
            <v/>
          </cell>
          <cell r="J2869" t="str">
            <v>PESSOA FÍSICA</v>
          </cell>
          <cell r="K2869" t="str">
            <v>261.870.308-18</v>
          </cell>
          <cell r="L2869" t="str">
            <v>CL</v>
          </cell>
          <cell r="M2869" t="str">
            <v>ADEILDA MARIA DOS REIS</v>
          </cell>
          <cell r="N2869" t="str">
            <v>CZZ6078</v>
          </cell>
          <cell r="O2869" t="str">
            <v>2003</v>
          </cell>
          <cell r="P2869" t="str">
            <v>25</v>
          </cell>
          <cell r="Q2869" t="str">
            <v>23</v>
          </cell>
        </row>
        <row r="2870">
          <cell r="B2870" t="str">
            <v>1035/16</v>
          </cell>
          <cell r="C2870" t="str">
            <v>2016-0.095.783-4</v>
          </cell>
          <cell r="D2870" t="str">
            <v/>
          </cell>
          <cell r="E2870" t="str">
            <v>28 de abril de 2016</v>
          </cell>
          <cell r="F2870" t="str">
            <v>DOMINGOS NASCIMENTO DE JESUS</v>
          </cell>
          <cell r="G2870" t="str">
            <v>28/04/2016</v>
          </cell>
          <cell r="H2870" t="str">
            <v/>
          </cell>
          <cell r="I2870" t="str">
            <v/>
          </cell>
          <cell r="J2870" t="str">
            <v>PESSOA FÍSICA</v>
          </cell>
          <cell r="K2870" t="str">
            <v>042.352.068-77</v>
          </cell>
          <cell r="L2870" t="str">
            <v>CL</v>
          </cell>
          <cell r="M2870" t="str">
            <v>DOMINGOS NASCIMENTO DE JESUS</v>
          </cell>
          <cell r="N2870" t="str">
            <v>ECT8517</v>
          </cell>
          <cell r="O2870" t="str">
            <v>2008</v>
          </cell>
          <cell r="P2870" t="str">
            <v>19</v>
          </cell>
          <cell r="Q2870" t="str">
            <v>18</v>
          </cell>
        </row>
        <row r="2871">
          <cell r="B2871" t="str">
            <v>1036/16</v>
          </cell>
          <cell r="C2871" t="str">
            <v>2016-0.095.784-2</v>
          </cell>
          <cell r="D2871" t="str">
            <v/>
          </cell>
          <cell r="E2871" t="str">
            <v/>
          </cell>
          <cell r="F2871" t="str">
            <v>MARCOS PAULO RODRIGUES BARBOSA</v>
          </cell>
          <cell r="G2871" t="str">
            <v/>
          </cell>
          <cell r="H2871" t="str">
            <v/>
          </cell>
          <cell r="I2871" t="str">
            <v/>
          </cell>
          <cell r="J2871" t="str">
            <v>PESSOA FÍSICA</v>
          </cell>
          <cell r="K2871" t="str">
            <v>185.573.738-80</v>
          </cell>
          <cell r="L2871" t="str">
            <v>CL</v>
          </cell>
          <cell r="M2871" t="str">
            <v>MARCOS PAULO RODRIGUES BARBOSA</v>
          </cell>
          <cell r="N2871" t="str">
            <v>CZX9445</v>
          </cell>
          <cell r="O2871" t="str">
            <v>2003</v>
          </cell>
          <cell r="P2871" t="str">
            <v>25</v>
          </cell>
          <cell r="Q2871" t="str">
            <v>23</v>
          </cell>
        </row>
        <row r="2872">
          <cell r="B2872" t="str">
            <v>1037/16</v>
          </cell>
          <cell r="C2872" t="str">
            <v>2016-0.093.642-0</v>
          </cell>
          <cell r="D2872" t="str">
            <v>22/03/2016</v>
          </cell>
          <cell r="E2872" t="str">
            <v>19 de abril de 2016</v>
          </cell>
          <cell r="F2872" t="str">
            <v>JOSE CARLOS DA SILVA</v>
          </cell>
          <cell r="G2872" t="str">
            <v>19/04/2016</v>
          </cell>
          <cell r="H2872" t="str">
            <v>21/04/2016</v>
          </cell>
          <cell r="I2872" t="str">
            <v>96</v>
          </cell>
          <cell r="J2872" t="str">
            <v>PESSOA FÍSICA</v>
          </cell>
          <cell r="K2872" t="str">
            <v>021.457.858-88</v>
          </cell>
          <cell r="L2872" t="str">
            <v>PJ</v>
          </cell>
          <cell r="M2872" t="str">
            <v>JOSE CARLOS DA SILVA</v>
          </cell>
          <cell r="N2872" t="str">
            <v>DIS6620</v>
          </cell>
          <cell r="O2872" t="str">
            <v>2002</v>
          </cell>
          <cell r="P2872" t="str">
            <v>25</v>
          </cell>
          <cell r="Q2872" t="str">
            <v>23</v>
          </cell>
        </row>
        <row r="2873">
          <cell r="B2873" t="str">
            <v>1038/16</v>
          </cell>
          <cell r="C2873" t="str">
            <v>2016-0.095.785-0</v>
          </cell>
          <cell r="D2873" t="str">
            <v/>
          </cell>
          <cell r="E2873" t="str">
            <v/>
          </cell>
          <cell r="F2873" t="str">
            <v>MARCELO INACIO DA LUZ</v>
          </cell>
          <cell r="G2873" t="str">
            <v/>
          </cell>
          <cell r="H2873" t="str">
            <v/>
          </cell>
          <cell r="I2873" t="str">
            <v/>
          </cell>
          <cell r="J2873" t="str">
            <v>PESSOA FÍSICA</v>
          </cell>
          <cell r="K2873" t="str">
            <v>153.076.128-00</v>
          </cell>
          <cell r="L2873" t="str">
            <v>MP</v>
          </cell>
          <cell r="M2873" t="str">
            <v>MARCELO INACIO DA LUZ</v>
          </cell>
          <cell r="N2873" t="str">
            <v>DTC6603</v>
          </cell>
          <cell r="O2873" t="str">
            <v>2009</v>
          </cell>
          <cell r="P2873" t="str">
            <v>10</v>
          </cell>
          <cell r="Q2873" t="str">
            <v>9</v>
          </cell>
        </row>
        <row r="2874">
          <cell r="B2874" t="str">
            <v>1039/16</v>
          </cell>
          <cell r="C2874" t="str">
            <v>2016-0.095.786-9</v>
          </cell>
          <cell r="D2874" t="str">
            <v/>
          </cell>
          <cell r="E2874" t="str">
            <v/>
          </cell>
          <cell r="F2874" t="str">
            <v>GILSON VIEIRA DA SILVA</v>
          </cell>
          <cell r="G2874" t="str">
            <v/>
          </cell>
          <cell r="H2874" t="str">
            <v/>
          </cell>
          <cell r="I2874" t="str">
            <v/>
          </cell>
          <cell r="J2874" t="str">
            <v>PESSOA FÍSICA</v>
          </cell>
          <cell r="K2874" t="str">
            <v>053.280.648-44</v>
          </cell>
          <cell r="L2874" t="str">
            <v>MP</v>
          </cell>
          <cell r="M2874" t="str">
            <v>GILSON VIEIRA DA SILVA</v>
          </cell>
          <cell r="N2874" t="str">
            <v>DTC3826</v>
          </cell>
          <cell r="O2874" t="str">
            <v>2009</v>
          </cell>
          <cell r="P2874" t="str">
            <v>10</v>
          </cell>
          <cell r="Q2874" t="str">
            <v>9</v>
          </cell>
        </row>
        <row r="2875">
          <cell r="B2875" t="str">
            <v>1040/16</v>
          </cell>
          <cell r="C2875" t="str">
            <v>2016-0.095.787-7</v>
          </cell>
          <cell r="D2875" t="str">
            <v>17/03/2016</v>
          </cell>
          <cell r="E2875" t="str">
            <v/>
          </cell>
          <cell r="F2875" t="str">
            <v>MARCELLO DA SILVA SOUZA</v>
          </cell>
          <cell r="G2875" t="str">
            <v/>
          </cell>
          <cell r="H2875" t="str">
            <v/>
          </cell>
          <cell r="I2875" t="str">
            <v/>
          </cell>
          <cell r="J2875" t="str">
            <v>PESSOA FÍSICA</v>
          </cell>
          <cell r="K2875" t="str">
            <v>111.512.998-80</v>
          </cell>
          <cell r="L2875" t="str">
            <v>IQ</v>
          </cell>
          <cell r="M2875" t="str">
            <v>MARCELLO DA SILVA SOUZA</v>
          </cell>
          <cell r="N2875" t="str">
            <v>FDR1134</v>
          </cell>
          <cell r="O2875" t="str">
            <v>2015</v>
          </cell>
          <cell r="P2875" t="str">
            <v>19</v>
          </cell>
          <cell r="Q2875" t="str">
            <v>18</v>
          </cell>
        </row>
        <row r="2876">
          <cell r="B2876" t="str">
            <v>1041/16</v>
          </cell>
          <cell r="C2876" t="str">
            <v>2016-0.095.788-5</v>
          </cell>
          <cell r="D2876" t="str">
            <v>12/04/2016</v>
          </cell>
          <cell r="E2876" t="str">
            <v>28 de abril de 2016</v>
          </cell>
          <cell r="F2876" t="str">
            <v>ANDERSON APARECIDO MALAFAIA MENDES</v>
          </cell>
          <cell r="G2876" t="str">
            <v>28/04/2016</v>
          </cell>
          <cell r="H2876" t="str">
            <v/>
          </cell>
          <cell r="I2876" t="str">
            <v/>
          </cell>
          <cell r="J2876" t="str">
            <v>PESSOA FÍSICA</v>
          </cell>
          <cell r="K2876" t="str">
            <v>314.264.208-03</v>
          </cell>
          <cell r="L2876" t="str">
            <v>IQ</v>
          </cell>
          <cell r="M2876" t="str">
            <v>ANDERSON APARECIDO MALAFAIA MENDES</v>
          </cell>
          <cell r="N2876" t="str">
            <v>CMW3616</v>
          </cell>
          <cell r="O2876" t="str">
            <v>2005</v>
          </cell>
          <cell r="P2876" t="str">
            <v>29</v>
          </cell>
          <cell r="Q2876" t="str">
            <v>27</v>
          </cell>
        </row>
        <row r="2877">
          <cell r="B2877" t="str">
            <v>1042/16</v>
          </cell>
          <cell r="C2877" t="str">
            <v>2016-0.095.789-3</v>
          </cell>
          <cell r="D2877" t="str">
            <v>29/03/2016</v>
          </cell>
          <cell r="E2877" t="str">
            <v/>
          </cell>
          <cell r="F2877" t="str">
            <v>MARIA GILVANIA DA SILVA</v>
          </cell>
          <cell r="G2877" t="str">
            <v/>
          </cell>
          <cell r="H2877" t="str">
            <v/>
          </cell>
          <cell r="I2877" t="str">
            <v/>
          </cell>
          <cell r="J2877" t="str">
            <v>PESSOA FÍSICA</v>
          </cell>
          <cell r="K2877" t="str">
            <v>723.349.595-53</v>
          </cell>
          <cell r="L2877" t="str">
            <v>PE</v>
          </cell>
          <cell r="M2877" t="str">
            <v>MARIA GILVANIA DA SILVA</v>
          </cell>
          <cell r="N2877" t="str">
            <v>FAA9580</v>
          </cell>
          <cell r="O2877" t="str">
            <v>2012</v>
          </cell>
          <cell r="P2877" t="str">
            <v>19</v>
          </cell>
          <cell r="Q2877" t="str">
            <v>18</v>
          </cell>
        </row>
        <row r="2878">
          <cell r="B2878" t="str">
            <v>1043/16</v>
          </cell>
          <cell r="C2878" t="str">
            <v>2016-0.095.790-7</v>
          </cell>
          <cell r="D2878" t="str">
            <v/>
          </cell>
          <cell r="E2878" t="str">
            <v/>
          </cell>
          <cell r="F2878" t="str">
            <v>ERMANIO PINHEIRO DE SOUZA</v>
          </cell>
          <cell r="G2878" t="str">
            <v/>
          </cell>
          <cell r="H2878" t="str">
            <v/>
          </cell>
          <cell r="I2878" t="str">
            <v/>
          </cell>
          <cell r="J2878" t="str">
            <v>PESSOA FÍSICA</v>
          </cell>
          <cell r="K2878" t="str">
            <v>312.360.225-72</v>
          </cell>
          <cell r="L2878" t="str">
            <v>PE</v>
          </cell>
          <cell r="M2878" t="str">
            <v>ERMANIO PINHEIRO DE SOUZA</v>
          </cell>
          <cell r="N2878" t="str">
            <v>EKK0686</v>
          </cell>
          <cell r="O2878" t="str">
            <v>2009</v>
          </cell>
          <cell r="P2878" t="str">
            <v>19</v>
          </cell>
          <cell r="Q2878" t="str">
            <v>18</v>
          </cell>
        </row>
        <row r="2879">
          <cell r="B2879" t="str">
            <v>1044/16</v>
          </cell>
          <cell r="C2879" t="str">
            <v>2016-0.095.791-5</v>
          </cell>
          <cell r="D2879" t="str">
            <v/>
          </cell>
          <cell r="E2879" t="str">
            <v/>
          </cell>
          <cell r="F2879" t="str">
            <v>PEDRO LUIZ RIBEIRO</v>
          </cell>
          <cell r="G2879" t="str">
            <v/>
          </cell>
          <cell r="H2879" t="str">
            <v/>
          </cell>
          <cell r="I2879" t="str">
            <v/>
          </cell>
          <cell r="J2879" t="str">
            <v>PESSOA FÍSICA</v>
          </cell>
          <cell r="K2879" t="str">
            <v>060.685.358-86</v>
          </cell>
          <cell r="L2879" t="str">
            <v>CS</v>
          </cell>
          <cell r="M2879" t="str">
            <v>PEDRO LUIZ RIBEIRO</v>
          </cell>
          <cell r="N2879" t="str">
            <v>DAO9764</v>
          </cell>
          <cell r="O2879" t="str">
            <v>2005</v>
          </cell>
          <cell r="P2879" t="str">
            <v>15</v>
          </cell>
          <cell r="Q2879" t="str">
            <v/>
          </cell>
        </row>
        <row r="2880">
          <cell r="B2880" t="str">
            <v>1045/16</v>
          </cell>
          <cell r="C2880" t="str">
            <v>2016-0.095.792-3</v>
          </cell>
          <cell r="D2880" t="str">
            <v/>
          </cell>
          <cell r="E2880" t="str">
            <v/>
          </cell>
          <cell r="F2880" t="str">
            <v>CARLITO SANTANA SOUZA NETO</v>
          </cell>
          <cell r="G2880" t="str">
            <v/>
          </cell>
          <cell r="H2880" t="str">
            <v/>
          </cell>
          <cell r="I2880" t="str">
            <v/>
          </cell>
          <cell r="J2880" t="str">
            <v>PESSOA FÍSICA</v>
          </cell>
          <cell r="K2880" t="str">
            <v>371.305.058-93</v>
          </cell>
          <cell r="L2880" t="str">
            <v/>
          </cell>
          <cell r="M2880" t="str">
            <v>CARLITO SANTANA SOUZA NETO</v>
          </cell>
          <cell r="N2880" t="str">
            <v>FTU4630</v>
          </cell>
          <cell r="O2880" t="str">
            <v>2014</v>
          </cell>
          <cell r="P2880" t="str">
            <v>19</v>
          </cell>
          <cell r="Q2880" t="str">
            <v>18</v>
          </cell>
        </row>
        <row r="2881">
          <cell r="B2881" t="str">
            <v>1046/16</v>
          </cell>
          <cell r="C2881" t="str">
            <v>2016-0.095.793-1</v>
          </cell>
          <cell r="D2881" t="str">
            <v/>
          </cell>
          <cell r="E2881" t="str">
            <v/>
          </cell>
          <cell r="F2881" t="str">
            <v>CARLOS ALBERTO DE SOUZA</v>
          </cell>
          <cell r="G2881" t="str">
            <v/>
          </cell>
          <cell r="H2881" t="str">
            <v/>
          </cell>
          <cell r="I2881" t="str">
            <v/>
          </cell>
          <cell r="J2881" t="str">
            <v>PESSOA FÍSICA</v>
          </cell>
          <cell r="K2881" t="str">
            <v>648.977.705-30</v>
          </cell>
          <cell r="L2881" t="str">
            <v>CS</v>
          </cell>
          <cell r="M2881" t="str">
            <v>CARLOS ALBERTO DE SOUZA</v>
          </cell>
          <cell r="N2881" t="str">
            <v>JSX9341</v>
          </cell>
          <cell r="O2881" t="str">
            <v>2009</v>
          </cell>
          <cell r="P2881" t="str">
            <v>15</v>
          </cell>
          <cell r="Q2881" t="str">
            <v>14</v>
          </cell>
        </row>
        <row r="2882">
          <cell r="B2882" t="str">
            <v>1047/16</v>
          </cell>
          <cell r="C2882" t="str">
            <v>2016-0.095.794-0</v>
          </cell>
          <cell r="D2882" t="str">
            <v/>
          </cell>
          <cell r="E2882" t="str">
            <v/>
          </cell>
          <cell r="F2882" t="str">
            <v>ORLANDO CARMO DA ROSA</v>
          </cell>
          <cell r="G2882" t="str">
            <v/>
          </cell>
          <cell r="H2882" t="str">
            <v/>
          </cell>
          <cell r="I2882" t="str">
            <v/>
          </cell>
          <cell r="J2882" t="str">
            <v>PESSOA FÍSICA</v>
          </cell>
          <cell r="K2882" t="str">
            <v>616.808.185-20</v>
          </cell>
          <cell r="L2882" t="str">
            <v>CS</v>
          </cell>
          <cell r="M2882" t="str">
            <v>ORLANDO CARMO DA ROSA</v>
          </cell>
          <cell r="N2882" t="str">
            <v>ELQ5465</v>
          </cell>
          <cell r="O2882" t="str">
            <v>2011</v>
          </cell>
          <cell r="P2882" t="str">
            <v>19</v>
          </cell>
          <cell r="Q2882" t="str">
            <v>18</v>
          </cell>
        </row>
        <row r="2883">
          <cell r="B2883" t="str">
            <v>1048/16</v>
          </cell>
          <cell r="C2883" t="str">
            <v>2016-0.095.795-8</v>
          </cell>
          <cell r="D2883" t="str">
            <v/>
          </cell>
          <cell r="E2883" t="str">
            <v/>
          </cell>
          <cell r="F2883" t="str">
            <v>FRANK SANTOS DE MIRANDA</v>
          </cell>
          <cell r="G2883" t="str">
            <v/>
          </cell>
          <cell r="H2883" t="str">
            <v/>
          </cell>
          <cell r="I2883" t="str">
            <v/>
          </cell>
          <cell r="J2883" t="str">
            <v>PESSOA FÍSICA</v>
          </cell>
          <cell r="K2883" t="str">
            <v>254.629.348-66</v>
          </cell>
          <cell r="L2883" t="str">
            <v>CS</v>
          </cell>
          <cell r="M2883" t="str">
            <v>FRANK SANTOS DE MIRANDA</v>
          </cell>
          <cell r="N2883" t="str">
            <v>FTP7510</v>
          </cell>
          <cell r="O2883" t="str">
            <v>2013</v>
          </cell>
          <cell r="P2883" t="str">
            <v>19</v>
          </cell>
          <cell r="Q2883" t="str">
            <v>18</v>
          </cell>
        </row>
        <row r="2884">
          <cell r="B2884" t="str">
            <v>1049/16</v>
          </cell>
          <cell r="C2884" t="str">
            <v>2016-0.095.796-6</v>
          </cell>
          <cell r="D2884" t="str">
            <v/>
          </cell>
          <cell r="E2884" t="str">
            <v/>
          </cell>
          <cell r="F2884" t="str">
            <v>ANGELA KELLY GUIMARAES ALVES</v>
          </cell>
          <cell r="G2884" t="str">
            <v/>
          </cell>
          <cell r="H2884" t="str">
            <v/>
          </cell>
          <cell r="I2884" t="str">
            <v/>
          </cell>
          <cell r="J2884" t="str">
            <v>PESSOA FÍSICA</v>
          </cell>
          <cell r="K2884" t="str">
            <v>293.268.548-17</v>
          </cell>
          <cell r="L2884" t="str">
            <v>CS</v>
          </cell>
          <cell r="M2884" t="str">
            <v>ANGELA KELLY GUIMARAES ALVES</v>
          </cell>
          <cell r="N2884" t="str">
            <v>FSU1719</v>
          </cell>
          <cell r="O2884" t="str">
            <v>2014</v>
          </cell>
          <cell r="P2884" t="str">
            <v>19</v>
          </cell>
          <cell r="Q2884" t="str">
            <v>18</v>
          </cell>
        </row>
        <row r="2885">
          <cell r="B2885" t="str">
            <v>1050/16</v>
          </cell>
          <cell r="C2885" t="str">
            <v>2016-0.095.797-4</v>
          </cell>
          <cell r="D2885" t="str">
            <v>01/04/2016</v>
          </cell>
          <cell r="E2885" t="str">
            <v>27 de abril de 2016</v>
          </cell>
          <cell r="F2885" t="str">
            <v>ANGELA MARIA SANTANA DE LIMA BASILIO</v>
          </cell>
          <cell r="G2885" t="str">
            <v>27/04/2016</v>
          </cell>
          <cell r="H2885" t="str">
            <v/>
          </cell>
          <cell r="I2885" t="str">
            <v/>
          </cell>
          <cell r="J2885" t="str">
            <v>PESSOA FÍSICA</v>
          </cell>
          <cell r="K2885" t="str">
            <v>093.880.158-94</v>
          </cell>
          <cell r="L2885" t="str">
            <v>CS</v>
          </cell>
          <cell r="M2885" t="str">
            <v>ANGELA MARIA SANTANA DE LIMA BASILIO</v>
          </cell>
          <cell r="N2885" t="str">
            <v>FBY1460</v>
          </cell>
          <cell r="O2885" t="str">
            <v>2014</v>
          </cell>
          <cell r="P2885" t="str">
            <v>19</v>
          </cell>
          <cell r="Q2885" t="str">
            <v>18</v>
          </cell>
        </row>
        <row r="2886">
          <cell r="B2886" t="str">
            <v>1051/16</v>
          </cell>
          <cell r="C2886" t="str">
            <v>2016-0.095.798-2</v>
          </cell>
          <cell r="D2886" t="str">
            <v/>
          </cell>
          <cell r="E2886" t="str">
            <v/>
          </cell>
          <cell r="F2886" t="str">
            <v>LEANDRO JOSE DOS SANTOS</v>
          </cell>
          <cell r="G2886" t="str">
            <v/>
          </cell>
          <cell r="H2886" t="str">
            <v/>
          </cell>
          <cell r="I2886" t="str">
            <v/>
          </cell>
          <cell r="J2886" t="str">
            <v>PESSOA FÍSICA</v>
          </cell>
          <cell r="K2886" t="str">
            <v>340.736.768-65</v>
          </cell>
          <cell r="L2886" t="str">
            <v>CS</v>
          </cell>
          <cell r="M2886" t="str">
            <v>LEANDRO JOSE DOS SANTOS</v>
          </cell>
          <cell r="N2886" t="str">
            <v>KMT8860</v>
          </cell>
          <cell r="O2886" t="str">
            <v>2007</v>
          </cell>
          <cell r="P2886" t="str">
            <v>15</v>
          </cell>
          <cell r="Q2886" t="str">
            <v/>
          </cell>
        </row>
        <row r="2887">
          <cell r="B2887" t="str">
            <v>1052/16</v>
          </cell>
          <cell r="C2887" t="str">
            <v>2016-0.095.799-0</v>
          </cell>
          <cell r="D2887" t="str">
            <v/>
          </cell>
          <cell r="E2887" t="str">
            <v/>
          </cell>
          <cell r="F2887" t="str">
            <v>KARINA ALVES MAURICIO</v>
          </cell>
          <cell r="G2887" t="str">
            <v/>
          </cell>
          <cell r="H2887" t="str">
            <v/>
          </cell>
          <cell r="I2887" t="str">
            <v/>
          </cell>
          <cell r="J2887" t="str">
            <v>PESSOA FÍSICA</v>
          </cell>
          <cell r="K2887" t="str">
            <v>288.980.828-94</v>
          </cell>
          <cell r="L2887" t="str">
            <v>CS</v>
          </cell>
          <cell r="M2887" t="str">
            <v>KARINA ALVES MAURICIO</v>
          </cell>
          <cell r="N2887" t="str">
            <v>EUV9095</v>
          </cell>
          <cell r="O2887" t="str">
            <v>2011</v>
          </cell>
          <cell r="P2887" t="str">
            <v>15</v>
          </cell>
          <cell r="Q2887" t="str">
            <v>14</v>
          </cell>
        </row>
        <row r="2888">
          <cell r="B2888" t="str">
            <v>1053/16</v>
          </cell>
          <cell r="C2888" t="str">
            <v>2016-0.095.800-8</v>
          </cell>
          <cell r="D2888" t="str">
            <v/>
          </cell>
          <cell r="E2888" t="str">
            <v/>
          </cell>
          <cell r="F2888" t="str">
            <v>GERALDO ADMAR DA SILVEIRA</v>
          </cell>
          <cell r="G2888" t="str">
            <v/>
          </cell>
          <cell r="H2888" t="str">
            <v/>
          </cell>
          <cell r="I2888" t="str">
            <v/>
          </cell>
          <cell r="J2888" t="str">
            <v>PESSOA FÍSICA</v>
          </cell>
          <cell r="K2888" t="str">
            <v>153.664.678-45</v>
          </cell>
          <cell r="L2888" t="str">
            <v>CS</v>
          </cell>
          <cell r="M2888" t="str">
            <v>GERALDO ADMAR DA SILVEIRA</v>
          </cell>
          <cell r="N2888" t="str">
            <v>ELQ1332</v>
          </cell>
          <cell r="O2888" t="str">
            <v>2010</v>
          </cell>
          <cell r="P2888" t="str">
            <v>19</v>
          </cell>
          <cell r="Q2888" t="str">
            <v>18</v>
          </cell>
        </row>
        <row r="2889">
          <cell r="B2889" t="str">
            <v>1054/16</v>
          </cell>
          <cell r="C2889" t="str">
            <v>2016-0.095.801-6</v>
          </cell>
          <cell r="D2889" t="str">
            <v/>
          </cell>
          <cell r="E2889" t="str">
            <v/>
          </cell>
          <cell r="F2889" t="str">
            <v>DOMINGOS PAULO BISPO</v>
          </cell>
          <cell r="G2889" t="str">
            <v/>
          </cell>
          <cell r="H2889" t="str">
            <v/>
          </cell>
          <cell r="I2889" t="str">
            <v/>
          </cell>
          <cell r="J2889" t="str">
            <v>PESSOA FÍSICA</v>
          </cell>
          <cell r="K2889" t="str">
            <v>157.999.898-48</v>
          </cell>
          <cell r="L2889" t="str">
            <v>CS</v>
          </cell>
          <cell r="M2889" t="str">
            <v>DOMINGOS PAULO BISPO</v>
          </cell>
          <cell r="N2889" t="str">
            <v>JHQ5365</v>
          </cell>
          <cell r="O2889" t="str">
            <v>2007</v>
          </cell>
          <cell r="P2889" t="str">
            <v>29</v>
          </cell>
          <cell r="Q2889" t="str">
            <v>28</v>
          </cell>
        </row>
        <row r="2890">
          <cell r="B2890" t="str">
            <v>1055/16</v>
          </cell>
          <cell r="C2890" t="str">
            <v>2016-0.095.802-4</v>
          </cell>
          <cell r="D2890" t="str">
            <v/>
          </cell>
          <cell r="E2890" t="str">
            <v>11 de abril de 2016</v>
          </cell>
          <cell r="F2890" t="str">
            <v>CLAUDIO CELSO CANHOTO</v>
          </cell>
          <cell r="G2890" t="str">
            <v>11/04/2016</v>
          </cell>
          <cell r="H2890" t="str">
            <v/>
          </cell>
          <cell r="I2890" t="str">
            <v/>
          </cell>
          <cell r="J2890" t="str">
            <v>PESSOA FÍSICA</v>
          </cell>
          <cell r="K2890" t="str">
            <v>666.756.008-00</v>
          </cell>
          <cell r="L2890" t="str">
            <v>PJ</v>
          </cell>
          <cell r="M2890" t="str">
            <v>CLAUDIO CELSO CANHOTO</v>
          </cell>
          <cell r="N2890" t="str">
            <v>FHK0393</v>
          </cell>
          <cell r="O2890" t="str">
            <v>2013</v>
          </cell>
          <cell r="P2890" t="str">
            <v>19</v>
          </cell>
          <cell r="Q2890" t="str">
            <v>18</v>
          </cell>
        </row>
        <row r="2891">
          <cell r="B2891" t="str">
            <v>1056/16</v>
          </cell>
          <cell r="C2891" t="str">
            <v>2016-0.095.803-2</v>
          </cell>
          <cell r="D2891" t="str">
            <v/>
          </cell>
          <cell r="E2891" t="str">
            <v/>
          </cell>
          <cell r="F2891" t="str">
            <v>DINOELIO PEREIRA CARDOSO</v>
          </cell>
          <cell r="G2891" t="str">
            <v/>
          </cell>
          <cell r="H2891" t="str">
            <v/>
          </cell>
          <cell r="I2891" t="str">
            <v/>
          </cell>
          <cell r="J2891" t="str">
            <v>PESSOA FÍSICA</v>
          </cell>
          <cell r="K2891" t="str">
            <v>010.354.728-21</v>
          </cell>
          <cell r="L2891" t="str">
            <v>PJ</v>
          </cell>
          <cell r="M2891" t="str">
            <v>DINOELIO PEREIRA CARDOSO</v>
          </cell>
          <cell r="N2891" t="str">
            <v>EUT7639</v>
          </cell>
          <cell r="O2891" t="str">
            <v>2011</v>
          </cell>
          <cell r="P2891" t="str">
            <v>27</v>
          </cell>
          <cell r="Q2891" t="str">
            <v>26</v>
          </cell>
        </row>
        <row r="2892">
          <cell r="B2892" t="str">
            <v>1057/16</v>
          </cell>
          <cell r="C2892" t="str">
            <v>2016-0.095.804-0</v>
          </cell>
          <cell r="D2892" t="str">
            <v/>
          </cell>
          <cell r="E2892" t="str">
            <v/>
          </cell>
          <cell r="F2892" t="str">
            <v>REGINA MARIA GENTILE</v>
          </cell>
          <cell r="G2892" t="str">
            <v/>
          </cell>
          <cell r="H2892" t="str">
            <v/>
          </cell>
          <cell r="I2892" t="str">
            <v/>
          </cell>
          <cell r="J2892" t="str">
            <v>PESSOA FÍSICA</v>
          </cell>
          <cell r="K2892" t="str">
            <v>059.324.188-69</v>
          </cell>
          <cell r="L2892" t="str">
            <v>PJ</v>
          </cell>
          <cell r="M2892" t="str">
            <v>SIUZI ELAINE CARNEIRO LEAO</v>
          </cell>
          <cell r="N2892" t="str">
            <v>CZX5082</v>
          </cell>
          <cell r="O2892" t="str">
            <v>2002</v>
          </cell>
          <cell r="P2892" t="str">
            <v>25</v>
          </cell>
          <cell r="Q2892" t="str">
            <v>23</v>
          </cell>
        </row>
        <row r="2893">
          <cell r="B2893" t="str">
            <v>1058/16</v>
          </cell>
          <cell r="C2893" t="str">
            <v>2016-0.095.805-9</v>
          </cell>
          <cell r="D2893" t="str">
            <v/>
          </cell>
          <cell r="E2893" t="str">
            <v/>
          </cell>
          <cell r="F2893" t="str">
            <v>MARIA DO CARMO LIMA SOUZA</v>
          </cell>
          <cell r="G2893" t="str">
            <v/>
          </cell>
          <cell r="H2893" t="str">
            <v/>
          </cell>
          <cell r="I2893" t="str">
            <v/>
          </cell>
          <cell r="J2893" t="str">
            <v>PESSOA FÍSICA</v>
          </cell>
          <cell r="K2893" t="str">
            <v>103.416.468-65</v>
          </cell>
          <cell r="L2893" t="str">
            <v>PJ</v>
          </cell>
          <cell r="M2893" t="str">
            <v>MARIA DO CARMO LIMA SOUZA</v>
          </cell>
          <cell r="N2893" t="str">
            <v>CSK0321</v>
          </cell>
          <cell r="O2893" t="str">
            <v>2010</v>
          </cell>
          <cell r="P2893" t="str">
            <v>15</v>
          </cell>
          <cell r="Q2893" t="str">
            <v>14</v>
          </cell>
        </row>
        <row r="2894">
          <cell r="B2894" t="str">
            <v>1059/16</v>
          </cell>
          <cell r="C2894" t="str">
            <v>2016-0.095.806-7</v>
          </cell>
          <cell r="D2894" t="str">
            <v>14/03/2016</v>
          </cell>
          <cell r="E2894" t="str">
            <v>28 de abril de 2016</v>
          </cell>
          <cell r="F2894" t="str">
            <v>MARIA APARECIDA CATTO</v>
          </cell>
          <cell r="G2894" t="str">
            <v>28/04/2016</v>
          </cell>
          <cell r="H2894" t="str">
            <v/>
          </cell>
          <cell r="I2894" t="str">
            <v/>
          </cell>
          <cell r="J2894" t="str">
            <v>PESSOA FÍSICA</v>
          </cell>
          <cell r="K2894" t="str">
            <v>077.290.978-42</v>
          </cell>
          <cell r="L2894" t="str">
            <v>PJ</v>
          </cell>
          <cell r="M2894" t="str">
            <v>MARIA APARECIDA CATTO</v>
          </cell>
          <cell r="N2894" t="str">
            <v>EMD6229</v>
          </cell>
          <cell r="O2894" t="str">
            <v>2009</v>
          </cell>
          <cell r="P2894" t="str">
            <v>19</v>
          </cell>
          <cell r="Q2894" t="str">
            <v>18</v>
          </cell>
        </row>
        <row r="2895">
          <cell r="B2895" t="str">
            <v>1060/16</v>
          </cell>
          <cell r="C2895" t="str">
            <v>2016-0.095.807-5</v>
          </cell>
          <cell r="D2895" t="str">
            <v/>
          </cell>
          <cell r="E2895" t="str">
            <v/>
          </cell>
          <cell r="F2895" t="str">
            <v>JOAO ISAIAS GONCALVES DA SILVA</v>
          </cell>
          <cell r="G2895" t="str">
            <v/>
          </cell>
          <cell r="H2895" t="str">
            <v/>
          </cell>
          <cell r="I2895" t="str">
            <v/>
          </cell>
          <cell r="J2895" t="str">
            <v>PESSOA FÍSICA</v>
          </cell>
          <cell r="K2895" t="str">
            <v>126.587.678-97</v>
          </cell>
          <cell r="L2895" t="str">
            <v>PJ</v>
          </cell>
          <cell r="M2895" t="str">
            <v>JOAO ISAIAS GONCALVES DA SILVA</v>
          </cell>
          <cell r="N2895" t="str">
            <v>DTD8236</v>
          </cell>
          <cell r="O2895" t="str">
            <v>2009</v>
          </cell>
          <cell r="P2895" t="str">
            <v>19</v>
          </cell>
          <cell r="Q2895" t="str">
            <v>18</v>
          </cell>
        </row>
        <row r="2896">
          <cell r="B2896" t="str">
            <v>1061/16</v>
          </cell>
          <cell r="C2896" t="str">
            <v>2016-0.095.808-3</v>
          </cell>
          <cell r="D2896" t="str">
            <v/>
          </cell>
          <cell r="E2896" t="str">
            <v/>
          </cell>
          <cell r="F2896" t="str">
            <v>ELAINE APARECIDA DIAS</v>
          </cell>
          <cell r="G2896" t="str">
            <v/>
          </cell>
          <cell r="H2896" t="str">
            <v/>
          </cell>
          <cell r="I2896" t="str">
            <v/>
          </cell>
          <cell r="J2896" t="str">
            <v>PESSOA FÍSICA</v>
          </cell>
          <cell r="K2896" t="str">
            <v>009.048.528-90</v>
          </cell>
          <cell r="L2896" t="str">
            <v>PJ</v>
          </cell>
          <cell r="M2896" t="str">
            <v>ELAINE APARECIDA DIAS</v>
          </cell>
          <cell r="N2896" t="str">
            <v>DTD5461</v>
          </cell>
          <cell r="O2896" t="str">
            <v>2010</v>
          </cell>
          <cell r="P2896" t="str">
            <v>15</v>
          </cell>
          <cell r="Q2896" t="str">
            <v>14</v>
          </cell>
        </row>
        <row r="2897">
          <cell r="B2897" t="str">
            <v>1062/16</v>
          </cell>
          <cell r="C2897" t="str">
            <v>2016-0.095.810-5</v>
          </cell>
          <cell r="D2897" t="str">
            <v/>
          </cell>
          <cell r="E2897" t="str">
            <v/>
          </cell>
          <cell r="F2897" t="str">
            <v>MIRIAN KELLI PRADO BATISTA</v>
          </cell>
          <cell r="G2897" t="str">
            <v/>
          </cell>
          <cell r="H2897" t="str">
            <v/>
          </cell>
          <cell r="I2897" t="str">
            <v/>
          </cell>
          <cell r="J2897" t="str">
            <v>PESSOA FÍSICA</v>
          </cell>
          <cell r="K2897" t="str">
            <v>174.330.408-03</v>
          </cell>
          <cell r="L2897" t="str">
            <v>PJ</v>
          </cell>
          <cell r="M2897" t="str">
            <v>MIRIAN KELLI PRADO BATISTA</v>
          </cell>
          <cell r="N2897" t="str">
            <v>EMU1812</v>
          </cell>
          <cell r="O2897" t="str">
            <v>2011</v>
          </cell>
          <cell r="P2897" t="str">
            <v>19</v>
          </cell>
          <cell r="Q2897" t="str">
            <v>18</v>
          </cell>
        </row>
        <row r="2898">
          <cell r="B2898" t="str">
            <v>1063/16</v>
          </cell>
          <cell r="C2898" t="str">
            <v>2016-0.095.811-3</v>
          </cell>
          <cell r="D2898" t="str">
            <v>29/02/2016</v>
          </cell>
          <cell r="E2898" t="str">
            <v>28 de abril de 2016</v>
          </cell>
          <cell r="F2898" t="str">
            <v>LEANDRO ALMEIDA DIAS</v>
          </cell>
          <cell r="G2898" t="str">
            <v>28/04/2016</v>
          </cell>
          <cell r="H2898" t="str">
            <v/>
          </cell>
          <cell r="I2898" t="str">
            <v/>
          </cell>
          <cell r="J2898" t="str">
            <v>PESSOA FÍSICA</v>
          </cell>
          <cell r="K2898" t="str">
            <v>338.802.878-80</v>
          </cell>
          <cell r="L2898" t="str">
            <v>PJ</v>
          </cell>
          <cell r="M2898" t="str">
            <v>LEANDRO ALMEIDA DIAS</v>
          </cell>
          <cell r="N2898" t="str">
            <v>FAW9419</v>
          </cell>
          <cell r="O2898" t="str">
            <v>2013</v>
          </cell>
          <cell r="P2898" t="str">
            <v>19</v>
          </cell>
          <cell r="Q2898" t="str">
            <v>18</v>
          </cell>
        </row>
        <row r="2899">
          <cell r="B2899" t="str">
            <v>1064/16</v>
          </cell>
          <cell r="C2899" t="str">
            <v>2016-0.095.812-1</v>
          </cell>
          <cell r="D2899" t="str">
            <v>03/03/2016</v>
          </cell>
          <cell r="E2899" t="str">
            <v/>
          </cell>
          <cell r="F2899" t="str">
            <v>GRACILIANO LIMA</v>
          </cell>
          <cell r="G2899" t="str">
            <v/>
          </cell>
          <cell r="H2899" t="str">
            <v/>
          </cell>
          <cell r="I2899" t="str">
            <v/>
          </cell>
          <cell r="J2899" t="str">
            <v>PESSOA FÍSICA</v>
          </cell>
          <cell r="K2899" t="str">
            <v>100.302.048-87</v>
          </cell>
          <cell r="L2899" t="str">
            <v>PJ</v>
          </cell>
          <cell r="M2899" t="str">
            <v>GRACILIANO LIMA</v>
          </cell>
          <cell r="N2899" t="str">
            <v>EFU5439</v>
          </cell>
          <cell r="O2899" t="str">
            <v>2009</v>
          </cell>
          <cell r="P2899" t="str">
            <v>15</v>
          </cell>
          <cell r="Q2899" t="str">
            <v/>
          </cell>
        </row>
        <row r="2900">
          <cell r="B2900" t="str">
            <v>1065/16</v>
          </cell>
          <cell r="C2900" t="str">
            <v>2016-0.095.813-0</v>
          </cell>
          <cell r="D2900" t="str">
            <v/>
          </cell>
          <cell r="E2900" t="str">
            <v/>
          </cell>
          <cell r="F2900" t="str">
            <v>GERSON FERREIRA DA SILVA</v>
          </cell>
          <cell r="G2900" t="str">
            <v/>
          </cell>
          <cell r="H2900" t="str">
            <v/>
          </cell>
          <cell r="I2900" t="str">
            <v/>
          </cell>
          <cell r="J2900" t="str">
            <v>PESSOA FÍSICA</v>
          </cell>
          <cell r="K2900" t="str">
            <v>068.193.688-60</v>
          </cell>
          <cell r="L2900" t="str">
            <v>PJ</v>
          </cell>
          <cell r="M2900" t="str">
            <v>GERSON FERREIRA DA SILVA</v>
          </cell>
          <cell r="N2900" t="str">
            <v>DTB5758</v>
          </cell>
          <cell r="O2900" t="str">
            <v>2006</v>
          </cell>
          <cell r="P2900" t="str">
            <v>25</v>
          </cell>
          <cell r="Q2900" t="str">
            <v>23</v>
          </cell>
        </row>
        <row r="2901">
          <cell r="B2901" t="str">
            <v>1066/16</v>
          </cell>
          <cell r="C2901" t="str">
            <v>2016-0.095.814-8</v>
          </cell>
          <cell r="D2901" t="str">
            <v/>
          </cell>
          <cell r="E2901" t="str">
            <v/>
          </cell>
          <cell r="F2901" t="str">
            <v>APARECIDO DONIZETI TOFANO</v>
          </cell>
          <cell r="G2901" t="str">
            <v/>
          </cell>
          <cell r="H2901" t="str">
            <v/>
          </cell>
          <cell r="I2901" t="str">
            <v/>
          </cell>
          <cell r="J2901" t="str">
            <v>PESSOA FÍSICA</v>
          </cell>
          <cell r="K2901" t="str">
            <v>000.702.938-13</v>
          </cell>
          <cell r="L2901" t="str">
            <v>PJ</v>
          </cell>
          <cell r="M2901" t="str">
            <v>APARECIDO DONIZETI TOFANO</v>
          </cell>
          <cell r="N2901" t="str">
            <v>CZX7162</v>
          </cell>
          <cell r="O2901" t="str">
            <v>2002</v>
          </cell>
          <cell r="P2901" t="str">
            <v>25</v>
          </cell>
          <cell r="Q2901" t="str">
            <v>23</v>
          </cell>
        </row>
        <row r="2902">
          <cell r="B2902" t="str">
            <v>1067/16</v>
          </cell>
          <cell r="C2902" t="str">
            <v>2016-0.095.815-6</v>
          </cell>
          <cell r="D2902" t="str">
            <v/>
          </cell>
          <cell r="E2902" t="str">
            <v/>
          </cell>
          <cell r="F2902" t="str">
            <v>NEIVA DA SILVA SOARES</v>
          </cell>
          <cell r="G2902" t="str">
            <v/>
          </cell>
          <cell r="H2902" t="str">
            <v/>
          </cell>
          <cell r="I2902" t="str">
            <v/>
          </cell>
          <cell r="J2902" t="str">
            <v>PESSOA FÍSICA</v>
          </cell>
          <cell r="K2902" t="str">
            <v>187.035.638-12</v>
          </cell>
          <cell r="L2902" t="str">
            <v>PJ</v>
          </cell>
          <cell r="M2902" t="str">
            <v>NEIVA DA SILVA SOARES</v>
          </cell>
          <cell r="N2902" t="str">
            <v>CYR8242</v>
          </cell>
          <cell r="O2902" t="str">
            <v>2002</v>
          </cell>
          <cell r="P2902" t="str">
            <v>25</v>
          </cell>
          <cell r="Q2902" t="str">
            <v>23</v>
          </cell>
        </row>
        <row r="2903">
          <cell r="B2903" t="str">
            <v>1068/16</v>
          </cell>
          <cell r="C2903" t="str">
            <v>2016-0.095.816-4</v>
          </cell>
          <cell r="D2903" t="str">
            <v/>
          </cell>
          <cell r="E2903" t="str">
            <v/>
          </cell>
          <cell r="F2903" t="str">
            <v>MAURICIO HOUCK DE FREITAS</v>
          </cell>
          <cell r="G2903" t="str">
            <v/>
          </cell>
          <cell r="H2903" t="str">
            <v/>
          </cell>
          <cell r="I2903" t="str">
            <v/>
          </cell>
          <cell r="J2903" t="str">
            <v>PESSOA FÍSICA</v>
          </cell>
          <cell r="K2903" t="str">
            <v>879.174.168-87</v>
          </cell>
          <cell r="L2903" t="str">
            <v>PJ</v>
          </cell>
          <cell r="M2903" t="str">
            <v>MAURICIO HOUCK DE FREITAS</v>
          </cell>
          <cell r="N2903" t="str">
            <v>EYW7613</v>
          </cell>
          <cell r="O2903" t="str">
            <v>2011</v>
          </cell>
          <cell r="P2903" t="str">
            <v>27</v>
          </cell>
          <cell r="Q2903" t="str">
            <v>26</v>
          </cell>
        </row>
        <row r="2904">
          <cell r="B2904" t="str">
            <v>1069/16</v>
          </cell>
          <cell r="C2904" t="str">
            <v>2016-0.095.817-2</v>
          </cell>
          <cell r="D2904" t="str">
            <v/>
          </cell>
          <cell r="E2904" t="str">
            <v/>
          </cell>
          <cell r="F2904" t="str">
            <v>MARIA INEZ RIBEIRO DE SOUZA SA</v>
          </cell>
          <cell r="G2904" t="str">
            <v/>
          </cell>
          <cell r="H2904" t="str">
            <v/>
          </cell>
          <cell r="I2904" t="str">
            <v/>
          </cell>
          <cell r="J2904" t="str">
            <v>PESSOA FÍSICA</v>
          </cell>
          <cell r="K2904" t="str">
            <v>943.680.408-30</v>
          </cell>
          <cell r="L2904" t="str">
            <v>PJ</v>
          </cell>
          <cell r="M2904" t="str">
            <v>MARIA INEZ RIBEIRO DE SOUZA SA</v>
          </cell>
          <cell r="N2904" t="str">
            <v>EQM3230</v>
          </cell>
          <cell r="O2904" t="str">
            <v>2011</v>
          </cell>
          <cell r="P2904" t="str">
            <v>27</v>
          </cell>
          <cell r="Q2904" t="str">
            <v>26</v>
          </cell>
        </row>
        <row r="2905">
          <cell r="B2905" t="str">
            <v>1070/16</v>
          </cell>
          <cell r="C2905" t="str">
            <v>2016-0.095.818-0</v>
          </cell>
          <cell r="D2905" t="str">
            <v>28/03/2016</v>
          </cell>
          <cell r="E2905" t="str">
            <v>27 de abril de 2016</v>
          </cell>
          <cell r="F2905" t="str">
            <v>JENIFFER ANSELMO RODRIGUES</v>
          </cell>
          <cell r="G2905" t="str">
            <v>27/04/2016</v>
          </cell>
          <cell r="H2905" t="str">
            <v/>
          </cell>
          <cell r="I2905" t="str">
            <v/>
          </cell>
          <cell r="J2905" t="str">
            <v>PESSOA FÍSICA</v>
          </cell>
          <cell r="K2905" t="str">
            <v>334.414.258-55</v>
          </cell>
          <cell r="L2905" t="str">
            <v>PJ</v>
          </cell>
          <cell r="M2905" t="str">
            <v>JENIFFER ANSELMO RODRIGUES</v>
          </cell>
          <cell r="N2905" t="str">
            <v>FOM4270</v>
          </cell>
          <cell r="O2905" t="str">
            <v>2014</v>
          </cell>
          <cell r="P2905" t="str">
            <v>19</v>
          </cell>
          <cell r="Q2905" t="str">
            <v>18</v>
          </cell>
        </row>
        <row r="2906">
          <cell r="B2906" t="str">
            <v>1071/16</v>
          </cell>
          <cell r="C2906" t="str">
            <v>2016-0.095.819-9</v>
          </cell>
          <cell r="D2906" t="str">
            <v>18/03/2016</v>
          </cell>
          <cell r="E2906" t="str">
            <v/>
          </cell>
          <cell r="F2906" t="str">
            <v>JOSE MARIA DE OLIVEIRA</v>
          </cell>
          <cell r="G2906" t="str">
            <v/>
          </cell>
          <cell r="H2906" t="str">
            <v/>
          </cell>
          <cell r="I2906" t="str">
            <v/>
          </cell>
          <cell r="J2906" t="str">
            <v>PESSOA FÍSICA</v>
          </cell>
          <cell r="K2906" t="str">
            <v>952.882.958-91</v>
          </cell>
          <cell r="L2906" t="str">
            <v>PJ</v>
          </cell>
          <cell r="M2906" t="str">
            <v>JOSE MARIA DE OLIVEIRA</v>
          </cell>
          <cell r="N2906" t="str">
            <v>ELW3944</v>
          </cell>
          <cell r="O2906" t="str">
            <v>2011</v>
          </cell>
          <cell r="P2906" t="str">
            <v>19</v>
          </cell>
          <cell r="Q2906" t="str">
            <v>18</v>
          </cell>
        </row>
        <row r="2907">
          <cell r="B2907" t="str">
            <v>1072/16</v>
          </cell>
          <cell r="C2907" t="str">
            <v>2016-0.095.820-2</v>
          </cell>
          <cell r="D2907" t="str">
            <v>15/03/2016</v>
          </cell>
          <cell r="E2907" t="str">
            <v>26 de abril de 2016</v>
          </cell>
          <cell r="F2907" t="str">
            <v>AUREO ALVES TEIXEIRA</v>
          </cell>
          <cell r="G2907" t="str">
            <v>26/04/2016</v>
          </cell>
          <cell r="H2907" t="str">
            <v>27/04/2016</v>
          </cell>
          <cell r="I2907" t="str">
            <v>55</v>
          </cell>
          <cell r="J2907" t="str">
            <v>PESSOA FÍSICA</v>
          </cell>
          <cell r="K2907" t="str">
            <v>157.606.208-27</v>
          </cell>
          <cell r="L2907" t="str">
            <v>CL</v>
          </cell>
          <cell r="M2907" t="str">
            <v>AUREO ALVES TEIXEIRA</v>
          </cell>
          <cell r="N2907" t="str">
            <v>FXL2719</v>
          </cell>
          <cell r="O2907" t="str">
            <v>2015</v>
          </cell>
          <cell r="P2907" t="str">
            <v>10</v>
          </cell>
          <cell r="Q2907" t="str">
            <v>09</v>
          </cell>
        </row>
        <row r="2908">
          <cell r="B2908" t="str">
            <v>1073/16</v>
          </cell>
          <cell r="C2908" t="str">
            <v>2016-0.095.821-0</v>
          </cell>
          <cell r="D2908" t="str">
            <v/>
          </cell>
          <cell r="E2908" t="str">
            <v>25 de abril de 2016</v>
          </cell>
          <cell r="F2908" t="str">
            <v>SERGIO PAULO NORONHA</v>
          </cell>
          <cell r="G2908" t="str">
            <v>25/04/2016</v>
          </cell>
          <cell r="H2908" t="str">
            <v>27/04/2016</v>
          </cell>
          <cell r="I2908" t="str">
            <v>55</v>
          </cell>
          <cell r="J2908" t="str">
            <v>PESSOA FÍSICA</v>
          </cell>
          <cell r="K2908" t="str">
            <v>012.138.948-08</v>
          </cell>
          <cell r="L2908" t="str">
            <v>SM</v>
          </cell>
          <cell r="M2908" t="str">
            <v>SERGIO PAULO NORONHA</v>
          </cell>
          <cell r="N2908" t="str">
            <v>BSF0449</v>
          </cell>
          <cell r="O2908" t="str">
            <v>2002</v>
          </cell>
          <cell r="P2908" t="str">
            <v>19</v>
          </cell>
          <cell r="Q2908" t="str">
            <v>17</v>
          </cell>
        </row>
        <row r="2909">
          <cell r="B2909" t="str">
            <v>1074/16</v>
          </cell>
          <cell r="C2909" t="str">
            <v>2016-0.095.448-7</v>
          </cell>
          <cell r="D2909" t="str">
            <v/>
          </cell>
          <cell r="E2909" t="str">
            <v>25 de abril de 2016</v>
          </cell>
          <cell r="F2909" t="str">
            <v>SERGIO FELICIANO DA SILVA</v>
          </cell>
          <cell r="G2909" t="str">
            <v>25/04/2016</v>
          </cell>
          <cell r="H2909" t="str">
            <v>27/04/2016</v>
          </cell>
          <cell r="I2909" t="str">
            <v>55</v>
          </cell>
          <cell r="J2909" t="str">
            <v>PESSOA FÍSICA</v>
          </cell>
          <cell r="K2909" t="str">
            <v>273.496.048-66</v>
          </cell>
          <cell r="L2909" t="str">
            <v>CS</v>
          </cell>
          <cell r="M2909" t="str">
            <v>SERGIO FELICIANO DA SILVA</v>
          </cell>
          <cell r="N2909" t="str">
            <v>CZZ2418</v>
          </cell>
          <cell r="O2909" t="str">
            <v>2003</v>
          </cell>
          <cell r="P2909" t="str">
            <v>25</v>
          </cell>
          <cell r="Q2909" t="str">
            <v>23</v>
          </cell>
        </row>
        <row r="2910">
          <cell r="B2910" t="str">
            <v>1075/16</v>
          </cell>
          <cell r="C2910" t="str">
            <v>2016-0.074.461-0</v>
          </cell>
          <cell r="D2910" t="str">
            <v>11/04/2016</v>
          </cell>
          <cell r="E2910" t="str">
            <v>25 de abril de 2016</v>
          </cell>
          <cell r="F2910" t="str">
            <v>REGINALDO MATIAS ALVES</v>
          </cell>
          <cell r="G2910" t="str">
            <v>25/04/2016</v>
          </cell>
          <cell r="H2910" t="str">
            <v>27/04/2016</v>
          </cell>
          <cell r="I2910" t="str">
            <v>55</v>
          </cell>
          <cell r="J2910" t="str">
            <v>PESSOA FÍSICA</v>
          </cell>
          <cell r="K2910" t="str">
            <v>064.321.598-06</v>
          </cell>
          <cell r="L2910" t="str">
            <v>SA</v>
          </cell>
          <cell r="M2910" t="str">
            <v>REGINALDO MATIAS ALVES</v>
          </cell>
          <cell r="N2910" t="str">
            <v>LRW0390</v>
          </cell>
          <cell r="O2910" t="str">
            <v>2003</v>
          </cell>
          <cell r="P2910" t="str">
            <v>14</v>
          </cell>
          <cell r="Q2910" t="str">
            <v>12</v>
          </cell>
        </row>
        <row r="2911">
          <cell r="B2911" t="str">
            <v>1076/16</v>
          </cell>
          <cell r="C2911" t="str">
            <v>2016-0.096.754-6</v>
          </cell>
          <cell r="D2911" t="str">
            <v/>
          </cell>
          <cell r="E2911" t="str">
            <v>25 de abril de 2016</v>
          </cell>
          <cell r="F2911" t="str">
            <v>FABIANA APARECIDA RIBEIRO GONZAGA</v>
          </cell>
          <cell r="G2911" t="str">
            <v>25/04/2016</v>
          </cell>
          <cell r="H2911" t="str">
            <v/>
          </cell>
          <cell r="I2911" t="str">
            <v/>
          </cell>
          <cell r="J2911" t="str">
            <v>PESSOA FÍSICA</v>
          </cell>
          <cell r="K2911" t="str">
            <v>310.126.728-59</v>
          </cell>
          <cell r="L2911" t="str">
            <v>S.A</v>
          </cell>
          <cell r="M2911" t="str">
            <v>FABIANA APARECIDA RIBEIRO GONZAGA</v>
          </cell>
          <cell r="N2911" t="str">
            <v>EEJ2350</v>
          </cell>
          <cell r="O2911" t="str">
            <v>2008</v>
          </cell>
          <cell r="P2911" t="str">
            <v>10</v>
          </cell>
          <cell r="Q2911" t="str">
            <v>09</v>
          </cell>
        </row>
        <row r="2912">
          <cell r="B2912" t="str">
            <v>1077/16</v>
          </cell>
          <cell r="C2912" t="str">
            <v>2016-0.096.756-2</v>
          </cell>
          <cell r="D2912" t="str">
            <v/>
          </cell>
          <cell r="E2912" t="str">
            <v/>
          </cell>
          <cell r="F2912" t="str">
            <v>ROSA DO CARMO DE BASTOS</v>
          </cell>
          <cell r="G2912" t="str">
            <v/>
          </cell>
          <cell r="H2912" t="str">
            <v/>
          </cell>
          <cell r="I2912" t="str">
            <v/>
          </cell>
          <cell r="J2912" t="str">
            <v>PESSOA FÍSICA</v>
          </cell>
          <cell r="K2912" t="str">
            <v>037.785.888-93</v>
          </cell>
          <cell r="L2912" t="str">
            <v>PJ</v>
          </cell>
          <cell r="M2912" t="str">
            <v>ROSA DO CARMO DE BASTOS</v>
          </cell>
          <cell r="N2912" t="str">
            <v>DRU9846</v>
          </cell>
          <cell r="O2912" t="str">
            <v>2005</v>
          </cell>
          <cell r="P2912" t="str">
            <v>25</v>
          </cell>
          <cell r="Q2912" t="str">
            <v>23</v>
          </cell>
        </row>
        <row r="2913">
          <cell r="B2913" t="str">
            <v>1078/16</v>
          </cell>
          <cell r="C2913" t="str">
            <v>2016-0.096.757-0</v>
          </cell>
          <cell r="D2913" t="str">
            <v/>
          </cell>
          <cell r="E2913" t="str">
            <v/>
          </cell>
          <cell r="F2913" t="str">
            <v>WILSON ROBERTO GONCALVES DA SILVA</v>
          </cell>
          <cell r="G2913" t="str">
            <v/>
          </cell>
          <cell r="H2913" t="str">
            <v/>
          </cell>
          <cell r="I2913" t="str">
            <v/>
          </cell>
          <cell r="J2913" t="str">
            <v>PESSOA FÍSICA</v>
          </cell>
          <cell r="K2913" t="str">
            <v>857.252.268-91</v>
          </cell>
          <cell r="L2913" t="str">
            <v>PJ</v>
          </cell>
          <cell r="M2913" t="str">
            <v>WILSON ROBERTO GONCALVES DA SILVA</v>
          </cell>
          <cell r="N2913" t="str">
            <v>FFN5690</v>
          </cell>
          <cell r="O2913" t="str">
            <v>2012</v>
          </cell>
          <cell r="P2913" t="str">
            <v>19</v>
          </cell>
          <cell r="Q2913" t="str">
            <v>18</v>
          </cell>
        </row>
        <row r="2914">
          <cell r="B2914" t="str">
            <v>1079/16</v>
          </cell>
          <cell r="C2914" t="str">
            <v>2016-0.096.758-9</v>
          </cell>
          <cell r="D2914" t="str">
            <v/>
          </cell>
          <cell r="E2914" t="str">
            <v/>
          </cell>
          <cell r="F2914" t="str">
            <v>JUVENAL SOARES DO NASCIMENTO</v>
          </cell>
          <cell r="G2914" t="str">
            <v/>
          </cell>
          <cell r="H2914" t="str">
            <v/>
          </cell>
          <cell r="I2914" t="str">
            <v/>
          </cell>
          <cell r="J2914" t="str">
            <v>PESSOA FÍSICA</v>
          </cell>
          <cell r="K2914" t="str">
            <v>037.027.148-39</v>
          </cell>
          <cell r="L2914" t="str">
            <v>PJ</v>
          </cell>
          <cell r="M2914" t="str">
            <v>JUVENAL SOARES DO NASCIMENTO</v>
          </cell>
          <cell r="N2914" t="str">
            <v>EZT9251</v>
          </cell>
          <cell r="O2914" t="str">
            <v>2011</v>
          </cell>
          <cell r="P2914" t="str">
            <v>27</v>
          </cell>
          <cell r="Q2914" t="str">
            <v>26</v>
          </cell>
        </row>
        <row r="2915">
          <cell r="B2915" t="str">
            <v>1080/16</v>
          </cell>
          <cell r="C2915" t="str">
            <v>2016-0.096.760-0</v>
          </cell>
          <cell r="D2915" t="str">
            <v/>
          </cell>
          <cell r="E2915" t="str">
            <v/>
          </cell>
          <cell r="F2915" t="str">
            <v>HELIO SOARES</v>
          </cell>
          <cell r="G2915" t="str">
            <v/>
          </cell>
          <cell r="H2915" t="str">
            <v/>
          </cell>
          <cell r="I2915" t="str">
            <v/>
          </cell>
          <cell r="J2915" t="str">
            <v>PESSOA FÍSICA</v>
          </cell>
          <cell r="K2915" t="str">
            <v>093.338.228-60</v>
          </cell>
          <cell r="L2915" t="str">
            <v>PJ</v>
          </cell>
          <cell r="M2915" t="str">
            <v>HELIO SOARES</v>
          </cell>
          <cell r="N2915" t="str">
            <v>DYC5289</v>
          </cell>
          <cell r="O2915" t="str">
            <v>2009</v>
          </cell>
          <cell r="P2915" t="str">
            <v>29</v>
          </cell>
          <cell r="Q2915" t="str">
            <v>27</v>
          </cell>
        </row>
        <row r="2916">
          <cell r="B2916" t="str">
            <v>1081/16</v>
          </cell>
          <cell r="C2916" t="str">
            <v>2016-0.096.761-9</v>
          </cell>
          <cell r="D2916" t="str">
            <v>04/04/2016</v>
          </cell>
          <cell r="E2916" t="str">
            <v/>
          </cell>
          <cell r="F2916" t="str">
            <v>ANA LUCIA DO NASCIMENTO ROCHA</v>
          </cell>
          <cell r="G2916" t="str">
            <v/>
          </cell>
          <cell r="H2916" t="str">
            <v/>
          </cell>
          <cell r="I2916" t="str">
            <v/>
          </cell>
          <cell r="J2916" t="str">
            <v>PESSOA FÍSICA</v>
          </cell>
          <cell r="K2916" t="str">
            <v>372.491.424-53</v>
          </cell>
          <cell r="L2916" t="str">
            <v>PJ</v>
          </cell>
          <cell r="M2916" t="str">
            <v>ANA LUCIA DO NASCIMENTO ROCHA</v>
          </cell>
          <cell r="N2916" t="str">
            <v>EFW8500</v>
          </cell>
          <cell r="O2916" t="str">
            <v>2010</v>
          </cell>
          <cell r="P2916" t="str">
            <v>10</v>
          </cell>
          <cell r="Q2916" t="str">
            <v>9</v>
          </cell>
        </row>
        <row r="2917">
          <cell r="B2917" t="str">
            <v>1082/16</v>
          </cell>
          <cell r="C2917" t="str">
            <v>2016-0.096.762-7</v>
          </cell>
          <cell r="D2917" t="str">
            <v>21/03/2016</v>
          </cell>
          <cell r="E2917" t="str">
            <v>27 de abril de 2016</v>
          </cell>
          <cell r="F2917" t="str">
            <v>GABRIEL DA MATA</v>
          </cell>
          <cell r="G2917" t="str">
            <v>27/04/2016</v>
          </cell>
          <cell r="H2917" t="str">
            <v/>
          </cell>
          <cell r="I2917" t="str">
            <v/>
          </cell>
          <cell r="J2917" t="str">
            <v>PESSOA FÍSICA</v>
          </cell>
          <cell r="K2917" t="str">
            <v>054.420.278-39</v>
          </cell>
          <cell r="L2917" t="str">
            <v>PJ</v>
          </cell>
          <cell r="M2917" t="str">
            <v>GABRIEL DA MATA</v>
          </cell>
          <cell r="N2917" t="str">
            <v>EFU7239</v>
          </cell>
          <cell r="O2917" t="str">
            <v>2009</v>
          </cell>
          <cell r="P2917" t="str">
            <v>11</v>
          </cell>
          <cell r="Q2917" t="str">
            <v>10</v>
          </cell>
        </row>
        <row r="2918">
          <cell r="B2918" t="str">
            <v>1083/16</v>
          </cell>
          <cell r="C2918" t="str">
            <v/>
          </cell>
          <cell r="D2918" t="str">
            <v>22/02/2016</v>
          </cell>
          <cell r="E2918" t="str">
            <v/>
          </cell>
          <cell r="F2918" t="str">
            <v>JANETE DE MOURA</v>
          </cell>
          <cell r="G2918" t="str">
            <v/>
          </cell>
          <cell r="H2918" t="str">
            <v/>
          </cell>
          <cell r="I2918" t="str">
            <v/>
          </cell>
          <cell r="J2918" t="str">
            <v>PESSOA FÍSICA</v>
          </cell>
          <cell r="K2918" t="str">
            <v>809.568.319-15</v>
          </cell>
          <cell r="L2918" t="str">
            <v>MP</v>
          </cell>
          <cell r="M2918" t="str">
            <v>JANETE DE MOURA</v>
          </cell>
          <cell r="N2918" t="str">
            <v>EUI4286</v>
          </cell>
          <cell r="O2918" t="str">
            <v>2010</v>
          </cell>
          <cell r="P2918" t="str">
            <v>19</v>
          </cell>
          <cell r="Q2918" t="str">
            <v>18</v>
          </cell>
        </row>
        <row r="2919">
          <cell r="B2919" t="str">
            <v>1084/16</v>
          </cell>
          <cell r="C2919" t="str">
            <v>2016-0.074.492-0</v>
          </cell>
          <cell r="D2919" t="str">
            <v/>
          </cell>
          <cell r="E2919" t="str">
            <v>27 de abril de 2016</v>
          </cell>
          <cell r="F2919" t="str">
            <v>ANDREA RODRIGUES DE ARAUJO</v>
          </cell>
          <cell r="G2919" t="str">
            <v>27/04/2016</v>
          </cell>
          <cell r="H2919" t="str">
            <v/>
          </cell>
          <cell r="I2919" t="str">
            <v/>
          </cell>
          <cell r="J2919" t="str">
            <v>PESSOA FÍSICA</v>
          </cell>
          <cell r="K2919" t="str">
            <v>152.025.468-74</v>
          </cell>
          <cell r="L2919" t="str">
            <v>SA</v>
          </cell>
          <cell r="M2919" t="str">
            <v>ANDREA RODRIGUES DE ARAUJO</v>
          </cell>
          <cell r="N2919" t="str">
            <v>EFU7289</v>
          </cell>
          <cell r="O2919" t="str">
            <v>2009</v>
          </cell>
          <cell r="P2919" t="str">
            <v>11</v>
          </cell>
          <cell r="Q2919" t="str">
            <v>10</v>
          </cell>
        </row>
        <row r="2920">
          <cell r="B2920" t="str">
            <v>1085/16</v>
          </cell>
          <cell r="C2920" t="str">
            <v/>
          </cell>
          <cell r="D2920" t="str">
            <v/>
          </cell>
          <cell r="E2920" t="str">
            <v/>
          </cell>
          <cell r="F2920" t="str">
            <v>EDSON VIEIRA DE OLIVEIRA</v>
          </cell>
          <cell r="G2920" t="str">
            <v/>
          </cell>
          <cell r="H2920" t="str">
            <v/>
          </cell>
          <cell r="I2920" t="str">
            <v/>
          </cell>
          <cell r="J2920" t="str">
            <v>PESSOA FÍSICA</v>
          </cell>
          <cell r="K2920" t="str">
            <v>011.983.968-73</v>
          </cell>
          <cell r="L2920" t="str">
            <v>MP</v>
          </cell>
          <cell r="M2920" t="str">
            <v>EDSON VIEIRA DE OLIVEIRA</v>
          </cell>
          <cell r="N2920" t="str">
            <v>DTC4202</v>
          </cell>
          <cell r="O2920" t="str">
            <v>2007</v>
          </cell>
          <cell r="P2920" t="str">
            <v>29</v>
          </cell>
          <cell r="Q2920" t="str">
            <v>27</v>
          </cell>
        </row>
        <row r="2921">
          <cell r="B2921" t="str">
            <v>1086/16</v>
          </cell>
          <cell r="C2921" t="str">
            <v/>
          </cell>
          <cell r="D2921" t="str">
            <v>24/03/2016</v>
          </cell>
          <cell r="E2921" t="str">
            <v/>
          </cell>
          <cell r="F2921" t="str">
            <v>GILVAN DE OLIVEIRA COURAS</v>
          </cell>
          <cell r="G2921" t="str">
            <v/>
          </cell>
          <cell r="H2921" t="str">
            <v/>
          </cell>
          <cell r="I2921" t="str">
            <v/>
          </cell>
          <cell r="J2921" t="str">
            <v>PESSOA FÍSICA</v>
          </cell>
          <cell r="K2921" t="str">
            <v>256.562.558-83</v>
          </cell>
          <cell r="L2921" t="str">
            <v>PJ</v>
          </cell>
          <cell r="M2921" t="str">
            <v>GILVAN DE OLIVEIRA COURAS</v>
          </cell>
          <cell r="N2921" t="str">
            <v>ELW7351</v>
          </cell>
          <cell r="O2921" t="str">
            <v>2011</v>
          </cell>
          <cell r="P2921" t="str">
            <v>15</v>
          </cell>
          <cell r="Q2921" t="str">
            <v>14</v>
          </cell>
        </row>
        <row r="2922">
          <cell r="B2922" t="str">
            <v>1087/16</v>
          </cell>
          <cell r="C2922" t="str">
            <v/>
          </cell>
          <cell r="D2922" t="str">
            <v/>
          </cell>
          <cell r="E2922" t="str">
            <v/>
          </cell>
          <cell r="F2922" t="str">
            <v>MARISA NUNES DE SOUZA</v>
          </cell>
          <cell r="G2922" t="str">
            <v/>
          </cell>
          <cell r="H2922" t="str">
            <v/>
          </cell>
          <cell r="I2922" t="str">
            <v/>
          </cell>
          <cell r="J2922" t="str">
            <v>PESSOA FÍSICA</v>
          </cell>
          <cell r="K2922" t="str">
            <v>105.073.438-67</v>
          </cell>
          <cell r="L2922" t="str">
            <v>PJ</v>
          </cell>
          <cell r="M2922" t="str">
            <v>MARISA NUNES DE SOUZA</v>
          </cell>
          <cell r="N2922" t="str">
            <v>DTE9930</v>
          </cell>
          <cell r="O2922" t="str">
            <v>2008</v>
          </cell>
          <cell r="P2922" t="str">
            <v>18</v>
          </cell>
          <cell r="Q2922" t="str">
            <v>17</v>
          </cell>
        </row>
        <row r="2923">
          <cell r="B2923" t="str">
            <v>1088/16</v>
          </cell>
          <cell r="C2923" t="str">
            <v/>
          </cell>
          <cell r="D2923" t="str">
            <v/>
          </cell>
          <cell r="E2923" t="str">
            <v/>
          </cell>
          <cell r="F2923" t="str">
            <v>ANA MORALES WANDERLEY DA SILVA</v>
          </cell>
          <cell r="G2923" t="str">
            <v/>
          </cell>
          <cell r="H2923" t="str">
            <v/>
          </cell>
          <cell r="I2923" t="str">
            <v/>
          </cell>
          <cell r="J2923" t="str">
            <v>PESSOA FÍSICA</v>
          </cell>
          <cell r="K2923" t="str">
            <v>013.634.918-81</v>
          </cell>
          <cell r="L2923" t="str">
            <v>MP</v>
          </cell>
          <cell r="M2923" t="str">
            <v>ANA MORALES WANDERLEY DA SILVA</v>
          </cell>
          <cell r="N2923" t="str">
            <v>EFU1773</v>
          </cell>
          <cell r="O2923" t="str">
            <v>2010</v>
          </cell>
          <cell r="P2923" t="str">
            <v>15</v>
          </cell>
          <cell r="Q2923" t="str">
            <v>14</v>
          </cell>
        </row>
        <row r="2924">
          <cell r="B2924" t="str">
            <v>1089/16</v>
          </cell>
          <cell r="C2924" t="str">
            <v/>
          </cell>
          <cell r="D2924" t="str">
            <v>03/03/2016</v>
          </cell>
          <cell r="E2924" t="str">
            <v/>
          </cell>
          <cell r="F2924" t="str">
            <v>MARCONE PEREIRA DE SANTANA</v>
          </cell>
          <cell r="G2924" t="str">
            <v/>
          </cell>
          <cell r="H2924" t="str">
            <v/>
          </cell>
          <cell r="I2924" t="str">
            <v/>
          </cell>
          <cell r="J2924" t="str">
            <v>PESSOA FÍSICA</v>
          </cell>
          <cell r="K2924" t="str">
            <v>526.934.815-20</v>
          </cell>
          <cell r="L2924" t="str">
            <v>PJ</v>
          </cell>
          <cell r="M2924" t="str">
            <v>MARCONE PEREIRA DE SANTANA</v>
          </cell>
          <cell r="N2924" t="str">
            <v>EFU6415</v>
          </cell>
          <cell r="O2924" t="str">
            <v>2010</v>
          </cell>
          <cell r="P2924" t="str">
            <v>19</v>
          </cell>
          <cell r="Q2924" t="str">
            <v>18</v>
          </cell>
        </row>
        <row r="2925">
          <cell r="B2925" t="str">
            <v>1090/16</v>
          </cell>
          <cell r="C2925" t="str">
            <v/>
          </cell>
          <cell r="D2925" t="str">
            <v>04/03/2016</v>
          </cell>
          <cell r="E2925" t="str">
            <v/>
          </cell>
          <cell r="F2925" t="str">
            <v>CARLOS ALBERTO DE MATOS</v>
          </cell>
          <cell r="G2925" t="str">
            <v/>
          </cell>
          <cell r="H2925" t="str">
            <v/>
          </cell>
          <cell r="I2925" t="str">
            <v/>
          </cell>
          <cell r="J2925" t="str">
            <v>PESSOA FÍSICA</v>
          </cell>
          <cell r="K2925" t="str">
            <v>134.097.078-32</v>
          </cell>
          <cell r="L2925" t="str">
            <v>MP</v>
          </cell>
          <cell r="M2925" t="str">
            <v>CARLOS ALBERTO DE MATOS</v>
          </cell>
          <cell r="N2925" t="str">
            <v>DTE7159</v>
          </cell>
          <cell r="O2925" t="str">
            <v>2009</v>
          </cell>
          <cell r="P2925" t="str">
            <v>19</v>
          </cell>
          <cell r="Q2925" t="str">
            <v>18</v>
          </cell>
        </row>
        <row r="2926">
          <cell r="B2926" t="str">
            <v>1091/16</v>
          </cell>
          <cell r="C2926" t="str">
            <v/>
          </cell>
          <cell r="D2926" t="str">
            <v>18/02/2016</v>
          </cell>
          <cell r="E2926" t="str">
            <v/>
          </cell>
          <cell r="F2926" t="str">
            <v>VALDIR DOS SANTOS</v>
          </cell>
          <cell r="G2926" t="str">
            <v/>
          </cell>
          <cell r="H2926" t="str">
            <v/>
          </cell>
          <cell r="I2926" t="str">
            <v/>
          </cell>
          <cell r="J2926" t="str">
            <v>PESSOA FÍSICA</v>
          </cell>
          <cell r="K2926" t="str">
            <v>052.647.778-45</v>
          </cell>
          <cell r="L2926" t="str">
            <v>MP</v>
          </cell>
          <cell r="M2926" t="str">
            <v>VALDIR DOS SANTOS</v>
          </cell>
          <cell r="N2926" t="str">
            <v>DWO6819</v>
          </cell>
          <cell r="O2926" t="str">
            <v>2007</v>
          </cell>
          <cell r="P2926" t="str">
            <v>29</v>
          </cell>
          <cell r="Q2926" t="str">
            <v>27</v>
          </cell>
        </row>
        <row r="2927">
          <cell r="B2927" t="str">
            <v>1092/16</v>
          </cell>
          <cell r="C2927" t="str">
            <v/>
          </cell>
          <cell r="D2927" t="str">
            <v/>
          </cell>
          <cell r="E2927" t="str">
            <v/>
          </cell>
          <cell r="F2927" t="str">
            <v>ANDERSON DA SILVA FELIZARDO</v>
          </cell>
          <cell r="G2927" t="str">
            <v/>
          </cell>
          <cell r="H2927" t="str">
            <v/>
          </cell>
          <cell r="I2927" t="str">
            <v/>
          </cell>
          <cell r="J2927" t="str">
            <v>PESSOA FÍSICA</v>
          </cell>
          <cell r="K2927" t="str">
            <v>289.105.138-61</v>
          </cell>
          <cell r="L2927" t="str">
            <v>MP</v>
          </cell>
          <cell r="M2927" t="str">
            <v>ANDERSON DA SILVA FELIZARDO</v>
          </cell>
          <cell r="N2927" t="str">
            <v>CZX6007</v>
          </cell>
          <cell r="O2927" t="str">
            <v>2002</v>
          </cell>
          <cell r="P2927" t="str">
            <v>25</v>
          </cell>
          <cell r="Q2927" t="str">
            <v>23</v>
          </cell>
        </row>
        <row r="2928">
          <cell r="B2928" t="str">
            <v>1093/16</v>
          </cell>
          <cell r="C2928" t="str">
            <v>2016-0.074.491-1</v>
          </cell>
          <cell r="D2928" t="str">
            <v/>
          </cell>
          <cell r="E2928" t="str">
            <v>27 de abril de 2016</v>
          </cell>
          <cell r="F2928" t="str">
            <v>MAURILIO OLIVEIRA DE LACERDA</v>
          </cell>
          <cell r="G2928" t="str">
            <v>27/04/2016</v>
          </cell>
          <cell r="H2928" t="str">
            <v/>
          </cell>
          <cell r="I2928" t="str">
            <v/>
          </cell>
          <cell r="J2928" t="str">
            <v>PESSOA FÍSICA</v>
          </cell>
          <cell r="K2928" t="str">
            <v>370.218.856-87</v>
          </cell>
          <cell r="L2928" t="str">
            <v>IQ</v>
          </cell>
          <cell r="M2928" t="str">
            <v>MAURILIO OLIVEIRA DE LACERDA</v>
          </cell>
          <cell r="N2928" t="str">
            <v>ECT4963</v>
          </cell>
          <cell r="O2928" t="str">
            <v>2009</v>
          </cell>
          <cell r="P2928" t="str">
            <v>11</v>
          </cell>
          <cell r="Q2928" t="str">
            <v>10</v>
          </cell>
        </row>
        <row r="2929">
          <cell r="B2929" t="str">
            <v>1094/16</v>
          </cell>
          <cell r="C2929" t="str">
            <v/>
          </cell>
          <cell r="D2929" t="str">
            <v>24/03/2016</v>
          </cell>
          <cell r="E2929" t="str">
            <v/>
          </cell>
          <cell r="F2929" t="str">
            <v>MARCOS AURELIO DA CONCEICAO</v>
          </cell>
          <cell r="G2929" t="str">
            <v/>
          </cell>
          <cell r="H2929" t="str">
            <v/>
          </cell>
          <cell r="I2929" t="str">
            <v/>
          </cell>
          <cell r="J2929" t="str">
            <v>PESSOA FÍSICA</v>
          </cell>
          <cell r="K2929" t="str">
            <v>293.878.478-37</v>
          </cell>
          <cell r="L2929" t="str">
            <v>PJ</v>
          </cell>
          <cell r="M2929" t="str">
            <v>MARCOS AURELIO DA CONCEICAO</v>
          </cell>
          <cell r="N2929" t="str">
            <v>FQK6913</v>
          </cell>
          <cell r="O2929" t="str">
            <v>2014</v>
          </cell>
          <cell r="P2929" t="str">
            <v>19</v>
          </cell>
          <cell r="Q2929" t="str">
            <v>18</v>
          </cell>
        </row>
        <row r="2930">
          <cell r="B2930" t="str">
            <v>1095/16</v>
          </cell>
          <cell r="C2930" t="str">
            <v/>
          </cell>
          <cell r="D2930" t="str">
            <v>01/03/2016</v>
          </cell>
          <cell r="E2930" t="str">
            <v/>
          </cell>
          <cell r="F2930" t="str">
            <v>DAQUIMAR PORTELA CAVALHEIRO DA SILVA</v>
          </cell>
          <cell r="G2930" t="str">
            <v/>
          </cell>
          <cell r="H2930" t="str">
            <v/>
          </cell>
          <cell r="I2930" t="str">
            <v/>
          </cell>
          <cell r="J2930" t="str">
            <v>PESSOA FÍSICA</v>
          </cell>
          <cell r="K2930" t="str">
            <v>508.450.129-91</v>
          </cell>
          <cell r="L2930" t="str">
            <v>PJ</v>
          </cell>
          <cell r="M2930" t="str">
            <v>DAQUIMAR PORTELA CAVALHEIRO DA SILVA</v>
          </cell>
          <cell r="N2930" t="str">
            <v>DTE5867</v>
          </cell>
          <cell r="O2930" t="str">
            <v>2008</v>
          </cell>
          <cell r="P2930" t="str">
            <v>20</v>
          </cell>
          <cell r="Q2930" t="str">
            <v>18</v>
          </cell>
        </row>
        <row r="2931">
          <cell r="B2931" t="str">
            <v>1096/16</v>
          </cell>
          <cell r="C2931" t="str">
            <v/>
          </cell>
          <cell r="D2931" t="str">
            <v>01/03/2016</v>
          </cell>
          <cell r="E2931" t="str">
            <v/>
          </cell>
          <cell r="F2931" t="str">
            <v>RITA ALVES FRIZAO BUENO</v>
          </cell>
          <cell r="G2931" t="str">
            <v/>
          </cell>
          <cell r="H2931" t="str">
            <v/>
          </cell>
          <cell r="I2931" t="str">
            <v/>
          </cell>
          <cell r="J2931" t="str">
            <v>PESSOA FÍSICA</v>
          </cell>
          <cell r="K2931" t="str">
            <v>956.434.438-72</v>
          </cell>
          <cell r="L2931" t="str">
            <v>PJ</v>
          </cell>
          <cell r="M2931" t="str">
            <v>RITA ALVES FRIZAO BUENO</v>
          </cell>
          <cell r="N2931" t="str">
            <v>CYR5494</v>
          </cell>
          <cell r="O2931" t="str">
            <v>2001</v>
          </cell>
          <cell r="P2931" t="str">
            <v>14</v>
          </cell>
          <cell r="Q2931" t="str">
            <v>12</v>
          </cell>
        </row>
        <row r="2932">
          <cell r="B2932" t="str">
            <v>1097/16</v>
          </cell>
          <cell r="C2932" t="str">
            <v/>
          </cell>
          <cell r="D2932" t="str">
            <v>12/04/2016</v>
          </cell>
          <cell r="E2932" t="str">
            <v/>
          </cell>
          <cell r="F2932" t="str">
            <v>SILVANA PEREIRA DA SILVA</v>
          </cell>
          <cell r="G2932" t="str">
            <v/>
          </cell>
          <cell r="H2932" t="str">
            <v/>
          </cell>
          <cell r="I2932" t="str">
            <v/>
          </cell>
          <cell r="J2932" t="str">
            <v>PESSOA FÍSICA</v>
          </cell>
          <cell r="K2932" t="str">
            <v>309.864.418-48</v>
          </cell>
          <cell r="L2932" t="str">
            <v>IQ</v>
          </cell>
          <cell r="M2932" t="str">
            <v>SILVANA PEREIRA DA SILVA</v>
          </cell>
          <cell r="N2932" t="str">
            <v>FWD2975</v>
          </cell>
          <cell r="O2932" t="str">
            <v>2014</v>
          </cell>
          <cell r="P2932" t="str">
            <v>19</v>
          </cell>
          <cell r="Q2932" t="str">
            <v>18</v>
          </cell>
        </row>
        <row r="2933">
          <cell r="B2933" t="str">
            <v>1098/16</v>
          </cell>
          <cell r="C2933" t="str">
            <v/>
          </cell>
          <cell r="D2933" t="str">
            <v>04/03/2016</v>
          </cell>
          <cell r="E2933" t="str">
            <v/>
          </cell>
          <cell r="F2933" t="str">
            <v>JOANA D ARC SIQUEIRA GOMES</v>
          </cell>
          <cell r="G2933" t="str">
            <v/>
          </cell>
          <cell r="H2933" t="str">
            <v/>
          </cell>
          <cell r="I2933" t="str">
            <v/>
          </cell>
          <cell r="J2933" t="str">
            <v>PESSOA FÍSICA</v>
          </cell>
          <cell r="K2933" t="str">
            <v>298.070.248-03</v>
          </cell>
          <cell r="L2933" t="str">
            <v>G</v>
          </cell>
          <cell r="M2933" t="str">
            <v>JOANA D ARC SIQUEIRA GOMES</v>
          </cell>
          <cell r="N2933" t="str">
            <v>FTA7443</v>
          </cell>
          <cell r="O2933" t="str">
            <v>2014</v>
          </cell>
          <cell r="P2933" t="str">
            <v>19</v>
          </cell>
          <cell r="Q2933" t="str">
            <v>18</v>
          </cell>
        </row>
        <row r="2934">
          <cell r="B2934" t="str">
            <v>1099/16</v>
          </cell>
          <cell r="C2934" t="str">
            <v/>
          </cell>
          <cell r="D2934" t="str">
            <v>24/02/2016</v>
          </cell>
          <cell r="E2934" t="str">
            <v/>
          </cell>
          <cell r="F2934" t="str">
            <v>EUNICE PEREIRA CARDOSO</v>
          </cell>
          <cell r="G2934" t="str">
            <v/>
          </cell>
          <cell r="H2934" t="str">
            <v/>
          </cell>
          <cell r="I2934" t="str">
            <v/>
          </cell>
          <cell r="J2934" t="str">
            <v>PESSOA FÍSICA</v>
          </cell>
          <cell r="K2934" t="str">
            <v>044.995.358-08</v>
          </cell>
          <cell r="L2934" t="str">
            <v>PJ</v>
          </cell>
          <cell r="M2934" t="str">
            <v>EUNICE PEREIRA CARDOSO</v>
          </cell>
          <cell r="N2934" t="str">
            <v>EDJ5922</v>
          </cell>
          <cell r="O2934" t="str">
            <v>2008</v>
          </cell>
          <cell r="P2934" t="str">
            <v>19</v>
          </cell>
          <cell r="Q2934" t="str">
            <v/>
          </cell>
        </row>
        <row r="2935">
          <cell r="B2935" t="str">
            <v>1100/16</v>
          </cell>
          <cell r="C2935" t="str">
            <v/>
          </cell>
          <cell r="D2935" t="str">
            <v>24/03/2016</v>
          </cell>
          <cell r="E2935" t="str">
            <v/>
          </cell>
          <cell r="F2935" t="str">
            <v>VANESSA DA SILVA FEITOSA VIANA</v>
          </cell>
          <cell r="G2935" t="str">
            <v/>
          </cell>
          <cell r="H2935" t="str">
            <v/>
          </cell>
          <cell r="I2935" t="str">
            <v/>
          </cell>
          <cell r="J2935" t="str">
            <v>PESSOA FÍSICA</v>
          </cell>
          <cell r="K2935" t="str">
            <v>310.364.358-65</v>
          </cell>
          <cell r="L2935" t="str">
            <v>PJ</v>
          </cell>
          <cell r="M2935" t="str">
            <v>VANESSA DA SILVA FEITOSA VIANA</v>
          </cell>
          <cell r="N2935" t="str">
            <v>EFU5440</v>
          </cell>
          <cell r="O2935" t="str">
            <v>2009</v>
          </cell>
          <cell r="P2935" t="str">
            <v>19</v>
          </cell>
          <cell r="Q2935" t="str">
            <v/>
          </cell>
        </row>
        <row r="2936">
          <cell r="B2936" t="str">
            <v>1101/16</v>
          </cell>
          <cell r="C2936" t="str">
            <v/>
          </cell>
          <cell r="D2936" t="str">
            <v/>
          </cell>
          <cell r="E2936" t="str">
            <v/>
          </cell>
          <cell r="F2936" t="str">
            <v>ROBERTO SOUZA DE AZEVEDO</v>
          </cell>
          <cell r="G2936" t="str">
            <v/>
          </cell>
          <cell r="H2936" t="str">
            <v/>
          </cell>
          <cell r="I2936" t="str">
            <v/>
          </cell>
          <cell r="J2936" t="str">
            <v>PESSOA FÍSICA</v>
          </cell>
          <cell r="K2936" t="str">
            <v>088.529.278-24</v>
          </cell>
          <cell r="L2936" t="str">
            <v>FO</v>
          </cell>
          <cell r="M2936" t="str">
            <v>ROBERTO SOUZA DE AZEVEDO</v>
          </cell>
          <cell r="N2936" t="str">
            <v>CZX5996</v>
          </cell>
          <cell r="O2936" t="str">
            <v>2002</v>
          </cell>
          <cell r="P2936" t="str">
            <v>25</v>
          </cell>
          <cell r="Q2936" t="str">
            <v>23</v>
          </cell>
        </row>
        <row r="2937">
          <cell r="B2937" t="str">
            <v>1102/16</v>
          </cell>
          <cell r="C2937" t="str">
            <v/>
          </cell>
          <cell r="D2937" t="str">
            <v/>
          </cell>
          <cell r="E2937" t="str">
            <v/>
          </cell>
          <cell r="F2937" t="str">
            <v>NIVALDO NUNES CRUZ</v>
          </cell>
          <cell r="G2937" t="str">
            <v/>
          </cell>
          <cell r="H2937" t="str">
            <v/>
          </cell>
          <cell r="I2937" t="str">
            <v/>
          </cell>
          <cell r="J2937" t="str">
            <v/>
          </cell>
          <cell r="K2937" t="str">
            <v>499.364.925-87</v>
          </cell>
          <cell r="L2937" t="str">
            <v>CS</v>
          </cell>
          <cell r="M2937" t="str">
            <v>NIVALDO NUNES CRUZ</v>
          </cell>
          <cell r="N2937" t="str">
            <v>CZX7029</v>
          </cell>
          <cell r="O2937" t="str">
            <v>2002</v>
          </cell>
          <cell r="P2937" t="str">
            <v>15</v>
          </cell>
          <cell r="Q2937" t="str">
            <v>13</v>
          </cell>
        </row>
        <row r="2938">
          <cell r="B2938" t="str">
            <v>5001/16</v>
          </cell>
          <cell r="C2938" t="str">
            <v>2016-0.045.207-4</v>
          </cell>
          <cell r="D2938" t="str">
            <v/>
          </cell>
          <cell r="E2938" t="str">
            <v>12 de abril de 2016</v>
          </cell>
          <cell r="F2938" t="str">
            <v>COOPERATIVA BRASILEIRA DE TRANSPORTE - COBRATE</v>
          </cell>
          <cell r="G2938" t="str">
            <v>24/02/2016</v>
          </cell>
          <cell r="H2938" t="str">
            <v>08/03/2016</v>
          </cell>
          <cell r="I2938" t="str">
            <v>28</v>
          </cell>
          <cell r="J2938" t="str">
            <v>PESSOA JURÍDICA</v>
          </cell>
          <cell r="K2938" t="str">
            <v>03.165.760/0001-47</v>
          </cell>
          <cell r="L2938" t="str">
            <v>FO</v>
          </cell>
          <cell r="M2938" t="str">
            <v>LENILDO MANOEL DO NASCIMENTO</v>
          </cell>
          <cell r="N2938" t="str">
            <v>DTA8749</v>
          </cell>
          <cell r="O2938" t="str">
            <v>2008</v>
          </cell>
          <cell r="P2938" t="str">
            <v>25</v>
          </cell>
          <cell r="Q2938" t="str">
            <v>23</v>
          </cell>
        </row>
        <row r="2939">
          <cell r="B2939" t="str">
            <v>5001/16</v>
          </cell>
          <cell r="C2939" t="str">
            <v>2016-0.045.207-4</v>
          </cell>
          <cell r="D2939" t="str">
            <v/>
          </cell>
          <cell r="E2939" t="str">
            <v>24 de fevereiro de 2016</v>
          </cell>
          <cell r="F2939" t="str">
            <v>COOPERATIVA BRASILEIRA DE TRANSPORTE - COBRATE</v>
          </cell>
          <cell r="G2939" t="str">
            <v>24/02/2016</v>
          </cell>
          <cell r="H2939" t="str">
            <v>08/03/2016</v>
          </cell>
          <cell r="I2939" t="str">
            <v>28</v>
          </cell>
          <cell r="J2939" t="str">
            <v>PESSOA JURÍDICA</v>
          </cell>
          <cell r="K2939" t="str">
            <v>03.165.760/0001-47</v>
          </cell>
          <cell r="L2939" t="str">
            <v>MP</v>
          </cell>
          <cell r="M2939" t="str">
            <v>VIDAL'S TRANSPORTES LTDA EPP - FATIMA TEIXEIRA DE MEDEIROS</v>
          </cell>
          <cell r="N2939" t="str">
            <v>EDN2933</v>
          </cell>
          <cell r="O2939" t="str">
            <v>2008</v>
          </cell>
          <cell r="P2939" t="str">
            <v>15</v>
          </cell>
          <cell r="Q2939" t="str">
            <v>14</v>
          </cell>
        </row>
        <row r="2940">
          <cell r="B2940" t="str">
            <v>5001/16</v>
          </cell>
          <cell r="C2940" t="str">
            <v>2016-0.045.207-4</v>
          </cell>
          <cell r="D2940" t="str">
            <v/>
          </cell>
          <cell r="E2940" t="str">
            <v>14 de março de 2016</v>
          </cell>
          <cell r="F2940" t="str">
            <v>COOPERATIVA BRASILEIRA DE TRANSPORTE - COBRATE</v>
          </cell>
          <cell r="G2940" t="str">
            <v>24/02/2016</v>
          </cell>
          <cell r="H2940" t="str">
            <v>08/03/2016</v>
          </cell>
          <cell r="I2940" t="str">
            <v>28</v>
          </cell>
          <cell r="J2940" t="str">
            <v>PESSOA JURÍDICA</v>
          </cell>
          <cell r="K2940" t="str">
            <v>03.165.760/0001-47</v>
          </cell>
          <cell r="L2940" t="str">
            <v>MP</v>
          </cell>
          <cell r="M2940" t="str">
            <v>VIDAL'S TRANSPORTES LTDA ME- FABIO MARQUES PEREIRA</v>
          </cell>
          <cell r="N2940" t="str">
            <v>CZX1028</v>
          </cell>
          <cell r="O2940" t="str">
            <v>2002</v>
          </cell>
          <cell r="P2940" t="str">
            <v>25</v>
          </cell>
          <cell r="Q2940" t="str">
            <v>23</v>
          </cell>
        </row>
        <row r="2941">
          <cell r="B2941" t="str">
            <v>5001/16</v>
          </cell>
          <cell r="C2941" t="str">
            <v>2016-0.045.207-4</v>
          </cell>
          <cell r="D2941" t="str">
            <v/>
          </cell>
          <cell r="E2941" t="str">
            <v>10 de março de 2016</v>
          </cell>
          <cell r="F2941" t="str">
            <v>COOPERATIVA BRASILEIRA DE TRANSPORTE - COBRATE</v>
          </cell>
          <cell r="G2941" t="str">
            <v>24/02/2016</v>
          </cell>
          <cell r="H2941" t="str">
            <v>08/03/2016</v>
          </cell>
          <cell r="I2941" t="str">
            <v>28</v>
          </cell>
          <cell r="J2941" t="str">
            <v>PESSOA JURÍDICA</v>
          </cell>
          <cell r="K2941" t="str">
            <v>03.165.760/0001-47</v>
          </cell>
          <cell r="L2941" t="str">
            <v>BT</v>
          </cell>
          <cell r="M2941" t="str">
            <v>DOROTEIA SOBRINHO</v>
          </cell>
          <cell r="N2941" t="str">
            <v>FFN3667</v>
          </cell>
          <cell r="O2941" t="str">
            <v>2012</v>
          </cell>
          <cell r="P2941" t="str">
            <v>18</v>
          </cell>
          <cell r="Q2941" t="str">
            <v>17</v>
          </cell>
        </row>
        <row r="2942">
          <cell r="B2942" t="str">
            <v>5001/16</v>
          </cell>
          <cell r="C2942" t="str">
            <v>2016-0.045.207-4</v>
          </cell>
          <cell r="D2942" t="str">
            <v/>
          </cell>
          <cell r="E2942" t="str">
            <v>10 de março de 2016</v>
          </cell>
          <cell r="F2942" t="str">
            <v>COOPERATIVA BRASILEIRA DE TRANSPORTE - COBRATE</v>
          </cell>
          <cell r="G2942" t="str">
            <v>24/02/2016</v>
          </cell>
          <cell r="H2942" t="str">
            <v>08/03/2016</v>
          </cell>
          <cell r="I2942" t="str">
            <v>28</v>
          </cell>
          <cell r="J2942" t="str">
            <v>PESSOA JURÍDICA</v>
          </cell>
          <cell r="K2942" t="str">
            <v>03.165.760/0001-47</v>
          </cell>
          <cell r="L2942" t="str">
            <v>BT</v>
          </cell>
          <cell r="M2942" t="str">
            <v>JOEL DE SOUZA FLORENCIO</v>
          </cell>
          <cell r="N2942" t="str">
            <v>DJC6541</v>
          </cell>
          <cell r="O2942" t="str">
            <v>2004</v>
          </cell>
          <cell r="P2942" t="str">
            <v>32</v>
          </cell>
          <cell r="Q2942" t="str">
            <v>31</v>
          </cell>
        </row>
        <row r="2943">
          <cell r="B2943" t="str">
            <v>5001/16</v>
          </cell>
          <cell r="C2943" t="str">
            <v>2016-0.045.207-4</v>
          </cell>
          <cell r="D2943" t="str">
            <v/>
          </cell>
          <cell r="E2943" t="str">
            <v>04 de abril de 2016</v>
          </cell>
          <cell r="F2943" t="str">
            <v>COOPERATIVA BRASILEIRA DE TRANSPORTE - COBRATE</v>
          </cell>
          <cell r="G2943" t="str">
            <v>24/02/2016</v>
          </cell>
          <cell r="H2943" t="str">
            <v>08/03/2016</v>
          </cell>
          <cell r="I2943" t="str">
            <v>28</v>
          </cell>
          <cell r="J2943" t="str">
            <v>PESSOA JURÍDICA</v>
          </cell>
          <cell r="K2943" t="str">
            <v>03.165.760/0001-47</v>
          </cell>
          <cell r="L2943" t="str">
            <v>SM</v>
          </cell>
          <cell r="M2943" t="str">
            <v>CLEIR MANGUEIRA ANDRIOLA</v>
          </cell>
          <cell r="N2943" t="str">
            <v>ECT3529</v>
          </cell>
          <cell r="O2943" t="str">
            <v>2008</v>
          </cell>
          <cell r="P2943" t="str">
            <v>29</v>
          </cell>
          <cell r="Q2943" t="str">
            <v>28</v>
          </cell>
        </row>
        <row r="2944">
          <cell r="B2944" t="str">
            <v>5001/16</v>
          </cell>
          <cell r="C2944" t="str">
            <v>2016-0.045.207-4</v>
          </cell>
          <cell r="D2944" t="str">
            <v/>
          </cell>
          <cell r="E2944" t="str">
            <v>04 de abril de 2016</v>
          </cell>
          <cell r="F2944" t="str">
            <v>COOPERATIVA BRASILEIRA DE TRANSPORTE - COBRATE</v>
          </cell>
          <cell r="G2944" t="str">
            <v>24/02/2016</v>
          </cell>
          <cell r="H2944" t="str">
            <v>08/03/2016</v>
          </cell>
          <cell r="I2944" t="str">
            <v>28</v>
          </cell>
          <cell r="J2944" t="str">
            <v>PESSOA JURÍDICA</v>
          </cell>
          <cell r="K2944" t="str">
            <v>03.165.760/0001-47</v>
          </cell>
          <cell r="L2944" t="str">
            <v>SM</v>
          </cell>
          <cell r="M2944" t="str">
            <v>MARIA BEZERRA ABRUNHOSA SOUZA</v>
          </cell>
          <cell r="N2944" t="str">
            <v>DTD1576</v>
          </cell>
          <cell r="O2944" t="str">
            <v>2007</v>
          </cell>
          <cell r="P2944" t="str">
            <v>29</v>
          </cell>
          <cell r="Q2944" t="str">
            <v>27</v>
          </cell>
        </row>
        <row r="2945">
          <cell r="B2945" t="str">
            <v>5001/16</v>
          </cell>
          <cell r="C2945" t="str">
            <v>2016-0.045.207-4</v>
          </cell>
          <cell r="D2945" t="str">
            <v/>
          </cell>
          <cell r="E2945" t="str">
            <v/>
          </cell>
          <cell r="F2945" t="str">
            <v>COOPERATIVA BRASILEIRA DE TRANSPORTE - COBRATE</v>
          </cell>
          <cell r="G2945" t="str">
            <v>24/02/2016</v>
          </cell>
          <cell r="H2945" t="str">
            <v>08/03/2016</v>
          </cell>
          <cell r="I2945" t="str">
            <v>28</v>
          </cell>
          <cell r="J2945" t="str">
            <v>PESSOA JURÍDICA</v>
          </cell>
          <cell r="K2945" t="str">
            <v>03.165.760/0001-47</v>
          </cell>
          <cell r="L2945" t="str">
            <v>BT</v>
          </cell>
          <cell r="M2945" t="str">
            <v>RUBENS MARCELO GOMES VIEIRA</v>
          </cell>
          <cell r="N2945" t="str">
            <v>EFU9936</v>
          </cell>
          <cell r="O2945" t="str">
            <v>2010</v>
          </cell>
          <cell r="P2945" t="str">
            <v>19</v>
          </cell>
          <cell r="Q2945" t="str">
            <v>18</v>
          </cell>
        </row>
        <row r="2946">
          <cell r="B2946" t="str">
            <v>5001/16</v>
          </cell>
          <cell r="C2946" t="str">
            <v>2016-0.045.207-4</v>
          </cell>
          <cell r="D2946" t="str">
            <v/>
          </cell>
          <cell r="E2946" t="str">
            <v>18 de março de 2016</v>
          </cell>
          <cell r="F2946" t="str">
            <v>COOPERATIVA BRASILEIRA DE TRANSPORTE - COBRATE</v>
          </cell>
          <cell r="G2946" t="str">
            <v>24/02/2016</v>
          </cell>
          <cell r="H2946" t="str">
            <v>08/03/2016</v>
          </cell>
          <cell r="I2946" t="str">
            <v>28</v>
          </cell>
          <cell r="J2946" t="str">
            <v>PESSOA JURÍDICA</v>
          </cell>
          <cell r="K2946" t="str">
            <v>03.165.760/0001-47</v>
          </cell>
          <cell r="L2946" t="str">
            <v>SM</v>
          </cell>
          <cell r="M2946" t="str">
            <v>IRINEU PIRES GOMES</v>
          </cell>
          <cell r="N2946" t="str">
            <v>HMG4183</v>
          </cell>
          <cell r="O2946" t="str">
            <v>2005</v>
          </cell>
          <cell r="P2946" t="str">
            <v>15</v>
          </cell>
          <cell r="Q2946" t="str">
            <v>13</v>
          </cell>
        </row>
        <row r="2947">
          <cell r="B2947" t="str">
            <v>5001/16</v>
          </cell>
          <cell r="C2947" t="str">
            <v>2016-0.045.207-4</v>
          </cell>
          <cell r="D2947" t="str">
            <v/>
          </cell>
          <cell r="E2947" t="str">
            <v>10 de março de 2016</v>
          </cell>
          <cell r="F2947" t="str">
            <v>COOPERATIVA BRASILEIRA DE TRANSPORTE - COBRATE</v>
          </cell>
          <cell r="G2947" t="str">
            <v>24/02/2016</v>
          </cell>
          <cell r="H2947" t="str">
            <v>08/03/2016</v>
          </cell>
          <cell r="I2947" t="str">
            <v>28</v>
          </cell>
          <cell r="J2947" t="str">
            <v>PESSOA JURÍDICA</v>
          </cell>
          <cell r="K2947" t="str">
            <v>03.165.760/0001-47</v>
          </cell>
          <cell r="L2947" t="str">
            <v>BT</v>
          </cell>
          <cell r="M2947" t="str">
            <v>JOSE NILSON CARLOS</v>
          </cell>
          <cell r="N2947" t="str">
            <v>CZX7044</v>
          </cell>
          <cell r="O2947" t="str">
            <v>2002</v>
          </cell>
          <cell r="P2947" t="str">
            <v>25</v>
          </cell>
          <cell r="Q2947" t="str">
            <v>23</v>
          </cell>
        </row>
        <row r="2948">
          <cell r="B2948" t="str">
            <v>5001/16</v>
          </cell>
          <cell r="C2948" t="str">
            <v>2016-0.045.207-4</v>
          </cell>
          <cell r="D2948" t="str">
            <v/>
          </cell>
          <cell r="E2948" t="str">
            <v>10 de março de 2016</v>
          </cell>
          <cell r="F2948" t="str">
            <v>COOPERATIVA BRASILEIRA DE TRANSPORTE - COBRATE</v>
          </cell>
          <cell r="G2948" t="str">
            <v>24/02/2016</v>
          </cell>
          <cell r="H2948" t="str">
            <v>08/03/2016</v>
          </cell>
          <cell r="I2948" t="str">
            <v>28</v>
          </cell>
          <cell r="J2948" t="str">
            <v>PESSOA JURÍDICA</v>
          </cell>
          <cell r="K2948" t="str">
            <v>03.165.760/0001-47</v>
          </cell>
          <cell r="L2948" t="str">
            <v>BT</v>
          </cell>
          <cell r="M2948" t="str">
            <v>FABIANO JACINTO SILVA</v>
          </cell>
          <cell r="N2948" t="str">
            <v>DTD4009</v>
          </cell>
          <cell r="O2948" t="str">
            <v>2007</v>
          </cell>
          <cell r="P2948" t="str">
            <v>25</v>
          </cell>
          <cell r="Q2948" t="str">
            <v>23</v>
          </cell>
        </row>
        <row r="2949">
          <cell r="B2949" t="str">
            <v>5001/16</v>
          </cell>
          <cell r="C2949" t="str">
            <v>2016-0.045.207-4</v>
          </cell>
          <cell r="D2949" t="str">
            <v/>
          </cell>
          <cell r="E2949" t="str">
            <v>10 de março de 2016</v>
          </cell>
          <cell r="F2949" t="str">
            <v>COOPERATIVA BRASILEIRA DE TRANSPORTE - COBRATE</v>
          </cell>
          <cell r="G2949" t="str">
            <v>24/02/2016</v>
          </cell>
          <cell r="H2949" t="str">
            <v>08/03/2016</v>
          </cell>
          <cell r="I2949" t="str">
            <v>28</v>
          </cell>
          <cell r="J2949" t="str">
            <v>PESSOA JURÍDICA</v>
          </cell>
          <cell r="K2949" t="str">
            <v>03.165.760/0001-47</v>
          </cell>
          <cell r="L2949" t="str">
            <v>BT</v>
          </cell>
          <cell r="M2949" t="str">
            <v>ELIENE ROCHA DE SANTANA</v>
          </cell>
          <cell r="N2949" t="str">
            <v>DTC2878</v>
          </cell>
          <cell r="O2949" t="str">
            <v>2007</v>
          </cell>
          <cell r="P2949" t="str">
            <v>25</v>
          </cell>
          <cell r="Q2949" t="str">
            <v>23</v>
          </cell>
        </row>
        <row r="2950">
          <cell r="B2950" t="str">
            <v>5001/16</v>
          </cell>
          <cell r="C2950" t="str">
            <v>2016-0.045.207-4</v>
          </cell>
          <cell r="D2950" t="str">
            <v/>
          </cell>
          <cell r="E2950" t="str">
            <v>12 de abril de 2016</v>
          </cell>
          <cell r="F2950" t="str">
            <v>COOPERATIVA BRASILEIRA DE TRANSPORTE - COBRATE</v>
          </cell>
          <cell r="G2950" t="str">
            <v>24/02/2016</v>
          </cell>
          <cell r="H2950" t="str">
            <v>08/03/2016</v>
          </cell>
          <cell r="I2950" t="str">
            <v>28</v>
          </cell>
          <cell r="J2950" t="str">
            <v>PESSOA JURÍDICA</v>
          </cell>
          <cell r="K2950" t="str">
            <v>03.165.760/0001-47</v>
          </cell>
          <cell r="L2950" t="str">
            <v>PE</v>
          </cell>
          <cell r="M2950" t="str">
            <v>REGINALDO DAVID</v>
          </cell>
          <cell r="N2950" t="str">
            <v>DTC0690</v>
          </cell>
          <cell r="O2950" t="str">
            <v>2007</v>
          </cell>
          <cell r="P2950" t="str">
            <v>29</v>
          </cell>
          <cell r="Q2950" t="str">
            <v>27</v>
          </cell>
        </row>
        <row r="2951">
          <cell r="B2951" t="str">
            <v>5001/16</v>
          </cell>
          <cell r="C2951" t="str">
            <v>2016-0.045.207-4</v>
          </cell>
          <cell r="D2951" t="str">
            <v/>
          </cell>
          <cell r="E2951" t="str">
            <v/>
          </cell>
          <cell r="F2951" t="str">
            <v>COOPERATIVA BRASILEIRA DE TRANSPORTE - COBRATE</v>
          </cell>
          <cell r="G2951" t="str">
            <v>24/02/2016</v>
          </cell>
          <cell r="H2951" t="str">
            <v>08/03/2016</v>
          </cell>
          <cell r="I2951" t="str">
            <v>28</v>
          </cell>
          <cell r="J2951" t="str">
            <v>PESSOA JURÍDICA</v>
          </cell>
          <cell r="K2951" t="str">
            <v>03.165.760/0001-47</v>
          </cell>
          <cell r="L2951" t="str">
            <v>PE</v>
          </cell>
          <cell r="M2951" t="str">
            <v>ARLENE BURIOLA</v>
          </cell>
          <cell r="N2951" t="str">
            <v>ECT6335</v>
          </cell>
          <cell r="O2951" t="str">
            <v>2008</v>
          </cell>
          <cell r="P2951" t="str">
            <v>19</v>
          </cell>
          <cell r="Q2951" t="str">
            <v>17</v>
          </cell>
        </row>
        <row r="2952">
          <cell r="B2952" t="str">
            <v>5001/16</v>
          </cell>
          <cell r="C2952" t="str">
            <v>2016-0.045.207-4</v>
          </cell>
          <cell r="D2952" t="str">
            <v/>
          </cell>
          <cell r="E2952" t="str">
            <v>10 de março de 2016</v>
          </cell>
          <cell r="F2952" t="str">
            <v>COOPERATIVA BRASILEIRA DE TRANSPORTE - COBRATE</v>
          </cell>
          <cell r="G2952" t="str">
            <v>24/02/2016</v>
          </cell>
          <cell r="H2952" t="str">
            <v>08/03/2016</v>
          </cell>
          <cell r="I2952" t="str">
            <v>28</v>
          </cell>
          <cell r="J2952" t="str">
            <v>PESSOA JURÍDICA</v>
          </cell>
          <cell r="K2952" t="str">
            <v>03.165.760/0001-47</v>
          </cell>
          <cell r="L2952" t="str">
            <v>BT</v>
          </cell>
          <cell r="M2952" t="str">
            <v>MARCO ANTONIO BENEDITO</v>
          </cell>
          <cell r="N2952" t="str">
            <v>DZX5153</v>
          </cell>
          <cell r="O2952" t="str">
            <v>2007</v>
          </cell>
          <cell r="P2952" t="str">
            <v>29</v>
          </cell>
          <cell r="Q2952" t="str">
            <v>27</v>
          </cell>
        </row>
        <row r="2953">
          <cell r="B2953" t="str">
            <v>5001/16</v>
          </cell>
          <cell r="C2953" t="str">
            <v>2016-0.045.207-4</v>
          </cell>
          <cell r="D2953" t="str">
            <v/>
          </cell>
          <cell r="E2953" t="str">
            <v>29 de março de 2016</v>
          </cell>
          <cell r="F2953" t="str">
            <v>COOPERATIVA BRASILEIRA DE TRANSPORTE - COBRATE</v>
          </cell>
          <cell r="G2953" t="str">
            <v>24/02/2016</v>
          </cell>
          <cell r="H2953" t="str">
            <v>08/03/2016</v>
          </cell>
          <cell r="I2953" t="str">
            <v>28</v>
          </cell>
          <cell r="J2953" t="str">
            <v>PESSOA JURÍDICA</v>
          </cell>
          <cell r="K2953" t="str">
            <v>03.165.760/0001-47</v>
          </cell>
          <cell r="L2953" t="str">
            <v>IP</v>
          </cell>
          <cell r="M2953" t="str">
            <v>VAGNER SIQUEIRA CAMPOS</v>
          </cell>
          <cell r="N2953" t="str">
            <v>DTC3378</v>
          </cell>
          <cell r="O2953" t="str">
            <v>2007</v>
          </cell>
          <cell r="P2953" t="str">
            <v>25</v>
          </cell>
          <cell r="Q2953" t="str">
            <v>23</v>
          </cell>
        </row>
        <row r="2954">
          <cell r="B2954" t="str">
            <v>5001/16</v>
          </cell>
          <cell r="C2954" t="str">
            <v>2016-0.045.207-4</v>
          </cell>
          <cell r="D2954" t="str">
            <v/>
          </cell>
          <cell r="E2954" t="str">
            <v>08 de março de 2016</v>
          </cell>
          <cell r="F2954" t="str">
            <v>COOPERATIVA BRASILEIRA DE TRANSPORTE - COBRATE</v>
          </cell>
          <cell r="G2954" t="str">
            <v>24/02/2016</v>
          </cell>
          <cell r="H2954" t="str">
            <v>08/03/2016</v>
          </cell>
          <cell r="I2954" t="str">
            <v>28</v>
          </cell>
          <cell r="J2954" t="str">
            <v>PESSOA JURÍDICA</v>
          </cell>
          <cell r="K2954" t="str">
            <v>03.165.760/0001-47</v>
          </cell>
          <cell r="L2954" t="str">
            <v>SM</v>
          </cell>
          <cell r="M2954" t="str">
            <v>CLODOALDO SILVA DOS SANTOS</v>
          </cell>
          <cell r="N2954" t="str">
            <v>DTE3270</v>
          </cell>
          <cell r="O2954" t="str">
            <v>2008</v>
          </cell>
          <cell r="P2954" t="str">
            <v>29</v>
          </cell>
          <cell r="Q2954" t="str">
            <v>27</v>
          </cell>
        </row>
        <row r="2955">
          <cell r="B2955" t="str">
            <v>5001/16</v>
          </cell>
          <cell r="C2955" t="str">
            <v>2016-0.045.207-4</v>
          </cell>
          <cell r="D2955" t="str">
            <v/>
          </cell>
          <cell r="E2955" t="str">
            <v>10 de março de 2016</v>
          </cell>
          <cell r="F2955" t="str">
            <v>COOPERATIVA BRASILEIRA DE TRANSPORTE - COBRATE</v>
          </cell>
          <cell r="G2955" t="str">
            <v>24/02/2016</v>
          </cell>
          <cell r="H2955" t="str">
            <v>08/03/2016</v>
          </cell>
          <cell r="I2955" t="str">
            <v>28</v>
          </cell>
          <cell r="J2955" t="str">
            <v>PESSOA JURÍDICA</v>
          </cell>
          <cell r="K2955" t="str">
            <v>03.165.760/0001-47</v>
          </cell>
          <cell r="L2955" t="str">
            <v>BT</v>
          </cell>
          <cell r="M2955" t="str">
            <v>MARCIA REGINA DE SOUZA</v>
          </cell>
          <cell r="N2955" t="str">
            <v>EQG0639</v>
          </cell>
          <cell r="O2955" t="str">
            <v>2010</v>
          </cell>
          <cell r="P2955" t="str">
            <v>15</v>
          </cell>
          <cell r="Q2955" t="str">
            <v>14</v>
          </cell>
        </row>
        <row r="2956">
          <cell r="B2956" t="str">
            <v>5001/16</v>
          </cell>
          <cell r="C2956" t="str">
            <v>2016-0.045.207-4</v>
          </cell>
          <cell r="D2956" t="str">
            <v/>
          </cell>
          <cell r="E2956" t="str">
            <v>10 de março de 2016</v>
          </cell>
          <cell r="F2956" t="str">
            <v>COOPERATIVA BRASILEIRA DE TRANSPORTE - COBRATE</v>
          </cell>
          <cell r="G2956" t="str">
            <v>24/02/2016</v>
          </cell>
          <cell r="H2956" t="str">
            <v>08/03/2016</v>
          </cell>
          <cell r="I2956" t="str">
            <v>28</v>
          </cell>
          <cell r="J2956" t="str">
            <v>PESSOA JURÍDICA</v>
          </cell>
          <cell r="K2956" t="str">
            <v>03.165.760/0001-47</v>
          </cell>
          <cell r="L2956" t="str">
            <v>BT</v>
          </cell>
          <cell r="M2956" t="str">
            <v>IVAN OLIMPIO DE NOVAES</v>
          </cell>
          <cell r="N2956" t="str">
            <v>CZX2577</v>
          </cell>
          <cell r="O2956" t="str">
            <v>2002</v>
          </cell>
          <cell r="P2956" t="str">
            <v>25</v>
          </cell>
          <cell r="Q2956" t="str">
            <v>23</v>
          </cell>
        </row>
        <row r="2957">
          <cell r="B2957" t="str">
            <v>5001/16</v>
          </cell>
          <cell r="C2957" t="str">
            <v>2016-0.045.207-4</v>
          </cell>
          <cell r="D2957" t="str">
            <v/>
          </cell>
          <cell r="E2957" t="str">
            <v>08 de março de 2016</v>
          </cell>
          <cell r="F2957" t="str">
            <v>COOPERATIVA BRASILEIRA DE TRANSPORTE - COBRATE</v>
          </cell>
          <cell r="G2957" t="str">
            <v>24/02/2016</v>
          </cell>
          <cell r="H2957" t="str">
            <v>08/03/2016</v>
          </cell>
          <cell r="I2957" t="str">
            <v>28</v>
          </cell>
          <cell r="J2957" t="str">
            <v>PESSOA JURÍDICA</v>
          </cell>
          <cell r="K2957" t="str">
            <v>03.165.760/0001-47</v>
          </cell>
          <cell r="L2957" t="str">
            <v>PJ</v>
          </cell>
          <cell r="M2957" t="str">
            <v>DIEGO ALVES DA FONSECA</v>
          </cell>
          <cell r="N2957" t="str">
            <v>CZX6233</v>
          </cell>
          <cell r="O2957" t="str">
            <v>2002</v>
          </cell>
          <cell r="P2957" t="str">
            <v>25</v>
          </cell>
          <cell r="Q2957" t="str">
            <v>23</v>
          </cell>
        </row>
        <row r="2958">
          <cell r="B2958" t="str">
            <v>5001/16</v>
          </cell>
          <cell r="C2958" t="str">
            <v>2016-0.045.207-4</v>
          </cell>
          <cell r="D2958" t="str">
            <v/>
          </cell>
          <cell r="E2958" t="str">
            <v>08 de março de 2016</v>
          </cell>
          <cell r="F2958" t="str">
            <v>COOPERATIVA BRASILEIRA DE TRANSPORTE - COBRATE</v>
          </cell>
          <cell r="G2958" t="str">
            <v>24/02/2016</v>
          </cell>
          <cell r="H2958" t="str">
            <v>08/03/2016</v>
          </cell>
          <cell r="I2958" t="str">
            <v>28</v>
          </cell>
          <cell r="J2958" t="str">
            <v>PESSOA JURÍDICA</v>
          </cell>
          <cell r="K2958" t="str">
            <v>03.165.760/0001-47</v>
          </cell>
          <cell r="L2958" t="str">
            <v>IQ</v>
          </cell>
          <cell r="M2958" t="str">
            <v>LUIZ ANTONIO DE FREITAS DUQUE</v>
          </cell>
          <cell r="N2958" t="str">
            <v>DTC2740</v>
          </cell>
          <cell r="O2958" t="str">
            <v>2007</v>
          </cell>
          <cell r="P2958" t="str">
            <v>25</v>
          </cell>
          <cell r="Q2958" t="str">
            <v>23</v>
          </cell>
        </row>
        <row r="2959">
          <cell r="B2959" t="str">
            <v>5001/16</v>
          </cell>
          <cell r="C2959" t="str">
            <v>2016-0.045.207-4</v>
          </cell>
          <cell r="D2959" t="str">
            <v/>
          </cell>
          <cell r="E2959" t="str">
            <v>10 de março de 2016</v>
          </cell>
          <cell r="F2959" t="str">
            <v>COOPERATIVA BRASILEIRA DE TRANSPORTE - COBRATE</v>
          </cell>
          <cell r="G2959" t="str">
            <v>24/02/2016</v>
          </cell>
          <cell r="H2959" t="str">
            <v>08/03/2016</v>
          </cell>
          <cell r="I2959" t="str">
            <v>28</v>
          </cell>
          <cell r="J2959" t="str">
            <v>PESSOA JURÍDICA</v>
          </cell>
          <cell r="K2959" t="str">
            <v>03.165.760/0001-47</v>
          </cell>
          <cell r="L2959" t="str">
            <v>BT</v>
          </cell>
          <cell r="M2959" t="str">
            <v>JOAO RODRIGUES</v>
          </cell>
          <cell r="N2959" t="str">
            <v>ECT5690</v>
          </cell>
          <cell r="O2959" t="str">
            <v>2008</v>
          </cell>
          <cell r="P2959" t="str">
            <v>29</v>
          </cell>
          <cell r="Q2959" t="str">
            <v>27</v>
          </cell>
        </row>
        <row r="2960">
          <cell r="B2960" t="str">
            <v>5001/16</v>
          </cell>
          <cell r="C2960" t="str">
            <v>2016-0.045.207-4</v>
          </cell>
          <cell r="D2960" t="str">
            <v/>
          </cell>
          <cell r="E2960" t="str">
            <v>18 de março de 2016</v>
          </cell>
          <cell r="F2960" t="str">
            <v>COOPERATIVA BRASILEIRA DE TRANSPORTE - COBRATE</v>
          </cell>
          <cell r="G2960" t="str">
            <v>24/02/2016</v>
          </cell>
          <cell r="H2960" t="str">
            <v>08/03/2016</v>
          </cell>
          <cell r="I2960" t="str">
            <v>28</v>
          </cell>
          <cell r="J2960" t="str">
            <v>PESSOA JURÍDICA</v>
          </cell>
          <cell r="K2960" t="str">
            <v>03.165.760/0001-47</v>
          </cell>
          <cell r="L2960" t="str">
            <v>SM</v>
          </cell>
          <cell r="M2960" t="str">
            <v>JOSE MANGUEIRA ANDRIOLA</v>
          </cell>
          <cell r="N2960" t="str">
            <v>DTE1170</v>
          </cell>
          <cell r="O2960" t="str">
            <v>2010</v>
          </cell>
          <cell r="P2960" t="str">
            <v>19</v>
          </cell>
          <cell r="Q2960" t="str">
            <v>18</v>
          </cell>
        </row>
        <row r="2961">
          <cell r="B2961" t="str">
            <v>5001/16</v>
          </cell>
          <cell r="C2961" t="str">
            <v>2016-0.045.207-4</v>
          </cell>
          <cell r="D2961" t="str">
            <v/>
          </cell>
          <cell r="E2961" t="str">
            <v>18 de março de 2016</v>
          </cell>
          <cell r="F2961" t="str">
            <v>COOPERATIVA BRASILEIRA DE TRANSPORTE - COBRATE</v>
          </cell>
          <cell r="G2961" t="str">
            <v>24/02/2016</v>
          </cell>
          <cell r="H2961" t="str">
            <v>08/03/2016</v>
          </cell>
          <cell r="I2961" t="str">
            <v>28</v>
          </cell>
          <cell r="J2961" t="str">
            <v>PESSOA JURÍDICA</v>
          </cell>
          <cell r="K2961" t="str">
            <v>03.165.760/0001-47</v>
          </cell>
          <cell r="L2961" t="str">
            <v>SM</v>
          </cell>
          <cell r="M2961" t="str">
            <v>CICERO ANTONIO TEIXEIRA FILHO</v>
          </cell>
          <cell r="N2961" t="str">
            <v>ELQ6190</v>
          </cell>
          <cell r="O2961" t="str">
            <v>2010</v>
          </cell>
          <cell r="P2961" t="str">
            <v>19</v>
          </cell>
          <cell r="Q2961" t="str">
            <v>18</v>
          </cell>
        </row>
        <row r="2962">
          <cell r="B2962" t="str">
            <v>5001/16</v>
          </cell>
          <cell r="C2962" t="str">
            <v>2016-0.045.207-4</v>
          </cell>
          <cell r="D2962" t="str">
            <v/>
          </cell>
          <cell r="E2962" t="str">
            <v>10 de março de 2016</v>
          </cell>
          <cell r="F2962" t="str">
            <v>COOPERATIVA BRASILEIRA DE TRANSPORTE - COBRATE</v>
          </cell>
          <cell r="G2962" t="str">
            <v>24/02/2016</v>
          </cell>
          <cell r="H2962" t="str">
            <v>08/03/2016</v>
          </cell>
          <cell r="I2962" t="str">
            <v>28</v>
          </cell>
          <cell r="J2962" t="str">
            <v>PESSOA JURÍDICA</v>
          </cell>
          <cell r="K2962" t="str">
            <v>03.165.760/0001-47</v>
          </cell>
          <cell r="L2962" t="str">
            <v>BT</v>
          </cell>
          <cell r="M2962" t="str">
            <v>DARCI MOURA DA COSTA</v>
          </cell>
          <cell r="N2962" t="str">
            <v>FFR3542</v>
          </cell>
          <cell r="O2962" t="str">
            <v>2012</v>
          </cell>
          <cell r="P2962" t="str">
            <v>19</v>
          </cell>
          <cell r="Q2962" t="str">
            <v>18</v>
          </cell>
        </row>
        <row r="2963">
          <cell r="B2963" t="str">
            <v>5001/16</v>
          </cell>
          <cell r="C2963" t="str">
            <v>2016-0.045.207-4</v>
          </cell>
          <cell r="D2963" t="str">
            <v>08/03/2016</v>
          </cell>
          <cell r="E2963" t="str">
            <v>13 de abril de 2016</v>
          </cell>
          <cell r="F2963" t="str">
            <v>COOPERATIVA BRASILEIRA DE TRANSPORTE - COBRATE</v>
          </cell>
          <cell r="G2963" t="str">
            <v>24/02/2016</v>
          </cell>
          <cell r="H2963" t="str">
            <v>08/03/2016</v>
          </cell>
          <cell r="I2963" t="str">
            <v>28</v>
          </cell>
          <cell r="J2963" t="str">
            <v>PESSOA JURÍDICA</v>
          </cell>
          <cell r="K2963" t="str">
            <v>03.165.760/0001-47</v>
          </cell>
          <cell r="L2963" t="str">
            <v>PE</v>
          </cell>
          <cell r="M2963" t="str">
            <v>SILVIA LINARDI TIEPOLO</v>
          </cell>
          <cell r="N2963" t="str">
            <v>FEG7513</v>
          </cell>
          <cell r="O2963" t="str">
            <v>2012</v>
          </cell>
          <cell r="P2963" t="str">
            <v>19</v>
          </cell>
          <cell r="Q2963" t="str">
            <v>18</v>
          </cell>
        </row>
        <row r="2964">
          <cell r="B2964" t="str">
            <v>5001/16</v>
          </cell>
          <cell r="C2964" t="str">
            <v>2016-0.045.207-4</v>
          </cell>
          <cell r="D2964" t="str">
            <v/>
          </cell>
          <cell r="E2964" t="str">
            <v/>
          </cell>
          <cell r="F2964" t="str">
            <v>COOPERATIVA BRASILEIRA DE TRANSPORTE - COBRATE</v>
          </cell>
          <cell r="G2964" t="str">
            <v>24/02/2016</v>
          </cell>
          <cell r="H2964" t="str">
            <v>08/03/2016</v>
          </cell>
          <cell r="I2964" t="str">
            <v>28</v>
          </cell>
          <cell r="J2964" t="str">
            <v>PESSOA JURÍDICA</v>
          </cell>
          <cell r="K2964" t="str">
            <v>03.165.760/0001-47</v>
          </cell>
          <cell r="L2964" t="str">
            <v>SM</v>
          </cell>
          <cell r="M2964" t="str">
            <v>MARCELO LUIZ RAPOSO</v>
          </cell>
          <cell r="N2964" t="str">
            <v>ENU7430</v>
          </cell>
          <cell r="O2964" t="str">
            <v>2011</v>
          </cell>
          <cell r="P2964" t="str">
            <v>19</v>
          </cell>
          <cell r="Q2964" t="str">
            <v>18</v>
          </cell>
        </row>
        <row r="2965">
          <cell r="B2965" t="str">
            <v>5001/16</v>
          </cell>
          <cell r="C2965" t="str">
            <v>2016-0.045.207-4</v>
          </cell>
          <cell r="D2965" t="str">
            <v/>
          </cell>
          <cell r="E2965" t="str">
            <v>26 de abril de 2016</v>
          </cell>
          <cell r="F2965" t="str">
            <v>COOPERATIVA BRASILEIRA DE TRANSPORTE - COBRATE</v>
          </cell>
          <cell r="G2965" t="str">
            <v>24/02/2016</v>
          </cell>
          <cell r="H2965" t="str">
            <v>08/03/2016</v>
          </cell>
          <cell r="I2965" t="str">
            <v>28</v>
          </cell>
          <cell r="J2965" t="str">
            <v>PESSOA JURÍDICA</v>
          </cell>
          <cell r="K2965" t="str">
            <v>03.165.760/0001-47</v>
          </cell>
          <cell r="L2965" t="str">
            <v>PJ</v>
          </cell>
          <cell r="M2965" t="str">
            <v>NICE MACEDO DIAS</v>
          </cell>
          <cell r="N2965" t="str">
            <v>DTB9320</v>
          </cell>
          <cell r="O2965" t="str">
            <v>2007</v>
          </cell>
          <cell r="P2965" t="str">
            <v>25</v>
          </cell>
          <cell r="Q2965" t="str">
            <v>23</v>
          </cell>
        </row>
        <row r="2966">
          <cell r="B2966" t="str">
            <v>5001/16</v>
          </cell>
          <cell r="C2966" t="str">
            <v>2016-0.045.207-4</v>
          </cell>
          <cell r="D2966" t="str">
            <v/>
          </cell>
          <cell r="E2966" t="str">
            <v>10 de março de 2016</v>
          </cell>
          <cell r="F2966" t="str">
            <v>COOPERATIVA BRASILEIRA DE TRANSPORTE - COBRATE</v>
          </cell>
          <cell r="G2966" t="str">
            <v>24/02/2016</v>
          </cell>
          <cell r="H2966" t="str">
            <v>08/03/2016</v>
          </cell>
          <cell r="I2966" t="str">
            <v>28</v>
          </cell>
          <cell r="J2966" t="str">
            <v>PESSOA JURÍDICA</v>
          </cell>
          <cell r="K2966" t="str">
            <v>03.165.760/0001-47</v>
          </cell>
          <cell r="L2966" t="str">
            <v>BT</v>
          </cell>
          <cell r="M2966" t="str">
            <v>FABIO MARTINS DE LIMA</v>
          </cell>
          <cell r="N2966" t="str">
            <v>HMN8412</v>
          </cell>
          <cell r="O2966" t="str">
            <v>2008</v>
          </cell>
          <cell r="P2966" t="str">
            <v>27</v>
          </cell>
          <cell r="Q2966" t="str">
            <v>25</v>
          </cell>
        </row>
        <row r="2967">
          <cell r="B2967" t="str">
            <v>5001/16</v>
          </cell>
          <cell r="C2967" t="str">
            <v>2016-0.045.207-4</v>
          </cell>
          <cell r="D2967" t="str">
            <v/>
          </cell>
          <cell r="E2967" t="str">
            <v>29 de março de 2016</v>
          </cell>
          <cell r="F2967" t="str">
            <v>COOPERATIVA BRASILEIRA DE TRANSPORTE - COBRATE</v>
          </cell>
          <cell r="G2967" t="str">
            <v>24/02/2016</v>
          </cell>
          <cell r="H2967" t="str">
            <v>08/03/2016</v>
          </cell>
          <cell r="I2967" t="str">
            <v>28</v>
          </cell>
          <cell r="J2967" t="str">
            <v>PESSOA JURÍDICA</v>
          </cell>
          <cell r="K2967" t="str">
            <v>03.165.760/0001-47</v>
          </cell>
          <cell r="L2967" t="str">
            <v>IP</v>
          </cell>
          <cell r="M2967" t="str">
            <v>LOURDES LIMEIRA LACERDA</v>
          </cell>
          <cell r="N2967" t="str">
            <v>ELQ4130</v>
          </cell>
          <cell r="O2967" t="str">
            <v>2010</v>
          </cell>
          <cell r="P2967" t="str">
            <v>19</v>
          </cell>
          <cell r="Q2967" t="str">
            <v>18</v>
          </cell>
        </row>
        <row r="2968">
          <cell r="B2968" t="str">
            <v>5001/16</v>
          </cell>
          <cell r="C2968" t="str">
            <v>2016-0.045.207-4</v>
          </cell>
          <cell r="D2968" t="str">
            <v/>
          </cell>
          <cell r="E2968" t="str">
            <v/>
          </cell>
          <cell r="F2968" t="str">
            <v>COOPERATIVA BRASILEIRA DE TRANSPORTE - COBRATE</v>
          </cell>
          <cell r="G2968" t="str">
            <v>24/02/2016</v>
          </cell>
          <cell r="H2968" t="str">
            <v>08/03/2016</v>
          </cell>
          <cell r="I2968" t="str">
            <v>28</v>
          </cell>
          <cell r="J2968" t="str">
            <v>PESSOA JURÍDICA</v>
          </cell>
          <cell r="K2968" t="str">
            <v>03.165.760/0001-47</v>
          </cell>
          <cell r="L2968" t="str">
            <v>PE</v>
          </cell>
          <cell r="M2968" t="str">
            <v>DECIO NUNCIATO</v>
          </cell>
          <cell r="N2968" t="str">
            <v>CZX8748</v>
          </cell>
          <cell r="O2968" t="str">
            <v>2002</v>
          </cell>
          <cell r="P2968" t="str">
            <v>25</v>
          </cell>
          <cell r="Q2968" t="str">
            <v>24</v>
          </cell>
        </row>
        <row r="2969">
          <cell r="B2969" t="str">
            <v>5001/16</v>
          </cell>
          <cell r="C2969" t="str">
            <v>2016-0.045.207-4</v>
          </cell>
          <cell r="D2969" t="str">
            <v/>
          </cell>
          <cell r="E2969" t="str">
            <v>12 de abril de 2016</v>
          </cell>
          <cell r="F2969" t="str">
            <v>COOPERATIVA BRASILEIRA DE TRANSPORTE - COBRATE</v>
          </cell>
          <cell r="G2969" t="str">
            <v>24/02/2016</v>
          </cell>
          <cell r="H2969" t="str">
            <v>08/03/2016</v>
          </cell>
          <cell r="I2969" t="str">
            <v>28</v>
          </cell>
          <cell r="J2969" t="str">
            <v>PESSOA JURÍDICA</v>
          </cell>
          <cell r="K2969" t="str">
            <v>03.165.760/0001-47</v>
          </cell>
          <cell r="L2969" t="str">
            <v>PJ</v>
          </cell>
          <cell r="M2969" t="str">
            <v>DIONE BRITO DA ROCHA</v>
          </cell>
          <cell r="N2969" t="str">
            <v>DJE9743</v>
          </cell>
          <cell r="O2969" t="str">
            <v>2005</v>
          </cell>
          <cell r="P2969" t="str">
            <v>25</v>
          </cell>
          <cell r="Q2969" t="str">
            <v>23</v>
          </cell>
        </row>
        <row r="2970">
          <cell r="B2970" t="str">
            <v>5001/16</v>
          </cell>
          <cell r="C2970" t="str">
            <v>2016-0.045.207-4</v>
          </cell>
          <cell r="D2970" t="str">
            <v/>
          </cell>
          <cell r="E2970" t="str">
            <v>29 de março de 2016</v>
          </cell>
          <cell r="F2970" t="str">
            <v>COOPERATIVA BRASILEIRA DE TRANSPORTE - COBRATE</v>
          </cell>
          <cell r="G2970" t="str">
            <v>24/02/2016</v>
          </cell>
          <cell r="H2970" t="str">
            <v>08/03/2016</v>
          </cell>
          <cell r="I2970" t="str">
            <v>28</v>
          </cell>
          <cell r="J2970" t="str">
            <v>PESSOA JURÍDICA</v>
          </cell>
          <cell r="K2970" t="str">
            <v>03.165.760/0001-47</v>
          </cell>
          <cell r="L2970" t="str">
            <v>SM</v>
          </cell>
          <cell r="M2970" t="str">
            <v>SERGIO RICARDO DA SILVA SPINOLA DE CASTRO</v>
          </cell>
          <cell r="N2970" t="str">
            <v>DTE2050</v>
          </cell>
          <cell r="O2970" t="str">
            <v>2008</v>
          </cell>
          <cell r="P2970" t="str">
            <v>29</v>
          </cell>
          <cell r="Q2970" t="str">
            <v>27</v>
          </cell>
        </row>
        <row r="2971">
          <cell r="B2971" t="str">
            <v>5001/16</v>
          </cell>
          <cell r="C2971" t="str">
            <v>2016-0.045.207-4</v>
          </cell>
          <cell r="D2971" t="str">
            <v/>
          </cell>
          <cell r="E2971" t="str">
            <v>12 de abril de 2016</v>
          </cell>
          <cell r="F2971" t="str">
            <v>COOPERATIVA BRASILEIRA DE TRANSPORTE - COBRATE</v>
          </cell>
          <cell r="G2971" t="str">
            <v>24/02/2016</v>
          </cell>
          <cell r="H2971" t="str">
            <v>08/03/2016</v>
          </cell>
          <cell r="I2971" t="str">
            <v>28</v>
          </cell>
          <cell r="J2971" t="str">
            <v>PESSOA JURÍDICA</v>
          </cell>
          <cell r="K2971" t="str">
            <v>03.165.760/0001-47</v>
          </cell>
          <cell r="L2971" t="str">
            <v>BT</v>
          </cell>
          <cell r="M2971" t="str">
            <v>NOEMIA DE SOUZA FLORENCIO LOURENCO</v>
          </cell>
          <cell r="N2971" t="str">
            <v>FHL6659</v>
          </cell>
          <cell r="O2971" t="str">
            <v>2013</v>
          </cell>
          <cell r="P2971" t="str">
            <v>19</v>
          </cell>
          <cell r="Q2971" t="str">
            <v>18</v>
          </cell>
        </row>
        <row r="2972">
          <cell r="B2972" t="str">
            <v>5001/16</v>
          </cell>
          <cell r="C2972" t="str">
            <v>2016-0.045.207-4</v>
          </cell>
          <cell r="D2972" t="str">
            <v/>
          </cell>
          <cell r="E2972" t="str">
            <v>10 de março de 2016</v>
          </cell>
          <cell r="F2972" t="str">
            <v>COOPERATIVA BRASILEIRA DE TRANSPORTE - COBRATE</v>
          </cell>
          <cell r="G2972" t="str">
            <v>24/02/2016</v>
          </cell>
          <cell r="H2972" t="str">
            <v>08/03/2016</v>
          </cell>
          <cell r="I2972" t="str">
            <v>28</v>
          </cell>
          <cell r="J2972" t="str">
            <v>PESSOA JURÍDICA</v>
          </cell>
          <cell r="K2972" t="str">
            <v>03.165.760/0001-47</v>
          </cell>
          <cell r="L2972" t="str">
            <v>BT</v>
          </cell>
          <cell r="M2972" t="str">
            <v>CRISTIANE PEREIRA FLORENCIO</v>
          </cell>
          <cell r="N2972" t="str">
            <v>FKU0811</v>
          </cell>
          <cell r="O2972" t="str">
            <v>2013</v>
          </cell>
          <cell r="P2972" t="str">
            <v>19</v>
          </cell>
          <cell r="Q2972" t="str">
            <v>18</v>
          </cell>
        </row>
        <row r="2973">
          <cell r="B2973" t="str">
            <v>5001/16</v>
          </cell>
          <cell r="C2973" t="str">
            <v>2016-0.045.207-4</v>
          </cell>
          <cell r="D2973" t="str">
            <v/>
          </cell>
          <cell r="E2973" t="str">
            <v>12 de abril de 2016</v>
          </cell>
          <cell r="F2973" t="str">
            <v>COOPERATIVA BRASILEIRA DE TRANSPORTE - COBRATE</v>
          </cell>
          <cell r="G2973" t="str">
            <v>24/02/2016</v>
          </cell>
          <cell r="H2973" t="str">
            <v>08/03/2016</v>
          </cell>
          <cell r="I2973" t="str">
            <v>28</v>
          </cell>
          <cell r="J2973" t="str">
            <v>PESSOA JURÍDICA</v>
          </cell>
          <cell r="K2973" t="str">
            <v>03.165.760/0001-47</v>
          </cell>
          <cell r="L2973" t="str">
            <v>BT</v>
          </cell>
          <cell r="M2973" t="str">
            <v>OSARIAS CARLOS LOURENCO</v>
          </cell>
          <cell r="N2973" t="str">
            <v>CZX0923</v>
          </cell>
          <cell r="O2973" t="str">
            <v>2002</v>
          </cell>
          <cell r="P2973" t="str">
            <v>19</v>
          </cell>
          <cell r="Q2973" t="str">
            <v>17</v>
          </cell>
        </row>
        <row r="2974">
          <cell r="B2974" t="str">
            <v>5001/16</v>
          </cell>
          <cell r="C2974" t="str">
            <v>2016-0.045.207-4</v>
          </cell>
          <cell r="D2974" t="str">
            <v/>
          </cell>
          <cell r="E2974" t="str">
            <v>18 de março de 2016</v>
          </cell>
          <cell r="F2974" t="str">
            <v>COOPERATIVA BRASILEIRA DE TRANSPORTE - COBRATE</v>
          </cell>
          <cell r="G2974" t="str">
            <v>24/02/2016</v>
          </cell>
          <cell r="H2974" t="str">
            <v>08/03/2016</v>
          </cell>
          <cell r="I2974" t="str">
            <v>28</v>
          </cell>
          <cell r="J2974" t="str">
            <v>PESSOA JURÍDICA</v>
          </cell>
          <cell r="K2974" t="str">
            <v>03.165.760/0001-47</v>
          </cell>
          <cell r="L2974" t="str">
            <v>PE</v>
          </cell>
          <cell r="M2974" t="str">
            <v>OSIEL SANTANA</v>
          </cell>
          <cell r="N2974" t="str">
            <v>CZZ1648</v>
          </cell>
          <cell r="O2974" t="str">
            <v>2003</v>
          </cell>
          <cell r="P2974" t="str">
            <v>25</v>
          </cell>
          <cell r="Q2974" t="str">
            <v>23</v>
          </cell>
        </row>
        <row r="2975">
          <cell r="B2975" t="str">
            <v>5001/16</v>
          </cell>
          <cell r="C2975" t="str">
            <v>2016-0.045.207-4</v>
          </cell>
          <cell r="D2975" t="str">
            <v/>
          </cell>
          <cell r="E2975" t="str">
            <v>29 de março de 2016</v>
          </cell>
          <cell r="F2975" t="str">
            <v>COOPERATIVA BRASILEIRA DE TRANSPORTE - COBRATE</v>
          </cell>
          <cell r="G2975" t="str">
            <v>24/02/2016</v>
          </cell>
          <cell r="H2975" t="str">
            <v>08/03/2016</v>
          </cell>
          <cell r="I2975" t="str">
            <v>28</v>
          </cell>
          <cell r="J2975" t="str">
            <v>PESSOA JURÍDICA</v>
          </cell>
          <cell r="K2975" t="str">
            <v>03.165.760/0001-47</v>
          </cell>
          <cell r="L2975" t="str">
            <v>SM</v>
          </cell>
          <cell r="M2975" t="str">
            <v>SOLANGE OLIVEIRA SANTA ROSA</v>
          </cell>
          <cell r="N2975" t="str">
            <v>FFS0799</v>
          </cell>
          <cell r="O2975" t="str">
            <v>2012</v>
          </cell>
          <cell r="P2975" t="str">
            <v>19</v>
          </cell>
          <cell r="Q2975" t="str">
            <v>18</v>
          </cell>
        </row>
        <row r="2976">
          <cell r="B2976" t="str">
            <v>5001/16</v>
          </cell>
          <cell r="C2976" t="str">
            <v>2016-0.045.207-4</v>
          </cell>
          <cell r="D2976" t="str">
            <v/>
          </cell>
          <cell r="E2976" t="str">
            <v>04 de abril de 2016</v>
          </cell>
          <cell r="F2976" t="str">
            <v>COOPERATIVA BRASILEIRA DE TRANSPORTE - COBRATE</v>
          </cell>
          <cell r="G2976" t="str">
            <v>24/02/2016</v>
          </cell>
          <cell r="H2976" t="str">
            <v>08/03/2016</v>
          </cell>
          <cell r="I2976" t="str">
            <v>28</v>
          </cell>
          <cell r="J2976" t="str">
            <v>PESSOA JURÍDICA</v>
          </cell>
          <cell r="K2976" t="str">
            <v>03.165.760/0001-47</v>
          </cell>
          <cell r="L2976" t="str">
            <v>SM</v>
          </cell>
          <cell r="M2976" t="str">
            <v>MARCELO AMBROSELLI</v>
          </cell>
          <cell r="N2976" t="str">
            <v xml:space="preserve">EFV9829 </v>
          </cell>
          <cell r="O2976" t="str">
            <v>2010</v>
          </cell>
          <cell r="P2976" t="str">
            <v>19</v>
          </cell>
          <cell r="Q2976" t="str">
            <v>18</v>
          </cell>
        </row>
        <row r="2977">
          <cell r="B2977" t="str">
            <v>5001/16</v>
          </cell>
          <cell r="C2977" t="str">
            <v>2016-0.045.207-4</v>
          </cell>
          <cell r="D2977" t="str">
            <v/>
          </cell>
          <cell r="E2977" t="str">
            <v>29 de março de 2016</v>
          </cell>
          <cell r="F2977" t="str">
            <v>COOPERATIVA BRASILEIRA DE TRANSPORTE - COBRATE</v>
          </cell>
          <cell r="G2977" t="str">
            <v>24/02/2016</v>
          </cell>
          <cell r="H2977" t="str">
            <v>08/03/2016</v>
          </cell>
          <cell r="I2977" t="str">
            <v>28</v>
          </cell>
          <cell r="J2977" t="str">
            <v>PESSOA JURÍDICA</v>
          </cell>
          <cell r="K2977" t="str">
            <v>03.165.760/0001-47</v>
          </cell>
          <cell r="L2977" t="str">
            <v>SM</v>
          </cell>
          <cell r="M2977" t="str">
            <v>MARCELO TEIXEIRA</v>
          </cell>
          <cell r="N2977" t="str">
            <v>ECT4970</v>
          </cell>
          <cell r="O2977" t="str">
            <v>2008</v>
          </cell>
          <cell r="P2977" t="str">
            <v>29</v>
          </cell>
          <cell r="Q2977" t="str">
            <v>27</v>
          </cell>
        </row>
        <row r="2978">
          <cell r="B2978" t="str">
            <v>5001/16</v>
          </cell>
          <cell r="C2978" t="str">
            <v>2016-0.045.207-4</v>
          </cell>
          <cell r="D2978" t="str">
            <v/>
          </cell>
          <cell r="E2978" t="str">
            <v>08 de março de 2016</v>
          </cell>
          <cell r="F2978" t="str">
            <v>COOPERATIVA BRASILEIRA DE TRANSPORTE - COBRATE</v>
          </cell>
          <cell r="G2978" t="str">
            <v>24/02/2016</v>
          </cell>
          <cell r="H2978" t="str">
            <v>08/03/2016</v>
          </cell>
          <cell r="I2978" t="str">
            <v>28</v>
          </cell>
          <cell r="J2978" t="str">
            <v>PESSOA JURÍDICA</v>
          </cell>
          <cell r="K2978" t="str">
            <v>03.165.760/0001-47</v>
          </cell>
          <cell r="L2978" t="str">
            <v>SM</v>
          </cell>
          <cell r="M2978" t="str">
            <v>MANOEL FERREIRA FILHO</v>
          </cell>
          <cell r="N2978" t="str">
            <v>EFW8650</v>
          </cell>
          <cell r="O2978" t="str">
            <v>2010</v>
          </cell>
          <cell r="P2978" t="str">
            <v>19</v>
          </cell>
          <cell r="Q2978" t="str">
            <v>18</v>
          </cell>
        </row>
        <row r="2979">
          <cell r="B2979" t="str">
            <v>5001/16</v>
          </cell>
          <cell r="C2979" t="str">
            <v>2016-0.045.207-4</v>
          </cell>
          <cell r="D2979" t="str">
            <v/>
          </cell>
          <cell r="E2979" t="str">
            <v>29 de março de 2016</v>
          </cell>
          <cell r="F2979" t="str">
            <v>COOPERATIVA BRASILEIRA DE TRANSPORTE - COBRATE</v>
          </cell>
          <cell r="G2979" t="str">
            <v>24/02/2016</v>
          </cell>
          <cell r="H2979" t="str">
            <v>08/03/2016</v>
          </cell>
          <cell r="I2979" t="str">
            <v>28</v>
          </cell>
          <cell r="J2979" t="str">
            <v>PESSOA JURÍDICA</v>
          </cell>
          <cell r="K2979" t="str">
            <v>03.165.760/0001-47</v>
          </cell>
          <cell r="L2979" t="str">
            <v>IP</v>
          </cell>
          <cell r="M2979" t="str">
            <v>ISABEL CRISTINA ALVES SILVEIRA</v>
          </cell>
          <cell r="N2979" t="str">
            <v>EWO7513</v>
          </cell>
          <cell r="O2979" t="str">
            <v>2011</v>
          </cell>
          <cell r="P2979" t="str">
            <v>27</v>
          </cell>
          <cell r="Q2979" t="str">
            <v>26</v>
          </cell>
        </row>
        <row r="2980">
          <cell r="B2980" t="str">
            <v>5001/16</v>
          </cell>
          <cell r="C2980" t="str">
            <v>2016-0.045.207-4</v>
          </cell>
          <cell r="D2980" t="str">
            <v/>
          </cell>
          <cell r="E2980" t="str">
            <v>18 de março de 2016</v>
          </cell>
          <cell r="F2980" t="str">
            <v>COOPERATIVA BRASILEIRA DE TRANSPORTE - COBRATE</v>
          </cell>
          <cell r="G2980" t="str">
            <v>24/02/2016</v>
          </cell>
          <cell r="H2980" t="str">
            <v>08/03/2016</v>
          </cell>
          <cell r="I2980" t="str">
            <v>28</v>
          </cell>
          <cell r="J2980" t="str">
            <v>PESSOA JURÍDICA</v>
          </cell>
          <cell r="K2980" t="str">
            <v>03.165.760/0001-47</v>
          </cell>
          <cell r="L2980" t="str">
            <v>SM</v>
          </cell>
          <cell r="M2980" t="str">
            <v>VAGNER NONATO</v>
          </cell>
          <cell r="N2980" t="str">
            <v>DDO9764</v>
          </cell>
          <cell r="O2980" t="str">
            <v>2001</v>
          </cell>
          <cell r="P2980" t="str">
            <v>25</v>
          </cell>
          <cell r="Q2980" t="str">
            <v>23</v>
          </cell>
        </row>
        <row r="2981">
          <cell r="B2981" t="str">
            <v>5001/16</v>
          </cell>
          <cell r="C2981" t="str">
            <v>2016-0.045.207-4</v>
          </cell>
          <cell r="D2981" t="str">
            <v/>
          </cell>
          <cell r="E2981" t="str">
            <v>12 de abril de 2016</v>
          </cell>
          <cell r="F2981" t="str">
            <v>COOPERATIVA BRASILEIRA DE TRANSPORTE - COBRATE</v>
          </cell>
          <cell r="G2981" t="str">
            <v>24/02/2016</v>
          </cell>
          <cell r="H2981" t="str">
            <v>08/03/2016</v>
          </cell>
          <cell r="I2981" t="str">
            <v>28</v>
          </cell>
          <cell r="J2981" t="str">
            <v>PESSOA JURÍDICA</v>
          </cell>
          <cell r="K2981" t="str">
            <v>03.165.760/0001-47</v>
          </cell>
          <cell r="L2981" t="str">
            <v>BT</v>
          </cell>
          <cell r="M2981" t="str">
            <v>SILVIA REGINA MARQUES WINKLER MOTA</v>
          </cell>
          <cell r="N2981" t="str">
            <v>CZZ2679</v>
          </cell>
          <cell r="O2981" t="str">
            <v>2003</v>
          </cell>
          <cell r="P2981" t="str">
            <v>25</v>
          </cell>
          <cell r="Q2981" t="str">
            <v>23</v>
          </cell>
        </row>
        <row r="2982">
          <cell r="B2982" t="str">
            <v>5001/16</v>
          </cell>
          <cell r="C2982" t="str">
            <v>2016-0.045.207-4</v>
          </cell>
          <cell r="D2982" t="str">
            <v/>
          </cell>
          <cell r="E2982" t="str">
            <v>29 de março de 2016</v>
          </cell>
          <cell r="F2982" t="str">
            <v>COOPERATIVA BRASILEIRA DE TRANSPORTE - COBRATE</v>
          </cell>
          <cell r="G2982" t="str">
            <v>24/02/2016</v>
          </cell>
          <cell r="H2982" t="str">
            <v>08/03/2016</v>
          </cell>
          <cell r="I2982" t="str">
            <v>28</v>
          </cell>
          <cell r="J2982" t="str">
            <v>PESSOA JURÍDICA</v>
          </cell>
          <cell r="K2982" t="str">
            <v>03.165.760/0001-47</v>
          </cell>
          <cell r="L2982" t="str">
            <v>SM</v>
          </cell>
          <cell r="M2982" t="str">
            <v>CLEUACIR CORREIA DE SOUZA</v>
          </cell>
          <cell r="N2982" t="str">
            <v>EZL8876</v>
          </cell>
          <cell r="O2982" t="str">
            <v>2013</v>
          </cell>
          <cell r="P2982" t="str">
            <v>19</v>
          </cell>
          <cell r="Q2982" t="str">
            <v>18</v>
          </cell>
        </row>
        <row r="2983">
          <cell r="B2983" t="str">
            <v>5001/16</v>
          </cell>
          <cell r="C2983" t="str">
            <v>2016-0.045.207-4</v>
          </cell>
          <cell r="D2983" t="str">
            <v/>
          </cell>
          <cell r="E2983" t="str">
            <v>26 de abril de 2016</v>
          </cell>
          <cell r="F2983" t="str">
            <v>COOPERATIVA BRASILEIRA DE TRANSPORTE - COBRATE</v>
          </cell>
          <cell r="G2983" t="str">
            <v>24/02/2016</v>
          </cell>
          <cell r="H2983" t="str">
            <v>08/03/2016</v>
          </cell>
          <cell r="I2983" t="str">
            <v>28</v>
          </cell>
          <cell r="J2983" t="str">
            <v>PESSOA JURÍDICA</v>
          </cell>
          <cell r="K2983" t="str">
            <v>03.165.760/0001-47</v>
          </cell>
          <cell r="L2983" t="str">
            <v>PJ</v>
          </cell>
          <cell r="M2983" t="str">
            <v>MARIA HELENA PINHEIRO DA SILVA</v>
          </cell>
          <cell r="N2983" t="str">
            <v>CVP8714</v>
          </cell>
          <cell r="O2983" t="str">
            <v>2007</v>
          </cell>
          <cell r="P2983" t="str">
            <v>15</v>
          </cell>
          <cell r="Q2983" t="str">
            <v>14</v>
          </cell>
        </row>
        <row r="2984">
          <cell r="B2984" t="str">
            <v>5001/16</v>
          </cell>
          <cell r="C2984" t="str">
            <v>2016-0.045.207-4</v>
          </cell>
          <cell r="D2984" t="str">
            <v/>
          </cell>
          <cell r="E2984" t="str">
            <v>29 de março de 2016</v>
          </cell>
          <cell r="F2984" t="str">
            <v>COOPERATIVA BRASILEIRA DE TRANSPORTE - COBRATE</v>
          </cell>
          <cell r="G2984" t="str">
            <v>24/02/2016</v>
          </cell>
          <cell r="H2984" t="str">
            <v>08/03/2016</v>
          </cell>
          <cell r="I2984" t="str">
            <v>28</v>
          </cell>
          <cell r="J2984" t="str">
            <v>PESSOA JURÍDICA</v>
          </cell>
          <cell r="K2984" t="str">
            <v>03.165.760/0001-47</v>
          </cell>
          <cell r="L2984" t="str">
            <v>SM</v>
          </cell>
          <cell r="M2984" t="str">
            <v>SINVAL ESTRELA DE OLIVEIRA</v>
          </cell>
          <cell r="N2984" t="str">
            <v>ECT3820</v>
          </cell>
          <cell r="O2984" t="str">
            <v>2008</v>
          </cell>
          <cell r="P2984" t="str">
            <v>29</v>
          </cell>
          <cell r="Q2984" t="str">
            <v>27</v>
          </cell>
        </row>
        <row r="2985">
          <cell r="B2985" t="str">
            <v>5001/16</v>
          </cell>
          <cell r="C2985" t="str">
            <v>2016-0.045.207-4</v>
          </cell>
          <cell r="D2985" t="str">
            <v/>
          </cell>
          <cell r="E2985" t="str">
            <v>24 de fevereiro de 2016</v>
          </cell>
          <cell r="F2985" t="str">
            <v>COOPERATIVA BRASILEIRA DE TRANSPORTE - COBRATE</v>
          </cell>
          <cell r="G2985" t="str">
            <v>24/02/2016</v>
          </cell>
          <cell r="H2985" t="str">
            <v>08/03/2016</v>
          </cell>
          <cell r="I2985" t="str">
            <v>28</v>
          </cell>
          <cell r="J2985" t="str">
            <v>PESSOA JURÍDICA</v>
          </cell>
          <cell r="K2985" t="str">
            <v>03.165.760/0001-47</v>
          </cell>
          <cell r="L2985" t="str">
            <v>SM</v>
          </cell>
          <cell r="M2985" t="str">
            <v>CLAUDINEI APARECIDO PALTRINIERI</v>
          </cell>
          <cell r="N2985" t="str">
            <v>CZX2617</v>
          </cell>
          <cell r="O2985" t="str">
            <v>2004</v>
          </cell>
          <cell r="P2985" t="str">
            <v>25</v>
          </cell>
          <cell r="Q2985" t="str">
            <v>23</v>
          </cell>
        </row>
        <row r="2986">
          <cell r="B2986" t="str">
            <v>5001/16</v>
          </cell>
          <cell r="C2986" t="str">
            <v>2016-0.045.207-4</v>
          </cell>
          <cell r="D2986" t="str">
            <v/>
          </cell>
          <cell r="E2986" t="str">
            <v>05 de abril de 2016</v>
          </cell>
          <cell r="F2986" t="str">
            <v>COOPERATIVA BRASILEIRA DE TRANSPORTE - COBRATE</v>
          </cell>
          <cell r="G2986" t="str">
            <v>24/02/2016</v>
          </cell>
          <cell r="H2986" t="str">
            <v>08/03/2016</v>
          </cell>
          <cell r="I2986" t="str">
            <v>28</v>
          </cell>
          <cell r="J2986" t="str">
            <v>PESSOA JURÍDICA</v>
          </cell>
          <cell r="K2986" t="str">
            <v>03.165.760/0001-47</v>
          </cell>
          <cell r="L2986" t="str">
            <v>BT</v>
          </cell>
          <cell r="M2986" t="str">
            <v>MARIA MADALENA GOMES DA SILVA</v>
          </cell>
          <cell r="N2986" t="str">
            <v>GAM8038</v>
          </cell>
          <cell r="O2986" t="str">
            <v>2015</v>
          </cell>
          <cell r="P2986" t="str">
            <v>27</v>
          </cell>
          <cell r="Q2986" t="str">
            <v>26</v>
          </cell>
        </row>
        <row r="2987">
          <cell r="B2987" t="str">
            <v>5001/16</v>
          </cell>
          <cell r="C2987" t="str">
            <v>2016-0.045.207-4</v>
          </cell>
          <cell r="D2987" t="str">
            <v/>
          </cell>
          <cell r="E2987" t="str">
            <v>14 de março de 2016</v>
          </cell>
          <cell r="F2987" t="str">
            <v>COOPERATIVA BRASILEIRA DE TRANSPORTE - COBRATE</v>
          </cell>
          <cell r="G2987" t="str">
            <v>24/02/2016</v>
          </cell>
          <cell r="H2987" t="str">
            <v>08/03/2016</v>
          </cell>
          <cell r="I2987" t="str">
            <v>28</v>
          </cell>
          <cell r="J2987" t="str">
            <v>PESSOA JURÍDICA</v>
          </cell>
          <cell r="K2987" t="str">
            <v>03.165.760/0001-47</v>
          </cell>
          <cell r="L2987" t="str">
            <v>BT</v>
          </cell>
          <cell r="M2987" t="str">
            <v>ROBERTO APARECIDO CASTELANI</v>
          </cell>
          <cell r="N2987" t="str">
            <v>FJB4270</v>
          </cell>
          <cell r="O2987" t="str">
            <v>2015</v>
          </cell>
          <cell r="P2987" t="str">
            <v>19</v>
          </cell>
          <cell r="Q2987" t="str">
            <v>18</v>
          </cell>
        </row>
        <row r="2988">
          <cell r="B2988" t="str">
            <v>5001/16</v>
          </cell>
          <cell r="C2988" t="str">
            <v>2016-0.045.207-4</v>
          </cell>
          <cell r="D2988" t="str">
            <v/>
          </cell>
          <cell r="E2988" t="str">
            <v>26 de abril de 2016</v>
          </cell>
          <cell r="F2988" t="str">
            <v>COOPERATIVA BRASILEIRA DE TRANSPORTE - COBRATE</v>
          </cell>
          <cell r="G2988" t="str">
            <v>24/02/2016</v>
          </cell>
          <cell r="H2988" t="str">
            <v>08/03/2016</v>
          </cell>
          <cell r="I2988" t="str">
            <v>28</v>
          </cell>
          <cell r="J2988" t="str">
            <v>PESSOA JURÍDICA</v>
          </cell>
          <cell r="K2988" t="str">
            <v>03.165.760/0001-47</v>
          </cell>
          <cell r="L2988" t="str">
            <v>PJ</v>
          </cell>
          <cell r="M2988" t="str">
            <v>LUGUS TRANSP ESC LTDA ME - MARIA GONCALVES MOTA</v>
          </cell>
          <cell r="N2988" t="str">
            <v>CZX6441</v>
          </cell>
          <cell r="O2988" t="str">
            <v>2002</v>
          </cell>
          <cell r="P2988" t="str">
            <v>25</v>
          </cell>
          <cell r="Q2988" t="str">
            <v>23</v>
          </cell>
        </row>
        <row r="2989">
          <cell r="B2989" t="str">
            <v>5001/16</v>
          </cell>
          <cell r="C2989" t="str">
            <v>2016-0.045.207-4</v>
          </cell>
          <cell r="D2989" t="str">
            <v/>
          </cell>
          <cell r="E2989" t="str">
            <v>10 de março de 2016</v>
          </cell>
          <cell r="F2989" t="str">
            <v>COOPERATIVA BRASILEIRA DE TRANSPORTE - COBRATE</v>
          </cell>
          <cell r="G2989" t="str">
            <v>24/02/2016</v>
          </cell>
          <cell r="H2989" t="str">
            <v>08/03/2016</v>
          </cell>
          <cell r="I2989" t="str">
            <v>28</v>
          </cell>
          <cell r="J2989" t="str">
            <v>PESSOA JURÍDICA</v>
          </cell>
          <cell r="K2989" t="str">
            <v>03.165.760/0001-47</v>
          </cell>
          <cell r="L2989" t="str">
            <v>BT</v>
          </cell>
          <cell r="M2989" t="str">
            <v>AMAURI CEZAR PAULA DA SILVA</v>
          </cell>
          <cell r="N2989" t="str">
            <v>DJE4880</v>
          </cell>
          <cell r="O2989" t="str">
            <v>2005</v>
          </cell>
          <cell r="P2989" t="str">
            <v>25</v>
          </cell>
          <cell r="Q2989" t="str">
            <v>23</v>
          </cell>
        </row>
        <row r="2990">
          <cell r="B2990" t="str">
            <v>5001/16</v>
          </cell>
          <cell r="C2990" t="str">
            <v>2016-0.045.207-4</v>
          </cell>
          <cell r="D2990" t="str">
            <v/>
          </cell>
          <cell r="E2990" t="str">
            <v>12 de abril de 2016</v>
          </cell>
          <cell r="F2990" t="str">
            <v>COOPERATIVA BRASILEIRA DE TRANSPORTE - COBRATE</v>
          </cell>
          <cell r="G2990" t="str">
            <v>24/02/2016</v>
          </cell>
          <cell r="H2990" t="str">
            <v>08/03/2016</v>
          </cell>
          <cell r="I2990" t="str">
            <v>28</v>
          </cell>
          <cell r="J2990" t="str">
            <v>PESSOA JURÍDICA</v>
          </cell>
          <cell r="K2990" t="str">
            <v>03.165.760/0001-47</v>
          </cell>
          <cell r="L2990" t="str">
            <v>SM</v>
          </cell>
          <cell r="M2990" t="str">
            <v>MARCOS ROBERTO GUILHERME</v>
          </cell>
          <cell r="N2990" t="str">
            <v>ELQ6020</v>
          </cell>
          <cell r="O2990" t="str">
            <v>2010</v>
          </cell>
          <cell r="P2990" t="str">
            <v>19</v>
          </cell>
          <cell r="Q2990" t="str">
            <v>18</v>
          </cell>
        </row>
        <row r="2991">
          <cell r="B2991" t="str">
            <v>5001/16</v>
          </cell>
          <cell r="C2991" t="str">
            <v>2016-0.045.207-4</v>
          </cell>
          <cell r="D2991" t="str">
            <v/>
          </cell>
          <cell r="E2991" t="str">
            <v>26 de abril de 2016</v>
          </cell>
          <cell r="F2991" t="str">
            <v>COOPERATIVA BRASILEIRA DE TRANSPORTE - COBRATE</v>
          </cell>
          <cell r="G2991" t="str">
            <v>24/02/2016</v>
          </cell>
          <cell r="H2991" t="str">
            <v>08/03/2016</v>
          </cell>
          <cell r="I2991" t="str">
            <v>28</v>
          </cell>
          <cell r="J2991" t="str">
            <v>PESSOA JURÍDICA</v>
          </cell>
          <cell r="K2991" t="str">
            <v>03.165.760/0001-47</v>
          </cell>
          <cell r="L2991" t="str">
            <v>PJ</v>
          </cell>
          <cell r="M2991" t="str">
            <v>WAGNER ROBERTO DA SILVA TRANSPORTES - EMERSON FERRER DOS SANTOS</v>
          </cell>
          <cell r="N2991" t="str">
            <v>CPN9712</v>
          </cell>
          <cell r="O2991" t="str">
            <v>2001</v>
          </cell>
          <cell r="P2991" t="str">
            <v>25</v>
          </cell>
          <cell r="Q2991" t="str">
            <v>23</v>
          </cell>
        </row>
        <row r="2992">
          <cell r="B2992" t="str">
            <v>5001/16</v>
          </cell>
          <cell r="C2992" t="str">
            <v>2016-0.045.207-4</v>
          </cell>
          <cell r="D2992" t="str">
            <v/>
          </cell>
          <cell r="E2992" t="str">
            <v>18 de março de 2016</v>
          </cell>
          <cell r="F2992" t="str">
            <v>COOPERATIVA BRASILEIRA DE TRANSPORTE - COBRATE</v>
          </cell>
          <cell r="G2992" t="str">
            <v>24/02/2016</v>
          </cell>
          <cell r="H2992" t="str">
            <v>08/03/2016</v>
          </cell>
          <cell r="I2992" t="str">
            <v>28</v>
          </cell>
          <cell r="J2992" t="str">
            <v>PESSOA JURÍDICA</v>
          </cell>
          <cell r="K2992" t="str">
            <v>03.165.760/0001-47</v>
          </cell>
          <cell r="L2992" t="str">
            <v>SM</v>
          </cell>
          <cell r="M2992" t="str">
            <v>IVONE MOREIRA</v>
          </cell>
          <cell r="N2992" t="str">
            <v>EFV1069</v>
          </cell>
          <cell r="O2992" t="str">
            <v>2010</v>
          </cell>
          <cell r="P2992" t="str">
            <v>19</v>
          </cell>
          <cell r="Q2992" t="str">
            <v>18</v>
          </cell>
        </row>
        <row r="2993">
          <cell r="B2993" t="str">
            <v>5001/16</v>
          </cell>
          <cell r="C2993" t="str">
            <v>2016-0.045.207-4</v>
          </cell>
          <cell r="D2993" t="str">
            <v/>
          </cell>
          <cell r="E2993" t="str">
            <v>24 de fevereiro de 2016</v>
          </cell>
          <cell r="F2993" t="str">
            <v>COOPERATIVA BRASILEIRA DE TRANSPORTE - COBRATE</v>
          </cell>
          <cell r="G2993" t="str">
            <v>24/02/2016</v>
          </cell>
          <cell r="H2993" t="str">
            <v>08/03/2016</v>
          </cell>
          <cell r="I2993" t="str">
            <v>28</v>
          </cell>
          <cell r="J2993" t="str">
            <v>PESSOA JURÍDICA</v>
          </cell>
          <cell r="K2993" t="str">
            <v>03.165.760/0001-47</v>
          </cell>
          <cell r="L2993" t="str">
            <v>PJ</v>
          </cell>
          <cell r="M2993" t="str">
            <v>JOSE CARLOS DA SILVA</v>
          </cell>
          <cell r="N2993" t="str">
            <v/>
          </cell>
          <cell r="O2993" t="str">
            <v/>
          </cell>
          <cell r="P2993" t="str">
            <v/>
          </cell>
          <cell r="Q2993" t="str">
            <v/>
          </cell>
        </row>
        <row r="2994">
          <cell r="B2994" t="str">
            <v>5001/16</v>
          </cell>
          <cell r="C2994" t="str">
            <v>2016-0.045.207-4</v>
          </cell>
          <cell r="D2994" t="str">
            <v/>
          </cell>
          <cell r="E2994" t="str">
            <v>18 de março de 2016</v>
          </cell>
          <cell r="F2994" t="str">
            <v>COOPERATIVA BRASILEIRA DE TRANSPORTE - COBRATE</v>
          </cell>
          <cell r="G2994" t="str">
            <v>24/02/2016</v>
          </cell>
          <cell r="H2994" t="str">
            <v>08/03/2016</v>
          </cell>
          <cell r="I2994" t="str">
            <v>28</v>
          </cell>
          <cell r="J2994" t="str">
            <v>PESSOA JURÍDICA</v>
          </cell>
          <cell r="K2994" t="str">
            <v>03.165.760/0001-47</v>
          </cell>
          <cell r="L2994" t="str">
            <v>PE</v>
          </cell>
          <cell r="M2994" t="str">
            <v>LEANDRO DE ARRUDA CAMARGO</v>
          </cell>
          <cell r="N2994" t="str">
            <v>EYJ6169</v>
          </cell>
          <cell r="O2994" t="str">
            <v>2012</v>
          </cell>
          <cell r="P2994" t="str">
            <v>15</v>
          </cell>
          <cell r="Q2994" t="str">
            <v>14</v>
          </cell>
        </row>
        <row r="2995">
          <cell r="B2995" t="str">
            <v>5001/16</v>
          </cell>
          <cell r="C2995" t="str">
            <v>2016-0.045.207-4</v>
          </cell>
          <cell r="D2995" t="str">
            <v/>
          </cell>
          <cell r="E2995" t="str">
            <v>29 de março de 2016</v>
          </cell>
          <cell r="F2995" t="str">
            <v>COOPERATIVA BRASILEIRA DE TRANSPORTE - COBRATE</v>
          </cell>
          <cell r="G2995" t="str">
            <v>24/02/2016</v>
          </cell>
          <cell r="H2995" t="str">
            <v>08/03/2016</v>
          </cell>
          <cell r="I2995" t="str">
            <v>28</v>
          </cell>
          <cell r="J2995" t="str">
            <v>PESSOA JURÍDICA</v>
          </cell>
          <cell r="K2995" t="str">
            <v>03.165.760/0001-47</v>
          </cell>
          <cell r="L2995" t="str">
            <v>SM</v>
          </cell>
          <cell r="M2995" t="str">
            <v>REINALDO BOINA</v>
          </cell>
          <cell r="N2995" t="str">
            <v>DTD4913</v>
          </cell>
          <cell r="O2995" t="str">
            <v>2009</v>
          </cell>
          <cell r="P2995" t="str">
            <v>19</v>
          </cell>
          <cell r="Q2995" t="str">
            <v>18</v>
          </cell>
        </row>
        <row r="2996">
          <cell r="B2996" t="str">
            <v>5001/16</v>
          </cell>
          <cell r="C2996" t="str">
            <v>2016-0.045.207-4</v>
          </cell>
          <cell r="D2996" t="str">
            <v/>
          </cell>
          <cell r="E2996" t="str">
            <v>10 de março de 2016</v>
          </cell>
          <cell r="F2996" t="str">
            <v>COOPERATIVA BRASILEIRA DE TRANSPORTE - COBRATE</v>
          </cell>
          <cell r="G2996" t="str">
            <v>24/02/2016</v>
          </cell>
          <cell r="H2996" t="str">
            <v>08/03/2016</v>
          </cell>
          <cell r="I2996" t="str">
            <v>28</v>
          </cell>
          <cell r="J2996" t="str">
            <v>PESSOA JURÍDICA</v>
          </cell>
          <cell r="K2996" t="str">
            <v>03.165.760/0001-47</v>
          </cell>
          <cell r="L2996" t="str">
            <v>BT</v>
          </cell>
          <cell r="M2996" t="str">
            <v>ADAM CALDEIRA DA SILVA</v>
          </cell>
          <cell r="N2996" t="str">
            <v>DTB4056</v>
          </cell>
          <cell r="O2996" t="str">
            <v>2006</v>
          </cell>
          <cell r="P2996" t="str">
            <v>32</v>
          </cell>
          <cell r="Q2996" t="str">
            <v>30</v>
          </cell>
        </row>
        <row r="2997">
          <cell r="B2997" t="str">
            <v>5001/16</v>
          </cell>
          <cell r="C2997" t="str">
            <v>2016-0.045.207-4</v>
          </cell>
          <cell r="D2997" t="str">
            <v/>
          </cell>
          <cell r="E2997" t="str">
            <v>29 de março de 2016</v>
          </cell>
          <cell r="F2997" t="str">
            <v>COOPERATIVA BRASILEIRA DE TRANSPORTE - COBRATE</v>
          </cell>
          <cell r="G2997" t="str">
            <v>24/02/2016</v>
          </cell>
          <cell r="H2997" t="str">
            <v>08/03/2016</v>
          </cell>
          <cell r="I2997" t="str">
            <v>28</v>
          </cell>
          <cell r="J2997" t="str">
            <v>PESSOA JURÍDICA</v>
          </cell>
          <cell r="K2997" t="str">
            <v>03.165.760/0001-47</v>
          </cell>
          <cell r="L2997" t="str">
            <v>IP</v>
          </cell>
          <cell r="M2997" t="str">
            <v>MAURO GENARI</v>
          </cell>
          <cell r="N2997" t="str">
            <v>FAI2960</v>
          </cell>
          <cell r="O2997" t="str">
            <v>2011</v>
          </cell>
          <cell r="P2997" t="str">
            <v>19</v>
          </cell>
          <cell r="Q2997" t="str">
            <v>18</v>
          </cell>
        </row>
        <row r="2998">
          <cell r="B2998" t="str">
            <v>5001/16</v>
          </cell>
          <cell r="C2998" t="str">
            <v>2016-0.045.207-4</v>
          </cell>
          <cell r="D2998" t="str">
            <v/>
          </cell>
          <cell r="E2998" t="str">
            <v>08 de março de 2016</v>
          </cell>
          <cell r="F2998" t="str">
            <v>COOPERATIVA BRASILEIRA DE TRANSPORTE - COBRATE</v>
          </cell>
          <cell r="G2998" t="str">
            <v>24/02/2016</v>
          </cell>
          <cell r="H2998" t="str">
            <v>08/03/2016</v>
          </cell>
          <cell r="I2998" t="str">
            <v>28</v>
          </cell>
          <cell r="J2998" t="str">
            <v>PESSOA JURÍDICA</v>
          </cell>
          <cell r="K2998" t="str">
            <v>03.165.760/0001-47</v>
          </cell>
          <cell r="L2998" t="str">
            <v>IQ</v>
          </cell>
          <cell r="M2998" t="str">
            <v>JOSEMIR DE SOUZA LIMA JUNIOR</v>
          </cell>
          <cell r="N2998" t="str">
            <v>DTD1596</v>
          </cell>
          <cell r="O2998" t="str">
            <v>2007</v>
          </cell>
          <cell r="P2998" t="str">
            <v>19</v>
          </cell>
          <cell r="Q2998" t="str">
            <v>17</v>
          </cell>
        </row>
        <row r="2999">
          <cell r="B2999" t="str">
            <v>5001/16</v>
          </cell>
          <cell r="C2999" t="str">
            <v>2016-0.045.207-4</v>
          </cell>
          <cell r="D2999" t="str">
            <v/>
          </cell>
          <cell r="E2999" t="str">
            <v>29 de março de 2016</v>
          </cell>
          <cell r="F2999" t="str">
            <v>COOPERATIVA BRASILEIRA DE TRANSPORTE - COBRATE</v>
          </cell>
          <cell r="G2999" t="str">
            <v>24/02/2016</v>
          </cell>
          <cell r="H2999" t="str">
            <v>08/03/2016</v>
          </cell>
          <cell r="I2999" t="str">
            <v>28</v>
          </cell>
          <cell r="J2999" t="str">
            <v>PESSOA JURÍDICA</v>
          </cell>
          <cell r="K2999" t="str">
            <v>03.165.760/0001-47</v>
          </cell>
          <cell r="L2999" t="str">
            <v>IP</v>
          </cell>
          <cell r="M2999" t="str">
            <v>ROSEMEIRE SABADOTO BERTOLAZO VIEIRA</v>
          </cell>
          <cell r="N2999" t="str">
            <v>LOS9849</v>
          </cell>
          <cell r="O2999" t="str">
            <v>2003</v>
          </cell>
          <cell r="P2999" t="str">
            <v>25</v>
          </cell>
          <cell r="Q2999" t="str">
            <v>23</v>
          </cell>
        </row>
        <row r="3000">
          <cell r="B3000" t="str">
            <v>5001/16</v>
          </cell>
          <cell r="C3000" t="str">
            <v>2016-0.045.207-4</v>
          </cell>
          <cell r="D3000" t="str">
            <v/>
          </cell>
          <cell r="E3000" t="str">
            <v>05 de abril de 2016</v>
          </cell>
          <cell r="F3000" t="str">
            <v>COOPERATIVA BRASILEIRA DE TRANSPORTE - COBRATE</v>
          </cell>
          <cell r="G3000" t="str">
            <v>24/02/2016</v>
          </cell>
          <cell r="H3000" t="str">
            <v>08/03/2016</v>
          </cell>
          <cell r="I3000" t="str">
            <v>28</v>
          </cell>
          <cell r="J3000" t="str">
            <v>PESSOA JURÍDICA</v>
          </cell>
          <cell r="K3000" t="str">
            <v>03.165.760/0001-47</v>
          </cell>
          <cell r="L3000" t="str">
            <v>JT</v>
          </cell>
          <cell r="M3000" t="str">
            <v>JOSE CIRINO DA SILVA</v>
          </cell>
          <cell r="N3000" t="str">
            <v>DTB7780</v>
          </cell>
          <cell r="O3000" t="str">
            <v>2007</v>
          </cell>
          <cell r="P3000" t="str">
            <v>25</v>
          </cell>
          <cell r="Q3000" t="str">
            <v>23</v>
          </cell>
        </row>
        <row r="3001">
          <cell r="B3001" t="str">
            <v>5001/16</v>
          </cell>
          <cell r="C3001" t="str">
            <v>2016-0.045.207-4</v>
          </cell>
          <cell r="D3001" t="str">
            <v/>
          </cell>
          <cell r="E3001" t="str">
            <v>04 de abril de 2016</v>
          </cell>
          <cell r="F3001" t="str">
            <v>COOPERATIVA BRASILEIRA DE TRANSPORTE - COBRATE</v>
          </cell>
          <cell r="G3001" t="str">
            <v>24/02/2016</v>
          </cell>
          <cell r="H3001" t="str">
            <v>08/03/2016</v>
          </cell>
          <cell r="I3001" t="str">
            <v>28</v>
          </cell>
          <cell r="J3001" t="str">
            <v>PESSOA JURÍDICA</v>
          </cell>
          <cell r="K3001" t="str">
            <v>03.165.760/0001-47</v>
          </cell>
          <cell r="L3001" t="str">
            <v>SM</v>
          </cell>
          <cell r="M3001" t="str">
            <v>DOUGLAS BELINI</v>
          </cell>
          <cell r="N3001" t="str">
            <v>EFW9987</v>
          </cell>
          <cell r="O3001" t="str">
            <v>2012</v>
          </cell>
          <cell r="P3001" t="str">
            <v>19</v>
          </cell>
          <cell r="Q3001" t="str">
            <v>18</v>
          </cell>
        </row>
        <row r="3002">
          <cell r="B3002" t="str">
            <v>5001/16</v>
          </cell>
          <cell r="C3002" t="str">
            <v>2016-0.045.207-4</v>
          </cell>
          <cell r="D3002" t="str">
            <v/>
          </cell>
          <cell r="E3002" t="str">
            <v>08 de março de 2016</v>
          </cell>
          <cell r="F3002" t="str">
            <v>COOPERATIVA BRASILEIRA DE TRANSPORTE - COBRATE</v>
          </cell>
          <cell r="G3002" t="str">
            <v>24/02/2016</v>
          </cell>
          <cell r="H3002" t="str">
            <v>08/03/2016</v>
          </cell>
          <cell r="I3002" t="str">
            <v>28</v>
          </cell>
          <cell r="J3002" t="str">
            <v>PESSOA JURÍDICA</v>
          </cell>
          <cell r="K3002" t="str">
            <v>03.165.760/0001-47</v>
          </cell>
          <cell r="L3002" t="str">
            <v>SM</v>
          </cell>
          <cell r="M3002" t="str">
            <v>BENITO MOLLO JUNIOR</v>
          </cell>
          <cell r="N3002" t="str">
            <v>EZL0695</v>
          </cell>
          <cell r="O3002" t="str">
            <v>2013</v>
          </cell>
          <cell r="P3002" t="str">
            <v>19</v>
          </cell>
          <cell r="Q3002" t="str">
            <v>18</v>
          </cell>
        </row>
        <row r="3003">
          <cell r="B3003" t="str">
            <v>5001/16</v>
          </cell>
          <cell r="C3003" t="str">
            <v>2016-0.045.207-4</v>
          </cell>
          <cell r="D3003" t="str">
            <v/>
          </cell>
          <cell r="E3003" t="str">
            <v/>
          </cell>
          <cell r="F3003" t="str">
            <v>COOPERATIVA BRASILEIRA DE TRANSPORTE - COBRATE</v>
          </cell>
          <cell r="G3003" t="str">
            <v>24/02/2016</v>
          </cell>
          <cell r="H3003" t="str">
            <v>08/03/2016</v>
          </cell>
          <cell r="I3003" t="str">
            <v>28</v>
          </cell>
          <cell r="J3003" t="str">
            <v>PESSOA JURÍDICA</v>
          </cell>
          <cell r="K3003" t="str">
            <v>03.165.760/0001-47</v>
          </cell>
          <cell r="L3003" t="str">
            <v>PJ</v>
          </cell>
          <cell r="M3003" t="str">
            <v>WILLIAN PAULINO DE MELLO</v>
          </cell>
          <cell r="N3003" t="str">
            <v>DMG7215</v>
          </cell>
          <cell r="O3003" t="str">
            <v>2003</v>
          </cell>
          <cell r="P3003" t="str">
            <v>25</v>
          </cell>
          <cell r="Q3003" t="str">
            <v>23</v>
          </cell>
        </row>
        <row r="3004">
          <cell r="B3004" t="str">
            <v>5001/16</v>
          </cell>
          <cell r="C3004" t="str">
            <v>2016-0.045.207-4</v>
          </cell>
          <cell r="D3004" t="str">
            <v/>
          </cell>
          <cell r="E3004" t="str">
            <v>12 de abril de 2016</v>
          </cell>
          <cell r="F3004" t="str">
            <v>COOPERATIVA BRASILEIRA DE TRANSPORTE - COBRATE</v>
          </cell>
          <cell r="G3004" t="str">
            <v>24/02/2016</v>
          </cell>
          <cell r="H3004" t="str">
            <v>08/03/2016</v>
          </cell>
          <cell r="I3004" t="str">
            <v>28</v>
          </cell>
          <cell r="J3004" t="str">
            <v>PESSOA JURÍDICA</v>
          </cell>
          <cell r="K3004" t="str">
            <v>03.165.760/0001-47</v>
          </cell>
          <cell r="L3004" t="str">
            <v>PE</v>
          </cell>
          <cell r="M3004" t="str">
            <v>IOLANDA APARECIDA ROBERTO</v>
          </cell>
          <cell r="N3004" t="str">
            <v>ELA8373</v>
          </cell>
          <cell r="O3004" t="str">
            <v>2010</v>
          </cell>
          <cell r="P3004" t="str">
            <v>19</v>
          </cell>
          <cell r="Q3004" t="str">
            <v>18</v>
          </cell>
        </row>
        <row r="3005">
          <cell r="B3005" t="str">
            <v>5001/16</v>
          </cell>
          <cell r="C3005" t="str">
            <v>2016-0.045.207-4</v>
          </cell>
          <cell r="D3005" t="str">
            <v/>
          </cell>
          <cell r="E3005" t="str">
            <v>08 de março de 2016</v>
          </cell>
          <cell r="F3005" t="str">
            <v>COOPERATIVA BRASILEIRA DE TRANSPORTE - COBRATE</v>
          </cell>
          <cell r="G3005" t="str">
            <v>24/02/2016</v>
          </cell>
          <cell r="H3005" t="str">
            <v>08/03/2016</v>
          </cell>
          <cell r="I3005" t="str">
            <v>28</v>
          </cell>
          <cell r="J3005" t="str">
            <v>PESSOA JURÍDICA</v>
          </cell>
          <cell r="K3005" t="str">
            <v>03.165.760/0001-47</v>
          </cell>
          <cell r="L3005" t="str">
            <v>SM</v>
          </cell>
          <cell r="M3005" t="str">
            <v>PAULO SERGIO DUARTE</v>
          </cell>
          <cell r="N3005" t="str">
            <v>DTC4396</v>
          </cell>
          <cell r="O3005" t="str">
            <v>2008</v>
          </cell>
          <cell r="P3005" t="str">
            <v>29</v>
          </cell>
          <cell r="Q3005" t="str">
            <v>27</v>
          </cell>
        </row>
        <row r="3006">
          <cell r="B3006" t="str">
            <v>5001/16</v>
          </cell>
          <cell r="C3006" t="str">
            <v>2016-0.045.207-4</v>
          </cell>
          <cell r="D3006" t="str">
            <v/>
          </cell>
          <cell r="E3006" t="str">
            <v>04 de abril de 2016</v>
          </cell>
          <cell r="F3006" t="str">
            <v>COOPERATIVA BRASILEIRA DE TRANSPORTE - COBRATE</v>
          </cell>
          <cell r="G3006" t="str">
            <v>24/02/2016</v>
          </cell>
          <cell r="H3006" t="str">
            <v>08/03/2016</v>
          </cell>
          <cell r="I3006" t="str">
            <v>28</v>
          </cell>
          <cell r="J3006" t="str">
            <v>PESSOA JURÍDICA</v>
          </cell>
          <cell r="K3006" t="str">
            <v>03.165.760/0001-47</v>
          </cell>
          <cell r="L3006" t="str">
            <v>SM</v>
          </cell>
          <cell r="M3006" t="str">
            <v>CARLOS DA ROCHA CARAMELO</v>
          </cell>
          <cell r="N3006" t="str">
            <v>DKB7807</v>
          </cell>
          <cell r="O3006" t="str">
            <v>2003</v>
          </cell>
          <cell r="P3006" t="str">
            <v>25</v>
          </cell>
          <cell r="Q3006" t="str">
            <v>23</v>
          </cell>
        </row>
        <row r="3007">
          <cell r="B3007" t="str">
            <v>5001/16</v>
          </cell>
          <cell r="C3007" t="str">
            <v>2016-0.045.207-4</v>
          </cell>
          <cell r="D3007" t="str">
            <v/>
          </cell>
          <cell r="E3007" t="str">
            <v>08 de março de 2016</v>
          </cell>
          <cell r="F3007" t="str">
            <v>COOPERATIVA BRASILEIRA DE TRANSPORTE - COBRATE</v>
          </cell>
          <cell r="G3007" t="str">
            <v>24/02/2016</v>
          </cell>
          <cell r="H3007" t="str">
            <v>08/03/2016</v>
          </cell>
          <cell r="I3007" t="str">
            <v>28</v>
          </cell>
          <cell r="J3007" t="str">
            <v>PESSOA JURÍDICA</v>
          </cell>
          <cell r="K3007" t="str">
            <v>03.165.760/0001-47</v>
          </cell>
          <cell r="L3007" t="str">
            <v>SM</v>
          </cell>
          <cell r="M3007" t="str">
            <v>MARIO BINOTTI</v>
          </cell>
          <cell r="N3007" t="str">
            <v>DTC5478</v>
          </cell>
          <cell r="O3007" t="str">
            <v>2008</v>
          </cell>
          <cell r="P3007" t="str">
            <v>29</v>
          </cell>
          <cell r="Q3007" t="str">
            <v>27</v>
          </cell>
        </row>
        <row r="3008">
          <cell r="B3008" t="str">
            <v>5001/16</v>
          </cell>
          <cell r="C3008" t="str">
            <v>2016-0.045.207-4</v>
          </cell>
          <cell r="D3008" t="str">
            <v/>
          </cell>
          <cell r="E3008" t="str">
            <v/>
          </cell>
          <cell r="F3008" t="str">
            <v>COOPERATIVA BRASILEIRA DE TRANSPORTE - COBRATE</v>
          </cell>
          <cell r="G3008" t="str">
            <v>24/02/2016</v>
          </cell>
          <cell r="H3008" t="str">
            <v>08/03/2016</v>
          </cell>
          <cell r="I3008" t="str">
            <v>28</v>
          </cell>
          <cell r="J3008" t="str">
            <v>PESSOA JURÍDICA</v>
          </cell>
          <cell r="K3008" t="str">
            <v>03.165.760/0001-47</v>
          </cell>
          <cell r="L3008" t="str">
            <v>IP</v>
          </cell>
          <cell r="M3008" t="str">
            <v>DEMETRIO SANTO BIN</v>
          </cell>
          <cell r="N3008" t="str">
            <v>DTD4300</v>
          </cell>
          <cell r="O3008" t="str">
            <v>2007</v>
          </cell>
          <cell r="P3008" t="str">
            <v>29</v>
          </cell>
          <cell r="Q3008" t="str">
            <v>27</v>
          </cell>
        </row>
        <row r="3009">
          <cell r="B3009" t="str">
            <v>5001/16</v>
          </cell>
          <cell r="C3009" t="str">
            <v>2016-0.045.207-4</v>
          </cell>
          <cell r="D3009" t="str">
            <v/>
          </cell>
          <cell r="E3009" t="str">
            <v>18 de março de 2016</v>
          </cell>
          <cell r="F3009" t="str">
            <v>COOPERATIVA BRASILEIRA DE TRANSPORTE - COBRATE</v>
          </cell>
          <cell r="G3009" t="str">
            <v>24/02/2016</v>
          </cell>
          <cell r="H3009" t="str">
            <v>08/03/2016</v>
          </cell>
          <cell r="I3009" t="str">
            <v>28</v>
          </cell>
          <cell r="J3009" t="str">
            <v>PESSOA JURÍDICA</v>
          </cell>
          <cell r="K3009" t="str">
            <v>03.165.760/0001-47</v>
          </cell>
          <cell r="L3009" t="str">
            <v>PE</v>
          </cell>
          <cell r="M3009" t="str">
            <v>PAULO DE ARAUJO MENEZES</v>
          </cell>
          <cell r="N3009" t="str">
            <v>DTC1469</v>
          </cell>
          <cell r="O3009" t="str">
            <v>2007</v>
          </cell>
          <cell r="P3009" t="str">
            <v>25</v>
          </cell>
          <cell r="Q3009" t="str">
            <v>23</v>
          </cell>
        </row>
        <row r="3010">
          <cell r="B3010" t="str">
            <v>5001/16</v>
          </cell>
          <cell r="C3010" t="str">
            <v>2016-0.045.207-4</v>
          </cell>
          <cell r="D3010" t="str">
            <v/>
          </cell>
          <cell r="E3010" t="str">
            <v>28 de abril de 2016</v>
          </cell>
          <cell r="F3010" t="str">
            <v>COOPERATIVA BRASILEIRA DE TRANSPORTE - COBRATE</v>
          </cell>
          <cell r="G3010" t="str">
            <v>24/02/2016</v>
          </cell>
          <cell r="H3010" t="str">
            <v>08/03/2016</v>
          </cell>
          <cell r="I3010" t="str">
            <v>28</v>
          </cell>
          <cell r="J3010" t="str">
            <v>PESSOA JURÍDICA</v>
          </cell>
          <cell r="K3010" t="str">
            <v>03.165.760/0001-47</v>
          </cell>
          <cell r="L3010" t="str">
            <v>PJ</v>
          </cell>
          <cell r="M3010" t="str">
            <v>ANTONIO RAIMUNDO XAVIER VARJAO</v>
          </cell>
          <cell r="N3010" t="str">
            <v>EGS2671</v>
          </cell>
          <cell r="O3010" t="str">
            <v>2008</v>
          </cell>
          <cell r="P3010" t="str">
            <v>19</v>
          </cell>
          <cell r="Q3010" t="str">
            <v>17</v>
          </cell>
        </row>
        <row r="3011">
          <cell r="B3011" t="str">
            <v>5001/16</v>
          </cell>
          <cell r="C3011" t="str">
            <v>2016-0.045.207-4</v>
          </cell>
          <cell r="D3011" t="str">
            <v/>
          </cell>
          <cell r="E3011" t="str">
            <v>29 de março de 2016</v>
          </cell>
          <cell r="F3011" t="str">
            <v>COOPERATIVA BRASILEIRA DE TRANSPORTE - COBRATE</v>
          </cell>
          <cell r="G3011" t="str">
            <v>24/02/2016</v>
          </cell>
          <cell r="H3011" t="str">
            <v>08/03/2016</v>
          </cell>
          <cell r="I3011" t="str">
            <v>28</v>
          </cell>
          <cell r="J3011" t="str">
            <v>PESSOA JURÍDICA</v>
          </cell>
          <cell r="K3011" t="str">
            <v>03.165.760/0001-47</v>
          </cell>
          <cell r="L3011" t="str">
            <v>IP</v>
          </cell>
          <cell r="M3011" t="str">
            <v>IZABEL LELIS MIRANDA BERNARDINO</v>
          </cell>
          <cell r="N3011" t="str">
            <v>EZO7428</v>
          </cell>
          <cell r="O3011" t="str">
            <v>2012</v>
          </cell>
          <cell r="P3011" t="str">
            <v>15</v>
          </cell>
          <cell r="Q3011" t="str">
            <v>14</v>
          </cell>
        </row>
        <row r="3012">
          <cell r="B3012" t="str">
            <v>5001/16</v>
          </cell>
          <cell r="C3012" t="str">
            <v>2016-0.045.207-4</v>
          </cell>
          <cell r="D3012" t="str">
            <v/>
          </cell>
          <cell r="E3012" t="str">
            <v>05 de abril de 2016</v>
          </cell>
          <cell r="F3012" t="str">
            <v>COOPERATIVA BRASILEIRA DE TRANSPORTE - COBRATE</v>
          </cell>
          <cell r="G3012" t="str">
            <v>24/02/2016</v>
          </cell>
          <cell r="H3012" t="str">
            <v>08/03/2016</v>
          </cell>
          <cell r="I3012" t="str">
            <v>28</v>
          </cell>
          <cell r="J3012" t="str">
            <v>PESSOA JURÍDICA</v>
          </cell>
          <cell r="K3012" t="str">
            <v>03.165.760/0001-47</v>
          </cell>
          <cell r="L3012" t="str">
            <v>PJ</v>
          </cell>
          <cell r="M3012" t="str">
            <v>ANTONIO RAIMUNDO XAVIER VARJAO - ME - WALLACE SANTOS XAVIER</v>
          </cell>
          <cell r="N3012" t="str">
            <v>DEZ5719</v>
          </cell>
          <cell r="O3012" t="str">
            <v>2001</v>
          </cell>
          <cell r="P3012" t="str">
            <v>25</v>
          </cell>
          <cell r="Q3012" t="str">
            <v>23</v>
          </cell>
        </row>
        <row r="3013">
          <cell r="B3013" t="str">
            <v>5001/16</v>
          </cell>
          <cell r="C3013" t="str">
            <v>2016-0.045.207-4</v>
          </cell>
          <cell r="D3013" t="str">
            <v/>
          </cell>
          <cell r="E3013" t="str">
            <v>18 de março de 2016</v>
          </cell>
          <cell r="F3013" t="str">
            <v>COOPERATIVA BRASILEIRA DE TRANSPORTE - COBRATE</v>
          </cell>
          <cell r="G3013" t="str">
            <v>24/02/2016</v>
          </cell>
          <cell r="H3013" t="str">
            <v>08/03/2016</v>
          </cell>
          <cell r="I3013" t="str">
            <v>28</v>
          </cell>
          <cell r="J3013" t="str">
            <v>PESSOA JURÍDICA</v>
          </cell>
          <cell r="K3013" t="str">
            <v>03.165.760/0001-47</v>
          </cell>
          <cell r="L3013" t="str">
            <v>SM</v>
          </cell>
          <cell r="M3013" t="str">
            <v>MARCIO ALVES DE OLIVEIRA</v>
          </cell>
          <cell r="N3013" t="str">
            <v>FFN7009</v>
          </cell>
          <cell r="O3013" t="str">
            <v>2013</v>
          </cell>
          <cell r="P3013" t="str">
            <v>19</v>
          </cell>
          <cell r="Q3013" t="str">
            <v>18</v>
          </cell>
        </row>
        <row r="3014">
          <cell r="B3014" t="str">
            <v>5001/16</v>
          </cell>
          <cell r="C3014" t="str">
            <v>2016-0.045.207-4</v>
          </cell>
          <cell r="D3014" t="str">
            <v/>
          </cell>
          <cell r="E3014" t="str">
            <v/>
          </cell>
          <cell r="F3014" t="str">
            <v>COOPERATIVA BRASILEIRA DE TRANSPORTE - COBRATE</v>
          </cell>
          <cell r="G3014" t="str">
            <v>24/02/2016</v>
          </cell>
          <cell r="H3014" t="str">
            <v>08/03/2016</v>
          </cell>
          <cell r="I3014" t="str">
            <v>28</v>
          </cell>
          <cell r="J3014" t="str">
            <v>PESSOA JURÍDICA</v>
          </cell>
          <cell r="K3014" t="str">
            <v>03.165.760/0001-47</v>
          </cell>
          <cell r="L3014" t="str">
            <v>CL</v>
          </cell>
          <cell r="M3014" t="str">
            <v>NELSON CASTELANELLI</v>
          </cell>
          <cell r="N3014" t="str">
            <v>DTD2992</v>
          </cell>
          <cell r="O3014" t="str">
            <v>2007</v>
          </cell>
          <cell r="P3014" t="str">
            <v>25</v>
          </cell>
          <cell r="Q3014" t="str">
            <v>23</v>
          </cell>
        </row>
        <row r="3015">
          <cell r="B3015" t="str">
            <v>5001/16</v>
          </cell>
          <cell r="C3015" t="str">
            <v>2016-0.045.207-4</v>
          </cell>
          <cell r="D3015" t="str">
            <v/>
          </cell>
          <cell r="E3015" t="str">
            <v>29 de março de 2016</v>
          </cell>
          <cell r="F3015" t="str">
            <v>COOPERATIVA BRASILEIRA DE TRANSPORTE - COBRATE</v>
          </cell>
          <cell r="G3015" t="str">
            <v>24/02/2016</v>
          </cell>
          <cell r="H3015" t="str">
            <v>08/03/2016</v>
          </cell>
          <cell r="I3015" t="str">
            <v>28</v>
          </cell>
          <cell r="J3015" t="str">
            <v>PESSOA JURÍDICA</v>
          </cell>
          <cell r="K3015" t="str">
            <v>03.165.760/0001-47</v>
          </cell>
          <cell r="L3015" t="str">
            <v>SM</v>
          </cell>
          <cell r="M3015" t="str">
            <v>SAMUEL BATISTA CASAL</v>
          </cell>
          <cell r="N3015" t="str">
            <v>DTC3817</v>
          </cell>
          <cell r="O3015" t="str">
            <v>2008</v>
          </cell>
          <cell r="P3015" t="str">
            <v>29</v>
          </cell>
          <cell r="Q3015" t="str">
            <v>27</v>
          </cell>
        </row>
        <row r="3016">
          <cell r="B3016" t="str">
            <v>5001/16</v>
          </cell>
          <cell r="C3016" t="str">
            <v>2016-0.045.207-4</v>
          </cell>
          <cell r="D3016" t="str">
            <v/>
          </cell>
          <cell r="E3016" t="str">
            <v>10 de março de 2016</v>
          </cell>
          <cell r="F3016" t="str">
            <v>COOPERATIVA BRASILEIRA DE TRANSPORTE - COBRATE</v>
          </cell>
          <cell r="G3016" t="str">
            <v>24/02/2016</v>
          </cell>
          <cell r="H3016" t="str">
            <v>08/03/2016</v>
          </cell>
          <cell r="I3016" t="str">
            <v>28</v>
          </cell>
          <cell r="J3016" t="str">
            <v>PESSOA JURÍDICA</v>
          </cell>
          <cell r="K3016" t="str">
            <v>03.165.760/0001-47</v>
          </cell>
          <cell r="L3016" t="str">
            <v>BT</v>
          </cell>
          <cell r="M3016" t="str">
            <v>CARLOS EDUARDO DE OLIVEIRA</v>
          </cell>
          <cell r="N3016" t="str">
            <v>EGJ9134</v>
          </cell>
          <cell r="O3016" t="str">
            <v>2010</v>
          </cell>
          <cell r="P3016" t="str">
            <v>19</v>
          </cell>
          <cell r="Q3016" t="str">
            <v>18</v>
          </cell>
        </row>
        <row r="3017">
          <cell r="B3017" t="str">
            <v>5001/16</v>
          </cell>
          <cell r="C3017" t="str">
            <v>2016-0.045.207-4</v>
          </cell>
          <cell r="D3017" t="str">
            <v/>
          </cell>
          <cell r="E3017" t="str">
            <v>12 de abril de 2016</v>
          </cell>
          <cell r="F3017" t="str">
            <v>COOPERATIVA BRASILEIRA DE TRANSPORTE - COBRATE</v>
          </cell>
          <cell r="G3017" t="str">
            <v>24/02/2016</v>
          </cell>
          <cell r="H3017" t="str">
            <v>08/03/2016</v>
          </cell>
          <cell r="I3017" t="str">
            <v>28</v>
          </cell>
          <cell r="J3017" t="str">
            <v>PESSOA JURÍDICA</v>
          </cell>
          <cell r="K3017" t="str">
            <v>03.165.760/0001-47</v>
          </cell>
          <cell r="L3017" t="str">
            <v>FO</v>
          </cell>
          <cell r="M3017" t="str">
            <v>RENATO KAWAMURA</v>
          </cell>
          <cell r="N3017" t="str">
            <v>ELQ4260</v>
          </cell>
          <cell r="O3017" t="str">
            <v>2010</v>
          </cell>
          <cell r="P3017" t="str">
            <v>15</v>
          </cell>
          <cell r="Q3017" t="str">
            <v>14</v>
          </cell>
        </row>
        <row r="3018">
          <cell r="B3018" t="str">
            <v>5001/16</v>
          </cell>
          <cell r="C3018" t="str">
            <v>2016-0.045.207-4</v>
          </cell>
          <cell r="D3018" t="str">
            <v/>
          </cell>
          <cell r="E3018" t="str">
            <v>12 de abril de 2016</v>
          </cell>
          <cell r="F3018" t="str">
            <v>COOPERATIVA BRASILEIRA DE TRANSPORTE - COBRATE</v>
          </cell>
          <cell r="G3018" t="str">
            <v>24/02/2016</v>
          </cell>
          <cell r="H3018" t="str">
            <v>08/03/2016</v>
          </cell>
          <cell r="I3018" t="str">
            <v>28</v>
          </cell>
          <cell r="J3018" t="str">
            <v>PESSOA JURÍDICA</v>
          </cell>
          <cell r="K3018" t="str">
            <v>03.165.760/0001-47</v>
          </cell>
          <cell r="L3018" t="str">
            <v>PJ</v>
          </cell>
          <cell r="M3018" t="str">
            <v>ANA MARIA DA CONCEICAO</v>
          </cell>
          <cell r="N3018" t="str">
            <v>FHL6631</v>
          </cell>
          <cell r="O3018" t="str">
            <v>2013</v>
          </cell>
          <cell r="P3018" t="str">
            <v>19</v>
          </cell>
          <cell r="Q3018" t="str">
            <v>18</v>
          </cell>
        </row>
        <row r="3019">
          <cell r="B3019" t="str">
            <v>5001/16</v>
          </cell>
          <cell r="C3019" t="str">
            <v>2016-0.045.207-4</v>
          </cell>
          <cell r="D3019" t="str">
            <v/>
          </cell>
          <cell r="E3019" t="str">
            <v>29 de março de 2016</v>
          </cell>
          <cell r="F3019" t="str">
            <v>COOPERATIVA BRASILEIRA DE TRANSPORTE - COBRATE</v>
          </cell>
          <cell r="G3019" t="str">
            <v>24/02/2016</v>
          </cell>
          <cell r="H3019" t="str">
            <v>08/03/2016</v>
          </cell>
          <cell r="I3019" t="str">
            <v>28</v>
          </cell>
          <cell r="J3019" t="str">
            <v>PESSOA JURÍDICA</v>
          </cell>
          <cell r="K3019" t="str">
            <v>03.165.760/0001-47</v>
          </cell>
          <cell r="L3019" t="str">
            <v>SM</v>
          </cell>
          <cell r="M3019" t="str">
            <v>WELLITON BESERRA DA SILVA</v>
          </cell>
          <cell r="N3019" t="str">
            <v xml:space="preserve">ELQ7370 </v>
          </cell>
          <cell r="O3019" t="str">
            <v>2010</v>
          </cell>
          <cell r="P3019" t="str">
            <v>19</v>
          </cell>
          <cell r="Q3019" t="str">
            <v>18</v>
          </cell>
        </row>
        <row r="3020">
          <cell r="B3020" t="str">
            <v>5001/16</v>
          </cell>
          <cell r="C3020" t="str">
            <v>2016-0.045.207-4</v>
          </cell>
          <cell r="D3020" t="str">
            <v/>
          </cell>
          <cell r="E3020" t="str">
            <v>29 de março de 2016</v>
          </cell>
          <cell r="F3020" t="str">
            <v>COOPERATIVA BRASILEIRA DE TRANSPORTE - COBRATE</v>
          </cell>
          <cell r="G3020" t="str">
            <v>24/02/2016</v>
          </cell>
          <cell r="H3020" t="str">
            <v>08/03/2016</v>
          </cell>
          <cell r="I3020" t="str">
            <v>28</v>
          </cell>
          <cell r="J3020" t="str">
            <v>PESSOA JURÍDICA</v>
          </cell>
          <cell r="K3020" t="str">
            <v>03.165.760/0001-47</v>
          </cell>
          <cell r="L3020" t="str">
            <v>IP</v>
          </cell>
          <cell r="M3020" t="str">
            <v>TRANSLUZ  TRANSPORTES ESCOLARES LTDA ME - SELMA JOSEFA DOS SANTOS DE OLIVEIRA</v>
          </cell>
          <cell r="N3020" t="str">
            <v>EFV9821</v>
          </cell>
          <cell r="O3020" t="str">
            <v>2011</v>
          </cell>
          <cell r="P3020" t="str">
            <v>19</v>
          </cell>
          <cell r="Q3020" t="str">
            <v>18</v>
          </cell>
        </row>
        <row r="3021">
          <cell r="B3021" t="str">
            <v>5001/16</v>
          </cell>
          <cell r="C3021" t="str">
            <v>2016-0.045.207-4</v>
          </cell>
          <cell r="D3021" t="str">
            <v/>
          </cell>
          <cell r="E3021" t="str">
            <v>12 de abril de 2016</v>
          </cell>
          <cell r="F3021" t="str">
            <v>COOPERATIVA BRASILEIRA DE TRANSPORTE - COBRATE</v>
          </cell>
          <cell r="G3021" t="str">
            <v>24/02/2016</v>
          </cell>
          <cell r="H3021" t="str">
            <v>08/03/2016</v>
          </cell>
          <cell r="I3021" t="str">
            <v>28</v>
          </cell>
          <cell r="J3021" t="str">
            <v>PESSOA JURÍDICA</v>
          </cell>
          <cell r="K3021" t="str">
            <v>03.165.760/0001-47</v>
          </cell>
          <cell r="L3021" t="str">
            <v>SM</v>
          </cell>
          <cell r="M3021" t="str">
            <v>SUELI HEREDIA LIMA</v>
          </cell>
          <cell r="N3021" t="str">
            <v>DAJ8939</v>
          </cell>
          <cell r="O3021" t="str">
            <v>2009</v>
          </cell>
          <cell r="P3021" t="str">
            <v>29</v>
          </cell>
          <cell r="Q3021" t="str">
            <v>28</v>
          </cell>
        </row>
        <row r="3022">
          <cell r="B3022" t="str">
            <v>5001/16</v>
          </cell>
          <cell r="C3022" t="str">
            <v>2016-0.045.207-4</v>
          </cell>
          <cell r="D3022" t="str">
            <v/>
          </cell>
          <cell r="E3022" t="str">
            <v/>
          </cell>
          <cell r="F3022" t="str">
            <v>COOPERATIVA BRASILEIRA DE TRANSPORTE - COBRATE</v>
          </cell>
          <cell r="G3022" t="str">
            <v>24/02/2016</v>
          </cell>
          <cell r="H3022" t="str">
            <v>08/03/2016</v>
          </cell>
          <cell r="I3022" t="str">
            <v>28</v>
          </cell>
          <cell r="J3022" t="str">
            <v>PESSOA JURÍDICA</v>
          </cell>
          <cell r="K3022" t="str">
            <v>03.165.760/0001-47</v>
          </cell>
          <cell r="L3022" t="str">
            <v>BT</v>
          </cell>
          <cell r="M3022" t="str">
            <v>MARCIA MARIA PAIXAO FERNANDES</v>
          </cell>
          <cell r="N3022" t="str">
            <v>EFW4701</v>
          </cell>
          <cell r="O3022" t="str">
            <v>2010</v>
          </cell>
          <cell r="P3022" t="str">
            <v>15</v>
          </cell>
          <cell r="Q3022" t="str">
            <v>14</v>
          </cell>
        </row>
        <row r="3023">
          <cell r="B3023" t="str">
            <v>5001/16</v>
          </cell>
          <cell r="C3023" t="str">
            <v>2016-0.045.207-4</v>
          </cell>
          <cell r="D3023" t="str">
            <v/>
          </cell>
          <cell r="E3023" t="str">
            <v>28 de abril de 2016</v>
          </cell>
          <cell r="F3023" t="str">
            <v>COOPERATIVA BRASILEIRA DE TRANSPORTE - COBRATE</v>
          </cell>
          <cell r="G3023" t="str">
            <v>24/02/2016</v>
          </cell>
          <cell r="H3023" t="str">
            <v>08/03/2016</v>
          </cell>
          <cell r="I3023" t="str">
            <v>28</v>
          </cell>
          <cell r="J3023" t="str">
            <v>PESSOA JURÍDICA</v>
          </cell>
          <cell r="K3023" t="str">
            <v>03.165.760/0001-47</v>
          </cell>
          <cell r="L3023" t="str">
            <v>PE</v>
          </cell>
          <cell r="M3023" t="str">
            <v>DENIS RITCHIE CHECCO</v>
          </cell>
          <cell r="N3023" t="str">
            <v>EUG7361</v>
          </cell>
          <cell r="O3023" t="str">
            <v>2010</v>
          </cell>
          <cell r="P3023" t="str">
            <v>19</v>
          </cell>
          <cell r="Q3023" t="str">
            <v>18</v>
          </cell>
        </row>
        <row r="3024">
          <cell r="B3024" t="str">
            <v>5001/16</v>
          </cell>
          <cell r="C3024" t="str">
            <v>2016-0.045.207-4</v>
          </cell>
          <cell r="D3024" t="str">
            <v/>
          </cell>
          <cell r="E3024" t="str">
            <v>05 de abril de 2016</v>
          </cell>
          <cell r="F3024" t="str">
            <v>COOPERATIVA BRASILEIRA DE TRANSPORTE - COBRATE</v>
          </cell>
          <cell r="G3024" t="str">
            <v>24/02/2016</v>
          </cell>
          <cell r="H3024" t="str">
            <v>08/03/2016</v>
          </cell>
          <cell r="I3024" t="str">
            <v>28</v>
          </cell>
          <cell r="J3024" t="str">
            <v>PESSOA JURÍDICA</v>
          </cell>
          <cell r="K3024" t="str">
            <v>03.165.760/0001-47</v>
          </cell>
          <cell r="L3024" t="str">
            <v>CS</v>
          </cell>
          <cell r="M3024" t="str">
            <v>ROSCHEL R.V. TRANSPORTES SOCIEDADE SIMPLES LTDA - ME - JOSE APARECIDO DANTAS VIEIRA</v>
          </cell>
          <cell r="N3024" t="str">
            <v>DUC3969</v>
          </cell>
          <cell r="O3024" t="str">
            <v>2007</v>
          </cell>
          <cell r="P3024" t="str">
            <v>29</v>
          </cell>
          <cell r="Q3024" t="str">
            <v>27</v>
          </cell>
        </row>
        <row r="3025">
          <cell r="B3025" t="str">
            <v>5001/16</v>
          </cell>
          <cell r="C3025" t="str">
            <v>2016-0.045.207-4</v>
          </cell>
          <cell r="D3025" t="str">
            <v>05/04/2016</v>
          </cell>
          <cell r="E3025" t="str">
            <v>12 de abril de 2016</v>
          </cell>
          <cell r="F3025" t="str">
            <v>COOPERATIVA BRASILEIRA DE TRANSPORTE - COBRATE</v>
          </cell>
          <cell r="G3025" t="str">
            <v>24/02/2016</v>
          </cell>
          <cell r="H3025" t="str">
            <v>08/03/2016</v>
          </cell>
          <cell r="I3025" t="str">
            <v>28</v>
          </cell>
          <cell r="J3025" t="str">
            <v>PESSOA JURÍDICA</v>
          </cell>
          <cell r="K3025" t="str">
            <v>03.165.760/0001-47</v>
          </cell>
          <cell r="L3025" t="str">
            <v>PE</v>
          </cell>
          <cell r="M3025" t="str">
            <v>LILIAN CAPITAN PAZ</v>
          </cell>
          <cell r="N3025" t="str">
            <v>ARN9792</v>
          </cell>
          <cell r="O3025" t="str">
            <v>2009</v>
          </cell>
          <cell r="P3025" t="str">
            <v>15</v>
          </cell>
          <cell r="Q3025" t="str">
            <v>13</v>
          </cell>
        </row>
        <row r="3026">
          <cell r="B3026" t="str">
            <v>5001/16</v>
          </cell>
          <cell r="C3026" t="str">
            <v>2016-0.045.207-4</v>
          </cell>
          <cell r="D3026" t="str">
            <v/>
          </cell>
          <cell r="E3026" t="str">
            <v/>
          </cell>
          <cell r="F3026" t="str">
            <v>COOPERATIVA BRASILEIRA DE TRANSPORTE - COBRATE</v>
          </cell>
          <cell r="G3026" t="str">
            <v>24/02/2016</v>
          </cell>
          <cell r="H3026" t="str">
            <v>08/03/2016</v>
          </cell>
          <cell r="I3026" t="str">
            <v>28</v>
          </cell>
          <cell r="J3026" t="str">
            <v>PESSOA JURÍDICA</v>
          </cell>
          <cell r="K3026" t="str">
            <v>03.165.760/0001-47</v>
          </cell>
          <cell r="L3026" t="str">
            <v>BT</v>
          </cell>
          <cell r="M3026" t="str">
            <v>EVERALDO OLIVEIRA BORTOLO ME - EDMARA MENDES DE BRITO SILVA</v>
          </cell>
          <cell r="N3026" t="str">
            <v>ECT8248</v>
          </cell>
          <cell r="O3026" t="str">
            <v>2008</v>
          </cell>
          <cell r="P3026" t="str">
            <v>29</v>
          </cell>
          <cell r="Q3026" t="str">
            <v>27</v>
          </cell>
        </row>
        <row r="3027">
          <cell r="B3027" t="str">
            <v>5001/16</v>
          </cell>
          <cell r="C3027" t="str">
            <v>2016-0.045.207-4</v>
          </cell>
          <cell r="D3027" t="str">
            <v/>
          </cell>
          <cell r="E3027" t="str">
            <v>10 de março de 2016</v>
          </cell>
          <cell r="F3027" t="str">
            <v>COOPERATIVA BRASILEIRA DE TRANSPORTE - COBRATE</v>
          </cell>
          <cell r="G3027" t="str">
            <v>24/02/2016</v>
          </cell>
          <cell r="H3027" t="str">
            <v>08/03/2016</v>
          </cell>
          <cell r="I3027" t="str">
            <v>28</v>
          </cell>
          <cell r="J3027" t="str">
            <v>PESSOA JURÍDICA</v>
          </cell>
          <cell r="K3027" t="str">
            <v>03.165.760/0001-47</v>
          </cell>
          <cell r="L3027" t="str">
            <v>BT</v>
          </cell>
          <cell r="M3027" t="str">
            <v>CRISTIANO CAPUTTI LOCADORA E TRANSPORTES ME - EDSON HENRIQUE DE FREITAS</v>
          </cell>
          <cell r="N3027" t="str">
            <v>DJB8872</v>
          </cell>
          <cell r="O3027" t="str">
            <v>2004</v>
          </cell>
          <cell r="P3027" t="str">
            <v>25</v>
          </cell>
          <cell r="Q3027" t="str">
            <v>23</v>
          </cell>
        </row>
        <row r="3028">
          <cell r="B3028" t="str">
            <v>5001/16</v>
          </cell>
          <cell r="C3028" t="str">
            <v>2016-0.045.207-4</v>
          </cell>
          <cell r="D3028" t="str">
            <v>19/02/2016</v>
          </cell>
          <cell r="E3028" t="str">
            <v>24 de fevereiro de 2016</v>
          </cell>
          <cell r="F3028" t="str">
            <v>COOPERATIVA BRASILEIRA DE TRANSPORTE - COBRATE</v>
          </cell>
          <cell r="G3028" t="str">
            <v>24/02/2016</v>
          </cell>
          <cell r="H3028" t="str">
            <v>08/03/2016</v>
          </cell>
          <cell r="I3028" t="str">
            <v>28</v>
          </cell>
          <cell r="J3028" t="str">
            <v>PESSOA JURÍDICA</v>
          </cell>
          <cell r="K3028" t="str">
            <v>03.165.760/0001-47</v>
          </cell>
          <cell r="L3028" t="str">
            <v>PJ</v>
          </cell>
          <cell r="M3028" t="str">
            <v>DIRERE TRANSPORTE ESCOLAR LTDA ME - WILLIAM DA FONSECA</v>
          </cell>
          <cell r="N3028" t="str">
            <v>DTA1428</v>
          </cell>
          <cell r="O3028" t="str">
            <v>2007</v>
          </cell>
          <cell r="P3028" t="str">
            <v>25</v>
          </cell>
          <cell r="Q3028" t="str">
            <v>23</v>
          </cell>
        </row>
        <row r="3029">
          <cell r="B3029" t="str">
            <v>5001/16</v>
          </cell>
          <cell r="C3029" t="str">
            <v>2016-0.045.207-4</v>
          </cell>
          <cell r="D3029" t="str">
            <v/>
          </cell>
          <cell r="E3029" t="str">
            <v>18 de março de 2016</v>
          </cell>
          <cell r="F3029" t="str">
            <v>COOPERATIVA BRASILEIRA DE TRANSPORTE - COBRATE</v>
          </cell>
          <cell r="G3029" t="str">
            <v>24/02/2016</v>
          </cell>
          <cell r="H3029" t="str">
            <v>08/03/2016</v>
          </cell>
          <cell r="I3029" t="str">
            <v>28</v>
          </cell>
          <cell r="J3029" t="str">
            <v>PESSOA JURÍDICA</v>
          </cell>
          <cell r="K3029" t="str">
            <v>03.165.760/0001-47</v>
          </cell>
          <cell r="L3029" t="str">
            <v>SM</v>
          </cell>
          <cell r="M3029" t="str">
            <v>IDERVAL BIANCO IANUANTUONI</v>
          </cell>
          <cell r="N3029" t="str">
            <v>DTD5579</v>
          </cell>
          <cell r="O3029" t="str">
            <v>2008</v>
          </cell>
          <cell r="P3029" t="str">
            <v>19</v>
          </cell>
          <cell r="Q3029" t="str">
            <v>18</v>
          </cell>
        </row>
        <row r="3030">
          <cell r="B3030" t="str">
            <v>5001/16</v>
          </cell>
          <cell r="C3030" t="str">
            <v>2016-0.045.207-4</v>
          </cell>
          <cell r="D3030" t="str">
            <v/>
          </cell>
          <cell r="E3030" t="str">
            <v/>
          </cell>
          <cell r="F3030" t="str">
            <v>COOPERATIVA BRASILEIRA DE TRANSPORTE - COBRATE</v>
          </cell>
          <cell r="G3030" t="str">
            <v>24/02/2016</v>
          </cell>
          <cell r="H3030" t="str">
            <v>08/03/2016</v>
          </cell>
          <cell r="I3030" t="str">
            <v>28</v>
          </cell>
          <cell r="J3030" t="str">
            <v>PESSOA JURÍDICA</v>
          </cell>
          <cell r="K3030" t="str">
            <v>03.165.760/0001-47</v>
          </cell>
          <cell r="L3030" t="str">
            <v>BT</v>
          </cell>
          <cell r="M3030" t="str">
            <v>CRISTIANO CAPUTTI LOCADORA E TRANSPORTES ME - WILBER CAMARINHA DA SILVA</v>
          </cell>
          <cell r="N3030" t="str">
            <v>DAH4241</v>
          </cell>
          <cell r="O3030" t="str">
            <v>2003</v>
          </cell>
          <cell r="P3030" t="str">
            <v>25</v>
          </cell>
          <cell r="Q3030" t="str">
            <v>23</v>
          </cell>
        </row>
        <row r="3031">
          <cell r="B3031" t="str">
            <v>5001/16</v>
          </cell>
          <cell r="C3031" t="str">
            <v>2016-0.045.207-4</v>
          </cell>
          <cell r="D3031" t="str">
            <v/>
          </cell>
          <cell r="E3031" t="str">
            <v/>
          </cell>
          <cell r="F3031" t="str">
            <v>COOPERATIVA BRASILEIRA DE TRANSPORTE - COBRATE</v>
          </cell>
          <cell r="G3031" t="str">
            <v>24/02/2016</v>
          </cell>
          <cell r="H3031" t="str">
            <v>08/03/2016</v>
          </cell>
          <cell r="I3031" t="str">
            <v>28</v>
          </cell>
          <cell r="J3031" t="str">
            <v>PESSOA JURÍDICA</v>
          </cell>
          <cell r="K3031" t="str">
            <v>03.165.760/0001-47</v>
          </cell>
          <cell r="L3031" t="str">
            <v>BT</v>
          </cell>
          <cell r="M3031" t="str">
            <v>FRANCISCO SERGIO LUIZ</v>
          </cell>
          <cell r="N3031" t="str">
            <v>FJP7538</v>
          </cell>
          <cell r="O3031" t="str">
            <v>2013</v>
          </cell>
          <cell r="P3031" t="str">
            <v>19</v>
          </cell>
          <cell r="Q3031" t="str">
            <v>18</v>
          </cell>
        </row>
        <row r="3032">
          <cell r="B3032" t="str">
            <v>5001/16</v>
          </cell>
          <cell r="C3032" t="str">
            <v>2016-0.045.207-4</v>
          </cell>
          <cell r="D3032" t="str">
            <v>22/02/2016</v>
          </cell>
          <cell r="E3032" t="str">
            <v>24 de fevereiro de 2016</v>
          </cell>
          <cell r="F3032" t="str">
            <v>COOPERATIVA BRASILEIRA DE TRANSPORTE - COBRATE</v>
          </cell>
          <cell r="G3032" t="str">
            <v>24/02/2016</v>
          </cell>
          <cell r="H3032" t="str">
            <v>08/03/2016</v>
          </cell>
          <cell r="I3032" t="str">
            <v>28</v>
          </cell>
          <cell r="J3032" t="str">
            <v>PESSOA JURÍDICA</v>
          </cell>
          <cell r="K3032" t="str">
            <v>03.165.760/0001-47</v>
          </cell>
          <cell r="L3032" t="str">
            <v>PJ</v>
          </cell>
          <cell r="M3032" t="str">
            <v>LUGUS TRANSPORTE ESCOLAR LTDA - ANTONIO IDVAN ARAUJO MOTA</v>
          </cell>
          <cell r="N3032" t="str">
            <v>ELW7501</v>
          </cell>
          <cell r="O3032" t="str">
            <v>2011</v>
          </cell>
          <cell r="P3032" t="str">
            <v>24</v>
          </cell>
          <cell r="Q3032" t="str">
            <v>23</v>
          </cell>
        </row>
        <row r="3033">
          <cell r="B3033" t="str">
            <v>5001/16</v>
          </cell>
          <cell r="C3033" t="str">
            <v>2016-0.045.207-4</v>
          </cell>
          <cell r="D3033" t="str">
            <v/>
          </cell>
          <cell r="E3033" t="str">
            <v/>
          </cell>
          <cell r="F3033" t="str">
            <v>COOPERATIVA BRASILEIRA DE TRANSPORTE - COBRATE</v>
          </cell>
          <cell r="G3033" t="str">
            <v>24/02/2016</v>
          </cell>
          <cell r="H3033" t="str">
            <v>08/03/2016</v>
          </cell>
          <cell r="I3033" t="str">
            <v>28</v>
          </cell>
          <cell r="J3033" t="str">
            <v>PESSOA JURÍDICA</v>
          </cell>
          <cell r="K3033" t="str">
            <v>03.165.760/0001-47</v>
          </cell>
          <cell r="L3033" t="str">
            <v>SM</v>
          </cell>
          <cell r="M3033" t="str">
            <v>FLEEJET TRANSPORTES LTDA - ME - EDSON LEITE DE FREITAS</v>
          </cell>
          <cell r="N3033" t="str">
            <v>EFV8540</v>
          </cell>
          <cell r="O3033" t="str">
            <v>2010</v>
          </cell>
          <cell r="P3033" t="str">
            <v>19</v>
          </cell>
          <cell r="Q3033" t="str">
            <v>18</v>
          </cell>
        </row>
        <row r="3034">
          <cell r="B3034" t="str">
            <v>5001/16</v>
          </cell>
          <cell r="C3034" t="str">
            <v>2016-0.045.207-4</v>
          </cell>
          <cell r="D3034" t="str">
            <v/>
          </cell>
          <cell r="E3034" t="str">
            <v>10 de março de 2016</v>
          </cell>
          <cell r="F3034" t="str">
            <v>COOPERATIVA BRASILEIRA DE TRANSPORTE - COBRATE</v>
          </cell>
          <cell r="G3034" t="str">
            <v>24/02/2016</v>
          </cell>
          <cell r="H3034" t="str">
            <v>08/03/2016</v>
          </cell>
          <cell r="I3034" t="str">
            <v>28</v>
          </cell>
          <cell r="J3034" t="str">
            <v>PESSOA JURÍDICA</v>
          </cell>
          <cell r="K3034" t="str">
            <v>03.165.760/0001-47</v>
          </cell>
          <cell r="L3034" t="str">
            <v>BT</v>
          </cell>
          <cell r="M3034" t="str">
            <v>CRISTIANO CAPUTTI LOCADORA E TRANSPORTES - ME - ANDRE VICTORIO OROSZLAN MARCHIORO</v>
          </cell>
          <cell r="N3034" t="str">
            <v>EZK0290</v>
          </cell>
          <cell r="O3034" t="str">
            <v>2011</v>
          </cell>
          <cell r="P3034" t="str">
            <v>19</v>
          </cell>
          <cell r="Q3034" t="str">
            <v>18</v>
          </cell>
        </row>
        <row r="3035">
          <cell r="B3035" t="str">
            <v>5001/16</v>
          </cell>
          <cell r="C3035" t="str">
            <v>2016-0.045.207-4</v>
          </cell>
          <cell r="D3035" t="str">
            <v/>
          </cell>
          <cell r="E3035" t="str">
            <v>08 de março de 2016</v>
          </cell>
          <cell r="F3035" t="str">
            <v>COOPERATIVA BRASILEIRA DE TRANSPORTE - COBRATE</v>
          </cell>
          <cell r="G3035" t="str">
            <v>24/02/2016</v>
          </cell>
          <cell r="H3035" t="str">
            <v>08/03/2016</v>
          </cell>
          <cell r="I3035" t="str">
            <v>28</v>
          </cell>
          <cell r="J3035" t="str">
            <v>PESSOA JURÍDICA</v>
          </cell>
          <cell r="K3035" t="str">
            <v>03.165.760/0001-47</v>
          </cell>
          <cell r="L3035" t="str">
            <v>SM</v>
          </cell>
          <cell r="M3035" t="str">
            <v>SENOIR APARECIDA DA SILVEIRA PERES</v>
          </cell>
          <cell r="N3035" t="str">
            <v>EKV9032</v>
          </cell>
          <cell r="O3035" t="str">
            <v>2010</v>
          </cell>
          <cell r="P3035" t="str">
            <v>19</v>
          </cell>
          <cell r="Q3035" t="str">
            <v>18</v>
          </cell>
        </row>
        <row r="3036">
          <cell r="B3036" t="str">
            <v>5001/16</v>
          </cell>
          <cell r="C3036" t="str">
            <v>2016-0.045.207-4</v>
          </cell>
          <cell r="D3036" t="str">
            <v/>
          </cell>
          <cell r="E3036" t="str">
            <v/>
          </cell>
          <cell r="F3036" t="str">
            <v>COOPERATIVA BRASILEIRA DE TRANSPORTE - COBRATE</v>
          </cell>
          <cell r="G3036" t="str">
            <v>24/02/2016</v>
          </cell>
          <cell r="H3036" t="str">
            <v>08/03/2016</v>
          </cell>
          <cell r="I3036" t="str">
            <v>28</v>
          </cell>
          <cell r="J3036" t="str">
            <v>PESSOA JURÍDICA</v>
          </cell>
          <cell r="K3036" t="str">
            <v>03.165.760/0001-47</v>
          </cell>
          <cell r="L3036" t="str">
            <v>PE</v>
          </cell>
          <cell r="M3036" t="str">
            <v>KARLA VOGEL LARA ME - GAETANO GIUSEPPE DAL BIANCO</v>
          </cell>
          <cell r="N3036" t="str">
            <v>EZA8068</v>
          </cell>
          <cell r="O3036" t="str">
            <v>2011</v>
          </cell>
          <cell r="P3036" t="str">
            <v>15</v>
          </cell>
          <cell r="Q3036" t="str">
            <v>14</v>
          </cell>
        </row>
        <row r="3037">
          <cell r="B3037" t="str">
            <v>5001/16</v>
          </cell>
          <cell r="C3037" t="str">
            <v>2016-0.045.207-4</v>
          </cell>
          <cell r="D3037" t="str">
            <v/>
          </cell>
          <cell r="E3037" t="str">
            <v>08 de março de 2016</v>
          </cell>
          <cell r="F3037" t="str">
            <v>COOPERATIVA BRASILEIRA DE TRANSPORTE - COBRATE</v>
          </cell>
          <cell r="G3037" t="str">
            <v>24/02/2016</v>
          </cell>
          <cell r="H3037" t="str">
            <v>08/03/2016</v>
          </cell>
          <cell r="I3037" t="str">
            <v>28</v>
          </cell>
          <cell r="J3037" t="str">
            <v>PESSOA JURÍDICA</v>
          </cell>
          <cell r="K3037" t="str">
            <v>03.165.760/0001-47</v>
          </cell>
          <cell r="L3037" t="str">
            <v>JT</v>
          </cell>
          <cell r="M3037" t="str">
            <v>GRACIETE APARECIDA ROCHA DE OLIVEIRA</v>
          </cell>
          <cell r="N3037" t="str">
            <v>EJW0134</v>
          </cell>
          <cell r="O3037" t="str">
            <v>2010</v>
          </cell>
          <cell r="P3037" t="str">
            <v>19</v>
          </cell>
          <cell r="Q3037" t="str">
            <v>18</v>
          </cell>
        </row>
        <row r="3038">
          <cell r="B3038" t="str">
            <v>5001/16</v>
          </cell>
          <cell r="C3038" t="str">
            <v>2016-0.045.207-4</v>
          </cell>
          <cell r="D3038" t="str">
            <v/>
          </cell>
          <cell r="E3038" t="str">
            <v/>
          </cell>
          <cell r="F3038" t="str">
            <v>COOPERATIVA BRASILEIRA DE TRANSPORTE - COBRATE</v>
          </cell>
          <cell r="G3038" t="str">
            <v>24/02/2016</v>
          </cell>
          <cell r="H3038" t="str">
            <v>08/03/2016</v>
          </cell>
          <cell r="I3038" t="str">
            <v>28</v>
          </cell>
          <cell r="J3038" t="str">
            <v>PESSOA JURÍDICA</v>
          </cell>
          <cell r="K3038" t="str">
            <v>03.165.760/0001-47</v>
          </cell>
          <cell r="L3038" t="str">
            <v>SM</v>
          </cell>
          <cell r="M3038" t="str">
            <v>MARCIO DE SOUSA PINHEIRO ME -</v>
          </cell>
          <cell r="N3038" t="str">
            <v>CSK0518</v>
          </cell>
          <cell r="O3038" t="str">
            <v>2008</v>
          </cell>
          <cell r="P3038" t="str">
            <v>29</v>
          </cell>
          <cell r="Q3038" t="str">
            <v>27</v>
          </cell>
        </row>
        <row r="3039">
          <cell r="B3039" t="str">
            <v>5001/16</v>
          </cell>
          <cell r="C3039" t="str">
            <v>2016-0.045.207-4</v>
          </cell>
          <cell r="D3039" t="str">
            <v/>
          </cell>
          <cell r="E3039" t="str">
            <v>12 de abril de 2016</v>
          </cell>
          <cell r="F3039" t="str">
            <v>COOPERATIVA BRASILEIRA DE TRANSPORTE - COBRATE</v>
          </cell>
          <cell r="G3039" t="str">
            <v>24/02/2016</v>
          </cell>
          <cell r="H3039" t="str">
            <v>08/03/2016</v>
          </cell>
          <cell r="I3039" t="str">
            <v>28</v>
          </cell>
          <cell r="J3039" t="str">
            <v>PESSOA JURÍDICA</v>
          </cell>
          <cell r="K3039" t="str">
            <v>03.165.760/0001-47</v>
          </cell>
          <cell r="L3039" t="str">
            <v>SM</v>
          </cell>
          <cell r="M3039" t="str">
            <v>RAIMUNDO NONATO PEREIRA</v>
          </cell>
          <cell r="N3039" t="str">
            <v>EMU6474</v>
          </cell>
          <cell r="O3039" t="str">
            <v>2012</v>
          </cell>
          <cell r="P3039" t="str">
            <v>15</v>
          </cell>
          <cell r="Q3039" t="str">
            <v>14</v>
          </cell>
        </row>
        <row r="3040">
          <cell r="B3040" t="str">
            <v>5001/16</v>
          </cell>
          <cell r="C3040" t="str">
            <v>2016-0.045.207-4</v>
          </cell>
          <cell r="D3040" t="str">
            <v/>
          </cell>
          <cell r="E3040" t="str">
            <v>08 de março de 2016</v>
          </cell>
          <cell r="F3040" t="str">
            <v>COOPERATIVA BRASILEIRA DE TRANSPORTE - COBRATE</v>
          </cell>
          <cell r="G3040" t="str">
            <v>24/02/2016</v>
          </cell>
          <cell r="H3040" t="str">
            <v>08/03/2016</v>
          </cell>
          <cell r="I3040" t="str">
            <v>28</v>
          </cell>
          <cell r="J3040" t="str">
            <v>PESSOA JURÍDICA</v>
          </cell>
          <cell r="K3040" t="str">
            <v>03.165.760/0001-47</v>
          </cell>
          <cell r="L3040" t="str">
            <v>SM</v>
          </cell>
          <cell r="M3040" t="str">
            <v>TRANSLUZ  TRANSPORTES ESCOLARES LTDA ME - LUCIANA SILVA DE SOUZA</v>
          </cell>
          <cell r="N3040" t="str">
            <v>EFV9857</v>
          </cell>
          <cell r="O3040" t="str">
            <v>2011</v>
          </cell>
          <cell r="P3040" t="str">
            <v>19</v>
          </cell>
          <cell r="Q3040" t="str">
            <v>18</v>
          </cell>
        </row>
        <row r="3041">
          <cell r="B3041" t="str">
            <v>5001/16</v>
          </cell>
          <cell r="C3041" t="str">
            <v>2016-0.045.207-4</v>
          </cell>
          <cell r="D3041" t="str">
            <v/>
          </cell>
          <cell r="E3041" t="str">
            <v>12 de abril de 2016</v>
          </cell>
          <cell r="F3041" t="str">
            <v>COOPERATIVA BRASILEIRA DE TRANSPORTE - COBRATE</v>
          </cell>
          <cell r="G3041" t="str">
            <v>24/02/2016</v>
          </cell>
          <cell r="H3041" t="str">
            <v>08/03/2016</v>
          </cell>
          <cell r="I3041" t="str">
            <v>28</v>
          </cell>
          <cell r="J3041" t="str">
            <v>PESSOA JURÍDICA</v>
          </cell>
          <cell r="K3041" t="str">
            <v>03.165.760/0001-47</v>
          </cell>
          <cell r="L3041" t="str">
            <v>PJ</v>
          </cell>
          <cell r="M3041" t="str">
            <v>LUCIVALDO ALMEIDA DOS SANTOS</v>
          </cell>
          <cell r="N3041" t="str">
            <v>FDB4692</v>
          </cell>
          <cell r="O3041" t="str">
            <v>2012</v>
          </cell>
          <cell r="P3041" t="str">
            <v>19</v>
          </cell>
          <cell r="Q3041" t="str">
            <v>18</v>
          </cell>
        </row>
        <row r="3042">
          <cell r="B3042" t="str">
            <v>5001/16</v>
          </cell>
          <cell r="C3042" t="str">
            <v>2016-0.045.207-4</v>
          </cell>
          <cell r="D3042" t="str">
            <v/>
          </cell>
          <cell r="E3042" t="str">
            <v>08 de março de 2016</v>
          </cell>
          <cell r="F3042" t="str">
            <v>COOPERATIVA BRASILEIRA DE TRANSPORTE - COBRATE</v>
          </cell>
          <cell r="G3042" t="str">
            <v>24/02/2016</v>
          </cell>
          <cell r="H3042" t="str">
            <v>08/03/2016</v>
          </cell>
          <cell r="I3042" t="str">
            <v>28</v>
          </cell>
          <cell r="J3042" t="str">
            <v>PESSOA JURÍDICA</v>
          </cell>
          <cell r="K3042" t="str">
            <v>03.165.760/0001-47</v>
          </cell>
          <cell r="L3042" t="str">
            <v>IQ</v>
          </cell>
          <cell r="M3042" t="str">
            <v>RUBENS RAMOS</v>
          </cell>
          <cell r="N3042" t="str">
            <v>LPB0920</v>
          </cell>
          <cell r="O3042" t="str">
            <v>2004</v>
          </cell>
          <cell r="P3042" t="str">
            <v>32</v>
          </cell>
          <cell r="Q3042" t="str">
            <v>30</v>
          </cell>
        </row>
        <row r="3043">
          <cell r="B3043" t="str">
            <v>5001/16</v>
          </cell>
          <cell r="C3043" t="str">
            <v>2016-0.045.207-4</v>
          </cell>
          <cell r="D3043" t="str">
            <v/>
          </cell>
          <cell r="E3043" t="str">
            <v>04 de abril de 2016</v>
          </cell>
          <cell r="F3043" t="str">
            <v>COOPERATIVA BRASILEIRA DE TRANSPORTE - COBRATE</v>
          </cell>
          <cell r="G3043" t="str">
            <v>24/02/2016</v>
          </cell>
          <cell r="H3043" t="str">
            <v>08/03/2016</v>
          </cell>
          <cell r="I3043" t="str">
            <v>28</v>
          </cell>
          <cell r="J3043" t="str">
            <v>PESSOA JURÍDICA</v>
          </cell>
          <cell r="K3043" t="str">
            <v>03.165.760/0001-47</v>
          </cell>
          <cell r="L3043" t="str">
            <v>SM</v>
          </cell>
          <cell r="M3043" t="str">
            <v>JULYANA ARASHIRO</v>
          </cell>
          <cell r="N3043" t="str">
            <v>CZX1022</v>
          </cell>
          <cell r="O3043" t="str">
            <v>2002</v>
          </cell>
          <cell r="P3043" t="str">
            <v>25</v>
          </cell>
          <cell r="Q3043" t="str">
            <v>23</v>
          </cell>
        </row>
        <row r="3044">
          <cell r="B3044" t="str">
            <v>5001/16</v>
          </cell>
          <cell r="C3044" t="str">
            <v>2016-0.045.207-4</v>
          </cell>
          <cell r="D3044" t="str">
            <v/>
          </cell>
          <cell r="E3044" t="str">
            <v/>
          </cell>
          <cell r="F3044" t="str">
            <v>COOPERATIVA BRASILEIRA DE TRANSPORTE - COBRATE</v>
          </cell>
          <cell r="G3044" t="str">
            <v>24/02/2016</v>
          </cell>
          <cell r="H3044" t="str">
            <v>08/03/2016</v>
          </cell>
          <cell r="I3044" t="str">
            <v>28</v>
          </cell>
          <cell r="J3044" t="str">
            <v>PESSOA JURÍDICA</v>
          </cell>
          <cell r="K3044" t="str">
            <v>03.165.760/0001-47</v>
          </cell>
          <cell r="L3044" t="str">
            <v>PJ</v>
          </cell>
          <cell r="M3044" t="str">
            <v>EDVALDO DA SILVA ASSIS</v>
          </cell>
          <cell r="N3044" t="str">
            <v>EFU7229</v>
          </cell>
          <cell r="O3044" t="str">
            <v>2009</v>
          </cell>
          <cell r="P3044" t="str">
            <v>19</v>
          </cell>
          <cell r="Q3044" t="str">
            <v>18</v>
          </cell>
        </row>
        <row r="3045">
          <cell r="B3045" t="str">
            <v>5001/16</v>
          </cell>
          <cell r="C3045" t="str">
            <v>2016-0.045.207-4</v>
          </cell>
          <cell r="D3045" t="str">
            <v/>
          </cell>
          <cell r="E3045" t="str">
            <v>10 de março de 2016</v>
          </cell>
          <cell r="F3045" t="str">
            <v>COOPERATIVA BRASILEIRA DE TRANSPORTE - COBRATE</v>
          </cell>
          <cell r="G3045" t="str">
            <v>24/02/2016</v>
          </cell>
          <cell r="H3045" t="str">
            <v>08/03/2016</v>
          </cell>
          <cell r="I3045" t="str">
            <v>28</v>
          </cell>
          <cell r="J3045" t="str">
            <v>PESSOA JURÍDICA</v>
          </cell>
          <cell r="K3045" t="str">
            <v>03.165.760/0001-47</v>
          </cell>
          <cell r="L3045" t="str">
            <v>BT</v>
          </cell>
          <cell r="M3045" t="str">
            <v>ALVARO BENEDITO FILHO</v>
          </cell>
          <cell r="N3045" t="str">
            <v>DTE6434</v>
          </cell>
          <cell r="O3045" t="str">
            <v>2008</v>
          </cell>
          <cell r="P3045" t="str">
            <v>19</v>
          </cell>
          <cell r="Q3045" t="str">
            <v>17</v>
          </cell>
        </row>
        <row r="3046">
          <cell r="B3046" t="str">
            <v>5001/16</v>
          </cell>
          <cell r="C3046" t="str">
            <v>2016-0.045.207-4</v>
          </cell>
          <cell r="D3046" t="str">
            <v/>
          </cell>
          <cell r="E3046" t="str">
            <v>10 de março de 2016</v>
          </cell>
          <cell r="F3046" t="str">
            <v>COOPERATIVA BRASILEIRA DE TRANSPORTE - COBRATE</v>
          </cell>
          <cell r="G3046" t="str">
            <v>24/02/2016</v>
          </cell>
          <cell r="H3046" t="str">
            <v>08/03/2016</v>
          </cell>
          <cell r="I3046" t="str">
            <v>28</v>
          </cell>
          <cell r="J3046" t="str">
            <v>PESSOA JURÍDICA</v>
          </cell>
          <cell r="K3046" t="str">
            <v>03.165.760/0001-47</v>
          </cell>
          <cell r="L3046" t="str">
            <v>BT</v>
          </cell>
          <cell r="M3046" t="str">
            <v>TRANSPORTE ESCOLAR DANDALE LTDA - ME - LEANDRO XAVIER DE JESUS</v>
          </cell>
          <cell r="N3046" t="str">
            <v>FQZ4670</v>
          </cell>
          <cell r="O3046" t="str">
            <v>2014</v>
          </cell>
          <cell r="P3046" t="str">
            <v>19</v>
          </cell>
          <cell r="Q3046" t="str">
            <v>18</v>
          </cell>
        </row>
        <row r="3047">
          <cell r="B3047" t="str">
            <v>5001/16</v>
          </cell>
          <cell r="C3047" t="str">
            <v>2016-0.045.207-4</v>
          </cell>
          <cell r="D3047" t="str">
            <v/>
          </cell>
          <cell r="E3047" t="str">
            <v>12 de abril de 2016</v>
          </cell>
          <cell r="F3047" t="str">
            <v>COOPERATIVA BRASILEIRA DE TRANSPORTE - COBRATE</v>
          </cell>
          <cell r="G3047" t="str">
            <v>24/02/2016</v>
          </cell>
          <cell r="H3047" t="str">
            <v>08/03/2016</v>
          </cell>
          <cell r="I3047" t="str">
            <v>28</v>
          </cell>
          <cell r="J3047" t="str">
            <v>PESSOA JURÍDICA</v>
          </cell>
          <cell r="K3047" t="str">
            <v>03.165.760/0001-47</v>
          </cell>
          <cell r="L3047" t="str">
            <v>BT</v>
          </cell>
          <cell r="M3047" t="str">
            <v>TRANSPORTES DEIFAVALU LTDA ME - FABIANO GOMES MAIA</v>
          </cell>
          <cell r="N3047" t="str">
            <v>FPU3199</v>
          </cell>
          <cell r="O3047" t="str">
            <v>2015</v>
          </cell>
          <cell r="P3047" t="str">
            <v>19</v>
          </cell>
          <cell r="Q3047" t="str">
            <v>18</v>
          </cell>
        </row>
        <row r="3048">
          <cell r="B3048" t="str">
            <v>5001/16</v>
          </cell>
          <cell r="C3048" t="str">
            <v>2016-0.045.207-4</v>
          </cell>
          <cell r="D3048" t="str">
            <v>04/04/2016</v>
          </cell>
          <cell r="E3048" t="str">
            <v>28 de abril de 2016</v>
          </cell>
          <cell r="F3048" t="str">
            <v>COOPERATIVA BRASILEIRA DE TRANSPORTE - COBRATE</v>
          </cell>
          <cell r="G3048" t="str">
            <v>24/02/2016</v>
          </cell>
          <cell r="H3048" t="str">
            <v>08/03/2016</v>
          </cell>
          <cell r="I3048" t="str">
            <v>28</v>
          </cell>
          <cell r="J3048" t="str">
            <v>PESSOA JURÍDICA</v>
          </cell>
          <cell r="K3048" t="str">
            <v>03.165.760/0001-47</v>
          </cell>
          <cell r="L3048" t="str">
            <v>SM</v>
          </cell>
          <cell r="M3048" t="str">
            <v>TRANSBRAT TRANSPORTE BRASILEIRO LTDA - ME - MISAEL MACHADO</v>
          </cell>
          <cell r="N3048" t="str">
            <v>FAM9989</v>
          </cell>
          <cell r="O3048" t="str">
            <v>2015</v>
          </cell>
          <cell r="P3048" t="str">
            <v>19</v>
          </cell>
          <cell r="Q3048" t="str">
            <v>18</v>
          </cell>
        </row>
        <row r="3049">
          <cell r="B3049" t="str">
            <v>5001/16</v>
          </cell>
          <cell r="C3049" t="str">
            <v>2016-0.045.207-4</v>
          </cell>
          <cell r="D3049" t="str">
            <v/>
          </cell>
          <cell r="E3049" t="str">
            <v>29 de março de 2016</v>
          </cell>
          <cell r="F3049" t="str">
            <v>COOPERATIVA BRASILEIRA DE TRANSPORTE - COBRATE</v>
          </cell>
          <cell r="G3049" t="str">
            <v>24/02/2016</v>
          </cell>
          <cell r="H3049" t="str">
            <v>08/03/2016</v>
          </cell>
          <cell r="I3049" t="str">
            <v>28</v>
          </cell>
          <cell r="J3049" t="str">
            <v>PESSOA JURÍDICA</v>
          </cell>
          <cell r="K3049" t="str">
            <v>03.165.760/0001-47</v>
          </cell>
          <cell r="L3049" t="str">
            <v>IP</v>
          </cell>
          <cell r="M3049" t="str">
            <v>GILBERTO DA SILVA SOUSA</v>
          </cell>
          <cell r="N3049" t="str">
            <v>FZH6850</v>
          </cell>
          <cell r="O3049" t="str">
            <v>2014</v>
          </cell>
          <cell r="P3049" t="str">
            <v>19</v>
          </cell>
          <cell r="Q3049" t="str">
            <v>18</v>
          </cell>
        </row>
        <row r="3050">
          <cell r="B3050" t="str">
            <v>5001/16</v>
          </cell>
          <cell r="C3050" t="str">
            <v>2016-0.045.207-4</v>
          </cell>
          <cell r="D3050" t="str">
            <v/>
          </cell>
          <cell r="E3050" t="str">
            <v/>
          </cell>
          <cell r="F3050" t="str">
            <v>COOPERATIVA BRASILEIRA DE TRANSPORTE - COBRATE</v>
          </cell>
          <cell r="G3050" t="str">
            <v>24/02/2016</v>
          </cell>
          <cell r="H3050" t="str">
            <v>08/03/2016</v>
          </cell>
          <cell r="I3050" t="str">
            <v>28</v>
          </cell>
          <cell r="J3050" t="str">
            <v>PESSOA JURÍDICA</v>
          </cell>
          <cell r="K3050" t="str">
            <v>03.165.760/0001-47</v>
          </cell>
          <cell r="L3050" t="str">
            <v>PE</v>
          </cell>
          <cell r="M3050" t="str">
            <v>CLAUDIO MARCIO VILAR SOUSA</v>
          </cell>
          <cell r="N3050" t="str">
            <v>DTD1556</v>
          </cell>
          <cell r="O3050" t="str">
            <v>2007</v>
          </cell>
          <cell r="P3050" t="str">
            <v>19</v>
          </cell>
          <cell r="Q3050" t="str">
            <v>18</v>
          </cell>
        </row>
        <row r="3051">
          <cell r="B3051" t="str">
            <v>5001/16</v>
          </cell>
          <cell r="C3051" t="str">
            <v>2016-0.045.207-4</v>
          </cell>
          <cell r="D3051" t="str">
            <v/>
          </cell>
          <cell r="E3051" t="str">
            <v>12 de abril de 2016</v>
          </cell>
          <cell r="F3051" t="str">
            <v>COOPERATIVA BRASILEIRA DE TRANSPORTE - COBRATE</v>
          </cell>
          <cell r="G3051" t="str">
            <v>24/02/2016</v>
          </cell>
          <cell r="H3051" t="str">
            <v>08/03/2016</v>
          </cell>
          <cell r="I3051" t="str">
            <v>28</v>
          </cell>
          <cell r="J3051" t="str">
            <v>PESSOA JURÍDICA</v>
          </cell>
          <cell r="K3051" t="str">
            <v>03.165.760/0001-47</v>
          </cell>
          <cell r="L3051" t="str">
            <v>CL</v>
          </cell>
          <cell r="M3051" t="str">
            <v>PETTERSON SERAFIM VIEIRA</v>
          </cell>
          <cell r="N3051" t="str">
            <v>DTE9656</v>
          </cell>
          <cell r="O3051" t="str">
            <v>2009</v>
          </cell>
          <cell r="P3051" t="str">
            <v>19</v>
          </cell>
          <cell r="Q3051" t="str">
            <v>18</v>
          </cell>
        </row>
        <row r="3052">
          <cell r="B3052" t="str">
            <v>5001/16</v>
          </cell>
          <cell r="C3052" t="str">
            <v>2016-0.045.207-4</v>
          </cell>
          <cell r="D3052" t="str">
            <v/>
          </cell>
          <cell r="E3052" t="str">
            <v>29 de março de 2016</v>
          </cell>
          <cell r="F3052" t="str">
            <v>COOPERATIVA BRASILEIRA DE TRANSPORTE - COBRATE</v>
          </cell>
          <cell r="G3052" t="str">
            <v>24/02/2016</v>
          </cell>
          <cell r="H3052" t="str">
            <v>08/03/2016</v>
          </cell>
          <cell r="I3052" t="str">
            <v>28</v>
          </cell>
          <cell r="J3052" t="str">
            <v>PESSOA JURÍDICA</v>
          </cell>
          <cell r="K3052" t="str">
            <v>03.165.760/0001-47</v>
          </cell>
          <cell r="L3052" t="str">
            <v>SM</v>
          </cell>
          <cell r="M3052" t="str">
            <v>MAURICIO DOS SANTOS SOUZA</v>
          </cell>
          <cell r="N3052" t="str">
            <v>DTE2126</v>
          </cell>
          <cell r="O3052" t="str">
            <v>2008</v>
          </cell>
          <cell r="P3052" t="str">
            <v>29</v>
          </cell>
          <cell r="Q3052" t="str">
            <v>27</v>
          </cell>
        </row>
        <row r="3053">
          <cell r="B3053" t="str">
            <v>5001/16</v>
          </cell>
          <cell r="C3053" t="str">
            <v>2016-0.045.207-4</v>
          </cell>
          <cell r="D3053" t="str">
            <v/>
          </cell>
          <cell r="E3053" t="str">
            <v/>
          </cell>
          <cell r="F3053" t="str">
            <v>COOPERATIVA BRASILEIRA DE TRANSPORTE - COBRATE</v>
          </cell>
          <cell r="G3053" t="str">
            <v>24/02/2016</v>
          </cell>
          <cell r="H3053" t="str">
            <v>08/03/2016</v>
          </cell>
          <cell r="I3053" t="str">
            <v>28</v>
          </cell>
          <cell r="J3053" t="str">
            <v>PESSOA JURÍDICA</v>
          </cell>
          <cell r="K3053" t="str">
            <v>03.165.760/0001-47</v>
          </cell>
          <cell r="L3053" t="str">
            <v>BT</v>
          </cell>
          <cell r="M3053" t="str">
            <v>D.J. PORCINO TRANSPORTE ESCOLAR ME - DEJANIRA JESUS PORCINO</v>
          </cell>
          <cell r="N3053" t="str">
            <v>FAH0960</v>
          </cell>
          <cell r="O3053" t="str">
            <v>2011</v>
          </cell>
          <cell r="P3053" t="str">
            <v>19</v>
          </cell>
          <cell r="Q3053" t="str">
            <v>18</v>
          </cell>
        </row>
        <row r="3054">
          <cell r="B3054" t="str">
            <v>5001/16</v>
          </cell>
          <cell r="C3054" t="str">
            <v>2016-0.045.207-4</v>
          </cell>
          <cell r="D3054" t="str">
            <v/>
          </cell>
          <cell r="E3054" t="str">
            <v/>
          </cell>
          <cell r="F3054" t="str">
            <v>COOPERATIVA BRASILEIRA DE TRANSPORTE - COBRATE</v>
          </cell>
          <cell r="G3054" t="str">
            <v>24/02/2016</v>
          </cell>
          <cell r="H3054" t="str">
            <v>08/03/2016</v>
          </cell>
          <cell r="I3054" t="str">
            <v>28</v>
          </cell>
          <cell r="J3054" t="str">
            <v>PESSOA JURÍDICA</v>
          </cell>
          <cell r="K3054" t="str">
            <v>03.165.760/0001-47</v>
          </cell>
          <cell r="L3054" t="str">
            <v>CS</v>
          </cell>
          <cell r="M3054" t="str">
            <v>ANA PAULA FARIAS FIGUEIREDO</v>
          </cell>
          <cell r="N3054" t="str">
            <v>DVT4028</v>
          </cell>
          <cell r="O3054" t="str">
            <v>2007</v>
          </cell>
          <cell r="P3054" t="str">
            <v>25</v>
          </cell>
          <cell r="Q3054" t="str">
            <v>23</v>
          </cell>
        </row>
        <row r="3055">
          <cell r="B3055" t="str">
            <v>5001/16</v>
          </cell>
          <cell r="C3055" t="str">
            <v>2016-0.045.207-4</v>
          </cell>
          <cell r="D3055" t="str">
            <v/>
          </cell>
          <cell r="E3055" t="str">
            <v>08 de março de 2016</v>
          </cell>
          <cell r="F3055" t="str">
            <v>COOPERATIVA BRASILEIRA DE TRANSPORTE - COBRATE</v>
          </cell>
          <cell r="G3055" t="str">
            <v>24/02/2016</v>
          </cell>
          <cell r="H3055" t="str">
            <v>08/03/2016</v>
          </cell>
          <cell r="I3055" t="str">
            <v>28</v>
          </cell>
          <cell r="J3055" t="str">
            <v>PESSOA JURÍDICA</v>
          </cell>
          <cell r="K3055" t="str">
            <v>03.165.760/0001-47</v>
          </cell>
          <cell r="L3055" t="str">
            <v>SM</v>
          </cell>
          <cell r="M3055" t="str">
            <v>LUCIA APARECIDA SIMAO GAMBA</v>
          </cell>
          <cell r="N3055" t="str">
            <v>FWT5999</v>
          </cell>
          <cell r="O3055" t="str">
            <v>2013</v>
          </cell>
          <cell r="P3055" t="str">
            <v>15</v>
          </cell>
          <cell r="Q3055" t="str">
            <v>14</v>
          </cell>
        </row>
        <row r="3056">
          <cell r="B3056" t="str">
            <v>5001/16</v>
          </cell>
          <cell r="C3056" t="str">
            <v>2016-0.045.207-4</v>
          </cell>
          <cell r="D3056" t="str">
            <v/>
          </cell>
          <cell r="E3056" t="str">
            <v/>
          </cell>
          <cell r="F3056" t="str">
            <v>COOPERATIVA BRASILEIRA DE TRANSPORTE - COBRATE</v>
          </cell>
          <cell r="G3056" t="str">
            <v>24/02/2016</v>
          </cell>
          <cell r="H3056" t="str">
            <v>08/03/2016</v>
          </cell>
          <cell r="I3056" t="str">
            <v>28</v>
          </cell>
          <cell r="J3056" t="str">
            <v>PESSOA JURÍDICA</v>
          </cell>
          <cell r="K3056" t="str">
            <v>03.165.760/0001-47</v>
          </cell>
          <cell r="L3056" t="str">
            <v>BT</v>
          </cell>
          <cell r="M3056" t="str">
            <v>EDILSON DA LUZ CARVALHO</v>
          </cell>
          <cell r="N3056" t="str">
            <v>EUQ7956</v>
          </cell>
          <cell r="O3056" t="str">
            <v>2011</v>
          </cell>
          <cell r="P3056" t="str">
            <v>15</v>
          </cell>
          <cell r="Q3056" t="str">
            <v>14</v>
          </cell>
        </row>
        <row r="3057">
          <cell r="B3057" t="str">
            <v>5001/16</v>
          </cell>
          <cell r="C3057" t="str">
            <v>2016-0.045.207-4</v>
          </cell>
          <cell r="D3057" t="str">
            <v/>
          </cell>
          <cell r="E3057" t="str">
            <v>05 de abril de 2016</v>
          </cell>
          <cell r="F3057" t="str">
            <v>COOPERATIVA BRASILEIRA DE TRANSPORTE - COBRATE</v>
          </cell>
          <cell r="G3057" t="str">
            <v>24/02/2016</v>
          </cell>
          <cell r="H3057" t="str">
            <v>08/03/2016</v>
          </cell>
          <cell r="I3057" t="str">
            <v>28</v>
          </cell>
          <cell r="J3057" t="str">
            <v>PESSOA JURÍDICA</v>
          </cell>
          <cell r="K3057" t="str">
            <v>03.165.760/0001-47</v>
          </cell>
          <cell r="L3057" t="str">
            <v>BT</v>
          </cell>
          <cell r="M3057" t="str">
            <v>ALAN CALDEIRA DA SILVA 04059841897 - ALAN CALDEIRA DA SILVA</v>
          </cell>
          <cell r="N3057" t="str">
            <v>DTD0926</v>
          </cell>
          <cell r="O3057" t="str">
            <v>2007</v>
          </cell>
          <cell r="P3057" t="str">
            <v>29</v>
          </cell>
          <cell r="Q3057" t="str">
            <v>27</v>
          </cell>
        </row>
        <row r="3058">
          <cell r="B3058" t="str">
            <v>5001/16</v>
          </cell>
          <cell r="C3058" t="str">
            <v>2016-0.045.207-4</v>
          </cell>
          <cell r="D3058" t="str">
            <v/>
          </cell>
          <cell r="E3058" t="str">
            <v>05 de abril de 2016</v>
          </cell>
          <cell r="F3058" t="str">
            <v>COOPERATIVA BRASILEIRA DE TRANSPORTE - COBRATE</v>
          </cell>
          <cell r="G3058" t="str">
            <v>24/02/2016</v>
          </cell>
          <cell r="H3058" t="str">
            <v>08/03/2016</v>
          </cell>
          <cell r="I3058" t="str">
            <v>28</v>
          </cell>
          <cell r="J3058" t="str">
            <v>PESSOA JURÍDICA</v>
          </cell>
          <cell r="K3058" t="str">
            <v>03.165.760/0001-47</v>
          </cell>
          <cell r="L3058" t="str">
            <v>CS</v>
          </cell>
          <cell r="M3058" t="str">
            <v>MARIA TARCISIA</v>
          </cell>
          <cell r="N3058" t="str">
            <v>DAJ9263</v>
          </cell>
          <cell r="O3058" t="str">
            <v>2011</v>
          </cell>
          <cell r="P3058" t="str">
            <v>19</v>
          </cell>
          <cell r="Q3058" t="str">
            <v>18</v>
          </cell>
        </row>
        <row r="3059">
          <cell r="B3059" t="str">
            <v>5001/16</v>
          </cell>
          <cell r="C3059" t="str">
            <v>2016-0.045.207-4</v>
          </cell>
          <cell r="D3059" t="str">
            <v/>
          </cell>
          <cell r="E3059" t="str">
            <v>27 de abril de 2016</v>
          </cell>
          <cell r="F3059" t="str">
            <v>COOPERATIVA BRASILEIRA DE TRANSPORTE - COBRATE</v>
          </cell>
          <cell r="G3059" t="str">
            <v>24/02/2016</v>
          </cell>
          <cell r="H3059" t="str">
            <v>08/03/2016</v>
          </cell>
          <cell r="I3059" t="str">
            <v>28</v>
          </cell>
          <cell r="J3059" t="str">
            <v>PESSOA JURÍDICA</v>
          </cell>
          <cell r="K3059" t="str">
            <v>03.165.760/0001-47</v>
          </cell>
          <cell r="L3059" t="str">
            <v>PJ</v>
          </cell>
          <cell r="M3059" t="str">
            <v>FABIO FONSECA DE ALMEIDA</v>
          </cell>
          <cell r="N3059" t="str">
            <v>EZL3751</v>
          </cell>
          <cell r="O3059" t="str">
            <v>2013</v>
          </cell>
          <cell r="P3059" t="str">
            <v>19</v>
          </cell>
          <cell r="Q3059" t="str">
            <v>18</v>
          </cell>
        </row>
        <row r="3060">
          <cell r="B3060" t="str">
            <v>5001/16</v>
          </cell>
          <cell r="C3060" t="str">
            <v>2016-0.045.207-4</v>
          </cell>
          <cell r="D3060" t="str">
            <v/>
          </cell>
          <cell r="E3060" t="str">
            <v>29 de março de 2016</v>
          </cell>
          <cell r="F3060" t="str">
            <v>COOPERATIVA BRASILEIRA DE TRANSPORTE - COBRATE</v>
          </cell>
          <cell r="G3060" t="str">
            <v>24/02/2016</v>
          </cell>
          <cell r="H3060" t="str">
            <v>08/03/2016</v>
          </cell>
          <cell r="I3060" t="str">
            <v>28</v>
          </cell>
          <cell r="J3060" t="str">
            <v>PESSOA JURÍDICA</v>
          </cell>
          <cell r="K3060" t="str">
            <v>03.165.760/0001-47</v>
          </cell>
          <cell r="L3060" t="str">
            <v>SM</v>
          </cell>
          <cell r="M3060" t="str">
            <v>HUMBERTO DE SOUZA LOPES TRANSPORTES-ME - HUMBERTO DE SOUZA LOPES</v>
          </cell>
          <cell r="N3060" t="str">
            <v>FFN7048</v>
          </cell>
          <cell r="O3060" t="str">
            <v>2013</v>
          </cell>
          <cell r="P3060" t="str">
            <v>19</v>
          </cell>
          <cell r="Q3060" t="str">
            <v>18</v>
          </cell>
        </row>
        <row r="3061">
          <cell r="B3061" t="str">
            <v>5001/16</v>
          </cell>
          <cell r="C3061" t="str">
            <v>2016-0.045.207-4</v>
          </cell>
          <cell r="D3061" t="str">
            <v/>
          </cell>
          <cell r="E3061" t="str">
            <v>18 de março de 2016</v>
          </cell>
          <cell r="F3061" t="str">
            <v>COOPERATIVA BRASILEIRA DE TRANSPORTE - COBRATE</v>
          </cell>
          <cell r="G3061" t="str">
            <v>24/02/2016</v>
          </cell>
          <cell r="H3061" t="str">
            <v>08/03/2016</v>
          </cell>
          <cell r="I3061" t="str">
            <v>28</v>
          </cell>
          <cell r="J3061" t="str">
            <v>PESSOA JURÍDICA</v>
          </cell>
          <cell r="K3061" t="str">
            <v>03.165.760/0001-47</v>
          </cell>
          <cell r="L3061" t="str">
            <v>IQ</v>
          </cell>
          <cell r="M3061" t="str">
            <v>MARISOL PEREZ VAZQUEZ MENEZES</v>
          </cell>
          <cell r="N3061" t="str">
            <v>DWL7462</v>
          </cell>
          <cell r="O3061" t="str">
            <v>2009</v>
          </cell>
          <cell r="P3061" t="str">
            <v>29</v>
          </cell>
          <cell r="Q3061" t="str">
            <v>27</v>
          </cell>
        </row>
        <row r="3062">
          <cell r="B3062" t="str">
            <v>5001/16</v>
          </cell>
          <cell r="C3062" t="str">
            <v>2016-0.045.207-4</v>
          </cell>
          <cell r="D3062" t="str">
            <v/>
          </cell>
          <cell r="E3062" t="str">
            <v>28 de abril de 2016</v>
          </cell>
          <cell r="F3062" t="str">
            <v>COOPERATIVA BRASILEIRA DE TRANSPORTE - COBRATE</v>
          </cell>
          <cell r="G3062" t="str">
            <v>24/02/2016</v>
          </cell>
          <cell r="H3062" t="str">
            <v>08/03/2016</v>
          </cell>
          <cell r="I3062" t="str">
            <v>28</v>
          </cell>
          <cell r="J3062" t="str">
            <v>PESSOA JURÍDICA</v>
          </cell>
          <cell r="K3062" t="str">
            <v>03.165.760/0001-47</v>
          </cell>
          <cell r="L3062" t="str">
            <v>SM</v>
          </cell>
          <cell r="M3062" t="str">
            <v>APARECIDA SIMAO MALVEIRO MARZOLA</v>
          </cell>
          <cell r="N3062" t="str">
            <v>FCB9689</v>
          </cell>
          <cell r="O3062" t="str">
            <v>2013</v>
          </cell>
          <cell r="P3062" t="str">
            <v>19</v>
          </cell>
          <cell r="Q3062" t="str">
            <v>18</v>
          </cell>
        </row>
        <row r="3063">
          <cell r="B3063" t="str">
            <v>5001/16</v>
          </cell>
          <cell r="C3063" t="str">
            <v>2016-0.045.207-4</v>
          </cell>
          <cell r="D3063" t="str">
            <v/>
          </cell>
          <cell r="E3063" t="str">
            <v>08 de março de 2016</v>
          </cell>
          <cell r="F3063" t="str">
            <v>COOPERATIVA BRASILEIRA DE TRANSPORTE - COBRATE</v>
          </cell>
          <cell r="G3063" t="str">
            <v>24/02/2016</v>
          </cell>
          <cell r="H3063" t="str">
            <v>08/03/2016</v>
          </cell>
          <cell r="I3063" t="str">
            <v>28</v>
          </cell>
          <cell r="J3063" t="str">
            <v>PESSOA JURÍDICA</v>
          </cell>
          <cell r="K3063" t="str">
            <v>03.165.760/0001-47</v>
          </cell>
          <cell r="L3063" t="str">
            <v>SM</v>
          </cell>
          <cell r="M3063" t="str">
            <v>TRANSBRAT TRANSPORTE BRASILEIRO LTDA - ME - OTONIEL FERREIRA DOS SANTOS</v>
          </cell>
          <cell r="N3063" t="str">
            <v>FMX8166</v>
          </cell>
          <cell r="O3063" t="str">
            <v>2015</v>
          </cell>
          <cell r="P3063" t="str">
            <v>19</v>
          </cell>
          <cell r="Q3063" t="str">
            <v>18</v>
          </cell>
        </row>
        <row r="3064">
          <cell r="B3064" t="str">
            <v>5001/16</v>
          </cell>
          <cell r="C3064" t="str">
            <v>2016-0.045.207-4</v>
          </cell>
          <cell r="D3064" t="str">
            <v/>
          </cell>
          <cell r="E3064" t="str">
            <v/>
          </cell>
          <cell r="F3064" t="str">
            <v>COOPERATIVA BRASILEIRA DE TRANSPORTE - COBRATE</v>
          </cell>
          <cell r="G3064" t="str">
            <v>24/02/2016</v>
          </cell>
          <cell r="H3064" t="str">
            <v>08/03/2016</v>
          </cell>
          <cell r="I3064" t="str">
            <v>28</v>
          </cell>
          <cell r="J3064" t="str">
            <v>PESSOA JURÍDICA</v>
          </cell>
          <cell r="K3064" t="str">
            <v>03.165.760/0001-47</v>
          </cell>
          <cell r="L3064" t="str">
            <v>PJ</v>
          </cell>
          <cell r="M3064" t="str">
            <v>MARCOS DA SILVA SOARES</v>
          </cell>
          <cell r="N3064" t="str">
            <v>DTE9304</v>
          </cell>
          <cell r="O3064" t="str">
            <v>2009</v>
          </cell>
          <cell r="P3064" t="str">
            <v>19</v>
          </cell>
          <cell r="Q3064" t="str">
            <v>17</v>
          </cell>
        </row>
        <row r="3065">
          <cell r="B3065" t="str">
            <v>5001/16</v>
          </cell>
          <cell r="C3065" t="str">
            <v>2016-0.045.207-4</v>
          </cell>
          <cell r="D3065" t="str">
            <v/>
          </cell>
          <cell r="E3065" t="str">
            <v>10 de março de 2016</v>
          </cell>
          <cell r="F3065" t="str">
            <v>COOPERATIVA BRASILEIRA DE TRANSPORTE - COBRATE</v>
          </cell>
          <cell r="G3065" t="str">
            <v>24/02/2016</v>
          </cell>
          <cell r="H3065" t="str">
            <v>08/03/2016</v>
          </cell>
          <cell r="I3065" t="str">
            <v>28</v>
          </cell>
          <cell r="J3065" t="str">
            <v>PESSOA JURÍDICA</v>
          </cell>
          <cell r="K3065" t="str">
            <v>03.165.760/0001-47</v>
          </cell>
          <cell r="L3065" t="str">
            <v>BT</v>
          </cell>
          <cell r="M3065" t="str">
            <v>CESAR AUGUSTO FORTUNATO TRANSPORTE ME - CESAR AUGUSTO FORTUNATO</v>
          </cell>
          <cell r="N3065" t="str">
            <v>FFN3826</v>
          </cell>
          <cell r="O3065" t="str">
            <v>2012</v>
          </cell>
          <cell r="P3065" t="str">
            <v>19</v>
          </cell>
          <cell r="Q3065" t="str">
            <v>18</v>
          </cell>
        </row>
        <row r="3066">
          <cell r="B3066" t="str">
            <v>5001/16</v>
          </cell>
          <cell r="C3066" t="str">
            <v>2016-0.045.207-4</v>
          </cell>
          <cell r="D3066" t="str">
            <v/>
          </cell>
          <cell r="E3066" t="str">
            <v>29 de março de 2016</v>
          </cell>
          <cell r="F3066" t="str">
            <v>COOPERATIVA BRASILEIRA DE TRANSPORTE - COBRATE</v>
          </cell>
          <cell r="G3066" t="str">
            <v>24/02/2016</v>
          </cell>
          <cell r="H3066" t="str">
            <v>08/03/2016</v>
          </cell>
          <cell r="I3066" t="str">
            <v>28</v>
          </cell>
          <cell r="J3066" t="str">
            <v>PESSOA JURÍDICA</v>
          </cell>
          <cell r="K3066" t="str">
            <v>03.165.760/0001-47</v>
          </cell>
          <cell r="L3066" t="str">
            <v>SM</v>
          </cell>
          <cell r="M3066" t="str">
            <v>ROSANA DE OLIVEIRA PADOVEZZI</v>
          </cell>
          <cell r="N3066" t="str">
            <v>FUU4230</v>
          </cell>
          <cell r="O3066" t="str">
            <v>2014</v>
          </cell>
          <cell r="P3066" t="str">
            <v>19</v>
          </cell>
          <cell r="Q3066" t="str">
            <v>18</v>
          </cell>
        </row>
        <row r="3067">
          <cell r="B3067" t="str">
            <v>5001/16</v>
          </cell>
          <cell r="C3067" t="str">
            <v>2016-0.045.207-4</v>
          </cell>
          <cell r="D3067" t="str">
            <v/>
          </cell>
          <cell r="E3067" t="str">
            <v/>
          </cell>
          <cell r="F3067" t="str">
            <v>COOPERATIVA BRASILEIRA DE TRANSPORTE - COBRATE</v>
          </cell>
          <cell r="G3067" t="str">
            <v>24/02/2016</v>
          </cell>
          <cell r="H3067" t="str">
            <v>08/03/2016</v>
          </cell>
          <cell r="I3067" t="str">
            <v>28</v>
          </cell>
          <cell r="J3067" t="str">
            <v>PESSOA JURÍDICA</v>
          </cell>
          <cell r="K3067" t="str">
            <v>03.165.760/0001-47</v>
          </cell>
          <cell r="L3067" t="str">
            <v>PJ</v>
          </cell>
          <cell r="M3067" t="str">
            <v>ROMULO ALKMIN</v>
          </cell>
          <cell r="N3067" t="str">
            <v>FRA8748</v>
          </cell>
          <cell r="O3067" t="str">
            <v>2014</v>
          </cell>
          <cell r="P3067" t="str">
            <v>19</v>
          </cell>
          <cell r="Q3067" t="str">
            <v>18</v>
          </cell>
        </row>
        <row r="3068">
          <cell r="B3068" t="str">
            <v>5001/16</v>
          </cell>
          <cell r="C3068" t="str">
            <v>2016-0.045.207-4</v>
          </cell>
          <cell r="D3068" t="str">
            <v/>
          </cell>
          <cell r="E3068" t="str">
            <v/>
          </cell>
          <cell r="F3068" t="str">
            <v>COOPERATIVA BRASILEIRA DE TRANSPORTE - COBRATE</v>
          </cell>
          <cell r="G3068" t="str">
            <v>24/02/2016</v>
          </cell>
          <cell r="H3068" t="str">
            <v>08/03/2016</v>
          </cell>
          <cell r="I3068" t="str">
            <v>28</v>
          </cell>
          <cell r="J3068" t="str">
            <v>PESSOA JURÍDICA</v>
          </cell>
          <cell r="K3068" t="str">
            <v>03.165.760/0001-47</v>
          </cell>
          <cell r="L3068" t="str">
            <v>BT</v>
          </cell>
          <cell r="M3068" t="str">
            <v>BRUNA VIEIRA DE SOUSA ME - ALDENI EVANGELISTA DE SOUSA</v>
          </cell>
          <cell r="N3068" t="str">
            <v>CZX2160</v>
          </cell>
          <cell r="O3068" t="str">
            <v>2002</v>
          </cell>
          <cell r="P3068" t="str">
            <v>24</v>
          </cell>
          <cell r="Q3068" t="str">
            <v>22</v>
          </cell>
        </row>
        <row r="3069">
          <cell r="B3069" t="str">
            <v>5001/16</v>
          </cell>
          <cell r="C3069" t="str">
            <v>2016-0.045.207-4</v>
          </cell>
          <cell r="D3069" t="str">
            <v/>
          </cell>
          <cell r="E3069" t="str">
            <v/>
          </cell>
          <cell r="F3069" t="str">
            <v>COOPERATIVA BRASILEIRA DE TRANSPORTE - COBRATE</v>
          </cell>
          <cell r="G3069" t="str">
            <v>24/02/2016</v>
          </cell>
          <cell r="H3069" t="str">
            <v>08/03/2016</v>
          </cell>
          <cell r="I3069" t="str">
            <v>28</v>
          </cell>
          <cell r="J3069" t="str">
            <v>PESSOA JURÍDICA</v>
          </cell>
          <cell r="K3069" t="str">
            <v>03.165.760/0001-47</v>
          </cell>
          <cell r="L3069" t="str">
            <v>PE</v>
          </cell>
          <cell r="M3069" t="str">
            <v>GIOVANI PIAU ALVES</v>
          </cell>
          <cell r="N3069" t="str">
            <v>FDO7329</v>
          </cell>
          <cell r="O3069" t="str">
            <v>2012</v>
          </cell>
          <cell r="P3069" t="str">
            <v>19</v>
          </cell>
          <cell r="Q3069" t="str">
            <v>18</v>
          </cell>
        </row>
        <row r="3070">
          <cell r="B3070" t="str">
            <v>5001/16</v>
          </cell>
          <cell r="C3070" t="str">
            <v>2016-0.045.207-4</v>
          </cell>
          <cell r="D3070" t="str">
            <v/>
          </cell>
          <cell r="E3070" t="str">
            <v>18 de março de 2016</v>
          </cell>
          <cell r="F3070" t="str">
            <v>COOPERATIVA BRASILEIRA DE TRANSPORTE - COBRATE</v>
          </cell>
          <cell r="G3070" t="str">
            <v>24/02/2016</v>
          </cell>
          <cell r="H3070" t="str">
            <v>08/03/2016</v>
          </cell>
          <cell r="I3070" t="str">
            <v>28</v>
          </cell>
          <cell r="J3070" t="str">
            <v>PESSOA JURÍDICA</v>
          </cell>
          <cell r="K3070" t="str">
            <v>03.165.760/0001-47</v>
          </cell>
          <cell r="L3070" t="str">
            <v>SM</v>
          </cell>
          <cell r="M3070" t="str">
            <v>LHJ TRANSPORTES LTDA - ME - FABIANA PEREIRA DE SIMONI</v>
          </cell>
          <cell r="N3070" t="str">
            <v>DTC1069</v>
          </cell>
          <cell r="O3070" t="str">
            <v>2007</v>
          </cell>
          <cell r="P3070" t="str">
            <v>29</v>
          </cell>
          <cell r="Q3070" t="str">
            <v>27</v>
          </cell>
        </row>
        <row r="3071">
          <cell r="B3071" t="str">
            <v>5001/16</v>
          </cell>
          <cell r="C3071" t="str">
            <v>2016-0.045.207-4</v>
          </cell>
          <cell r="D3071" t="str">
            <v/>
          </cell>
          <cell r="E3071" t="str">
            <v/>
          </cell>
          <cell r="F3071" t="str">
            <v>COOPERATIVA BRASILEIRA DE TRANSPORTE - COBRATE</v>
          </cell>
          <cell r="G3071" t="str">
            <v>24/02/2016</v>
          </cell>
          <cell r="H3071" t="str">
            <v>08/03/2016</v>
          </cell>
          <cell r="I3071" t="str">
            <v>28</v>
          </cell>
          <cell r="J3071" t="str">
            <v>PESSOA JURÍDICA</v>
          </cell>
          <cell r="K3071" t="str">
            <v>03.165.760/0001-47</v>
          </cell>
          <cell r="L3071" t="str">
            <v>PJ</v>
          </cell>
          <cell r="M3071" t="str">
            <v>RONALDO NAPOLITANO</v>
          </cell>
          <cell r="N3071" t="str">
            <v>CYR5986</v>
          </cell>
          <cell r="O3071" t="str">
            <v>2002</v>
          </cell>
          <cell r="P3071" t="str">
            <v>25</v>
          </cell>
          <cell r="Q3071" t="str">
            <v>23</v>
          </cell>
        </row>
        <row r="3072">
          <cell r="B3072" t="str">
            <v>5001/16</v>
          </cell>
          <cell r="C3072" t="str">
            <v>2016-0.045.207-4</v>
          </cell>
          <cell r="D3072" t="str">
            <v/>
          </cell>
          <cell r="E3072" t="str">
            <v/>
          </cell>
          <cell r="F3072" t="str">
            <v>COOPERATIVA BRASILEIRA DE TRANSPORTE - COBRATE</v>
          </cell>
          <cell r="G3072" t="str">
            <v>24/02/2016</v>
          </cell>
          <cell r="H3072" t="str">
            <v>08/03/2016</v>
          </cell>
          <cell r="I3072" t="str">
            <v>28</v>
          </cell>
          <cell r="J3072" t="str">
            <v>PESSOA JURÍDICA</v>
          </cell>
          <cell r="K3072" t="str">
            <v>03.165.760/0001-47</v>
          </cell>
          <cell r="L3072" t="str">
            <v>BT</v>
          </cell>
          <cell r="M3072" t="str">
            <v>ELLOS TRANSPORTE ESCOLAR E LOCACAO DE VEICULOS LTDA ME - MARCELO CORDEIRO DO ROSARIO</v>
          </cell>
          <cell r="N3072" t="str">
            <v>CZX8830</v>
          </cell>
          <cell r="O3072" t="str">
            <v>2003</v>
          </cell>
          <cell r="P3072" t="str">
            <v>25</v>
          </cell>
          <cell r="Q3072" t="str">
            <v>23</v>
          </cell>
        </row>
        <row r="3073">
          <cell r="B3073" t="str">
            <v>5002/16</v>
          </cell>
          <cell r="C3073" t="str">
            <v>2016-0.045.208-2</v>
          </cell>
          <cell r="D3073" t="str">
            <v/>
          </cell>
          <cell r="E3073" t="str">
            <v/>
          </cell>
          <cell r="F3073" t="str">
            <v>COOPER-X - COOP. SERV. TRANSP. ESCOLAR SP</v>
          </cell>
          <cell r="G3073" t="str">
            <v>26/02/2016</v>
          </cell>
          <cell r="H3073" t="str">
            <v>27/02/2016</v>
          </cell>
          <cell r="I3073" t="str">
            <v>30</v>
          </cell>
          <cell r="J3073" t="str">
            <v>PESSOA JURÍDICA</v>
          </cell>
          <cell r="K3073" t="str">
            <v>08.468.071/0001-25</v>
          </cell>
          <cell r="L3073" t="str">
            <v/>
          </cell>
          <cell r="M3073" t="str">
            <v/>
          </cell>
          <cell r="N3073" t="str">
            <v/>
          </cell>
          <cell r="O3073" t="str">
            <v/>
          </cell>
          <cell r="P3073" t="str">
            <v/>
          </cell>
          <cell r="Q3073" t="str">
            <v/>
          </cell>
        </row>
        <row r="3074">
          <cell r="B3074" t="str">
            <v>5002/16</v>
          </cell>
          <cell r="C3074" t="str">
            <v>2016-0.045.208-2</v>
          </cell>
          <cell r="D3074" t="str">
            <v/>
          </cell>
          <cell r="E3074" t="str">
            <v>08 de março de 2016</v>
          </cell>
          <cell r="F3074" t="str">
            <v>COOPER-X - COOP. SERV. TRANSP. ESCOLAR SP</v>
          </cell>
          <cell r="G3074" t="str">
            <v>26/02/2016</v>
          </cell>
          <cell r="H3074" t="str">
            <v>27/02/2016</v>
          </cell>
          <cell r="I3074" t="str">
            <v>30</v>
          </cell>
          <cell r="J3074" t="str">
            <v>PESSOA JURÍDICA</v>
          </cell>
          <cell r="K3074" t="str">
            <v>08.468.071/0001-25</v>
          </cell>
          <cell r="L3074" t="str">
            <v>G</v>
          </cell>
          <cell r="M3074" t="str">
            <v>LUCIA MARIA RODRIGUES NASCIMENTO</v>
          </cell>
          <cell r="N3074" t="str">
            <v>DZX5150</v>
          </cell>
          <cell r="O3074" t="str">
            <v>2008</v>
          </cell>
          <cell r="P3074" t="str">
            <v>25</v>
          </cell>
          <cell r="Q3074" t="str">
            <v>23</v>
          </cell>
        </row>
        <row r="3075">
          <cell r="B3075" t="str">
            <v>5002/16</v>
          </cell>
          <cell r="C3075" t="str">
            <v>2016-0.045.208-2</v>
          </cell>
          <cell r="D3075" t="str">
            <v/>
          </cell>
          <cell r="E3075" t="str">
            <v>08 de março de 2016</v>
          </cell>
          <cell r="F3075" t="str">
            <v>COOPER-X - COOP. SERV. TRANSP. ESCOLAR SP</v>
          </cell>
          <cell r="G3075" t="str">
            <v>26/02/2016</v>
          </cell>
          <cell r="H3075" t="str">
            <v>27/02/2016</v>
          </cell>
          <cell r="I3075" t="str">
            <v>30</v>
          </cell>
          <cell r="J3075" t="str">
            <v>PESSOA JURÍDICA</v>
          </cell>
          <cell r="K3075" t="str">
            <v>08.468.071/0001-25</v>
          </cell>
          <cell r="L3075" t="str">
            <v>MP</v>
          </cell>
          <cell r="M3075" t="str">
            <v>MARCELINO MOREIRA GONCALVES</v>
          </cell>
          <cell r="N3075" t="str">
            <v>DTD6870</v>
          </cell>
          <cell r="O3075" t="str">
            <v>2009</v>
          </cell>
          <cell r="P3075" t="str">
            <v>10</v>
          </cell>
          <cell r="Q3075" t="str">
            <v>9</v>
          </cell>
        </row>
        <row r="3076">
          <cell r="B3076" t="str">
            <v>5002/16</v>
          </cell>
          <cell r="C3076" t="str">
            <v>2016-0.045.208-2</v>
          </cell>
          <cell r="D3076" t="str">
            <v/>
          </cell>
          <cell r="E3076" t="str">
            <v/>
          </cell>
          <cell r="F3076" t="str">
            <v>COOPER-X - COOP. SERV. TRANSP. ESCOLAR SP</v>
          </cell>
          <cell r="G3076" t="str">
            <v>26/02/2016</v>
          </cell>
          <cell r="H3076" t="str">
            <v>27/02/2016</v>
          </cell>
          <cell r="I3076" t="str">
            <v>30</v>
          </cell>
          <cell r="J3076" t="str">
            <v>PESSOA JURÍDICA</v>
          </cell>
          <cell r="K3076" t="str">
            <v>08.468.071/0001-25</v>
          </cell>
          <cell r="L3076" t="str">
            <v/>
          </cell>
          <cell r="M3076" t="str">
            <v/>
          </cell>
          <cell r="N3076" t="str">
            <v/>
          </cell>
          <cell r="O3076" t="str">
            <v/>
          </cell>
          <cell r="P3076" t="str">
            <v/>
          </cell>
          <cell r="Q3076" t="str">
            <v/>
          </cell>
        </row>
        <row r="3077">
          <cell r="B3077" t="str">
            <v>5002/16</v>
          </cell>
          <cell r="C3077" t="str">
            <v>2016-0.045.208-2</v>
          </cell>
          <cell r="D3077" t="str">
            <v/>
          </cell>
          <cell r="E3077" t="str">
            <v/>
          </cell>
          <cell r="F3077" t="str">
            <v>COOPER-X - COOP. SERV. TRANSP. ESCOLAR SP</v>
          </cell>
          <cell r="G3077" t="str">
            <v>26/02/2016</v>
          </cell>
          <cell r="H3077" t="str">
            <v>27/02/2016</v>
          </cell>
          <cell r="I3077" t="str">
            <v>30</v>
          </cell>
          <cell r="J3077" t="str">
            <v>PESSOA JURÍDICA</v>
          </cell>
          <cell r="K3077" t="str">
            <v>08.468.071/0001-25</v>
          </cell>
          <cell r="L3077" t="str">
            <v/>
          </cell>
          <cell r="M3077" t="str">
            <v/>
          </cell>
          <cell r="N3077" t="str">
            <v/>
          </cell>
          <cell r="O3077" t="str">
            <v/>
          </cell>
          <cell r="P3077" t="str">
            <v/>
          </cell>
          <cell r="Q3077" t="str">
            <v/>
          </cell>
        </row>
        <row r="3078">
          <cell r="B3078" t="str">
            <v>5002/16</v>
          </cell>
          <cell r="C3078" t="str">
            <v>2016-0.045.208-2</v>
          </cell>
          <cell r="D3078" t="str">
            <v>01/02/2016</v>
          </cell>
          <cell r="E3078" t="str">
            <v>30 de março de 2016</v>
          </cell>
          <cell r="F3078" t="str">
            <v>COOPER-X - COOP. SERV. TRANSP. ESCOLAR SP</v>
          </cell>
          <cell r="G3078" t="str">
            <v>26/02/2016</v>
          </cell>
          <cell r="H3078" t="str">
            <v>27/02/2016</v>
          </cell>
          <cell r="I3078" t="str">
            <v>30</v>
          </cell>
          <cell r="J3078" t="str">
            <v>PESSOA JURÍDICA</v>
          </cell>
          <cell r="K3078" t="str">
            <v>08.468.071/0001-25</v>
          </cell>
          <cell r="L3078" t="str">
            <v>MP</v>
          </cell>
          <cell r="M3078" t="str">
            <v>PAULO SERGIO MATSUKI</v>
          </cell>
          <cell r="N3078" t="str">
            <v>DTA7470</v>
          </cell>
          <cell r="O3078" t="str">
            <v>2008</v>
          </cell>
          <cell r="P3078" t="str">
            <v>16</v>
          </cell>
          <cell r="Q3078" t="str">
            <v>14</v>
          </cell>
        </row>
        <row r="3079">
          <cell r="B3079" t="str">
            <v>5002/16</v>
          </cell>
          <cell r="C3079" t="str">
            <v>2016-0.045.208-2</v>
          </cell>
          <cell r="D3079" t="str">
            <v/>
          </cell>
          <cell r="E3079" t="str">
            <v>28 de março de 2016</v>
          </cell>
          <cell r="F3079" t="str">
            <v>COOPER-X - COOP. SERV. TRANSP. ESCOLAR SP</v>
          </cell>
          <cell r="G3079" t="str">
            <v>26/02/2016</v>
          </cell>
          <cell r="H3079" t="str">
            <v>27/02/2016</v>
          </cell>
          <cell r="I3079" t="str">
            <v>30</v>
          </cell>
          <cell r="J3079" t="str">
            <v>PESSOA JURÍDICA</v>
          </cell>
          <cell r="K3079" t="str">
            <v>08.468.071/0001-25</v>
          </cell>
          <cell r="L3079" t="str">
            <v>MP</v>
          </cell>
          <cell r="M3079" t="str">
            <v>NILDA MARIA DOS SANTOS</v>
          </cell>
          <cell r="N3079" t="str">
            <v>DTE1826</v>
          </cell>
          <cell r="O3079" t="str">
            <v>2009</v>
          </cell>
          <cell r="P3079" t="str">
            <v>11</v>
          </cell>
          <cell r="Q3079" t="str">
            <v>10</v>
          </cell>
        </row>
        <row r="3080">
          <cell r="B3080" t="str">
            <v>5002/16</v>
          </cell>
          <cell r="C3080" t="str">
            <v>2016-0.045.208-2</v>
          </cell>
          <cell r="D3080" t="str">
            <v/>
          </cell>
          <cell r="E3080" t="str">
            <v>08 de março de 2016</v>
          </cell>
          <cell r="F3080" t="str">
            <v>COOPER-X - COOP. SERV. TRANSP. ESCOLAR SP</v>
          </cell>
          <cell r="G3080" t="str">
            <v>26/02/2016</v>
          </cell>
          <cell r="H3080" t="str">
            <v>27/02/2016</v>
          </cell>
          <cell r="I3080" t="str">
            <v>30</v>
          </cell>
          <cell r="J3080" t="str">
            <v>PESSOA JURÍDICA</v>
          </cell>
          <cell r="K3080" t="str">
            <v>08.468.071/0001-25</v>
          </cell>
          <cell r="L3080" t="str">
            <v>IQ</v>
          </cell>
          <cell r="M3080" t="str">
            <v>REINALDO ALVES DE OLIVEIRA</v>
          </cell>
          <cell r="N3080" t="str">
            <v>DTD9090</v>
          </cell>
          <cell r="O3080" t="str">
            <v>2009</v>
          </cell>
          <cell r="P3080" t="str">
            <v>11</v>
          </cell>
          <cell r="Q3080" t="str">
            <v>10</v>
          </cell>
        </row>
        <row r="3081">
          <cell r="B3081" t="str">
            <v>5002/16</v>
          </cell>
          <cell r="C3081" t="str">
            <v>2016-0.045.208-2</v>
          </cell>
          <cell r="D3081" t="str">
            <v>04/03/2016</v>
          </cell>
          <cell r="E3081" t="str">
            <v>04 de abril de 2016</v>
          </cell>
          <cell r="F3081" t="str">
            <v>COOPER-X - COOP. SERV. TRANSP. ESCOLAR SP</v>
          </cell>
          <cell r="G3081" t="str">
            <v>26/02/2016</v>
          </cell>
          <cell r="H3081" t="str">
            <v>27/02/2016</v>
          </cell>
          <cell r="I3081" t="str">
            <v>30</v>
          </cell>
          <cell r="J3081" t="str">
            <v>PESSOA JURÍDICA</v>
          </cell>
          <cell r="K3081" t="str">
            <v>08.468.071/0001-25</v>
          </cell>
          <cell r="L3081" t="str">
            <v>G</v>
          </cell>
          <cell r="M3081" t="str">
            <v>DOUGLAS RODRIGUES DA SILVA</v>
          </cell>
          <cell r="N3081" t="str">
            <v>DTC4166</v>
          </cell>
          <cell r="O3081" t="str">
            <v>2008</v>
          </cell>
          <cell r="P3081" t="str">
            <v>29</v>
          </cell>
          <cell r="Q3081" t="str">
            <v>27</v>
          </cell>
        </row>
        <row r="3082">
          <cell r="B3082" t="str">
            <v>5002/16</v>
          </cell>
          <cell r="C3082" t="str">
            <v>2016-0.045.208-2</v>
          </cell>
          <cell r="D3082" t="str">
            <v>22/02/2016</v>
          </cell>
          <cell r="E3082" t="str">
            <v>26 de fevereiro de 2016</v>
          </cell>
          <cell r="F3082" t="str">
            <v>COOPER-X - COOP. SERV. TRANSP. ESCOLAR SP</v>
          </cell>
          <cell r="G3082" t="str">
            <v>26/02/2016</v>
          </cell>
          <cell r="H3082" t="str">
            <v>27/02/2016</v>
          </cell>
          <cell r="I3082" t="str">
            <v>30</v>
          </cell>
          <cell r="J3082" t="str">
            <v>PESSOA JURÍDICA</v>
          </cell>
          <cell r="K3082" t="str">
            <v>08.468.071/0001-25</v>
          </cell>
          <cell r="L3082" t="str">
            <v xml:space="preserve">SM </v>
          </cell>
          <cell r="M3082" t="str">
            <v>MARCELO ROCHA URSULINO</v>
          </cell>
          <cell r="N3082" t="str">
            <v>DJF8403</v>
          </cell>
          <cell r="O3082" t="str">
            <v>2006</v>
          </cell>
          <cell r="P3082" t="str">
            <v>25</v>
          </cell>
          <cell r="Q3082" t="str">
            <v>23</v>
          </cell>
        </row>
        <row r="3083">
          <cell r="B3083" t="str">
            <v>5002/16</v>
          </cell>
          <cell r="C3083" t="str">
            <v>2016-0.045.208-2</v>
          </cell>
          <cell r="D3083" t="str">
            <v>15/02/2016</v>
          </cell>
          <cell r="E3083" t="str">
            <v>26 de fevereiro de 2016</v>
          </cell>
          <cell r="F3083" t="str">
            <v>COOPER-X - COOP. SERV. TRANSP. ESCOLAR SP</v>
          </cell>
          <cell r="G3083" t="str">
            <v>26/02/2016</v>
          </cell>
          <cell r="H3083" t="str">
            <v>27/02/2016</v>
          </cell>
          <cell r="I3083" t="str">
            <v>30</v>
          </cell>
          <cell r="J3083" t="str">
            <v>PESSOA JURÍDICA</v>
          </cell>
          <cell r="K3083" t="str">
            <v>08.468.071/0001-25</v>
          </cell>
          <cell r="L3083" t="str">
            <v>SM</v>
          </cell>
          <cell r="M3083" t="str">
            <v>DEUSINEIDE MENDES DA SILVA MORAES - ME - DEUSINEIDE MENDES DA SILVA MORAES</v>
          </cell>
          <cell r="N3083" t="str">
            <v>ELW1280</v>
          </cell>
          <cell r="O3083" t="str">
            <v>2011</v>
          </cell>
          <cell r="P3083" t="str">
            <v>19</v>
          </cell>
          <cell r="Q3083" t="str">
            <v>18</v>
          </cell>
        </row>
        <row r="3084">
          <cell r="B3084" t="str">
            <v>5002/16</v>
          </cell>
          <cell r="C3084" t="str">
            <v>2016-0.045.208-2</v>
          </cell>
          <cell r="D3084" t="str">
            <v/>
          </cell>
          <cell r="E3084" t="str">
            <v>08 de março de 2016</v>
          </cell>
          <cell r="F3084" t="str">
            <v>COOPER-X - COOP. SERV. TRANSP. ESCOLAR SP</v>
          </cell>
          <cell r="G3084" t="str">
            <v>26/02/2016</v>
          </cell>
          <cell r="H3084" t="str">
            <v>27/02/2016</v>
          </cell>
          <cell r="I3084" t="str">
            <v>30</v>
          </cell>
          <cell r="J3084" t="str">
            <v>PESSOA JURÍDICA</v>
          </cell>
          <cell r="K3084" t="str">
            <v>08.468.071/0001-25</v>
          </cell>
          <cell r="L3084" t="str">
            <v>MP</v>
          </cell>
          <cell r="M3084" t="str">
            <v>ADRIANA PEREIRA DOURADO DE LIMA</v>
          </cell>
          <cell r="N3084" t="str">
            <v>DTB5500</v>
          </cell>
          <cell r="O3084" t="str">
            <v>2007</v>
          </cell>
          <cell r="P3084" t="str">
            <v>29</v>
          </cell>
          <cell r="Q3084" t="str">
            <v>27</v>
          </cell>
        </row>
        <row r="3085">
          <cell r="B3085" t="str">
            <v>5002/16</v>
          </cell>
          <cell r="C3085" t="str">
            <v>2016-0.045.208-2</v>
          </cell>
          <cell r="D3085" t="str">
            <v/>
          </cell>
          <cell r="E3085" t="str">
            <v>14 de março de 2016</v>
          </cell>
          <cell r="F3085" t="str">
            <v>COOPER-X - COOP. SERV. TRANSP. ESCOLAR SP</v>
          </cell>
          <cell r="G3085" t="str">
            <v>26/02/2016</v>
          </cell>
          <cell r="H3085" t="str">
            <v>27/02/2016</v>
          </cell>
          <cell r="I3085" t="str">
            <v>30</v>
          </cell>
          <cell r="J3085" t="str">
            <v>PESSOA JURÍDICA</v>
          </cell>
          <cell r="K3085" t="str">
            <v>08.468.071/0001-25</v>
          </cell>
          <cell r="L3085" t="str">
            <v>PE</v>
          </cell>
          <cell r="M3085" t="str">
            <v>MARCIO ALEXANDRE FERNANDES DE OLIVEIRA</v>
          </cell>
          <cell r="N3085" t="str">
            <v>DTE6640</v>
          </cell>
          <cell r="O3085" t="str">
            <v>2008</v>
          </cell>
          <cell r="P3085" t="str">
            <v>19</v>
          </cell>
          <cell r="Q3085" t="str">
            <v>17</v>
          </cell>
        </row>
        <row r="3086">
          <cell r="B3086" t="str">
            <v>5002/16</v>
          </cell>
          <cell r="C3086" t="str">
            <v>2016-0.045.208-2</v>
          </cell>
          <cell r="D3086" t="str">
            <v>22/02/2016</v>
          </cell>
          <cell r="E3086" t="str">
            <v/>
          </cell>
          <cell r="F3086" t="str">
            <v>COOPER-X - COOP. SERV. TRANSP. ESCOLAR SP</v>
          </cell>
          <cell r="G3086" t="str">
            <v>26/02/2016</v>
          </cell>
          <cell r="H3086" t="str">
            <v>27/02/2016</v>
          </cell>
          <cell r="I3086" t="str">
            <v>30</v>
          </cell>
          <cell r="J3086" t="str">
            <v>PESSOA JURÍDICA</v>
          </cell>
          <cell r="K3086" t="str">
            <v>08.468.071/0001-25</v>
          </cell>
          <cell r="L3086" t="str">
            <v>FO</v>
          </cell>
          <cell r="M3086" t="str">
            <v>WENDELL RICARDO PALADINO DOS SANTOS</v>
          </cell>
          <cell r="N3086" t="str">
            <v>EFV4775</v>
          </cell>
          <cell r="O3086" t="str">
            <v>2010</v>
          </cell>
          <cell r="P3086" t="str">
            <v>10</v>
          </cell>
          <cell r="Q3086" t="str">
            <v>9</v>
          </cell>
        </row>
        <row r="3087">
          <cell r="B3087" t="str">
            <v>5002/16</v>
          </cell>
          <cell r="C3087" t="str">
            <v>2016-0.045.208-2</v>
          </cell>
          <cell r="D3087" t="str">
            <v/>
          </cell>
          <cell r="E3087" t="str">
            <v>08 de março de 2016</v>
          </cell>
          <cell r="F3087" t="str">
            <v>COOPER-X - COOP. SERV. TRANSP. ESCOLAR SP</v>
          </cell>
          <cell r="G3087" t="str">
            <v>26/02/2016</v>
          </cell>
          <cell r="H3087" t="str">
            <v>27/02/2016</v>
          </cell>
          <cell r="I3087" t="str">
            <v>30</v>
          </cell>
          <cell r="J3087" t="str">
            <v>PESSOA JURÍDICA</v>
          </cell>
          <cell r="K3087" t="str">
            <v>08.468.071/0001-25</v>
          </cell>
          <cell r="L3087" t="str">
            <v>IQ</v>
          </cell>
          <cell r="M3087" t="str">
            <v>EDMILSON PAM</v>
          </cell>
          <cell r="N3087" t="str">
            <v>DTC3391</v>
          </cell>
          <cell r="O3087" t="str">
            <v>2009</v>
          </cell>
          <cell r="P3087" t="str">
            <v>11</v>
          </cell>
          <cell r="Q3087" t="str">
            <v>10</v>
          </cell>
        </row>
        <row r="3088">
          <cell r="B3088" t="str">
            <v>5002/16</v>
          </cell>
          <cell r="C3088" t="str">
            <v>2016-0.045.208-2</v>
          </cell>
          <cell r="D3088" t="str">
            <v>31/03/2016</v>
          </cell>
          <cell r="E3088" t="str">
            <v>27 de abril de 2016</v>
          </cell>
          <cell r="F3088" t="str">
            <v>COOPER-X - COOP. SERV. TRANSP. ESCOLAR SP</v>
          </cell>
          <cell r="G3088" t="str">
            <v>26/02/2016</v>
          </cell>
          <cell r="H3088" t="str">
            <v>27/02/2016</v>
          </cell>
          <cell r="I3088" t="str">
            <v>30</v>
          </cell>
          <cell r="J3088" t="str">
            <v>PESSOA JURÍDICA</v>
          </cell>
          <cell r="K3088" t="str">
            <v>08.468.071/0001-25</v>
          </cell>
          <cell r="L3088" t="str">
            <v>MP</v>
          </cell>
          <cell r="M3088" t="str">
            <v>EDNILSON APARECIDO BUSSOLA</v>
          </cell>
          <cell r="N3088" t="str">
            <v>FCW4320</v>
          </cell>
          <cell r="O3088" t="str">
            <v>2015</v>
          </cell>
          <cell r="P3088" t="str">
            <v>10</v>
          </cell>
          <cell r="Q3088" t="str">
            <v>09</v>
          </cell>
        </row>
        <row r="3089">
          <cell r="B3089" t="str">
            <v>5002/16</v>
          </cell>
          <cell r="C3089" t="str">
            <v>2016-0.045.208-2</v>
          </cell>
          <cell r="D3089" t="str">
            <v>04/03/2016</v>
          </cell>
          <cell r="E3089" t="str">
            <v>08 de março de 2016</v>
          </cell>
          <cell r="F3089" t="str">
            <v>COOPER-X - COOP. SERV. TRANSP. ESCOLAR SP</v>
          </cell>
          <cell r="G3089" t="str">
            <v>26/02/2016</v>
          </cell>
          <cell r="H3089" t="str">
            <v>27/02/2016</v>
          </cell>
          <cell r="I3089" t="str">
            <v>30</v>
          </cell>
          <cell r="J3089" t="str">
            <v>PESSOA JURÍDICA</v>
          </cell>
          <cell r="K3089" t="str">
            <v>08.468.071/0001-25</v>
          </cell>
          <cell r="L3089" t="str">
            <v>G</v>
          </cell>
          <cell r="M3089" t="str">
            <v>GERCY DA SILVA NASCIMENTO</v>
          </cell>
          <cell r="N3089" t="str">
            <v>ELW3949</v>
          </cell>
          <cell r="O3089" t="str">
            <v>2010</v>
          </cell>
          <cell r="P3089" t="str">
            <v>19</v>
          </cell>
          <cell r="Q3089" t="str">
            <v>18</v>
          </cell>
        </row>
        <row r="3090">
          <cell r="B3090" t="str">
            <v>5002/16</v>
          </cell>
          <cell r="C3090" t="str">
            <v>2016-0.045.208-2</v>
          </cell>
          <cell r="D3090" t="str">
            <v/>
          </cell>
          <cell r="E3090" t="str">
            <v>26 de fevereiro de 2016</v>
          </cell>
          <cell r="F3090" t="str">
            <v>COOPER-X - COOP. SERV. TRANSP. ESCOLAR SP</v>
          </cell>
          <cell r="G3090" t="str">
            <v>26/02/2016</v>
          </cell>
          <cell r="H3090" t="str">
            <v>27/02/2016</v>
          </cell>
          <cell r="I3090" t="str">
            <v>30</v>
          </cell>
          <cell r="J3090" t="str">
            <v>PESSOA JURÍDICA</v>
          </cell>
          <cell r="K3090" t="str">
            <v>08.468.071/0001-25</v>
          </cell>
          <cell r="L3090" t="str">
            <v>IP</v>
          </cell>
          <cell r="M3090" t="str">
            <v>PAULO SERGIO FERREIRA</v>
          </cell>
          <cell r="N3090" t="str">
            <v>EFW8499</v>
          </cell>
          <cell r="O3090" t="str">
            <v>2010</v>
          </cell>
          <cell r="P3090" t="str">
            <v>10</v>
          </cell>
          <cell r="Q3090" t="str">
            <v>9</v>
          </cell>
        </row>
        <row r="3091">
          <cell r="B3091" t="str">
            <v>5002/16</v>
          </cell>
          <cell r="C3091" t="str">
            <v>2016-0.045.208-2</v>
          </cell>
          <cell r="D3091" t="str">
            <v>24/02/2016</v>
          </cell>
          <cell r="E3091" t="str">
            <v>26 de fevereiro de 2016</v>
          </cell>
          <cell r="F3091" t="str">
            <v>COOPER-X - COOP. SERV. TRANSP. ESCOLAR SP</v>
          </cell>
          <cell r="G3091" t="str">
            <v>26/02/2016</v>
          </cell>
          <cell r="H3091" t="str">
            <v>27/02/2016</v>
          </cell>
          <cell r="I3091" t="str">
            <v>30</v>
          </cell>
          <cell r="J3091" t="str">
            <v>PESSOA JURÍDICA</v>
          </cell>
          <cell r="K3091" t="str">
            <v>08.468.071/0001-25</v>
          </cell>
          <cell r="L3091" t="str">
            <v>MP</v>
          </cell>
          <cell r="M3091" t="str">
            <v>ROBERTO DA SILVA SANTANA</v>
          </cell>
          <cell r="N3091" t="str">
            <v>DTE8930</v>
          </cell>
          <cell r="O3091" t="str">
            <v>2009</v>
          </cell>
          <cell r="P3091" t="str">
            <v>19</v>
          </cell>
          <cell r="Q3091" t="str">
            <v>18</v>
          </cell>
        </row>
        <row r="3092">
          <cell r="B3092" t="str">
            <v>5002/16</v>
          </cell>
          <cell r="C3092" t="str">
            <v>2016-0.045.208-2</v>
          </cell>
          <cell r="D3092" t="str">
            <v/>
          </cell>
          <cell r="E3092" t="str">
            <v/>
          </cell>
          <cell r="F3092" t="str">
            <v>COOPER-X - COOP. SERV. TRANSP. ESCOLAR SP</v>
          </cell>
          <cell r="G3092" t="str">
            <v>26/02/2016</v>
          </cell>
          <cell r="H3092" t="str">
            <v>27/02/2016</v>
          </cell>
          <cell r="I3092" t="str">
            <v>30</v>
          </cell>
          <cell r="J3092" t="str">
            <v>PESSOA JURÍDICA</v>
          </cell>
          <cell r="K3092" t="str">
            <v>08.468.071/0001-25</v>
          </cell>
          <cell r="L3092" t="str">
            <v>G</v>
          </cell>
          <cell r="M3092" t="str">
            <v>MARCELO MACIEL COROA</v>
          </cell>
          <cell r="N3092" t="str">
            <v>FVN1590</v>
          </cell>
          <cell r="O3092" t="str">
            <v>2015</v>
          </cell>
          <cell r="P3092" t="str">
            <v>19</v>
          </cell>
          <cell r="Q3092" t="str">
            <v>18</v>
          </cell>
        </row>
        <row r="3093">
          <cell r="B3093" t="str">
            <v>5002/16</v>
          </cell>
          <cell r="C3093" t="str">
            <v>2016-0.045.208-2</v>
          </cell>
          <cell r="D3093" t="str">
            <v/>
          </cell>
          <cell r="E3093" t="str">
            <v>30 de março de 2016</v>
          </cell>
          <cell r="F3093" t="str">
            <v>COOPER-X - COOP. SERV. TRANSP. ESCOLAR SP</v>
          </cell>
          <cell r="G3093" t="str">
            <v>26/02/2016</v>
          </cell>
          <cell r="H3093" t="str">
            <v>27/02/2016</v>
          </cell>
          <cell r="I3093" t="str">
            <v>30</v>
          </cell>
          <cell r="J3093" t="str">
            <v>PESSOA JURÍDICA</v>
          </cell>
          <cell r="K3093" t="str">
            <v>08.468.071/0001-25</v>
          </cell>
          <cell r="L3093" t="str">
            <v>MP</v>
          </cell>
          <cell r="M3093" t="str">
            <v>VAGNER MARCELO NOTAROBERTO MARCANDALI</v>
          </cell>
          <cell r="N3093" t="str">
            <v>CZX1495</v>
          </cell>
          <cell r="O3093" t="str">
            <v>2002</v>
          </cell>
          <cell r="P3093" t="str">
            <v>25</v>
          </cell>
          <cell r="Q3093" t="str">
            <v>23</v>
          </cell>
        </row>
        <row r="3094">
          <cell r="B3094" t="str">
            <v>5002/16</v>
          </cell>
          <cell r="C3094" t="str">
            <v>2016-0.045.208-2</v>
          </cell>
          <cell r="D3094" t="str">
            <v/>
          </cell>
          <cell r="E3094" t="str">
            <v>14 de março de 2016</v>
          </cell>
          <cell r="F3094" t="str">
            <v>COOPER-X - COOP. SERV. TRANSP. ESCOLAR SP</v>
          </cell>
          <cell r="G3094" t="str">
            <v>26/02/2016</v>
          </cell>
          <cell r="H3094" t="str">
            <v>27/02/2016</v>
          </cell>
          <cell r="I3094" t="str">
            <v>30</v>
          </cell>
          <cell r="J3094" t="str">
            <v>PESSOA JURÍDICA</v>
          </cell>
          <cell r="K3094" t="str">
            <v>08.468.071/0001-25</v>
          </cell>
          <cell r="L3094" t="str">
            <v>SM</v>
          </cell>
          <cell r="M3094" t="str">
            <v>CARLOS EDUARDO DA SILVA</v>
          </cell>
          <cell r="N3094" t="str">
            <v>ELL6978</v>
          </cell>
          <cell r="O3094" t="str">
            <v>2010</v>
          </cell>
          <cell r="P3094" t="str">
            <v>15</v>
          </cell>
          <cell r="Q3094" t="str">
            <v>14</v>
          </cell>
        </row>
        <row r="3095">
          <cell r="B3095" t="str">
            <v>5002/16</v>
          </cell>
          <cell r="C3095" t="str">
            <v>2016-0.045.208-2</v>
          </cell>
          <cell r="D3095" t="str">
            <v/>
          </cell>
          <cell r="E3095" t="str">
            <v>14 de março de 2016</v>
          </cell>
          <cell r="F3095" t="str">
            <v>COOPER-X - COOP. SERV. TRANSP. ESCOLAR SP</v>
          </cell>
          <cell r="G3095" t="str">
            <v>26/02/2016</v>
          </cell>
          <cell r="H3095" t="str">
            <v>27/02/2016</v>
          </cell>
          <cell r="I3095" t="str">
            <v>30</v>
          </cell>
          <cell r="J3095" t="str">
            <v>PESSOA JURÍDICA</v>
          </cell>
          <cell r="K3095" t="str">
            <v>08.468.071/0001-25</v>
          </cell>
          <cell r="L3095" t="str">
            <v>MP</v>
          </cell>
          <cell r="M3095" t="str">
            <v>WILIAN DE ALMEIDA FERREIRA</v>
          </cell>
          <cell r="N3095" t="str">
            <v>DTA5970</v>
          </cell>
          <cell r="O3095" t="str">
            <v>2007</v>
          </cell>
          <cell r="P3095" t="str">
            <v>36</v>
          </cell>
          <cell r="Q3095" t="str">
            <v>34</v>
          </cell>
        </row>
        <row r="3096">
          <cell r="B3096" t="str">
            <v>5002/16</v>
          </cell>
          <cell r="C3096" t="str">
            <v>2016-0.045.208-2</v>
          </cell>
          <cell r="D3096" t="str">
            <v/>
          </cell>
          <cell r="E3096" t="str">
            <v>08 de março de 2016</v>
          </cell>
          <cell r="F3096" t="str">
            <v>COOPER-X - COOP. SERV. TRANSP. ESCOLAR SP</v>
          </cell>
          <cell r="G3096" t="str">
            <v>26/02/2016</v>
          </cell>
          <cell r="H3096" t="str">
            <v>27/02/2016</v>
          </cell>
          <cell r="I3096" t="str">
            <v>30</v>
          </cell>
          <cell r="J3096" t="str">
            <v>PESSOA JURÍDICA</v>
          </cell>
          <cell r="K3096" t="str">
            <v>08.468.071/0001-25</v>
          </cell>
          <cell r="L3096" t="str">
            <v>G</v>
          </cell>
          <cell r="M3096" t="str">
            <v>LEONARDO DE LIMA</v>
          </cell>
          <cell r="N3096" t="str">
            <v>DTD7407</v>
          </cell>
          <cell r="O3096" t="str">
            <v>2009</v>
          </cell>
          <cell r="P3096" t="str">
            <v>15</v>
          </cell>
          <cell r="Q3096" t="str">
            <v>14</v>
          </cell>
        </row>
        <row r="3097">
          <cell r="B3097" t="str">
            <v>5002/16</v>
          </cell>
          <cell r="C3097" t="str">
            <v>2016-0.045.208-2</v>
          </cell>
          <cell r="D3097" t="str">
            <v/>
          </cell>
          <cell r="E3097" t="str">
            <v>08 de março de 2016</v>
          </cell>
          <cell r="F3097" t="str">
            <v>COOPER-X - COOP. SERV. TRANSP. ESCOLAR SP</v>
          </cell>
          <cell r="G3097" t="str">
            <v>26/02/2016</v>
          </cell>
          <cell r="H3097" t="str">
            <v>27/02/2016</v>
          </cell>
          <cell r="I3097" t="str">
            <v>30</v>
          </cell>
          <cell r="J3097" t="str">
            <v>PESSOA JURÍDICA</v>
          </cell>
          <cell r="K3097" t="str">
            <v>08.468.071/0001-25</v>
          </cell>
          <cell r="L3097" t="str">
            <v>CL</v>
          </cell>
          <cell r="M3097" t="str">
            <v>AUREO ALVES TEIXEIRA</v>
          </cell>
          <cell r="N3097" t="str">
            <v>DTC3989</v>
          </cell>
          <cell r="O3097" t="str">
            <v>2008</v>
          </cell>
          <cell r="P3097" t="str">
            <v>29</v>
          </cell>
          <cell r="Q3097" t="str">
            <v>27</v>
          </cell>
        </row>
        <row r="3098">
          <cell r="B3098" t="str">
            <v>5002/16</v>
          </cell>
          <cell r="C3098" t="str">
            <v>2016-0.045.208-2</v>
          </cell>
          <cell r="D3098" t="str">
            <v/>
          </cell>
          <cell r="E3098" t="str">
            <v>14 de março de 2016</v>
          </cell>
          <cell r="F3098" t="str">
            <v>COOPER-X - COOP. SERV. TRANSP. ESCOLAR SP</v>
          </cell>
          <cell r="G3098" t="str">
            <v>26/02/2016</v>
          </cell>
          <cell r="H3098" t="str">
            <v>27/02/2016</v>
          </cell>
          <cell r="I3098" t="str">
            <v>30</v>
          </cell>
          <cell r="J3098" t="str">
            <v>PESSOA JURÍDICA</v>
          </cell>
          <cell r="K3098" t="str">
            <v>08.468.071/0001-25</v>
          </cell>
          <cell r="L3098" t="str">
            <v>G</v>
          </cell>
          <cell r="M3098" t="str">
            <v>JOSE EDIVAN TENORIO DOS SANTOS</v>
          </cell>
          <cell r="N3098" t="str">
            <v>DKX4300</v>
          </cell>
          <cell r="O3098" t="str">
            <v>2005</v>
          </cell>
          <cell r="P3098" t="str">
            <v>25</v>
          </cell>
          <cell r="Q3098" t="str">
            <v>23</v>
          </cell>
        </row>
        <row r="3099">
          <cell r="B3099" t="str">
            <v>5002/16</v>
          </cell>
          <cell r="C3099" t="str">
            <v>2016-0.045.208-2</v>
          </cell>
          <cell r="D3099" t="str">
            <v>02/03/2016</v>
          </cell>
          <cell r="E3099" t="str">
            <v>08 de abril de 2016</v>
          </cell>
          <cell r="F3099" t="str">
            <v>COOPER-X - COOP. SERV. TRANSP. ESCOLAR SP</v>
          </cell>
          <cell r="G3099" t="str">
            <v>26/02/2016</v>
          </cell>
          <cell r="H3099" t="str">
            <v>27/02/2016</v>
          </cell>
          <cell r="I3099" t="str">
            <v>30</v>
          </cell>
          <cell r="J3099" t="str">
            <v>PESSOA JURÍDICA</v>
          </cell>
          <cell r="K3099" t="str">
            <v>08.468.071/0001-25</v>
          </cell>
          <cell r="L3099" t="str">
            <v>G</v>
          </cell>
          <cell r="M3099" t="str">
            <v>EVERSON MATUSALEM DAMASCENO</v>
          </cell>
          <cell r="N3099" t="str">
            <v>FGJ9343</v>
          </cell>
          <cell r="O3099" t="str">
            <v>2013</v>
          </cell>
          <cell r="P3099" t="str">
            <v>19</v>
          </cell>
          <cell r="Q3099" t="str">
            <v>18</v>
          </cell>
        </row>
        <row r="3100">
          <cell r="B3100" t="str">
            <v>5002/16</v>
          </cell>
          <cell r="C3100" t="str">
            <v>2016-0.045.208-2</v>
          </cell>
          <cell r="D3100" t="str">
            <v/>
          </cell>
          <cell r="E3100" t="str">
            <v>08 de abril de 2016</v>
          </cell>
          <cell r="F3100" t="str">
            <v>COOPER-X - COOP. SERV. TRANSP. ESCOLAR SP</v>
          </cell>
          <cell r="G3100" t="str">
            <v>26/02/2016</v>
          </cell>
          <cell r="H3100" t="str">
            <v>27/02/2016</v>
          </cell>
          <cell r="I3100" t="str">
            <v>30</v>
          </cell>
          <cell r="J3100" t="str">
            <v>PESSOA JURÍDICA</v>
          </cell>
          <cell r="K3100" t="str">
            <v>08.468.071/0001-25</v>
          </cell>
          <cell r="L3100" t="str">
            <v>G</v>
          </cell>
          <cell r="M3100" t="str">
            <v>RAQUEL FERREIRA DE LIMA</v>
          </cell>
          <cell r="N3100" t="str">
            <v>EMU6478</v>
          </cell>
          <cell r="O3100" t="str">
            <v>2012</v>
          </cell>
          <cell r="P3100" t="str">
            <v>10</v>
          </cell>
          <cell r="Q3100" t="str">
            <v>9</v>
          </cell>
        </row>
        <row r="3101">
          <cell r="B3101" t="str">
            <v>5002/16</v>
          </cell>
          <cell r="C3101" t="str">
            <v>2016-0.045.208-2</v>
          </cell>
          <cell r="D3101" t="str">
            <v/>
          </cell>
          <cell r="E3101" t="str">
            <v>08 de março de 2016</v>
          </cell>
          <cell r="F3101" t="str">
            <v>COOPER-X - COOP. SERV. TRANSP. ESCOLAR SP</v>
          </cell>
          <cell r="G3101" t="str">
            <v>26/02/2016</v>
          </cell>
          <cell r="H3101" t="str">
            <v>27/02/2016</v>
          </cell>
          <cell r="I3101" t="str">
            <v>30</v>
          </cell>
          <cell r="J3101" t="str">
            <v>PESSOA JURÍDICA</v>
          </cell>
          <cell r="K3101" t="str">
            <v>08.468.071/0001-25</v>
          </cell>
          <cell r="L3101" t="str">
            <v>G</v>
          </cell>
          <cell r="M3101" t="str">
            <v>EDER VANDERLEI FERNANDES DE OLIVEIRA</v>
          </cell>
          <cell r="N3101" t="str">
            <v>DTB6357</v>
          </cell>
          <cell r="O3101" t="str">
            <v>2007</v>
          </cell>
          <cell r="P3101" t="str">
            <v>25</v>
          </cell>
          <cell r="Q3101" t="str">
            <v>23</v>
          </cell>
        </row>
        <row r="3102">
          <cell r="B3102" t="str">
            <v>5002/16</v>
          </cell>
          <cell r="C3102" t="str">
            <v>2016-0.045.208-2</v>
          </cell>
          <cell r="D3102" t="str">
            <v/>
          </cell>
          <cell r="E3102" t="str">
            <v>08 de abril de 2016</v>
          </cell>
          <cell r="F3102" t="str">
            <v>COOPER-X - COOP. SERV. TRANSP. ESCOLAR SP</v>
          </cell>
          <cell r="G3102" t="str">
            <v>26/02/2016</v>
          </cell>
          <cell r="H3102" t="str">
            <v>27/02/2016</v>
          </cell>
          <cell r="I3102" t="str">
            <v>30</v>
          </cell>
          <cell r="J3102" t="str">
            <v>PESSOA JURÍDICA</v>
          </cell>
          <cell r="K3102" t="str">
            <v>08.468.071/0001-25</v>
          </cell>
          <cell r="L3102" t="str">
            <v>BT</v>
          </cell>
          <cell r="M3102" t="str">
            <v>JOSE FERNANDES MARIANO</v>
          </cell>
          <cell r="N3102" t="str">
            <v>ECT4969</v>
          </cell>
          <cell r="O3102" t="str">
            <v>2008</v>
          </cell>
          <cell r="P3102" t="str">
            <v>11</v>
          </cell>
          <cell r="Q3102" t="str">
            <v>10</v>
          </cell>
        </row>
        <row r="3103">
          <cell r="B3103" t="str">
            <v>5002/16</v>
          </cell>
          <cell r="C3103" t="str">
            <v>2016-0.045.208-2</v>
          </cell>
          <cell r="D3103" t="str">
            <v>02/03/2016</v>
          </cell>
          <cell r="E3103" t="str">
            <v>30 de março de 2016</v>
          </cell>
          <cell r="F3103" t="str">
            <v>COOPER-X - COOP. SERV. TRANSP. ESCOLAR SP</v>
          </cell>
          <cell r="G3103" t="str">
            <v>26/02/2016</v>
          </cell>
          <cell r="H3103" t="str">
            <v>27/02/2016</v>
          </cell>
          <cell r="I3103" t="str">
            <v>30</v>
          </cell>
          <cell r="J3103" t="str">
            <v>PESSOA JURÍDICA</v>
          </cell>
          <cell r="K3103" t="str">
            <v>08.468.071/0001-25</v>
          </cell>
          <cell r="L3103" t="str">
            <v>MP</v>
          </cell>
          <cell r="M3103" t="str">
            <v>SILVIA FELIX DE SOUZA MACEDO</v>
          </cell>
          <cell r="N3103" t="str">
            <v>DTC0108</v>
          </cell>
          <cell r="O3103" t="str">
            <v>2008</v>
          </cell>
          <cell r="P3103" t="str">
            <v>18</v>
          </cell>
          <cell r="Q3103" t="str">
            <v>16</v>
          </cell>
        </row>
        <row r="3104">
          <cell r="B3104" t="str">
            <v>5002/16</v>
          </cell>
          <cell r="C3104" t="str">
            <v>2016-0.045.208-2</v>
          </cell>
          <cell r="D3104" t="str">
            <v>24/02/2016</v>
          </cell>
          <cell r="E3104" t="str">
            <v>26 de fevereiro de 2016</v>
          </cell>
          <cell r="F3104" t="str">
            <v>COOPER-X - COOP. SERV. TRANSP. ESCOLAR SP</v>
          </cell>
          <cell r="G3104" t="str">
            <v>26/02/2016</v>
          </cell>
          <cell r="H3104" t="str">
            <v>27/02/2016</v>
          </cell>
          <cell r="I3104" t="str">
            <v>30</v>
          </cell>
          <cell r="J3104" t="str">
            <v>PESSOA JURÍDICA</v>
          </cell>
          <cell r="K3104" t="str">
            <v>08.468.071/0001-25</v>
          </cell>
          <cell r="L3104" t="str">
            <v>SM</v>
          </cell>
          <cell r="M3104" t="str">
            <v>ADAILDO DE JESUS MORAES</v>
          </cell>
          <cell r="N3104" t="str">
            <v>DAJ9778</v>
          </cell>
          <cell r="O3104" t="str">
            <v>2010</v>
          </cell>
          <cell r="P3104" t="str">
            <v>19</v>
          </cell>
          <cell r="Q3104" t="str">
            <v>18</v>
          </cell>
        </row>
        <row r="3105">
          <cell r="B3105" t="str">
            <v>5002/16</v>
          </cell>
          <cell r="C3105" t="str">
            <v>2016-0.045.208-2</v>
          </cell>
          <cell r="D3105" t="str">
            <v/>
          </cell>
          <cell r="E3105" t="str">
            <v>05 de abril de 2016</v>
          </cell>
          <cell r="F3105" t="str">
            <v>COOPER-X - COOP. SERV. TRANSP. ESCOLAR SP</v>
          </cell>
          <cell r="G3105" t="str">
            <v>26/02/2016</v>
          </cell>
          <cell r="H3105" t="str">
            <v>27/02/2016</v>
          </cell>
          <cell r="I3105" t="str">
            <v>30</v>
          </cell>
          <cell r="J3105" t="str">
            <v>PESSOA JURÍDICA</v>
          </cell>
          <cell r="K3105" t="str">
            <v>08.468.071/0001-25</v>
          </cell>
          <cell r="L3105" t="str">
            <v>IQ</v>
          </cell>
          <cell r="M3105" t="str">
            <v>ELIZETE DE SOUZA DIAS</v>
          </cell>
          <cell r="N3105" t="str">
            <v>DTE2514</v>
          </cell>
          <cell r="O3105" t="str">
            <v>2009</v>
          </cell>
          <cell r="P3105" t="str">
            <v>10</v>
          </cell>
          <cell r="Q3105" t="str">
            <v>9</v>
          </cell>
        </row>
        <row r="3106">
          <cell r="B3106" t="str">
            <v>5002/16</v>
          </cell>
          <cell r="C3106" t="str">
            <v>2016-0.045.208-2</v>
          </cell>
          <cell r="D3106" t="str">
            <v/>
          </cell>
          <cell r="E3106" t="str">
            <v>16 de março de 2016</v>
          </cell>
          <cell r="F3106" t="str">
            <v>COOPER-X - COOP. SERV. TRANSP. ESCOLAR SP</v>
          </cell>
          <cell r="G3106" t="str">
            <v>26/02/2016</v>
          </cell>
          <cell r="H3106" t="str">
            <v>27/02/2016</v>
          </cell>
          <cell r="I3106" t="str">
            <v>30</v>
          </cell>
          <cell r="J3106" t="str">
            <v>PESSOA JURÍDICA</v>
          </cell>
          <cell r="K3106" t="str">
            <v>08.468.071/0001-25</v>
          </cell>
          <cell r="L3106" t="str">
            <v>G</v>
          </cell>
          <cell r="M3106" t="str">
            <v>DOUGLAS WILLIANS PEREIRA DA SILVA</v>
          </cell>
          <cell r="N3106" t="str">
            <v>DTC8542</v>
          </cell>
          <cell r="O3106" t="str">
            <v>2008</v>
          </cell>
          <cell r="P3106" t="str">
            <v>11</v>
          </cell>
          <cell r="Q3106" t="str">
            <v>10</v>
          </cell>
        </row>
        <row r="3107">
          <cell r="B3107" t="str">
            <v>5002/16</v>
          </cell>
          <cell r="C3107" t="str">
            <v>2016-0.045.208-2</v>
          </cell>
          <cell r="D3107" t="str">
            <v/>
          </cell>
          <cell r="E3107" t="str">
            <v/>
          </cell>
          <cell r="F3107" t="str">
            <v>COOPER-X - COOP. SERV. TRANSP. ESCOLAR SP</v>
          </cell>
          <cell r="G3107" t="str">
            <v>26/02/2016</v>
          </cell>
          <cell r="H3107" t="str">
            <v>27/02/2016</v>
          </cell>
          <cell r="I3107" t="str">
            <v>30</v>
          </cell>
          <cell r="J3107" t="str">
            <v>PESSOA JURÍDICA</v>
          </cell>
          <cell r="K3107" t="str">
            <v>08.468.071/0001-25</v>
          </cell>
          <cell r="L3107" t="str">
            <v>BT</v>
          </cell>
          <cell r="M3107" t="str">
            <v/>
          </cell>
          <cell r="N3107" t="str">
            <v>DTD8589</v>
          </cell>
          <cell r="O3107" t="str">
            <v>2009</v>
          </cell>
          <cell r="P3107" t="str">
            <v>11</v>
          </cell>
          <cell r="Q3107" t="str">
            <v>10</v>
          </cell>
        </row>
        <row r="3108">
          <cell r="B3108" t="str">
            <v>5002/16</v>
          </cell>
          <cell r="C3108" t="str">
            <v>2016-0.045.208-2</v>
          </cell>
          <cell r="D3108" t="str">
            <v/>
          </cell>
          <cell r="E3108" t="str">
            <v>26 de fevereiro de 2016</v>
          </cell>
          <cell r="F3108" t="str">
            <v>COOPER-X - COOP. SERV. TRANSP. ESCOLAR SP</v>
          </cell>
          <cell r="G3108" t="str">
            <v>26/02/2016</v>
          </cell>
          <cell r="H3108" t="str">
            <v>27/02/2016</v>
          </cell>
          <cell r="I3108" t="str">
            <v>30</v>
          </cell>
          <cell r="J3108" t="str">
            <v>PESSOA JURÍDICA</v>
          </cell>
          <cell r="K3108" t="str">
            <v>08.468.071/0001-25</v>
          </cell>
          <cell r="L3108" t="str">
            <v>MP</v>
          </cell>
          <cell r="M3108" t="str">
            <v>CLAUDEMIR FRANCISCO CAMARGO</v>
          </cell>
          <cell r="N3108" t="str">
            <v>ECT8370</v>
          </cell>
          <cell r="O3108" t="str">
            <v>2009</v>
          </cell>
          <cell r="P3108" t="str">
            <v>11</v>
          </cell>
          <cell r="Q3108" t="str">
            <v>10</v>
          </cell>
        </row>
        <row r="3109">
          <cell r="B3109" t="str">
            <v>5002/16</v>
          </cell>
          <cell r="C3109" t="str">
            <v>2016-0.045.208-2</v>
          </cell>
          <cell r="D3109" t="str">
            <v/>
          </cell>
          <cell r="E3109" t="str">
            <v>08 de março de 2016</v>
          </cell>
          <cell r="F3109" t="str">
            <v>COOPER-X - COOP. SERV. TRANSP. ESCOLAR SP</v>
          </cell>
          <cell r="G3109" t="str">
            <v>26/02/2016</v>
          </cell>
          <cell r="H3109" t="str">
            <v>27/02/2016</v>
          </cell>
          <cell r="I3109" t="str">
            <v>30</v>
          </cell>
          <cell r="J3109" t="str">
            <v>PESSOA JURÍDICA</v>
          </cell>
          <cell r="K3109" t="str">
            <v>08.468.071/0001-25</v>
          </cell>
          <cell r="L3109" t="str">
            <v>PJ</v>
          </cell>
          <cell r="M3109" t="str">
            <v>ANTONIO NUNES DAMACENO</v>
          </cell>
          <cell r="N3109" t="str">
            <v>DTD9120</v>
          </cell>
          <cell r="O3109" t="str">
            <v>2009</v>
          </cell>
          <cell r="P3109" t="str">
            <v>11</v>
          </cell>
          <cell r="Q3109" t="str">
            <v>10</v>
          </cell>
        </row>
        <row r="3110">
          <cell r="B3110" t="str">
            <v>5002/16</v>
          </cell>
          <cell r="C3110" t="str">
            <v>2016-0.045.208-2</v>
          </cell>
          <cell r="D3110" t="str">
            <v/>
          </cell>
          <cell r="E3110" t="str">
            <v>14 de março de 2016</v>
          </cell>
          <cell r="F3110" t="str">
            <v>COOPER-X - COOP. SERV. TRANSP. ESCOLAR SP</v>
          </cell>
          <cell r="G3110" t="str">
            <v>26/02/2016</v>
          </cell>
          <cell r="H3110" t="str">
            <v>27/02/2016</v>
          </cell>
          <cell r="I3110" t="str">
            <v>30</v>
          </cell>
          <cell r="J3110" t="str">
            <v>PESSOA JURÍDICA</v>
          </cell>
          <cell r="K3110" t="str">
            <v>08.468.071/0001-25</v>
          </cell>
          <cell r="L3110" t="str">
            <v>G</v>
          </cell>
          <cell r="M3110" t="str">
            <v>LUIZ CARLOS DOS SANTOS</v>
          </cell>
          <cell r="N3110" t="str">
            <v>EBC2968</v>
          </cell>
          <cell r="O3110" t="str">
            <v>2008</v>
          </cell>
          <cell r="P3110" t="str">
            <v>19</v>
          </cell>
          <cell r="Q3110" t="str">
            <v>18</v>
          </cell>
        </row>
        <row r="3111">
          <cell r="B3111" t="str">
            <v>5002/16</v>
          </cell>
          <cell r="C3111" t="str">
            <v>2016-0.045.208-2</v>
          </cell>
          <cell r="D3111" t="str">
            <v>11/02/2016</v>
          </cell>
          <cell r="E3111" t="str">
            <v>26 de fevereiro de 2016</v>
          </cell>
          <cell r="F3111" t="str">
            <v>COOPER-X - COOP. SERV. TRANSP. ESCOLAR SP</v>
          </cell>
          <cell r="G3111" t="str">
            <v>26/02/2016</v>
          </cell>
          <cell r="H3111" t="str">
            <v>27/02/2016</v>
          </cell>
          <cell r="I3111" t="str">
            <v>30</v>
          </cell>
          <cell r="J3111" t="str">
            <v>PESSOA JURÍDICA</v>
          </cell>
          <cell r="K3111" t="str">
            <v>08.468.071/0001-25</v>
          </cell>
          <cell r="L3111" t="str">
            <v>IP</v>
          </cell>
          <cell r="M3111" t="str">
            <v>ROSEMEIRE FELIPPE</v>
          </cell>
          <cell r="N3111" t="str">
            <v>DTD8590</v>
          </cell>
          <cell r="O3111" t="str">
            <v>2009</v>
          </cell>
          <cell r="P3111" t="str">
            <v>11</v>
          </cell>
          <cell r="Q3111" t="str">
            <v>10</v>
          </cell>
        </row>
        <row r="3112">
          <cell r="B3112" t="str">
            <v>5002/16</v>
          </cell>
          <cell r="C3112" t="str">
            <v>2016-0.045.208-2</v>
          </cell>
          <cell r="D3112" t="str">
            <v/>
          </cell>
          <cell r="E3112" t="str">
            <v>26 de fevereiro de 2016</v>
          </cell>
          <cell r="F3112" t="str">
            <v>COOPER-X - COOP. SERV. TRANSP. ESCOLAR SP</v>
          </cell>
          <cell r="G3112" t="str">
            <v>26/02/2016</v>
          </cell>
          <cell r="H3112" t="str">
            <v>27/02/2016</v>
          </cell>
          <cell r="I3112" t="str">
            <v>30</v>
          </cell>
          <cell r="J3112" t="str">
            <v>PESSOA JURÍDICA</v>
          </cell>
          <cell r="K3112" t="str">
            <v>08.468.071/0001-25</v>
          </cell>
          <cell r="L3112" t="str">
            <v>MP</v>
          </cell>
          <cell r="M3112" t="str">
            <v>LUIZ LUZ DOS SANTOS</v>
          </cell>
          <cell r="N3112" t="str">
            <v>DJF5385</v>
          </cell>
          <cell r="O3112" t="str">
            <v>2006</v>
          </cell>
          <cell r="P3112" t="str">
            <v>25</v>
          </cell>
          <cell r="Q3112" t="str">
            <v>23</v>
          </cell>
        </row>
        <row r="3113">
          <cell r="B3113" t="str">
            <v>5002/16</v>
          </cell>
          <cell r="C3113" t="str">
            <v>2016-0.045.208-2</v>
          </cell>
          <cell r="D3113" t="str">
            <v/>
          </cell>
          <cell r="E3113" t="str">
            <v>08 de março de 2016</v>
          </cell>
          <cell r="F3113" t="str">
            <v>COOPER-X - COOP. SERV. TRANSP. ESCOLAR SP</v>
          </cell>
          <cell r="G3113" t="str">
            <v>26/02/2016</v>
          </cell>
          <cell r="H3113" t="str">
            <v>27/02/2016</v>
          </cell>
          <cell r="I3113" t="str">
            <v>30</v>
          </cell>
          <cell r="J3113" t="str">
            <v>PESSOA JURÍDICA</v>
          </cell>
          <cell r="K3113" t="str">
            <v>08.468.071/0001-25</v>
          </cell>
          <cell r="L3113" t="str">
            <v>G</v>
          </cell>
          <cell r="M3113" t="str">
            <v>ALEXANDRA MENDES DA CUNHA</v>
          </cell>
          <cell r="N3113" t="str">
            <v>EMU8230</v>
          </cell>
          <cell r="O3113" t="str">
            <v>2011</v>
          </cell>
          <cell r="P3113" t="str">
            <v>19</v>
          </cell>
          <cell r="Q3113" t="str">
            <v>18</v>
          </cell>
        </row>
        <row r="3114">
          <cell r="B3114" t="str">
            <v>5002/16</v>
          </cell>
          <cell r="C3114" t="str">
            <v>2016-0.045.208-2</v>
          </cell>
          <cell r="D3114" t="str">
            <v/>
          </cell>
          <cell r="E3114" t="str">
            <v>26 de fevereiro de 2016</v>
          </cell>
          <cell r="F3114" t="str">
            <v>COOPER-X - COOP. SERV. TRANSP. ESCOLAR SP</v>
          </cell>
          <cell r="G3114" t="str">
            <v>26/02/2016</v>
          </cell>
          <cell r="H3114" t="str">
            <v>27/02/2016</v>
          </cell>
          <cell r="I3114" t="str">
            <v>30</v>
          </cell>
          <cell r="J3114" t="str">
            <v>PESSOA JURÍDICA</v>
          </cell>
          <cell r="K3114" t="str">
            <v>08.468.071/0001-25</v>
          </cell>
          <cell r="L3114" t="str">
            <v>MP</v>
          </cell>
          <cell r="M3114" t="str">
            <v>RICARDO SERAFIM DE SANTANA</v>
          </cell>
          <cell r="N3114" t="str">
            <v>ECT6750</v>
          </cell>
          <cell r="O3114" t="str">
            <v>2008</v>
          </cell>
          <cell r="P3114" t="str">
            <v>10</v>
          </cell>
          <cell r="Q3114" t="str">
            <v>9</v>
          </cell>
        </row>
        <row r="3115">
          <cell r="B3115" t="str">
            <v>5002/16</v>
          </cell>
          <cell r="C3115" t="str">
            <v>2016-0.045.208-2</v>
          </cell>
          <cell r="D3115" t="str">
            <v>18/02/2016</v>
          </cell>
          <cell r="E3115" t="str">
            <v>26 de fevereiro de 2016</v>
          </cell>
          <cell r="F3115" t="str">
            <v>COOPER-X - COOP. SERV. TRANSP. ESCOLAR SP</v>
          </cell>
          <cell r="G3115" t="str">
            <v>26/02/2016</v>
          </cell>
          <cell r="H3115" t="str">
            <v>27/02/2016</v>
          </cell>
          <cell r="I3115" t="str">
            <v>30</v>
          </cell>
          <cell r="J3115" t="str">
            <v>PESSOA JURÍDICA</v>
          </cell>
          <cell r="K3115" t="str">
            <v>08.468.071/0001-25</v>
          </cell>
          <cell r="L3115" t="str">
            <v>SM</v>
          </cell>
          <cell r="M3115" t="str">
            <v>RICARDO YUJI SAITO</v>
          </cell>
          <cell r="N3115" t="str">
            <v>DTE7809</v>
          </cell>
          <cell r="O3115" t="str">
            <v>2009</v>
          </cell>
          <cell r="P3115" t="str">
            <v>11</v>
          </cell>
          <cell r="Q3115" t="str">
            <v>10</v>
          </cell>
        </row>
        <row r="3116">
          <cell r="B3116" t="str">
            <v>5002/16</v>
          </cell>
          <cell r="C3116" t="str">
            <v>2016-0.045.208-2</v>
          </cell>
          <cell r="D3116" t="str">
            <v/>
          </cell>
          <cell r="E3116" t="str">
            <v>26 de fevereiro de 2016</v>
          </cell>
          <cell r="F3116" t="str">
            <v>COOPER-X - COOP. SERV. TRANSP. ESCOLAR SP</v>
          </cell>
          <cell r="G3116" t="str">
            <v>26/02/2016</v>
          </cell>
          <cell r="H3116" t="str">
            <v>27/02/2016</v>
          </cell>
          <cell r="I3116" t="str">
            <v>30</v>
          </cell>
          <cell r="J3116" t="str">
            <v>PESSOA JURÍDICA</v>
          </cell>
          <cell r="K3116" t="str">
            <v>08.468.071/0001-25</v>
          </cell>
          <cell r="L3116" t="str">
            <v>PE</v>
          </cell>
          <cell r="M3116" t="str">
            <v>WANDERLEY GESUALDO</v>
          </cell>
          <cell r="N3116" t="str">
            <v>EFW5086</v>
          </cell>
          <cell r="O3116" t="str">
            <v>2010</v>
          </cell>
          <cell r="P3116" t="str">
            <v>19</v>
          </cell>
          <cell r="Q3116" t="str">
            <v>18</v>
          </cell>
        </row>
        <row r="3117">
          <cell r="B3117" t="str">
            <v>5002/16</v>
          </cell>
          <cell r="C3117" t="str">
            <v>2016-0.045.208-2</v>
          </cell>
          <cell r="D3117" t="str">
            <v>01/02/2016</v>
          </cell>
          <cell r="E3117" t="str">
            <v>26 de fevereiro de 2016</v>
          </cell>
          <cell r="F3117" t="str">
            <v>COOPER-X - COOP. SERV. TRANSP. ESCOLAR SP</v>
          </cell>
          <cell r="G3117" t="str">
            <v>26/02/2016</v>
          </cell>
          <cell r="H3117" t="str">
            <v>27/02/2016</v>
          </cell>
          <cell r="I3117" t="str">
            <v>30</v>
          </cell>
          <cell r="J3117" t="str">
            <v>PESSOA JURÍDICA</v>
          </cell>
          <cell r="K3117" t="str">
            <v>08.468.071/0001-25</v>
          </cell>
          <cell r="L3117" t="str">
            <v>CL</v>
          </cell>
          <cell r="M3117" t="str">
            <v>MAURO DOMINGUES</v>
          </cell>
          <cell r="N3117" t="str">
            <v>DTD8160</v>
          </cell>
          <cell r="O3117" t="str">
            <v>2009</v>
          </cell>
          <cell r="P3117" t="str">
            <v>11</v>
          </cell>
          <cell r="Q3117" t="str">
            <v>10</v>
          </cell>
        </row>
        <row r="3118">
          <cell r="B3118" t="str">
            <v>5002/16</v>
          </cell>
          <cell r="C3118" t="str">
            <v>2016-0.045.208-2</v>
          </cell>
          <cell r="D3118" t="str">
            <v/>
          </cell>
          <cell r="E3118" t="str">
            <v>26 de fevereiro de 2016</v>
          </cell>
          <cell r="F3118" t="str">
            <v>COOPER-X - COOP. SERV. TRANSP. ESCOLAR SP</v>
          </cell>
          <cell r="G3118" t="str">
            <v>26/02/2016</v>
          </cell>
          <cell r="H3118" t="str">
            <v>27/02/2016</v>
          </cell>
          <cell r="I3118" t="str">
            <v>30</v>
          </cell>
          <cell r="J3118" t="str">
            <v>PESSOA JURÍDICA</v>
          </cell>
          <cell r="K3118" t="str">
            <v>08.468.071/0001-25</v>
          </cell>
          <cell r="L3118" t="str">
            <v>CL</v>
          </cell>
          <cell r="M3118" t="str">
            <v>ALEX SANDRO SANTANA DOS SANTOS</v>
          </cell>
          <cell r="N3118" t="str">
            <v>DTD8256</v>
          </cell>
          <cell r="O3118" t="str">
            <v>2009</v>
          </cell>
          <cell r="P3118" t="str">
            <v>11</v>
          </cell>
          <cell r="Q3118" t="str">
            <v>10</v>
          </cell>
        </row>
        <row r="3119">
          <cell r="B3119" t="str">
            <v>5002/16</v>
          </cell>
          <cell r="C3119" t="str">
            <v>2016-0.045.208-2</v>
          </cell>
          <cell r="D3119" t="str">
            <v>09/03/2016</v>
          </cell>
          <cell r="E3119" t="str">
            <v>30 de março de 2016</v>
          </cell>
          <cell r="F3119" t="str">
            <v>COOPER-X - COOP. SERV. TRANSP. ESCOLAR SP</v>
          </cell>
          <cell r="G3119" t="str">
            <v>26/02/2016</v>
          </cell>
          <cell r="H3119" t="str">
            <v>27/02/2016</v>
          </cell>
          <cell r="I3119" t="str">
            <v>30</v>
          </cell>
          <cell r="J3119" t="str">
            <v>PESSOA JURÍDICA</v>
          </cell>
          <cell r="K3119" t="str">
            <v>08.468.071/0001-25</v>
          </cell>
          <cell r="L3119" t="str">
            <v>MP</v>
          </cell>
          <cell r="M3119" t="str">
            <v>GILSON FIORITO CORDAO</v>
          </cell>
          <cell r="N3119" t="str">
            <v>DTE7860</v>
          </cell>
          <cell r="O3119" t="str">
            <v>2009</v>
          </cell>
          <cell r="P3119" t="str">
            <v>11</v>
          </cell>
          <cell r="Q3119" t="str">
            <v>10</v>
          </cell>
        </row>
        <row r="3120">
          <cell r="B3120" t="str">
            <v>5002/16</v>
          </cell>
          <cell r="C3120" t="str">
            <v>2016-0.045.208-2</v>
          </cell>
          <cell r="D3120" t="str">
            <v/>
          </cell>
          <cell r="E3120" t="str">
            <v>08 de março de 2016</v>
          </cell>
          <cell r="F3120" t="str">
            <v>COOPER-X - COOP. SERV. TRANSP. ESCOLAR SP</v>
          </cell>
          <cell r="G3120" t="str">
            <v>26/02/2016</v>
          </cell>
          <cell r="H3120" t="str">
            <v>27/02/2016</v>
          </cell>
          <cell r="I3120" t="str">
            <v>30</v>
          </cell>
          <cell r="J3120" t="str">
            <v>PESSOA JURÍDICA</v>
          </cell>
          <cell r="K3120" t="str">
            <v>08.468.071/0001-25</v>
          </cell>
          <cell r="L3120" t="str">
            <v>MP</v>
          </cell>
          <cell r="M3120" t="str">
            <v>ROSANIA APARECIDA LOPES BARROS DE SOUZA</v>
          </cell>
          <cell r="N3120" t="str">
            <v>EWO7520</v>
          </cell>
          <cell r="O3120" t="str">
            <v>2011</v>
          </cell>
          <cell r="P3120" t="str">
            <v>19</v>
          </cell>
          <cell r="Q3120" t="str">
            <v>18</v>
          </cell>
        </row>
        <row r="3121">
          <cell r="B3121" t="str">
            <v>5002/16</v>
          </cell>
          <cell r="C3121" t="str">
            <v>2016-0.045.208-2</v>
          </cell>
          <cell r="D3121" t="str">
            <v>23/02/2016</v>
          </cell>
          <cell r="E3121" t="str">
            <v>26 de fevereiro de 2016</v>
          </cell>
          <cell r="F3121" t="str">
            <v>COOPER-X - COOP. SERV. TRANSP. ESCOLAR SP</v>
          </cell>
          <cell r="G3121" t="str">
            <v>26/02/2016</v>
          </cell>
          <cell r="H3121" t="str">
            <v>27/02/2016</v>
          </cell>
          <cell r="I3121" t="str">
            <v>30</v>
          </cell>
          <cell r="J3121" t="str">
            <v>PESSOA JURÍDICA</v>
          </cell>
          <cell r="K3121" t="str">
            <v>08.468.071/0001-25</v>
          </cell>
          <cell r="L3121" t="str">
            <v>G</v>
          </cell>
          <cell r="M3121" t="str">
            <v>LUCELIA CORREA SIQUEIRA SILVA</v>
          </cell>
          <cell r="N3121" t="str">
            <v>ECT4967</v>
          </cell>
          <cell r="O3121" t="str">
            <v>2008</v>
          </cell>
          <cell r="P3121" t="str">
            <v>19</v>
          </cell>
          <cell r="Q3121" t="str">
            <v>17</v>
          </cell>
        </row>
        <row r="3122">
          <cell r="B3122" t="str">
            <v>5002/16</v>
          </cell>
          <cell r="C3122" t="str">
            <v>2016-0.045.208-2</v>
          </cell>
          <cell r="D3122" t="str">
            <v/>
          </cell>
          <cell r="E3122" t="str">
            <v>16 de março de 2016</v>
          </cell>
          <cell r="F3122" t="str">
            <v>COOPER-X - COOP. SERV. TRANSP. ESCOLAR SP</v>
          </cell>
          <cell r="G3122" t="str">
            <v>26/02/2016</v>
          </cell>
          <cell r="H3122" t="str">
            <v>27/02/2016</v>
          </cell>
          <cell r="I3122" t="str">
            <v>30</v>
          </cell>
          <cell r="J3122" t="str">
            <v>PESSOA JURÍDICA</v>
          </cell>
          <cell r="K3122" t="str">
            <v>08.468.071/0001-25</v>
          </cell>
          <cell r="L3122" t="str">
            <v>G</v>
          </cell>
          <cell r="M3122" t="str">
            <v>WLADIMIR BOCCHI</v>
          </cell>
          <cell r="N3122" t="str">
            <v>DTC4852</v>
          </cell>
          <cell r="O3122" t="str">
            <v>2009</v>
          </cell>
          <cell r="P3122" t="str">
            <v>11</v>
          </cell>
          <cell r="Q3122" t="str">
            <v>10</v>
          </cell>
        </row>
        <row r="3123">
          <cell r="B3123" t="str">
            <v>5003/16</v>
          </cell>
          <cell r="C3123" t="str">
            <v>2016-0.045.209-0</v>
          </cell>
          <cell r="D3123" t="str">
            <v/>
          </cell>
          <cell r="E3123" t="str">
            <v>15 de março de 2016</v>
          </cell>
          <cell r="F3123" t="str">
            <v>COOPERARTE - COOPERATIVA DE TRANSPORTES DE SAO PAULO</v>
          </cell>
          <cell r="G3123" t="str">
            <v>26/02/2016</v>
          </cell>
          <cell r="H3123" t="str">
            <v>27/02/2016</v>
          </cell>
          <cell r="I3123" t="str">
            <v>30</v>
          </cell>
          <cell r="J3123" t="str">
            <v>PESSOA JURÍDICA</v>
          </cell>
          <cell r="K3123" t="str">
            <v>06.185.546/0001-40</v>
          </cell>
          <cell r="L3123" t="str">
            <v>CL</v>
          </cell>
          <cell r="M3123" t="str">
            <v>KEROLYNE CARVALHO DE PAULO DONIZETE</v>
          </cell>
          <cell r="N3123" t="str">
            <v>EFU5548</v>
          </cell>
          <cell r="O3123" t="str">
            <v>2010</v>
          </cell>
          <cell r="P3123" t="str">
            <v>10</v>
          </cell>
          <cell r="Q3123" t="str">
            <v>9</v>
          </cell>
        </row>
        <row r="3124">
          <cell r="B3124" t="str">
            <v>5003/16</v>
          </cell>
          <cell r="C3124" t="str">
            <v>2016-0.045.209-0</v>
          </cell>
          <cell r="D3124" t="str">
            <v/>
          </cell>
          <cell r="E3124" t="str">
            <v>12 de abril de 2016</v>
          </cell>
          <cell r="F3124" t="str">
            <v>COOPERARTE - COOPERATIVA DE TRANSPORTES DE SAO PAULO</v>
          </cell>
          <cell r="G3124" t="str">
            <v>26/02/2016</v>
          </cell>
          <cell r="H3124" t="str">
            <v>27/02/2016</v>
          </cell>
          <cell r="I3124" t="str">
            <v>30</v>
          </cell>
          <cell r="J3124" t="str">
            <v>PESSOA JURÍDICA</v>
          </cell>
          <cell r="K3124" t="str">
            <v>06.185.546/0001-40</v>
          </cell>
          <cell r="L3124" t="str">
            <v>SA</v>
          </cell>
          <cell r="M3124" t="str">
            <v>MARIA CLEUSA DE QUEIROZ GUEDES</v>
          </cell>
          <cell r="N3124" t="str">
            <v>ECT8813</v>
          </cell>
          <cell r="O3124" t="str">
            <v>2008</v>
          </cell>
          <cell r="P3124" t="str">
            <v>19</v>
          </cell>
          <cell r="Q3124" t="str">
            <v>17</v>
          </cell>
        </row>
        <row r="3125">
          <cell r="B3125" t="str">
            <v>5003/16</v>
          </cell>
          <cell r="C3125" t="str">
            <v>2016-0.045.209-0</v>
          </cell>
          <cell r="D3125" t="str">
            <v/>
          </cell>
          <cell r="E3125" t="str">
            <v>21 de março de 2016</v>
          </cell>
          <cell r="F3125" t="str">
            <v>COOPERARTE - COOPERATIVA DE TRANSPORTES DE SAO PAULO</v>
          </cell>
          <cell r="G3125" t="str">
            <v>26/02/2016</v>
          </cell>
          <cell r="H3125" t="str">
            <v>27/02/2016</v>
          </cell>
          <cell r="I3125" t="str">
            <v>30</v>
          </cell>
          <cell r="J3125" t="str">
            <v>PESSOA JURÍDICA</v>
          </cell>
          <cell r="K3125" t="str">
            <v>06.185.546/0001-40</v>
          </cell>
          <cell r="L3125" t="str">
            <v>SA</v>
          </cell>
          <cell r="M3125" t="str">
            <v>MARIA ALBERTINA DE OLIVEIRA DE LIMA</v>
          </cell>
          <cell r="N3125" t="str">
            <v>DTB7970</v>
          </cell>
          <cell r="O3125" t="str">
            <v>2007</v>
          </cell>
          <cell r="P3125" t="str">
            <v>25</v>
          </cell>
          <cell r="Q3125" t="str">
            <v>23</v>
          </cell>
        </row>
        <row r="3126">
          <cell r="B3126" t="str">
            <v>5003/16</v>
          </cell>
          <cell r="C3126" t="str">
            <v>2016-0.045.209-0</v>
          </cell>
          <cell r="D3126" t="str">
            <v/>
          </cell>
          <cell r="E3126" t="str">
            <v>12 de abril de 2016</v>
          </cell>
          <cell r="F3126" t="str">
            <v>COOPERARTE - COOPERATIVA DE TRANSPORTES DE SAO PAULO</v>
          </cell>
          <cell r="G3126" t="str">
            <v>26/02/2016</v>
          </cell>
          <cell r="H3126" t="str">
            <v>27/02/2016</v>
          </cell>
          <cell r="I3126" t="str">
            <v>30</v>
          </cell>
          <cell r="J3126" t="str">
            <v>PESSOA JURÍDICA</v>
          </cell>
          <cell r="K3126" t="str">
            <v>06.185.546/0001-40</v>
          </cell>
          <cell r="L3126" t="str">
            <v>SA</v>
          </cell>
          <cell r="M3126" t="str">
            <v>ERICK CLAYTHON SILVA</v>
          </cell>
          <cell r="N3126" t="str">
            <v>EFW9527</v>
          </cell>
          <cell r="O3126" t="str">
            <v>2010</v>
          </cell>
          <cell r="P3126" t="str">
            <v>19</v>
          </cell>
          <cell r="Q3126" t="str">
            <v>18</v>
          </cell>
        </row>
        <row r="3127">
          <cell r="B3127" t="str">
            <v>5003/16</v>
          </cell>
          <cell r="C3127" t="str">
            <v>2016-0.045.209-0</v>
          </cell>
          <cell r="D3127" t="str">
            <v/>
          </cell>
          <cell r="E3127" t="str">
            <v>28 de março de 2016</v>
          </cell>
          <cell r="F3127" t="str">
            <v>COOPERARTE - COOPERATIVA DE TRANSPORTES DE SAO PAULO</v>
          </cell>
          <cell r="G3127" t="str">
            <v>26/02/2016</v>
          </cell>
          <cell r="H3127" t="str">
            <v>27/02/2016</v>
          </cell>
          <cell r="I3127" t="str">
            <v>30</v>
          </cell>
          <cell r="J3127" t="str">
            <v>PESSOA JURÍDICA</v>
          </cell>
          <cell r="K3127" t="str">
            <v>06.185.546/0001-40</v>
          </cell>
          <cell r="L3127" t="str">
            <v>SA</v>
          </cell>
          <cell r="M3127" t="str">
            <v>MILTON RAMOS DA SILVA</v>
          </cell>
          <cell r="N3127" t="str">
            <v>EUT7630</v>
          </cell>
          <cell r="O3127" t="str">
            <v>2011</v>
          </cell>
          <cell r="P3127" t="str">
            <v>27</v>
          </cell>
          <cell r="Q3127" t="str">
            <v>26</v>
          </cell>
        </row>
        <row r="3128">
          <cell r="B3128" t="str">
            <v>5003/16</v>
          </cell>
          <cell r="C3128" t="str">
            <v>2016-0.045.209-0</v>
          </cell>
          <cell r="D3128" t="str">
            <v/>
          </cell>
          <cell r="E3128" t="str">
            <v>26 de fevereiro de 2016</v>
          </cell>
          <cell r="F3128" t="str">
            <v>COOPERARTE - COOPERATIVA DE TRANSPORTES DE SAO PAULO</v>
          </cell>
          <cell r="G3128" t="str">
            <v>26/02/2016</v>
          </cell>
          <cell r="H3128" t="str">
            <v>27/02/2016</v>
          </cell>
          <cell r="I3128" t="str">
            <v>30</v>
          </cell>
          <cell r="J3128" t="str">
            <v>PESSOA JURÍDICA</v>
          </cell>
          <cell r="K3128" t="str">
            <v>06.185.546/0001-40</v>
          </cell>
          <cell r="L3128" t="str">
            <v>FO</v>
          </cell>
          <cell r="M3128" t="str">
            <v>IRENE GONCALVES ANGELO PEIXOTO</v>
          </cell>
          <cell r="N3128" t="str">
            <v>EFV4788</v>
          </cell>
          <cell r="O3128" t="str">
            <v>2010</v>
          </cell>
          <cell r="P3128" t="str">
            <v>10</v>
          </cell>
          <cell r="Q3128" t="str">
            <v>9</v>
          </cell>
        </row>
        <row r="3129">
          <cell r="B3129" t="str">
            <v>5003/16</v>
          </cell>
          <cell r="C3129" t="str">
            <v>2016-0.045.209-0</v>
          </cell>
          <cell r="D3129" t="str">
            <v/>
          </cell>
          <cell r="E3129" t="str">
            <v/>
          </cell>
          <cell r="F3129" t="str">
            <v>COOPERARTE - COOPERATIVA DE TRANSPORTES DE SAO PAULO</v>
          </cell>
          <cell r="G3129" t="str">
            <v>26/02/2016</v>
          </cell>
          <cell r="H3129" t="str">
            <v>27/02/2016</v>
          </cell>
          <cell r="I3129" t="str">
            <v>30</v>
          </cell>
          <cell r="J3129" t="str">
            <v>PESSOA JURÍDICA</v>
          </cell>
          <cell r="K3129" t="str">
            <v>06.185.546/0001-40</v>
          </cell>
          <cell r="L3129" t="str">
            <v>CL</v>
          </cell>
          <cell r="M3129" t="str">
            <v>NIHONJI TRANSPORTES LTDA ME - ERONILDES BATISTA DE SOUZA</v>
          </cell>
          <cell r="N3129" t="str">
            <v>CPG2427</v>
          </cell>
          <cell r="O3129" t="str">
            <v>2003</v>
          </cell>
          <cell r="P3129" t="str">
            <v>25</v>
          </cell>
          <cell r="Q3129" t="str">
            <v>23</v>
          </cell>
        </row>
        <row r="3130">
          <cell r="B3130" t="str">
            <v>5003/16</v>
          </cell>
          <cell r="C3130" t="str">
            <v>2016-0.045.209-0</v>
          </cell>
          <cell r="D3130" t="str">
            <v/>
          </cell>
          <cell r="E3130" t="str">
            <v/>
          </cell>
          <cell r="F3130" t="str">
            <v>COOPERARTE - COOPERATIVA DE TRANSPORTES DE SAO PAULO</v>
          </cell>
          <cell r="G3130" t="str">
            <v>26/02/2016</v>
          </cell>
          <cell r="H3130" t="str">
            <v>27/02/2016</v>
          </cell>
          <cell r="I3130" t="str">
            <v>30</v>
          </cell>
          <cell r="J3130" t="str">
            <v>PESSOA JURÍDICA</v>
          </cell>
          <cell r="K3130" t="str">
            <v>06.185.546/0001-40</v>
          </cell>
          <cell r="L3130" t="str">
            <v>BT</v>
          </cell>
          <cell r="M3130" t="str">
            <v>CESAR NOBRE DE SOUSA</v>
          </cell>
          <cell r="N3130" t="str">
            <v>FUP5139</v>
          </cell>
          <cell r="O3130" t="str">
            <v>2014</v>
          </cell>
          <cell r="P3130" t="str">
            <v>19</v>
          </cell>
          <cell r="Q3130" t="str">
            <v>18</v>
          </cell>
        </row>
        <row r="3131">
          <cell r="B3131" t="str">
            <v>5003/16</v>
          </cell>
          <cell r="C3131" t="str">
            <v>2016-0.045.209-0</v>
          </cell>
          <cell r="D3131" t="str">
            <v/>
          </cell>
          <cell r="E3131" t="str">
            <v/>
          </cell>
          <cell r="F3131" t="str">
            <v>COOPERARTE - COOPERATIVA DE TRANSPORTES DE SAO PAULO</v>
          </cell>
          <cell r="G3131" t="str">
            <v>26/02/2016</v>
          </cell>
          <cell r="H3131" t="str">
            <v>27/02/2016</v>
          </cell>
          <cell r="I3131" t="str">
            <v>30</v>
          </cell>
          <cell r="J3131" t="str">
            <v>PESSOA JURÍDICA</v>
          </cell>
          <cell r="K3131" t="str">
            <v>06.185.546/0001-40</v>
          </cell>
          <cell r="L3131" t="str">
            <v>SA</v>
          </cell>
          <cell r="M3131" t="str">
            <v>BRUNO SIMAO VIANA</v>
          </cell>
          <cell r="N3131" t="str">
            <v>FAG4729</v>
          </cell>
          <cell r="O3131" t="str">
            <v>2013</v>
          </cell>
          <cell r="P3131" t="str">
            <v>19</v>
          </cell>
          <cell r="Q3131" t="str">
            <v>18</v>
          </cell>
        </row>
        <row r="3132">
          <cell r="B3132" t="str">
            <v>5004/16</v>
          </cell>
          <cell r="C3132" t="str">
            <v>2016-0.045.210-4</v>
          </cell>
          <cell r="D3132" t="str">
            <v>07/03/2016</v>
          </cell>
          <cell r="E3132" t="str">
            <v>09 de março de 2016</v>
          </cell>
          <cell r="F3132" t="str">
            <v>COOPERATIVA DE T. E. C. M. - COOTRECM</v>
          </cell>
          <cell r="G3132" t="str">
            <v>26/02/2016</v>
          </cell>
          <cell r="H3132" t="str">
            <v>27/02/2016</v>
          </cell>
          <cell r="I3132" t="str">
            <v>31</v>
          </cell>
          <cell r="J3132" t="str">
            <v>PESSOA JURÍDICA</v>
          </cell>
          <cell r="K3132" t="str">
            <v>16.702.140/0001-41</v>
          </cell>
          <cell r="L3132" t="str">
            <v>JT</v>
          </cell>
          <cell r="M3132" t="str">
            <v>SAMPATUR TRANSPORTES LTDA - ME - LUIZ ANTONIO DE FREITAS</v>
          </cell>
          <cell r="N3132" t="str">
            <v>ETV6836</v>
          </cell>
          <cell r="O3132" t="str">
            <v>2011</v>
          </cell>
          <cell r="P3132" t="str">
            <v>19</v>
          </cell>
          <cell r="Q3132" t="str">
            <v>18</v>
          </cell>
        </row>
        <row r="3133">
          <cell r="B3133" t="str">
            <v>5004/16</v>
          </cell>
          <cell r="C3133" t="str">
            <v>2016-0.045.210-4</v>
          </cell>
          <cell r="D3133" t="str">
            <v/>
          </cell>
          <cell r="E3133" t="str">
            <v/>
          </cell>
          <cell r="F3133" t="str">
            <v>COOPERATIVA DE T. E. C. M. - COOTRECM</v>
          </cell>
          <cell r="G3133" t="str">
            <v>26/02/2016</v>
          </cell>
          <cell r="H3133" t="str">
            <v>27/02/2016</v>
          </cell>
          <cell r="I3133" t="str">
            <v>31</v>
          </cell>
          <cell r="J3133" t="str">
            <v>PESSOA JURÍDICA</v>
          </cell>
          <cell r="K3133" t="str">
            <v>16.702.140/0001-41</v>
          </cell>
          <cell r="L3133" t="str">
            <v>CS</v>
          </cell>
          <cell r="M3133" t="str">
            <v>WAGNER APARECIDO GUICHARDES</v>
          </cell>
          <cell r="N3133" t="str">
            <v>JGM9441</v>
          </cell>
          <cell r="O3133" t="str">
            <v>2006</v>
          </cell>
          <cell r="P3133" t="str">
            <v>19</v>
          </cell>
          <cell r="Q3133" t="str">
            <v>17</v>
          </cell>
        </row>
        <row r="3134">
          <cell r="B3134" t="str">
            <v>5004/16</v>
          </cell>
          <cell r="C3134" t="str">
            <v>2016-0.045.210-4</v>
          </cell>
          <cell r="D3134" t="str">
            <v>08/03/2016</v>
          </cell>
          <cell r="E3134" t="str">
            <v>06 de abril de 2016</v>
          </cell>
          <cell r="F3134" t="str">
            <v>COOPERATIVA DE T. E. C. M. - COOTRECM</v>
          </cell>
          <cell r="G3134" t="str">
            <v>26/02/2016</v>
          </cell>
          <cell r="H3134" t="str">
            <v>27/02/2016</v>
          </cell>
          <cell r="I3134" t="str">
            <v>31</v>
          </cell>
          <cell r="J3134" t="str">
            <v>PESSOA JURÍDICA</v>
          </cell>
          <cell r="K3134" t="str">
            <v>16.702.140/0001-41</v>
          </cell>
          <cell r="L3134" t="str">
            <v>PE</v>
          </cell>
          <cell r="M3134" t="str">
            <v>MARIA APARECIDA DA COSTA SILVEIRA</v>
          </cell>
          <cell r="N3134" t="str">
            <v>KIP6791</v>
          </cell>
          <cell r="O3134" t="str">
            <v>2008</v>
          </cell>
          <cell r="P3134" t="str">
            <v>24</v>
          </cell>
          <cell r="Q3134" t="str">
            <v>23</v>
          </cell>
        </row>
        <row r="3135">
          <cell r="B3135" t="str">
            <v>5004/16</v>
          </cell>
          <cell r="C3135" t="str">
            <v>2016-0.045.210-4</v>
          </cell>
          <cell r="D3135" t="str">
            <v/>
          </cell>
          <cell r="E3135" t="str">
            <v>23 de março de 2016</v>
          </cell>
          <cell r="F3135" t="str">
            <v>COOPERATIVA DE T. E. C. M. - COOTRECM</v>
          </cell>
          <cell r="G3135" t="str">
            <v>26/02/2016</v>
          </cell>
          <cell r="H3135" t="str">
            <v>27/02/2016</v>
          </cell>
          <cell r="I3135" t="str">
            <v>31</v>
          </cell>
          <cell r="J3135" t="str">
            <v>PESSOA JURÍDICA</v>
          </cell>
          <cell r="K3135" t="str">
            <v>16.702.140/0001-41</v>
          </cell>
          <cell r="L3135" t="str">
            <v>IQ</v>
          </cell>
          <cell r="M3135" t="str">
            <v>ESTER LIANA COZERO RIBEIRO</v>
          </cell>
          <cell r="N3135" t="str">
            <v>DPC1396</v>
          </cell>
          <cell r="O3135" t="str">
            <v>2008</v>
          </cell>
          <cell r="P3135" t="str">
            <v>26</v>
          </cell>
          <cell r="Q3135" t="str">
            <v>25</v>
          </cell>
        </row>
        <row r="3136">
          <cell r="B3136" t="str">
            <v>5004/16</v>
          </cell>
          <cell r="C3136" t="str">
            <v>2016-0.045.210-4</v>
          </cell>
          <cell r="D3136" t="str">
            <v/>
          </cell>
          <cell r="E3136" t="str">
            <v>24 de março de 2016</v>
          </cell>
          <cell r="F3136" t="str">
            <v>COOPERATIVA DE T. E. C. M. - COOTRECM</v>
          </cell>
          <cell r="G3136" t="str">
            <v>26/02/2016</v>
          </cell>
          <cell r="H3136" t="str">
            <v>27/02/2016</v>
          </cell>
          <cell r="I3136" t="str">
            <v>31</v>
          </cell>
          <cell r="J3136" t="str">
            <v>PESSOA JURÍDICA</v>
          </cell>
          <cell r="K3136" t="str">
            <v>16.702.140/0001-41</v>
          </cell>
          <cell r="L3136" t="str">
            <v>MP</v>
          </cell>
          <cell r="M3136" t="str">
            <v>CASSIO CORTEZ</v>
          </cell>
          <cell r="N3136" t="str">
            <v>FLA3129</v>
          </cell>
          <cell r="O3136" t="str">
            <v>2015</v>
          </cell>
          <cell r="P3136" t="str">
            <v>19</v>
          </cell>
          <cell r="Q3136" t="str">
            <v>18</v>
          </cell>
        </row>
        <row r="3137">
          <cell r="B3137" t="str">
            <v>5004/16</v>
          </cell>
          <cell r="C3137" t="str">
            <v>2016-0.045.210-4</v>
          </cell>
          <cell r="D3137" t="str">
            <v/>
          </cell>
          <cell r="E3137" t="str">
            <v>26 de fevereiro de 2016</v>
          </cell>
          <cell r="F3137" t="str">
            <v>COOPERATIVA DE T. E. C. M. - COOTRECM</v>
          </cell>
          <cell r="G3137" t="str">
            <v>26/02/2016</v>
          </cell>
          <cell r="H3137" t="str">
            <v>27/02/2016</v>
          </cell>
          <cell r="I3137" t="str">
            <v>31</v>
          </cell>
          <cell r="J3137" t="str">
            <v>PESSOA JURÍDICA</v>
          </cell>
          <cell r="K3137" t="str">
            <v>16.702.140/0001-41</v>
          </cell>
          <cell r="L3137" t="str">
            <v>IP</v>
          </cell>
          <cell r="M3137" t="str">
            <v>NUNESP TRANSPORTES LTDA - ME - SIMONE SANTOS</v>
          </cell>
          <cell r="N3137" t="str">
            <v>ECM5143</v>
          </cell>
          <cell r="O3137" t="str">
            <v>2008</v>
          </cell>
          <cell r="P3137" t="str">
            <v>8</v>
          </cell>
          <cell r="Q3137" t="str">
            <v>7</v>
          </cell>
        </row>
        <row r="3138">
          <cell r="B3138" t="str">
            <v>5004/16</v>
          </cell>
          <cell r="C3138" t="str">
            <v>2016-0.045.210-4</v>
          </cell>
          <cell r="D3138" t="str">
            <v>22/02/2016</v>
          </cell>
          <cell r="E3138" t="str">
            <v>24 de março de 2016</v>
          </cell>
          <cell r="F3138" t="str">
            <v>COOPERATIVA DE T. E. C. M. - COOTRECM</v>
          </cell>
          <cell r="G3138" t="str">
            <v>26/02/2016</v>
          </cell>
          <cell r="H3138" t="str">
            <v>27/02/2016</v>
          </cell>
          <cell r="I3138" t="str">
            <v>31</v>
          </cell>
          <cell r="J3138" t="str">
            <v>PESSOA JURÍDICA</v>
          </cell>
          <cell r="K3138" t="str">
            <v>16.702.140/0001-41</v>
          </cell>
          <cell r="L3138" t="str">
            <v>JT</v>
          </cell>
          <cell r="M3138" t="str">
            <v>WILDES NUNES ALMEIDA</v>
          </cell>
          <cell r="N3138" t="str">
            <v>HMN9720</v>
          </cell>
          <cell r="O3138" t="str">
            <v>2008</v>
          </cell>
          <cell r="P3138" t="str">
            <v>15</v>
          </cell>
          <cell r="Q3138" t="str">
            <v>14</v>
          </cell>
        </row>
        <row r="3139">
          <cell r="B3139" t="str">
            <v>5004/16</v>
          </cell>
          <cell r="C3139" t="str">
            <v>2016-0.045.210-4</v>
          </cell>
          <cell r="D3139" t="str">
            <v>02/03/2016</v>
          </cell>
          <cell r="E3139" t="str">
            <v>09 de março de 2016</v>
          </cell>
          <cell r="F3139" t="str">
            <v>COOPERATIVA DE T. E. C. M. - COOTRECM</v>
          </cell>
          <cell r="G3139" t="str">
            <v>26/02/2016</v>
          </cell>
          <cell r="H3139" t="str">
            <v>27/02/2016</v>
          </cell>
          <cell r="I3139" t="str">
            <v>31</v>
          </cell>
          <cell r="J3139" t="str">
            <v>PESSOA JURÍDICA</v>
          </cell>
          <cell r="K3139" t="str">
            <v>16.702.140/0001-41</v>
          </cell>
          <cell r="L3139" t="str">
            <v>JT</v>
          </cell>
          <cell r="M3139" t="str">
            <v>TRANSOLIVEIRA TRANSP. ESCOLAR LTDA - ME - NIQUEIAS FERREIRA BORGES</v>
          </cell>
          <cell r="N3139" t="str">
            <v>DMM2282</v>
          </cell>
          <cell r="O3139" t="str">
            <v>2003</v>
          </cell>
          <cell r="P3139" t="str">
            <v>25</v>
          </cell>
          <cell r="Q3139" t="str">
            <v>23</v>
          </cell>
        </row>
        <row r="3140">
          <cell r="B3140" t="str">
            <v>5004/16</v>
          </cell>
          <cell r="C3140" t="str">
            <v>2016-0.045.210-4</v>
          </cell>
          <cell r="D3140" t="str">
            <v>22/02/2016</v>
          </cell>
          <cell r="E3140" t="str">
            <v>26 de fevereiro de 2016</v>
          </cell>
          <cell r="F3140" t="str">
            <v>COOPERATIVA DE T. E. C. M. - COOTRECM</v>
          </cell>
          <cell r="G3140" t="str">
            <v>26/02/2016</v>
          </cell>
          <cell r="H3140" t="str">
            <v>27/02/2016</v>
          </cell>
          <cell r="I3140" t="str">
            <v>31</v>
          </cell>
          <cell r="J3140" t="str">
            <v>PESSOA JURÍDICA</v>
          </cell>
          <cell r="K3140" t="str">
            <v>16.702.140/0001-41</v>
          </cell>
          <cell r="L3140" t="str">
            <v>G</v>
          </cell>
          <cell r="M3140" t="str">
            <v>GILSON APARECIDO DA SILVA</v>
          </cell>
          <cell r="N3140" t="str">
            <v>EPJ7829</v>
          </cell>
          <cell r="O3140" t="str">
            <v>2012</v>
          </cell>
          <cell r="P3140" t="str">
            <v>24</v>
          </cell>
          <cell r="Q3140" t="str">
            <v>23</v>
          </cell>
        </row>
        <row r="3141">
          <cell r="B3141" t="str">
            <v>5004/16</v>
          </cell>
          <cell r="C3141" t="str">
            <v>2016-0.045.210-4</v>
          </cell>
          <cell r="D3141" t="str">
            <v>16/03/2016</v>
          </cell>
          <cell r="E3141" t="str">
            <v>24 de março de 2016</v>
          </cell>
          <cell r="F3141" t="str">
            <v>COOPERATIVA DE T. E. C. M. - COOTRECM</v>
          </cell>
          <cell r="G3141" t="str">
            <v>26/02/2016</v>
          </cell>
          <cell r="H3141" t="str">
            <v>27/02/2016</v>
          </cell>
          <cell r="I3141" t="str">
            <v>31</v>
          </cell>
          <cell r="J3141" t="str">
            <v>PESSOA JURÍDICA</v>
          </cell>
          <cell r="K3141" t="str">
            <v>16.702.140/0001-41</v>
          </cell>
          <cell r="L3141" t="str">
            <v>SM</v>
          </cell>
          <cell r="M3141" t="str">
            <v>DTN TRANSPORTES LTDA - ME - NIVALDO JOSE DOS SANTOS</v>
          </cell>
          <cell r="N3141" t="str">
            <v>DBW0887</v>
          </cell>
          <cell r="O3141" t="str">
            <v>2004</v>
          </cell>
          <cell r="P3141" t="str">
            <v>24</v>
          </cell>
          <cell r="Q3141" t="str">
            <v>23</v>
          </cell>
        </row>
        <row r="3142">
          <cell r="B3142" t="str">
            <v>5004/16</v>
          </cell>
          <cell r="C3142" t="str">
            <v>2016-0.045.210-4</v>
          </cell>
          <cell r="D3142" t="str">
            <v>19/02/2016</v>
          </cell>
          <cell r="E3142" t="str">
            <v/>
          </cell>
          <cell r="F3142" t="str">
            <v>COOPERATIVA DE T. E. C. M. - COOTRECM</v>
          </cell>
          <cell r="G3142" t="str">
            <v>26/02/2016</v>
          </cell>
          <cell r="H3142" t="str">
            <v>27/02/2016</v>
          </cell>
          <cell r="I3142" t="str">
            <v>31</v>
          </cell>
          <cell r="J3142" t="str">
            <v>PESSOA JURÍDICA</v>
          </cell>
          <cell r="K3142" t="str">
            <v>16.702.140/0001-41</v>
          </cell>
          <cell r="L3142" t="str">
            <v>CL</v>
          </cell>
          <cell r="M3142" t="str">
            <v>DAVID REIS SILVINO DOS SANTOS</v>
          </cell>
          <cell r="N3142" t="str">
            <v>DJB7955</v>
          </cell>
          <cell r="O3142" t="str">
            <v>2003</v>
          </cell>
          <cell r="P3142" t="str">
            <v>32</v>
          </cell>
          <cell r="Q3142" t="str">
            <v>30</v>
          </cell>
        </row>
        <row r="3143">
          <cell r="B3143" t="str">
            <v>5004/16</v>
          </cell>
          <cell r="C3143" t="str">
            <v>2016-0.045.210-4</v>
          </cell>
          <cell r="D3143" t="str">
            <v/>
          </cell>
          <cell r="E3143" t="str">
            <v>24 de março de 2016</v>
          </cell>
          <cell r="F3143" t="str">
            <v>COOPERATIVA DE T. E. C. M. - COOTRECM</v>
          </cell>
          <cell r="G3143" t="str">
            <v>26/02/2016</v>
          </cell>
          <cell r="H3143" t="str">
            <v>27/02/2016</v>
          </cell>
          <cell r="I3143" t="str">
            <v>31</v>
          </cell>
          <cell r="J3143" t="str">
            <v>PESSOA JURÍDICA</v>
          </cell>
          <cell r="K3143" t="str">
            <v>16.702.140/0001-41</v>
          </cell>
          <cell r="L3143" t="str">
            <v>CS</v>
          </cell>
          <cell r="M3143" t="str">
            <v>BELLA TRANSPORTES LTDA ME - JOSE DIOLINO DE ARAUJO</v>
          </cell>
          <cell r="N3143" t="str">
            <v>DTA0289</v>
          </cell>
          <cell r="O3143" t="str">
            <v>2006</v>
          </cell>
          <cell r="P3143" t="str">
            <v>43</v>
          </cell>
          <cell r="Q3143" t="str">
            <v>41</v>
          </cell>
        </row>
        <row r="3144">
          <cell r="B3144" t="str">
            <v>5004/16</v>
          </cell>
          <cell r="C3144" t="str">
            <v>2016-0.045.210-4</v>
          </cell>
          <cell r="D3144" t="str">
            <v/>
          </cell>
          <cell r="E3144" t="str">
            <v>14 de março de 2016</v>
          </cell>
          <cell r="F3144" t="str">
            <v>COOPERATIVA DE T. E. C. M. - COOTRECM</v>
          </cell>
          <cell r="G3144" t="str">
            <v>26/02/2016</v>
          </cell>
          <cell r="H3144" t="str">
            <v>27/02/2016</v>
          </cell>
          <cell r="I3144" t="str">
            <v>31</v>
          </cell>
          <cell r="J3144" t="str">
            <v>PESSOA JURÍDICA</v>
          </cell>
          <cell r="K3144" t="str">
            <v>16.702.140/0001-41</v>
          </cell>
          <cell r="L3144" t="str">
            <v>BT</v>
          </cell>
          <cell r="M3144" t="str">
            <v>BELLA TRANSPORTES LTDA - ME - AURELIO CORREA DOS SANTOS</v>
          </cell>
          <cell r="N3144" t="str">
            <v>DTB4120</v>
          </cell>
          <cell r="O3144" t="str">
            <v>2006</v>
          </cell>
          <cell r="P3144" t="str">
            <v>45</v>
          </cell>
          <cell r="Q3144" t="str">
            <v>43</v>
          </cell>
        </row>
        <row r="3145">
          <cell r="B3145" t="str">
            <v>5004/16</v>
          </cell>
          <cell r="C3145" t="str">
            <v>2016-0.045.210-4</v>
          </cell>
          <cell r="D3145" t="str">
            <v/>
          </cell>
          <cell r="E3145" t="str">
            <v>09 de março de 2016</v>
          </cell>
          <cell r="F3145" t="str">
            <v>COOPERATIVA DE T. E. C. M. - COOTRECM</v>
          </cell>
          <cell r="G3145" t="str">
            <v>26/02/2016</v>
          </cell>
          <cell r="H3145" t="str">
            <v>27/02/2016</v>
          </cell>
          <cell r="I3145" t="str">
            <v>31</v>
          </cell>
          <cell r="J3145" t="str">
            <v>PESSOA JURÍDICA</v>
          </cell>
          <cell r="K3145" t="str">
            <v>16.702.140/0001-41</v>
          </cell>
          <cell r="L3145" t="str">
            <v>IQ</v>
          </cell>
          <cell r="M3145" t="str">
            <v>LUCIANA DO ROCIO GUIMARAES DE ARAUJO DIAS PEREIRA</v>
          </cell>
          <cell r="N3145" t="str">
            <v>ELW7119</v>
          </cell>
          <cell r="O3145" t="str">
            <v>2011</v>
          </cell>
          <cell r="P3145" t="str">
            <v>19</v>
          </cell>
          <cell r="Q3145" t="str">
            <v>18</v>
          </cell>
        </row>
        <row r="3146">
          <cell r="B3146" t="str">
            <v>5004/16</v>
          </cell>
          <cell r="C3146" t="str">
            <v>2016-0.045.210-4</v>
          </cell>
          <cell r="D3146" t="str">
            <v/>
          </cell>
          <cell r="E3146" t="str">
            <v>09 de março de 2016</v>
          </cell>
          <cell r="F3146" t="str">
            <v>COOPERATIVA DE T. E. C. M. - COOTRECM</v>
          </cell>
          <cell r="G3146" t="str">
            <v>26/02/2016</v>
          </cell>
          <cell r="H3146" t="str">
            <v>27/02/2016</v>
          </cell>
          <cell r="I3146" t="str">
            <v>31</v>
          </cell>
          <cell r="J3146" t="str">
            <v>PESSOA JURÍDICA</v>
          </cell>
          <cell r="K3146" t="str">
            <v>16.702.140/0001-41</v>
          </cell>
          <cell r="L3146" t="str">
            <v>JT</v>
          </cell>
          <cell r="M3146" t="str">
            <v>JOSE DESINHO BOBO</v>
          </cell>
          <cell r="N3146" t="str">
            <v>FQX1664</v>
          </cell>
          <cell r="O3146" t="str">
            <v>2014</v>
          </cell>
          <cell r="P3146" t="str">
            <v>19</v>
          </cell>
          <cell r="Q3146" t="str">
            <v>18</v>
          </cell>
        </row>
        <row r="3147">
          <cell r="B3147" t="str">
            <v>5004/16</v>
          </cell>
          <cell r="C3147" t="str">
            <v>2016-0.045.210-4</v>
          </cell>
          <cell r="D3147" t="str">
            <v>07/03/2016</v>
          </cell>
          <cell r="E3147" t="str">
            <v>07 de março de 2016</v>
          </cell>
          <cell r="F3147" t="str">
            <v>COOPERATIVA DE T. E. C. M. - COOTRECM</v>
          </cell>
          <cell r="G3147" t="str">
            <v>26/02/2016</v>
          </cell>
          <cell r="H3147" t="str">
            <v>27/02/2016</v>
          </cell>
          <cell r="I3147" t="str">
            <v>31</v>
          </cell>
          <cell r="J3147" t="str">
            <v>PESSOA JURÍDICA</v>
          </cell>
          <cell r="K3147" t="str">
            <v>16.702.140/0001-41</v>
          </cell>
          <cell r="L3147" t="str">
            <v>BT</v>
          </cell>
          <cell r="M3147" t="str">
            <v>ALEXANDRE YAMAGUTI</v>
          </cell>
          <cell r="N3147" t="str">
            <v>FSR2737</v>
          </cell>
          <cell r="O3147" t="str">
            <v>2014</v>
          </cell>
          <cell r="P3147" t="str">
            <v>19</v>
          </cell>
          <cell r="Q3147" t="str">
            <v>18</v>
          </cell>
        </row>
        <row r="3148">
          <cell r="B3148" t="str">
            <v>5004/16</v>
          </cell>
          <cell r="C3148" t="str">
            <v>2016-0.045.210-4</v>
          </cell>
          <cell r="D3148" t="str">
            <v>07/03/2016</v>
          </cell>
          <cell r="E3148" t="str">
            <v>07 de março de 2016</v>
          </cell>
          <cell r="F3148" t="str">
            <v>COOPERATIVA DE T. E. C. M. - COOTRECM</v>
          </cell>
          <cell r="G3148" t="str">
            <v>26/02/2016</v>
          </cell>
          <cell r="H3148" t="str">
            <v>27/02/2016</v>
          </cell>
          <cell r="I3148" t="str">
            <v>31</v>
          </cell>
          <cell r="J3148" t="str">
            <v>PESSOA JURÍDICA</v>
          </cell>
          <cell r="K3148" t="str">
            <v>16.702.140/0001-41</v>
          </cell>
          <cell r="L3148" t="str">
            <v>BT</v>
          </cell>
          <cell r="M3148" t="str">
            <v>PAULO APARECIDO DA SILVA</v>
          </cell>
          <cell r="N3148" t="str">
            <v>ATG3012</v>
          </cell>
          <cell r="O3148" t="str">
            <v>2010</v>
          </cell>
          <cell r="P3148" t="str">
            <v>10</v>
          </cell>
          <cell r="Q3148" t="str">
            <v>9</v>
          </cell>
        </row>
        <row r="3149">
          <cell r="B3149" t="str">
            <v>5004/16</v>
          </cell>
          <cell r="C3149" t="str">
            <v>2016-0.045.210-4</v>
          </cell>
          <cell r="D3149" t="str">
            <v/>
          </cell>
          <cell r="E3149" t="str">
            <v/>
          </cell>
          <cell r="F3149" t="str">
            <v>COOPERATIVA DE T. E. C. M. - COOTRECM</v>
          </cell>
          <cell r="G3149" t="str">
            <v>26/02/2016</v>
          </cell>
          <cell r="H3149" t="str">
            <v>27/02/2016</v>
          </cell>
          <cell r="I3149" t="str">
            <v>31</v>
          </cell>
          <cell r="J3149" t="str">
            <v>PESSOA JURÍDICA</v>
          </cell>
          <cell r="K3149" t="str">
            <v>16.702.140/0001-41</v>
          </cell>
          <cell r="L3149" t="str">
            <v>CS</v>
          </cell>
          <cell r="M3149" t="str">
            <v>BELLA TRANSPORTES LTDA - ME -</v>
          </cell>
          <cell r="N3149" t="str">
            <v>DTA2179</v>
          </cell>
          <cell r="O3149" t="str">
            <v>2007</v>
          </cell>
          <cell r="P3149" t="str">
            <v>43</v>
          </cell>
          <cell r="Q3149" t="str">
            <v>41</v>
          </cell>
        </row>
        <row r="3150">
          <cell r="B3150" t="str">
            <v>5004/16</v>
          </cell>
          <cell r="C3150" t="str">
            <v>2016-0.045.210-4</v>
          </cell>
          <cell r="D3150" t="str">
            <v/>
          </cell>
          <cell r="E3150" t="str">
            <v>09 de março de 2016</v>
          </cell>
          <cell r="F3150" t="str">
            <v>COOPERATIVA DE T. E. C. M. - COOTRECM</v>
          </cell>
          <cell r="G3150" t="str">
            <v>26/02/2016</v>
          </cell>
          <cell r="H3150" t="str">
            <v>27/02/2016</v>
          </cell>
          <cell r="I3150" t="str">
            <v>31</v>
          </cell>
          <cell r="J3150" t="str">
            <v>PESSOA JURÍDICA</v>
          </cell>
          <cell r="K3150" t="str">
            <v>16.702.140/0001-41</v>
          </cell>
          <cell r="L3150" t="str">
            <v>JT</v>
          </cell>
          <cell r="M3150" t="str">
            <v>ELISANGELA MENDES DA SILVA</v>
          </cell>
          <cell r="N3150" t="str">
            <v>FUT5277</v>
          </cell>
          <cell r="O3150" t="str">
            <v>2014</v>
          </cell>
          <cell r="P3150" t="str">
            <v>19</v>
          </cell>
          <cell r="Q3150" t="str">
            <v>18</v>
          </cell>
        </row>
        <row r="3151">
          <cell r="B3151" t="str">
            <v>5004/16</v>
          </cell>
          <cell r="C3151" t="str">
            <v>2016-0.045.210-4</v>
          </cell>
          <cell r="D3151" t="str">
            <v/>
          </cell>
          <cell r="E3151" t="str">
            <v>09 de março de 2016</v>
          </cell>
          <cell r="F3151" t="str">
            <v>COOPERATIVA DE T. E. C. M. - COOTRECM</v>
          </cell>
          <cell r="G3151" t="str">
            <v>26/02/2016</v>
          </cell>
          <cell r="H3151" t="str">
            <v>27/02/2016</v>
          </cell>
          <cell r="I3151" t="str">
            <v>31</v>
          </cell>
          <cell r="J3151" t="str">
            <v>PESSOA JURÍDICA</v>
          </cell>
          <cell r="K3151" t="str">
            <v>16.702.140/0001-41</v>
          </cell>
          <cell r="L3151" t="str">
            <v>CL</v>
          </cell>
          <cell r="M3151" t="str">
            <v>PATRICIA CARDOSO BELKIMAN</v>
          </cell>
          <cell r="N3151" t="str">
            <v>DWQ6383</v>
          </cell>
          <cell r="O3151" t="str">
            <v>2007</v>
          </cell>
          <cell r="P3151" t="str">
            <v>15</v>
          </cell>
          <cell r="Q3151" t="str">
            <v>14</v>
          </cell>
        </row>
        <row r="3152">
          <cell r="B3152" t="str">
            <v>5004/16</v>
          </cell>
          <cell r="C3152" t="str">
            <v>2016-0.045.210-4</v>
          </cell>
          <cell r="D3152" t="str">
            <v/>
          </cell>
          <cell r="E3152" t="str">
            <v>15 de março de 2016</v>
          </cell>
          <cell r="F3152" t="str">
            <v>COOPERATIVA DE T. E. C. M. - COOTRECM</v>
          </cell>
          <cell r="G3152" t="str">
            <v>26/02/2016</v>
          </cell>
          <cell r="H3152" t="str">
            <v>27/02/2016</v>
          </cell>
          <cell r="I3152" t="str">
            <v>31</v>
          </cell>
          <cell r="J3152" t="str">
            <v>PESSOA JURÍDICA</v>
          </cell>
          <cell r="K3152" t="str">
            <v>16.702.140/0001-41</v>
          </cell>
          <cell r="L3152" t="str">
            <v>IQ</v>
          </cell>
          <cell r="M3152" t="str">
            <v>SERGIO RICARDO RAMOS</v>
          </cell>
          <cell r="N3152" t="str">
            <v>FHL5380</v>
          </cell>
          <cell r="O3152" t="str">
            <v>2013</v>
          </cell>
          <cell r="P3152" t="str">
            <v>19</v>
          </cell>
          <cell r="Q3152" t="str">
            <v>18</v>
          </cell>
        </row>
        <row r="3153">
          <cell r="B3153" t="str">
            <v>5005/16</v>
          </cell>
          <cell r="C3153" t="str">
            <v>2016-0.045.211-2</v>
          </cell>
          <cell r="D3153" t="str">
            <v>14/03/2016</v>
          </cell>
          <cell r="E3153" t="str">
            <v>08 de abril de 2016</v>
          </cell>
          <cell r="F3153" t="str">
            <v>COOP. T. C. A. T. P. - COOPERUNIAO BRASILEIRA</v>
          </cell>
          <cell r="G3153" t="str">
            <v>26/02/2016</v>
          </cell>
          <cell r="H3153" t="str">
            <v>27/02/2016</v>
          </cell>
          <cell r="I3153" t="str">
            <v>31</v>
          </cell>
          <cell r="J3153" t="str">
            <v>PESSOA JURÍDICA</v>
          </cell>
          <cell r="K3153" t="str">
            <v>08.004.420/0001-58</v>
          </cell>
          <cell r="L3153" t="str">
            <v>G</v>
          </cell>
          <cell r="M3153" t="str">
            <v>OTANIL DOMINGOS NICOLAU</v>
          </cell>
          <cell r="N3153" t="str">
            <v>EFV5497</v>
          </cell>
          <cell r="O3153" t="str">
            <v>2010</v>
          </cell>
          <cell r="P3153" t="str">
            <v>10</v>
          </cell>
          <cell r="Q3153" t="str">
            <v>9</v>
          </cell>
        </row>
        <row r="3154">
          <cell r="B3154" t="str">
            <v>5005/16</v>
          </cell>
          <cell r="C3154" t="str">
            <v>2016-0.045.211-2</v>
          </cell>
          <cell r="D3154" t="str">
            <v>21/03/2016</v>
          </cell>
          <cell r="E3154" t="str">
            <v>08 de abril de 2016</v>
          </cell>
          <cell r="F3154" t="str">
            <v>COOP. T. C. A. T. P. - COOPERUNIAO BRASILEIRA</v>
          </cell>
          <cell r="G3154" t="str">
            <v>26/02/2016</v>
          </cell>
          <cell r="H3154" t="str">
            <v>27/02/2016</v>
          </cell>
          <cell r="I3154" t="str">
            <v>31</v>
          </cell>
          <cell r="J3154" t="str">
            <v>PESSOA JURÍDICA</v>
          </cell>
          <cell r="K3154" t="str">
            <v>08.004.420/0001-58</v>
          </cell>
          <cell r="L3154" t="str">
            <v>G</v>
          </cell>
          <cell r="M3154" t="str">
            <v>IRENE BARBOSA DA SILVA</v>
          </cell>
          <cell r="N3154" t="str">
            <v>EZL8233</v>
          </cell>
          <cell r="O3154" t="str">
            <v>2012</v>
          </cell>
          <cell r="P3154" t="str">
            <v>10</v>
          </cell>
          <cell r="Q3154" t="str">
            <v>9</v>
          </cell>
        </row>
        <row r="3155">
          <cell r="B3155" t="str">
            <v>5005/16</v>
          </cell>
          <cell r="C3155" t="str">
            <v>2016-0.045.211-2</v>
          </cell>
          <cell r="D3155" t="str">
            <v/>
          </cell>
          <cell r="E3155" t="str">
            <v>07 de março de 2016</v>
          </cell>
          <cell r="F3155" t="str">
            <v>COOP. T. C. A. T. P. - COOPERUNIAO BRASILEIRA</v>
          </cell>
          <cell r="G3155" t="str">
            <v>26/02/2016</v>
          </cell>
          <cell r="H3155" t="str">
            <v>27/02/2016</v>
          </cell>
          <cell r="I3155" t="str">
            <v>31</v>
          </cell>
          <cell r="J3155" t="str">
            <v>PESSOA JURÍDICA</v>
          </cell>
          <cell r="K3155" t="str">
            <v>08.004.420/0001-58</v>
          </cell>
          <cell r="L3155" t="str">
            <v>MP</v>
          </cell>
          <cell r="M3155" t="str">
            <v>EDSON PEDRO DOS SANTOS</v>
          </cell>
          <cell r="N3155" t="str">
            <v>FMN9164</v>
          </cell>
          <cell r="O3155" t="str">
            <v>2013</v>
          </cell>
          <cell r="P3155" t="str">
            <v>10</v>
          </cell>
          <cell r="Q3155" t="str">
            <v>9</v>
          </cell>
        </row>
        <row r="3156">
          <cell r="B3156" t="str">
            <v>5005/16</v>
          </cell>
          <cell r="C3156" t="str">
            <v>2016-0.045.211-2</v>
          </cell>
          <cell r="D3156" t="str">
            <v/>
          </cell>
          <cell r="E3156" t="str">
            <v>09 de março de 2016</v>
          </cell>
          <cell r="F3156" t="str">
            <v>COOP. T. C. A. T. P. - COOPERUNIAO BRASILEIRA</v>
          </cell>
          <cell r="G3156" t="str">
            <v>26/02/2016</v>
          </cell>
          <cell r="H3156" t="str">
            <v>27/02/2016</v>
          </cell>
          <cell r="I3156" t="str">
            <v>31</v>
          </cell>
          <cell r="J3156" t="str">
            <v>PESSOA JURÍDICA</v>
          </cell>
          <cell r="K3156" t="str">
            <v>08.004.420/0001-58</v>
          </cell>
          <cell r="L3156" t="str">
            <v>MP</v>
          </cell>
          <cell r="M3156" t="str">
            <v>CINTIA PEREIRA ALVES</v>
          </cell>
          <cell r="N3156" t="str">
            <v>DTA6106</v>
          </cell>
          <cell r="O3156" t="str">
            <v>2007</v>
          </cell>
          <cell r="P3156" t="str">
            <v>29</v>
          </cell>
          <cell r="Q3156" t="str">
            <v>27</v>
          </cell>
        </row>
        <row r="3157">
          <cell r="B3157" t="str">
            <v>5005/16</v>
          </cell>
          <cell r="C3157" t="str">
            <v>2016-0.045.211-2</v>
          </cell>
          <cell r="D3157" t="str">
            <v>04/03/2016</v>
          </cell>
          <cell r="E3157" t="str">
            <v>08 de abril de 2016</v>
          </cell>
          <cell r="F3157" t="str">
            <v>COOP. T. C. A. T. P. - COOPERUNIAO BRASILEIRA</v>
          </cell>
          <cell r="G3157" t="str">
            <v>26/02/2016</v>
          </cell>
          <cell r="H3157" t="str">
            <v>27/02/2016</v>
          </cell>
          <cell r="I3157" t="str">
            <v>31</v>
          </cell>
          <cell r="J3157" t="str">
            <v>PESSOA JURÍDICA</v>
          </cell>
          <cell r="K3157" t="str">
            <v>08.004.420/0001-58</v>
          </cell>
          <cell r="L3157" t="str">
            <v>G</v>
          </cell>
          <cell r="M3157" t="str">
            <v>APARECIDA FERNANDES GARCIA</v>
          </cell>
          <cell r="N3157" t="str">
            <v>CZZ2674</v>
          </cell>
          <cell r="O3157" t="str">
            <v>2003</v>
          </cell>
          <cell r="P3157" t="str">
            <v>25</v>
          </cell>
          <cell r="Q3157" t="str">
            <v>23</v>
          </cell>
        </row>
        <row r="3158">
          <cell r="B3158" t="str">
            <v>5005/16</v>
          </cell>
          <cell r="C3158" t="str">
            <v>2016-0.045.211-2</v>
          </cell>
          <cell r="D3158" t="str">
            <v>07/03/2016</v>
          </cell>
          <cell r="E3158" t="str">
            <v>08 de abril de 2016</v>
          </cell>
          <cell r="F3158" t="str">
            <v>COOP. T. C. A. T. P. - COOPERUNIAO BRASILEIRA</v>
          </cell>
          <cell r="G3158" t="str">
            <v>26/02/2016</v>
          </cell>
          <cell r="H3158" t="str">
            <v>27/02/2016</v>
          </cell>
          <cell r="I3158" t="str">
            <v>31</v>
          </cell>
          <cell r="J3158" t="str">
            <v>PESSOA JURÍDICA</v>
          </cell>
          <cell r="K3158" t="str">
            <v>08.004.420/0001-58</v>
          </cell>
          <cell r="L3158" t="str">
            <v>G</v>
          </cell>
          <cell r="M3158" t="str">
            <v>ALEX SANDRO SILVA MONTEIRO FREIRE</v>
          </cell>
          <cell r="N3158" t="str">
            <v>FCB9043</v>
          </cell>
          <cell r="O3158" t="str">
            <v>2012</v>
          </cell>
          <cell r="P3158" t="str">
            <v>29</v>
          </cell>
          <cell r="Q3158" t="str">
            <v>28</v>
          </cell>
        </row>
        <row r="3159">
          <cell r="B3159" t="str">
            <v>5005/16</v>
          </cell>
          <cell r="C3159" t="str">
            <v>2016-0.045.211-2</v>
          </cell>
          <cell r="D3159" t="str">
            <v>19/02/2016</v>
          </cell>
          <cell r="E3159" t="str">
            <v>26 de fevereiro de 2016</v>
          </cell>
          <cell r="F3159" t="str">
            <v>COOP. T. C. A. T. P. - COOPERUNIAO BRASILEIRA</v>
          </cell>
          <cell r="G3159" t="str">
            <v>26/02/2016</v>
          </cell>
          <cell r="H3159" t="str">
            <v>27/02/2016</v>
          </cell>
          <cell r="I3159" t="str">
            <v>31</v>
          </cell>
          <cell r="J3159" t="str">
            <v>PESSOA JURÍDICA</v>
          </cell>
          <cell r="K3159" t="str">
            <v>08.004.420/0001-58</v>
          </cell>
          <cell r="L3159" t="str">
            <v>IQ</v>
          </cell>
          <cell r="M3159" t="str">
            <v>REINALDO SIMOES JUNIOR</v>
          </cell>
          <cell r="N3159" t="str">
            <v>MFE0591</v>
          </cell>
          <cell r="O3159" t="str">
            <v>2005</v>
          </cell>
          <cell r="P3159" t="str">
            <v>10</v>
          </cell>
          <cell r="Q3159" t="str">
            <v>9</v>
          </cell>
        </row>
        <row r="3160">
          <cell r="B3160" t="str">
            <v>5005/16</v>
          </cell>
          <cell r="C3160" t="str">
            <v>2016-0.045.211-2</v>
          </cell>
          <cell r="D3160" t="str">
            <v/>
          </cell>
          <cell r="E3160" t="str">
            <v>09 de março de 2016</v>
          </cell>
          <cell r="F3160" t="str">
            <v>COOP. T. C. A. T. P. - COOPERUNIAO BRASILEIRA</v>
          </cell>
          <cell r="G3160" t="str">
            <v>26/02/2016</v>
          </cell>
          <cell r="H3160" t="str">
            <v>27/02/2016</v>
          </cell>
          <cell r="I3160" t="str">
            <v>31</v>
          </cell>
          <cell r="J3160" t="str">
            <v>PESSOA JURÍDICA</v>
          </cell>
          <cell r="K3160" t="str">
            <v>08.004.420/0001-58</v>
          </cell>
          <cell r="L3160" t="str">
            <v xml:space="preserve">MP </v>
          </cell>
          <cell r="M3160" t="str">
            <v>RULFFO CUSTODIO</v>
          </cell>
          <cell r="N3160" t="str">
            <v>FCB9041</v>
          </cell>
          <cell r="O3160" t="str">
            <v>2012</v>
          </cell>
          <cell r="P3160" t="str">
            <v>22</v>
          </cell>
          <cell r="Q3160" t="str">
            <v>21</v>
          </cell>
        </row>
        <row r="3161">
          <cell r="B3161" t="str">
            <v>5005/16</v>
          </cell>
          <cell r="C3161" t="str">
            <v>2016-0.045.211-2</v>
          </cell>
          <cell r="D3161" t="str">
            <v/>
          </cell>
          <cell r="E3161" t="str">
            <v>29 de março de 2016</v>
          </cell>
          <cell r="F3161" t="str">
            <v>COOP. T. C. A. T. P. - COOPERUNIAO BRASILEIRA</v>
          </cell>
          <cell r="G3161" t="str">
            <v>26/02/2016</v>
          </cell>
          <cell r="H3161" t="str">
            <v>27/02/2016</v>
          </cell>
          <cell r="I3161" t="str">
            <v>31</v>
          </cell>
          <cell r="J3161" t="str">
            <v>PESSOA JURÍDICA</v>
          </cell>
          <cell r="K3161" t="str">
            <v>08.004.420/0001-58</v>
          </cell>
          <cell r="L3161" t="str">
            <v>MP</v>
          </cell>
          <cell r="M3161" t="str">
            <v>PAULO CESAR DA SILVA PEDRO</v>
          </cell>
          <cell r="N3161" t="str">
            <v>FCB9039</v>
          </cell>
          <cell r="O3161" t="str">
            <v>2012</v>
          </cell>
          <cell r="P3161" t="str">
            <v>29</v>
          </cell>
          <cell r="Q3161" t="str">
            <v>28</v>
          </cell>
        </row>
        <row r="3162">
          <cell r="B3162" t="str">
            <v>5005/16</v>
          </cell>
          <cell r="C3162" t="str">
            <v>2016-0.045.211-2</v>
          </cell>
          <cell r="D3162" t="str">
            <v/>
          </cell>
          <cell r="E3162" t="str">
            <v>26 de fevereiro de 2016</v>
          </cell>
          <cell r="F3162" t="str">
            <v>COOP. T. C. A. T. P. - COOPERUNIAO BRASILEIRA</v>
          </cell>
          <cell r="G3162" t="str">
            <v>26/02/2016</v>
          </cell>
          <cell r="H3162" t="str">
            <v>27/02/2016</v>
          </cell>
          <cell r="I3162" t="str">
            <v>31</v>
          </cell>
          <cell r="J3162" t="str">
            <v>PESSOA JURÍDICA</v>
          </cell>
          <cell r="K3162" t="str">
            <v>08.004.420/0001-58</v>
          </cell>
          <cell r="L3162" t="str">
            <v>MP</v>
          </cell>
          <cell r="M3162" t="str">
            <v>ELIANE DE MACEDO LIMA</v>
          </cell>
          <cell r="N3162" t="str">
            <v>DBM5637</v>
          </cell>
          <cell r="O3162" t="str">
            <v>2005</v>
          </cell>
          <cell r="P3162" t="str">
            <v>25</v>
          </cell>
          <cell r="Q3162" t="str">
            <v>23</v>
          </cell>
        </row>
        <row r="3163">
          <cell r="B3163" t="str">
            <v>5005/16</v>
          </cell>
          <cell r="C3163" t="str">
            <v>2016-0.045.211-2</v>
          </cell>
          <cell r="D3163" t="str">
            <v/>
          </cell>
          <cell r="E3163" t="str">
            <v>09 de março de 2016</v>
          </cell>
          <cell r="F3163" t="str">
            <v>COOP. T. C. A. T. P. - COOPERUNIAO BRASILEIRA</v>
          </cell>
          <cell r="G3163" t="str">
            <v>26/02/2016</v>
          </cell>
          <cell r="H3163" t="str">
            <v>27/02/2016</v>
          </cell>
          <cell r="I3163" t="str">
            <v>31</v>
          </cell>
          <cell r="J3163" t="str">
            <v>PESSOA JURÍDICA</v>
          </cell>
          <cell r="K3163" t="str">
            <v>08.004.420/0001-58</v>
          </cell>
          <cell r="L3163" t="str">
            <v>IQ</v>
          </cell>
          <cell r="M3163" t="str">
            <v>LEANDRO SILVA MONTEIRO FREIRE</v>
          </cell>
          <cell r="N3163" t="str">
            <v>FFG8686</v>
          </cell>
          <cell r="O3163" t="str">
            <v>2011</v>
          </cell>
          <cell r="P3163" t="str">
            <v>10</v>
          </cell>
          <cell r="Q3163" t="str">
            <v>9</v>
          </cell>
        </row>
        <row r="3164">
          <cell r="B3164" t="str">
            <v>5005/16</v>
          </cell>
          <cell r="C3164" t="str">
            <v>2016-0.045.211-2</v>
          </cell>
          <cell r="D3164" t="str">
            <v/>
          </cell>
          <cell r="E3164" t="str">
            <v>21 de março de 2016</v>
          </cell>
          <cell r="F3164" t="str">
            <v>COOP. T. C. A. T. P. - COOPERUNIAO BRASILEIRA</v>
          </cell>
          <cell r="G3164" t="str">
            <v>26/02/2016</v>
          </cell>
          <cell r="H3164" t="str">
            <v>27/02/2016</v>
          </cell>
          <cell r="I3164" t="str">
            <v>31</v>
          </cell>
          <cell r="J3164" t="str">
            <v>PESSOA JURÍDICA</v>
          </cell>
          <cell r="K3164" t="str">
            <v>08.004.420/0001-58</v>
          </cell>
          <cell r="L3164" t="str">
            <v>MP</v>
          </cell>
          <cell r="M3164" t="str">
            <v>ANDRE GONCALVES DA SILVA</v>
          </cell>
          <cell r="N3164" t="str">
            <v>EFV5489</v>
          </cell>
          <cell r="O3164" t="str">
            <v>2010</v>
          </cell>
          <cell r="P3164" t="str">
            <v>10</v>
          </cell>
          <cell r="Q3164" t="str">
            <v>9</v>
          </cell>
        </row>
        <row r="3165">
          <cell r="B3165" t="str">
            <v>5005/16</v>
          </cell>
          <cell r="C3165" t="str">
            <v>2016-0.045.211-2</v>
          </cell>
          <cell r="D3165" t="str">
            <v>17/02/2016</v>
          </cell>
          <cell r="E3165" t="str">
            <v>26 de fevereiro de 2016</v>
          </cell>
          <cell r="F3165" t="str">
            <v>COOP. T. C. A. T. P. - COOPERUNIAO BRASILEIRA</v>
          </cell>
          <cell r="G3165" t="str">
            <v>26/02/2016</v>
          </cell>
          <cell r="H3165" t="str">
            <v>27/02/2016</v>
          </cell>
          <cell r="I3165" t="str">
            <v>31</v>
          </cell>
          <cell r="J3165" t="str">
            <v>PESSOA JURÍDICA</v>
          </cell>
          <cell r="K3165" t="str">
            <v>08.004.420/0001-58</v>
          </cell>
          <cell r="L3165" t="str">
            <v>MP</v>
          </cell>
          <cell r="M3165" t="str">
            <v>ANDREA SIMOES DE SOUZA GARCIA</v>
          </cell>
          <cell r="N3165" t="str">
            <v>FFG8390</v>
          </cell>
          <cell r="O3165" t="str">
            <v>2010</v>
          </cell>
          <cell r="P3165" t="str">
            <v>19</v>
          </cell>
          <cell r="Q3165" t="str">
            <v>18</v>
          </cell>
        </row>
        <row r="3166">
          <cell r="B3166" t="str">
            <v>5005/16</v>
          </cell>
          <cell r="C3166" t="str">
            <v>2016-0.045.211-2</v>
          </cell>
          <cell r="D3166" t="str">
            <v>04/03/2016</v>
          </cell>
          <cell r="E3166" t="str">
            <v>09 de março de 2016</v>
          </cell>
          <cell r="F3166" t="str">
            <v>COOP. T. C. A. T. P. - COOPERUNIAO BRASILEIRA</v>
          </cell>
          <cell r="G3166" t="str">
            <v>26/02/2016</v>
          </cell>
          <cell r="H3166" t="str">
            <v>27/02/2016</v>
          </cell>
          <cell r="I3166" t="str">
            <v>31</v>
          </cell>
          <cell r="J3166" t="str">
            <v>PESSOA JURÍDICA</v>
          </cell>
          <cell r="K3166" t="str">
            <v>08.004.420/0001-58</v>
          </cell>
          <cell r="L3166" t="str">
            <v>G</v>
          </cell>
          <cell r="M3166" t="str">
            <v>ELIZETE FERREIRA DA SILVA</v>
          </cell>
          <cell r="N3166" t="str">
            <v>DTE5701</v>
          </cell>
          <cell r="O3166" t="str">
            <v>2009</v>
          </cell>
          <cell r="P3166" t="str">
            <v>11</v>
          </cell>
          <cell r="Q3166" t="str">
            <v>10</v>
          </cell>
        </row>
        <row r="3167">
          <cell r="B3167" t="str">
            <v>5005/16</v>
          </cell>
          <cell r="C3167" t="str">
            <v>2016-0.045.211-2</v>
          </cell>
          <cell r="D3167" t="str">
            <v/>
          </cell>
          <cell r="E3167" t="str">
            <v>29 de março de 2016</v>
          </cell>
          <cell r="F3167" t="str">
            <v>COOP. T. C. A. T. P. - COOPERUNIAO BRASILEIRA</v>
          </cell>
          <cell r="G3167" t="str">
            <v>26/02/2016</v>
          </cell>
          <cell r="H3167" t="str">
            <v>27/02/2016</v>
          </cell>
          <cell r="I3167" t="str">
            <v>31</v>
          </cell>
          <cell r="J3167" t="str">
            <v>PESSOA JURÍDICA</v>
          </cell>
          <cell r="K3167" t="str">
            <v>08.004.420/0001-58</v>
          </cell>
          <cell r="L3167" t="str">
            <v>MP</v>
          </cell>
          <cell r="M3167" t="str">
            <v>ALEX SANDRO APARECIDO MONTEIRO</v>
          </cell>
          <cell r="N3167" t="str">
            <v>DWR4647</v>
          </cell>
          <cell r="O3167" t="str">
            <v>2007</v>
          </cell>
          <cell r="P3167" t="str">
            <v>25</v>
          </cell>
          <cell r="Q3167" t="str">
            <v>23</v>
          </cell>
        </row>
        <row r="3168">
          <cell r="B3168" t="str">
            <v>5005/16</v>
          </cell>
          <cell r="C3168" t="str">
            <v>2016-0.045.211-2</v>
          </cell>
          <cell r="D3168" t="str">
            <v/>
          </cell>
          <cell r="E3168" t="str">
            <v>31 de março de 2016</v>
          </cell>
          <cell r="F3168" t="str">
            <v>COOP. T. C. A. T. P. - COOPERUNIAO BRASILEIRA</v>
          </cell>
          <cell r="G3168" t="str">
            <v>26/02/2016</v>
          </cell>
          <cell r="H3168" t="str">
            <v>27/02/2016</v>
          </cell>
          <cell r="I3168" t="str">
            <v>31</v>
          </cell>
          <cell r="J3168" t="str">
            <v>PESSOA JURÍDICA</v>
          </cell>
          <cell r="K3168" t="str">
            <v>08.004.420/0001-58</v>
          </cell>
          <cell r="L3168" t="str">
            <v>MP</v>
          </cell>
          <cell r="M3168" t="str">
            <v>RENE SIMOES</v>
          </cell>
          <cell r="N3168" t="str">
            <v>DTD9117</v>
          </cell>
          <cell r="O3168" t="str">
            <v>2009</v>
          </cell>
          <cell r="P3168" t="str">
            <v>11</v>
          </cell>
          <cell r="Q3168" t="str">
            <v>10</v>
          </cell>
        </row>
        <row r="3169">
          <cell r="B3169" t="str">
            <v>5005/16</v>
          </cell>
          <cell r="C3169" t="str">
            <v>2016-0.045.211-2</v>
          </cell>
          <cell r="D3169" t="str">
            <v>01/03/2016</v>
          </cell>
          <cell r="E3169" t="str">
            <v>29 de março de 2016</v>
          </cell>
          <cell r="F3169" t="str">
            <v>COOP. T. C. A. T. P. - COOPERUNIAO BRASILEIRA</v>
          </cell>
          <cell r="G3169" t="str">
            <v>26/02/2016</v>
          </cell>
          <cell r="H3169" t="str">
            <v>27/02/2016</v>
          </cell>
          <cell r="I3169" t="str">
            <v>31</v>
          </cell>
          <cell r="J3169" t="str">
            <v>PESSOA JURÍDICA</v>
          </cell>
          <cell r="K3169" t="str">
            <v>08.004.420/0001-58</v>
          </cell>
          <cell r="L3169" t="str">
            <v>IP</v>
          </cell>
          <cell r="M3169" t="str">
            <v>ANDERSON DE SOUZA CHELES BRAGANTE</v>
          </cell>
          <cell r="N3169" t="str">
            <v>EFV5463</v>
          </cell>
          <cell r="O3169" t="str">
            <v>2010</v>
          </cell>
          <cell r="P3169" t="str">
            <v>10</v>
          </cell>
          <cell r="Q3169" t="str">
            <v>9</v>
          </cell>
        </row>
        <row r="3170">
          <cell r="B3170" t="str">
            <v>5005/16</v>
          </cell>
          <cell r="C3170" t="str">
            <v>2016-0.045.211-2</v>
          </cell>
          <cell r="D3170" t="str">
            <v/>
          </cell>
          <cell r="E3170" t="str">
            <v/>
          </cell>
          <cell r="F3170" t="str">
            <v>COOP. T. C. A. T. P. - COOPERUNIAO BRASILEIRA</v>
          </cell>
          <cell r="G3170" t="str">
            <v>26/02/2016</v>
          </cell>
          <cell r="H3170" t="str">
            <v>27/02/2016</v>
          </cell>
          <cell r="I3170" t="str">
            <v>31</v>
          </cell>
          <cell r="J3170" t="str">
            <v>PESSOA JURÍDICA</v>
          </cell>
          <cell r="K3170" t="str">
            <v>08.004.420/0001-58</v>
          </cell>
          <cell r="L3170" t="str">
            <v>IQ</v>
          </cell>
          <cell r="M3170" t="str">
            <v>MIGUEL ANTONIO DE OLIVEIRA</v>
          </cell>
          <cell r="N3170" t="str">
            <v>DTC6358</v>
          </cell>
          <cell r="O3170" t="str">
            <v>2009</v>
          </cell>
          <cell r="P3170" t="str">
            <v>10</v>
          </cell>
          <cell r="Q3170" t="str">
            <v>9</v>
          </cell>
        </row>
        <row r="3171">
          <cell r="B3171" t="str">
            <v>5005/16</v>
          </cell>
          <cell r="C3171" t="str">
            <v>2016-0.045.211-2</v>
          </cell>
          <cell r="D3171" t="str">
            <v/>
          </cell>
          <cell r="E3171" t="str">
            <v>29 de março de 2016</v>
          </cell>
          <cell r="F3171" t="str">
            <v>COOP. T. C. A. T. P. - COOPERUNIAO BRASILEIRA</v>
          </cell>
          <cell r="G3171" t="str">
            <v>26/02/2016</v>
          </cell>
          <cell r="H3171" t="str">
            <v>27/02/2016</v>
          </cell>
          <cell r="I3171" t="str">
            <v>31</v>
          </cell>
          <cell r="J3171" t="str">
            <v>PESSOA JURÍDICA</v>
          </cell>
          <cell r="K3171" t="str">
            <v>08.004.420/0001-58</v>
          </cell>
          <cell r="L3171" t="str">
            <v>MP</v>
          </cell>
          <cell r="M3171" t="str">
            <v>VANESSA DOS SANTOS MOTTA</v>
          </cell>
          <cell r="N3171" t="str">
            <v>DTE1821</v>
          </cell>
          <cell r="O3171" t="str">
            <v>2009</v>
          </cell>
          <cell r="P3171" t="str">
            <v>11</v>
          </cell>
          <cell r="Q3171" t="str">
            <v>10</v>
          </cell>
        </row>
        <row r="3172">
          <cell r="B3172" t="str">
            <v>5005/16</v>
          </cell>
          <cell r="C3172" t="str">
            <v>2016-0.045.211-2</v>
          </cell>
          <cell r="D3172" t="str">
            <v/>
          </cell>
          <cell r="E3172" t="str">
            <v>29 de março de 2016</v>
          </cell>
          <cell r="F3172" t="str">
            <v>COOP. T. C. A. T. P. - COOPERUNIAO BRASILEIRA</v>
          </cell>
          <cell r="G3172" t="str">
            <v>26/02/2016</v>
          </cell>
          <cell r="H3172" t="str">
            <v>27/02/2016</v>
          </cell>
          <cell r="I3172" t="str">
            <v>31</v>
          </cell>
          <cell r="J3172" t="str">
            <v>PESSOA JURÍDICA</v>
          </cell>
          <cell r="K3172" t="str">
            <v>08.004.420/0001-58</v>
          </cell>
          <cell r="L3172" t="str">
            <v>IP</v>
          </cell>
          <cell r="M3172" t="str">
            <v>NATANAEL GUERINO NETO</v>
          </cell>
          <cell r="N3172" t="str">
            <v>DTD9111</v>
          </cell>
          <cell r="O3172" t="str">
            <v>2009</v>
          </cell>
          <cell r="P3172" t="str">
            <v>11</v>
          </cell>
          <cell r="Q3172" t="str">
            <v>10</v>
          </cell>
        </row>
        <row r="3173">
          <cell r="B3173" t="str">
            <v>5005/16</v>
          </cell>
          <cell r="C3173" t="str">
            <v>2016-0.045.211-2</v>
          </cell>
          <cell r="D3173" t="str">
            <v/>
          </cell>
          <cell r="E3173" t="str">
            <v>19 de abril de 2016</v>
          </cell>
          <cell r="F3173" t="str">
            <v>COOP. T. C. A. T. P. - COOPERUNIAO BRASILEIRA</v>
          </cell>
          <cell r="G3173" t="str">
            <v>26/02/2016</v>
          </cell>
          <cell r="H3173" t="str">
            <v>27/02/2016</v>
          </cell>
          <cell r="I3173" t="str">
            <v>31</v>
          </cell>
          <cell r="J3173" t="str">
            <v>PESSOA JURÍDICA</v>
          </cell>
          <cell r="K3173" t="str">
            <v>08.004.420/0001-58</v>
          </cell>
          <cell r="L3173" t="str">
            <v>G</v>
          </cell>
          <cell r="M3173" t="str">
            <v>FABIANY PRISCILA SCHEIDT</v>
          </cell>
          <cell r="N3173" t="str">
            <v>DTD9127</v>
          </cell>
          <cell r="O3173" t="str">
            <v>2009</v>
          </cell>
          <cell r="P3173" t="str">
            <v>11</v>
          </cell>
          <cell r="Q3173" t="str">
            <v>10</v>
          </cell>
        </row>
        <row r="3174">
          <cell r="B3174" t="str">
            <v>5006/16</v>
          </cell>
          <cell r="C3174" t="str">
            <v>2016-0.045.212-0</v>
          </cell>
          <cell r="D3174" t="str">
            <v/>
          </cell>
          <cell r="E3174" t="str">
            <v>26 de fevereiro de 2016</v>
          </cell>
          <cell r="F3174" t="str">
            <v>MILLA TRANSPORTE E TURISMO LTDA - EPP</v>
          </cell>
          <cell r="G3174" t="str">
            <v>26/02/2016</v>
          </cell>
          <cell r="H3174" t="str">
            <v>27/02/2016</v>
          </cell>
          <cell r="I3174" t="str">
            <v>31</v>
          </cell>
          <cell r="J3174" t="str">
            <v>PESSOA JURÍDICA</v>
          </cell>
          <cell r="K3174" t="str">
            <v>03.858.810/0001-71</v>
          </cell>
          <cell r="L3174" t="str">
            <v>IQ</v>
          </cell>
          <cell r="M3174" t="str">
            <v>RICARDO VELOSO DOS SANTOS</v>
          </cell>
          <cell r="N3174" t="str">
            <v>ELW0869</v>
          </cell>
          <cell r="O3174" t="str">
            <v>2012</v>
          </cell>
          <cell r="P3174" t="str">
            <v>10</v>
          </cell>
          <cell r="Q3174" t="str">
            <v>9</v>
          </cell>
        </row>
        <row r="3175">
          <cell r="B3175" t="str">
            <v>5006/16</v>
          </cell>
          <cell r="C3175" t="str">
            <v>2016-0.045.212-0</v>
          </cell>
          <cell r="D3175" t="str">
            <v/>
          </cell>
          <cell r="E3175" t="str">
            <v/>
          </cell>
          <cell r="F3175" t="str">
            <v>MILLA TRANSPORTE E TURISMO LTDA - EPP</v>
          </cell>
          <cell r="G3175" t="str">
            <v>26/02/2016</v>
          </cell>
          <cell r="H3175" t="str">
            <v>27/02/2016</v>
          </cell>
          <cell r="I3175" t="str">
            <v>31</v>
          </cell>
          <cell r="J3175" t="str">
            <v>PESSOA JURÍDICA</v>
          </cell>
          <cell r="K3175" t="str">
            <v>03.858.810/0001-71</v>
          </cell>
          <cell r="L3175" t="str">
            <v>G</v>
          </cell>
          <cell r="M3175" t="str">
            <v>EDSON PEREIRA DOS SANTOS</v>
          </cell>
          <cell r="N3175" t="str">
            <v>FAH5630</v>
          </cell>
          <cell r="O3175" t="str">
            <v>2014</v>
          </cell>
          <cell r="P3175" t="str">
            <v>10</v>
          </cell>
          <cell r="Q3175" t="str">
            <v>9</v>
          </cell>
        </row>
        <row r="3176">
          <cell r="B3176" t="str">
            <v>5006/16</v>
          </cell>
          <cell r="C3176" t="str">
            <v>2016-0.045.212-0</v>
          </cell>
          <cell r="D3176" t="str">
            <v/>
          </cell>
          <cell r="E3176" t="str">
            <v>26 de fevereiro de 2016</v>
          </cell>
          <cell r="F3176" t="str">
            <v>MILLA TRANSPORTE E TURISMO LTDA - EPP</v>
          </cell>
          <cell r="G3176" t="str">
            <v>26/02/2016</v>
          </cell>
          <cell r="H3176" t="str">
            <v>27/02/2016</v>
          </cell>
          <cell r="I3176" t="str">
            <v>31</v>
          </cell>
          <cell r="J3176" t="str">
            <v>PESSOA JURÍDICA</v>
          </cell>
          <cell r="K3176" t="str">
            <v>03.858.810/0001-71</v>
          </cell>
          <cell r="L3176" t="str">
            <v>IQ</v>
          </cell>
          <cell r="M3176" t="str">
            <v>RICARDO VIEIRA TELES</v>
          </cell>
          <cell r="N3176" t="str">
            <v>DTE5820</v>
          </cell>
          <cell r="O3176" t="str">
            <v>2009</v>
          </cell>
          <cell r="P3176" t="str">
            <v>11</v>
          </cell>
          <cell r="Q3176" t="str">
            <v>10</v>
          </cell>
        </row>
        <row r="3177">
          <cell r="B3177" t="str">
            <v>5006/16</v>
          </cell>
          <cell r="C3177" t="str">
            <v>2016-0.045.212-0</v>
          </cell>
          <cell r="D3177" t="str">
            <v/>
          </cell>
          <cell r="E3177" t="str">
            <v>15 de março de 2016</v>
          </cell>
          <cell r="F3177" t="str">
            <v>MILLA TRANSPORTE E TURISMO LTDA - EPP</v>
          </cell>
          <cell r="G3177" t="str">
            <v>26/02/2016</v>
          </cell>
          <cell r="H3177" t="str">
            <v>27/02/2016</v>
          </cell>
          <cell r="I3177" t="str">
            <v>31</v>
          </cell>
          <cell r="J3177" t="str">
            <v>PESSOA JURÍDICA</v>
          </cell>
          <cell r="K3177" t="str">
            <v>03.858.810/0001-71</v>
          </cell>
          <cell r="L3177" t="str">
            <v>PE</v>
          </cell>
          <cell r="M3177" t="str">
            <v>LUIZ CARLOS SILVEIRA JUNIOR</v>
          </cell>
          <cell r="N3177" t="str">
            <v>FHQ8268</v>
          </cell>
          <cell r="O3177" t="str">
            <v>2012</v>
          </cell>
          <cell r="P3177" t="str">
            <v>19</v>
          </cell>
          <cell r="Q3177" t="str">
            <v>18</v>
          </cell>
        </row>
        <row r="3178">
          <cell r="B3178" t="str">
            <v>5006/16</v>
          </cell>
          <cell r="C3178" t="str">
            <v>2016-0.045.212-0</v>
          </cell>
          <cell r="D3178" t="str">
            <v>29/02/2016</v>
          </cell>
          <cell r="E3178" t="str">
            <v>29 de fevereiro de 2016</v>
          </cell>
          <cell r="F3178" t="str">
            <v>MILLA TRANSPORTE E TURISMO LTDA - EPP</v>
          </cell>
          <cell r="G3178" t="str">
            <v>26/02/2016</v>
          </cell>
          <cell r="H3178" t="str">
            <v>27/02/2016</v>
          </cell>
          <cell r="I3178" t="str">
            <v>31</v>
          </cell>
          <cell r="J3178" t="str">
            <v>PESSOA JURÍDICA</v>
          </cell>
          <cell r="K3178" t="str">
            <v>03.858.810/0001-71</v>
          </cell>
          <cell r="L3178" t="str">
            <v>IQ</v>
          </cell>
          <cell r="M3178" t="str">
            <v>KLEBER JEFFERSON OLIVEIRA DOS SANTOS</v>
          </cell>
          <cell r="N3178" t="str">
            <v>KMD6488</v>
          </cell>
          <cell r="O3178" t="str">
            <v>2008</v>
          </cell>
          <cell r="P3178" t="str">
            <v>24</v>
          </cell>
          <cell r="Q3178" t="str">
            <v>23</v>
          </cell>
        </row>
        <row r="3179">
          <cell r="B3179" t="str">
            <v>5006/16</v>
          </cell>
          <cell r="C3179" t="str">
            <v>2016-0.045.212-0</v>
          </cell>
          <cell r="D3179" t="str">
            <v>16/02/2016</v>
          </cell>
          <cell r="E3179" t="str">
            <v>26 de fevereiro de 2016</v>
          </cell>
          <cell r="F3179" t="str">
            <v>MILLA TRANSPORTE E TURISMO LTDA - EPP</v>
          </cell>
          <cell r="G3179" t="str">
            <v>26/02/2016</v>
          </cell>
          <cell r="H3179" t="str">
            <v>27/02/2016</v>
          </cell>
          <cell r="I3179" t="str">
            <v>31</v>
          </cell>
          <cell r="J3179" t="str">
            <v>PESSOA JURÍDICA</v>
          </cell>
          <cell r="K3179" t="str">
            <v>03.858.810/0001-71</v>
          </cell>
          <cell r="L3179" t="str">
            <v>FO</v>
          </cell>
          <cell r="M3179" t="str">
            <v>JOSE RICARDO BESSA</v>
          </cell>
          <cell r="N3179" t="str">
            <v>FUJ3820</v>
          </cell>
          <cell r="O3179" t="str">
            <v>2014</v>
          </cell>
          <cell r="P3179" t="str">
            <v>10</v>
          </cell>
          <cell r="Q3179" t="str">
            <v>9</v>
          </cell>
        </row>
        <row r="3180">
          <cell r="B3180" t="str">
            <v>5006/16</v>
          </cell>
          <cell r="C3180" t="str">
            <v>2016-0.045.212-0</v>
          </cell>
          <cell r="D3180" t="str">
            <v/>
          </cell>
          <cell r="E3180" t="str">
            <v>26 de fevereiro de 2016</v>
          </cell>
          <cell r="F3180" t="str">
            <v>MILLA TRANSPORTE E TURISMO LTDA - EPP</v>
          </cell>
          <cell r="G3180" t="str">
            <v>26/02/2016</v>
          </cell>
          <cell r="H3180" t="str">
            <v>27/02/2016</v>
          </cell>
          <cell r="I3180" t="str">
            <v>31</v>
          </cell>
          <cell r="J3180" t="str">
            <v>PESSOA JURÍDICA</v>
          </cell>
          <cell r="K3180" t="str">
            <v>03.858.810/0001-71</v>
          </cell>
          <cell r="L3180" t="str">
            <v>MP</v>
          </cell>
          <cell r="M3180" t="str">
            <v>GIOVANE VITERALE</v>
          </cell>
          <cell r="N3180" t="str">
            <v>DPC1211</v>
          </cell>
          <cell r="O3180" t="str">
            <v>2007</v>
          </cell>
          <cell r="P3180" t="str">
            <v>26</v>
          </cell>
          <cell r="Q3180" t="str">
            <v>25</v>
          </cell>
        </row>
        <row r="3181">
          <cell r="B3181" t="str">
            <v>5006/16</v>
          </cell>
          <cell r="C3181" t="str">
            <v>2016-0.045.212-0</v>
          </cell>
          <cell r="D3181" t="str">
            <v/>
          </cell>
          <cell r="E3181" t="str">
            <v>26 de fevereiro de 2016</v>
          </cell>
          <cell r="F3181" t="str">
            <v>MILLA TRANSPORTE E TURISMO LTDA - EPP</v>
          </cell>
          <cell r="G3181" t="str">
            <v>26/02/2016</v>
          </cell>
          <cell r="H3181" t="str">
            <v>27/02/2016</v>
          </cell>
          <cell r="I3181" t="str">
            <v>31</v>
          </cell>
          <cell r="J3181" t="str">
            <v>PESSOA JURÍDICA</v>
          </cell>
          <cell r="K3181" t="str">
            <v>03.858.810/0001-71</v>
          </cell>
          <cell r="L3181" t="str">
            <v>IQ</v>
          </cell>
          <cell r="M3181" t="str">
            <v>MAURO MATSUO NAKANO</v>
          </cell>
          <cell r="N3181" t="str">
            <v>FUB8200</v>
          </cell>
          <cell r="O3181" t="str">
            <v>2014</v>
          </cell>
          <cell r="P3181" t="str">
            <v>10</v>
          </cell>
          <cell r="Q3181" t="str">
            <v>9</v>
          </cell>
        </row>
        <row r="3182">
          <cell r="B3182" t="str">
            <v>5007/16</v>
          </cell>
          <cell r="C3182" t="str">
            <v>2016-0.045.213-9</v>
          </cell>
          <cell r="D3182" t="str">
            <v/>
          </cell>
          <cell r="E3182" t="str">
            <v>31 de março de 2016</v>
          </cell>
          <cell r="F3182" t="str">
            <v>TRANSLESTE TRANSPORTE ESCOLAR E TURISMO LTDA - ME</v>
          </cell>
          <cell r="G3182" t="str">
            <v>26/02/2016</v>
          </cell>
          <cell r="H3182" t="str">
            <v>27/02/2016</v>
          </cell>
          <cell r="I3182" t="str">
            <v>31</v>
          </cell>
          <cell r="J3182" t="str">
            <v>PESSOA JURÍDICA</v>
          </cell>
          <cell r="K3182" t="str">
            <v>03.800.180/0001-84</v>
          </cell>
          <cell r="L3182" t="str">
            <v>MP</v>
          </cell>
          <cell r="M3182" t="str">
            <v>VLADIMIR PIOLA</v>
          </cell>
          <cell r="N3182" t="str">
            <v>ECM5621</v>
          </cell>
          <cell r="O3182" t="str">
            <v>2010</v>
          </cell>
          <cell r="P3182" t="str">
            <v>10</v>
          </cell>
          <cell r="Q3182" t="str">
            <v>9</v>
          </cell>
        </row>
        <row r="3183">
          <cell r="B3183" t="str">
            <v>5007/16</v>
          </cell>
          <cell r="C3183" t="str">
            <v>2016-0.045.213-9</v>
          </cell>
          <cell r="D3183" t="str">
            <v>02/03/2016</v>
          </cell>
          <cell r="E3183" t="str">
            <v>31 de março de 2016</v>
          </cell>
          <cell r="F3183" t="str">
            <v>TRANSLESTE TRANSPORTE ESCOLAR E TURISMO LTDA - ME</v>
          </cell>
          <cell r="G3183" t="str">
            <v>26/02/2016</v>
          </cell>
          <cell r="H3183" t="str">
            <v>27/02/2016</v>
          </cell>
          <cell r="I3183" t="str">
            <v>31</v>
          </cell>
          <cell r="J3183" t="str">
            <v>PESSOA JURÍDICA</v>
          </cell>
          <cell r="K3183" t="str">
            <v>03.800.180/0001-84</v>
          </cell>
          <cell r="L3183" t="str">
            <v>MP</v>
          </cell>
          <cell r="M3183" t="str">
            <v>WILLIAN DE ANDRADE ELIAS</v>
          </cell>
          <cell r="N3183" t="str">
            <v>ECT3797</v>
          </cell>
          <cell r="O3183" t="str">
            <v>2008</v>
          </cell>
          <cell r="P3183" t="str">
            <v>29</v>
          </cell>
          <cell r="Q3183" t="str">
            <v>27</v>
          </cell>
        </row>
        <row r="3184">
          <cell r="B3184" t="str">
            <v>5007/16</v>
          </cell>
          <cell r="C3184" t="str">
            <v>2016-0.045.213-9</v>
          </cell>
          <cell r="D3184" t="str">
            <v>11/02/2016</v>
          </cell>
          <cell r="E3184" t="str">
            <v>26 de fevereiro de 2016</v>
          </cell>
          <cell r="F3184" t="str">
            <v>TRANSLESTE TRANSPORTE ESCOLAR E TURISMO LTDA - ME</v>
          </cell>
          <cell r="G3184" t="str">
            <v>26/02/2016</v>
          </cell>
          <cell r="H3184" t="str">
            <v>27/02/2016</v>
          </cell>
          <cell r="I3184" t="str">
            <v>31</v>
          </cell>
          <cell r="J3184" t="str">
            <v>PESSOA JURÍDICA</v>
          </cell>
          <cell r="K3184" t="str">
            <v>03.800.180/0001-84</v>
          </cell>
          <cell r="L3184" t="str">
            <v>MP</v>
          </cell>
          <cell r="M3184" t="str">
            <v>ALESSANDRO MARCELO DE ABREU</v>
          </cell>
          <cell r="N3184" t="str">
            <v>EFW8510</v>
          </cell>
          <cell r="O3184" t="str">
            <v>2010</v>
          </cell>
          <cell r="P3184" t="str">
            <v>10</v>
          </cell>
          <cell r="Q3184" t="str">
            <v>9</v>
          </cell>
        </row>
        <row r="3185">
          <cell r="B3185" t="str">
            <v>5007/16</v>
          </cell>
          <cell r="C3185" t="str">
            <v>2016-0.045.213-9</v>
          </cell>
          <cell r="D3185" t="str">
            <v/>
          </cell>
          <cell r="E3185" t="str">
            <v>26 de fevereiro de 2016</v>
          </cell>
          <cell r="F3185" t="str">
            <v>TRANSLESTE TRANSPORTE ESCOLAR E TURISMO LTDA - ME</v>
          </cell>
          <cell r="G3185" t="str">
            <v>26/02/2016</v>
          </cell>
          <cell r="H3185" t="str">
            <v>27/02/2016</v>
          </cell>
          <cell r="I3185" t="str">
            <v>31</v>
          </cell>
          <cell r="J3185" t="str">
            <v>PESSOA JURÍDICA</v>
          </cell>
          <cell r="K3185" t="str">
            <v>03.800.180/0001-84</v>
          </cell>
          <cell r="L3185" t="str">
            <v>MP</v>
          </cell>
          <cell r="M3185" t="str">
            <v>ARLINDO ALVES CERQUEIRA</v>
          </cell>
          <cell r="N3185" t="str">
            <v>DWL9846</v>
          </cell>
          <cell r="O3185" t="str">
            <v>2007</v>
          </cell>
          <cell r="P3185" t="str">
            <v>10</v>
          </cell>
          <cell r="Q3185" t="str">
            <v>9</v>
          </cell>
        </row>
        <row r="3186">
          <cell r="B3186" t="str">
            <v>5008/16</v>
          </cell>
          <cell r="C3186" t="str">
            <v>2016-0.045.214-7</v>
          </cell>
          <cell r="D3186" t="str">
            <v/>
          </cell>
          <cell r="E3186" t="str">
            <v>04 de abril de 2016</v>
          </cell>
          <cell r="F3186" t="str">
            <v>DARIO CAMPOS DA SILVA - EPP</v>
          </cell>
          <cell r="G3186" t="str">
            <v>26/02/2016</v>
          </cell>
          <cell r="H3186" t="str">
            <v>27/02/2016</v>
          </cell>
          <cell r="I3186" t="str">
            <v>31</v>
          </cell>
          <cell r="J3186" t="str">
            <v>PESSOA JURÍDICA</v>
          </cell>
          <cell r="K3186" t="str">
            <v>10.745.749/0001-11</v>
          </cell>
          <cell r="L3186" t="str">
            <v>G</v>
          </cell>
          <cell r="M3186" t="str">
            <v>EDNA MIRANDA DE LIMA</v>
          </cell>
          <cell r="N3186" t="str">
            <v>FAA1780</v>
          </cell>
          <cell r="O3186" t="str">
            <v>2011</v>
          </cell>
          <cell r="P3186" t="str">
            <v>10</v>
          </cell>
          <cell r="Q3186" t="str">
            <v>9</v>
          </cell>
        </row>
        <row r="3187">
          <cell r="B3187" t="str">
            <v>5008/16</v>
          </cell>
          <cell r="C3187" t="str">
            <v>2016-0.045.214-7</v>
          </cell>
          <cell r="D3187" t="str">
            <v>25/02/2016</v>
          </cell>
          <cell r="E3187" t="str">
            <v>26 de fevereiro de 2016</v>
          </cell>
          <cell r="F3187" t="str">
            <v>DARIO CAMPOS DA SILVA - EPP</v>
          </cell>
          <cell r="G3187" t="str">
            <v>26/02/2016</v>
          </cell>
          <cell r="H3187" t="str">
            <v>27/02/2016</v>
          </cell>
          <cell r="I3187" t="str">
            <v>31</v>
          </cell>
          <cell r="J3187" t="str">
            <v>PESSOA JURÍDICA</v>
          </cell>
          <cell r="K3187" t="str">
            <v>10.745.749/0001-11</v>
          </cell>
          <cell r="L3187" t="str">
            <v>SM</v>
          </cell>
          <cell r="M3187" t="str">
            <v>JULIO CESAR GARCIA DA SILVA</v>
          </cell>
          <cell r="N3187" t="str">
            <v>ELW9400</v>
          </cell>
          <cell r="O3187" t="str">
            <v>2011</v>
          </cell>
          <cell r="P3187" t="str">
            <v>10</v>
          </cell>
          <cell r="Q3187" t="str">
            <v>9</v>
          </cell>
        </row>
        <row r="3188">
          <cell r="B3188" t="str">
            <v>5008/16</v>
          </cell>
          <cell r="C3188" t="str">
            <v>2016-0.045.214-7</v>
          </cell>
          <cell r="D3188" t="str">
            <v/>
          </cell>
          <cell r="E3188" t="str">
            <v>26 de fevereiro de 2016</v>
          </cell>
          <cell r="F3188" t="str">
            <v>DARIO CAMPOS DA SILVA - EPP</v>
          </cell>
          <cell r="G3188" t="str">
            <v>26/02/2016</v>
          </cell>
          <cell r="H3188" t="str">
            <v>27/02/2016</v>
          </cell>
          <cell r="I3188" t="str">
            <v>31</v>
          </cell>
          <cell r="J3188" t="str">
            <v>PESSOA JURÍDICA</v>
          </cell>
          <cell r="K3188" t="str">
            <v>10.745.749/0001-11</v>
          </cell>
          <cell r="L3188" t="str">
            <v>MP</v>
          </cell>
          <cell r="M3188" t="str">
            <v>ANDREA MACEDO NOVAES</v>
          </cell>
          <cell r="N3188" t="str">
            <v>DTD8110</v>
          </cell>
          <cell r="O3188" t="str">
            <v>2008</v>
          </cell>
          <cell r="P3188" t="str">
            <v>11</v>
          </cell>
          <cell r="Q3188" t="str">
            <v>10</v>
          </cell>
        </row>
        <row r="3189">
          <cell r="B3189" t="str">
            <v>5008/16</v>
          </cell>
          <cell r="C3189" t="str">
            <v>2016-0.045.214-7</v>
          </cell>
          <cell r="D3189" t="str">
            <v/>
          </cell>
          <cell r="E3189" t="str">
            <v/>
          </cell>
          <cell r="F3189" t="str">
            <v>DARIO CAMPOS DA SILVA - EPP</v>
          </cell>
          <cell r="G3189" t="str">
            <v>26/02/2016</v>
          </cell>
          <cell r="H3189" t="str">
            <v>27/02/2016</v>
          </cell>
          <cell r="I3189" t="str">
            <v>31</v>
          </cell>
          <cell r="J3189" t="str">
            <v>PESSOA JURÍDICA</v>
          </cell>
          <cell r="K3189" t="str">
            <v>10.745.749/0001-11</v>
          </cell>
          <cell r="L3189" t="str">
            <v>G</v>
          </cell>
          <cell r="M3189" t="str">
            <v>VANESSA DOS SANTOS</v>
          </cell>
          <cell r="N3189" t="str">
            <v>EFU1791</v>
          </cell>
          <cell r="O3189" t="str">
            <v>2010</v>
          </cell>
          <cell r="P3189" t="str">
            <v>10</v>
          </cell>
          <cell r="Q3189" t="str">
            <v>9</v>
          </cell>
        </row>
        <row r="3190">
          <cell r="B3190" t="str">
            <v>5008/16</v>
          </cell>
          <cell r="C3190" t="str">
            <v>2016-0.045.214-7</v>
          </cell>
          <cell r="D3190" t="str">
            <v>11/03/2016</v>
          </cell>
          <cell r="E3190" t="str">
            <v>28 de março de 2016</v>
          </cell>
          <cell r="F3190" t="str">
            <v>DARIO CAMPOS DA SILVA - EPP</v>
          </cell>
          <cell r="G3190" t="str">
            <v>26/02/2016</v>
          </cell>
          <cell r="H3190" t="str">
            <v>27/02/2016</v>
          </cell>
          <cell r="I3190" t="str">
            <v>31</v>
          </cell>
          <cell r="J3190" t="str">
            <v>PESSOA JURÍDICA</v>
          </cell>
          <cell r="K3190" t="str">
            <v>10.745.749/0001-11</v>
          </cell>
          <cell r="L3190" t="str">
            <v>MP</v>
          </cell>
          <cell r="M3190" t="str">
            <v>RAMON BELLINI GIMENES</v>
          </cell>
          <cell r="N3190" t="str">
            <v>DTE1167</v>
          </cell>
          <cell r="O3190" t="str">
            <v>2010</v>
          </cell>
          <cell r="P3190" t="str">
            <v>10</v>
          </cell>
          <cell r="Q3190" t="str">
            <v>9</v>
          </cell>
        </row>
        <row r="3191">
          <cell r="B3191" t="str">
            <v>5008/16</v>
          </cell>
          <cell r="C3191" t="str">
            <v>2016-0.045.214-7</v>
          </cell>
          <cell r="D3191" t="str">
            <v/>
          </cell>
          <cell r="E3191" t="str">
            <v>28 de março de 2016</v>
          </cell>
          <cell r="F3191" t="str">
            <v>DARIO CAMPOS DA SILVA - EPP</v>
          </cell>
          <cell r="G3191" t="str">
            <v>26/02/2016</v>
          </cell>
          <cell r="H3191" t="str">
            <v>27/02/2016</v>
          </cell>
          <cell r="I3191" t="str">
            <v>31</v>
          </cell>
          <cell r="J3191" t="str">
            <v>PESSOA JURÍDICA</v>
          </cell>
          <cell r="K3191" t="str">
            <v>10.745.749/0001-11</v>
          </cell>
          <cell r="L3191" t="str">
            <v xml:space="preserve">SM </v>
          </cell>
          <cell r="M3191" t="str">
            <v>ROSELI FERREIRA DOS SANTOS SILVA</v>
          </cell>
          <cell r="N3191" t="str">
            <v>EFV1260</v>
          </cell>
          <cell r="O3191" t="str">
            <v>2009</v>
          </cell>
          <cell r="P3191" t="str">
            <v>19</v>
          </cell>
          <cell r="Q3191" t="str">
            <v>18</v>
          </cell>
        </row>
        <row r="3192">
          <cell r="B3192" t="str">
            <v>5008/16</v>
          </cell>
          <cell r="C3192" t="str">
            <v>2016-0.045.214-7</v>
          </cell>
          <cell r="D3192" t="str">
            <v>25/02/2016</v>
          </cell>
          <cell r="E3192" t="str">
            <v>26 de fevereiro de 2016</v>
          </cell>
          <cell r="F3192" t="str">
            <v>DARIO CAMPOS DA SILVA - EPP</v>
          </cell>
          <cell r="G3192" t="str">
            <v>26/02/2016</v>
          </cell>
          <cell r="H3192" t="str">
            <v>27/02/2016</v>
          </cell>
          <cell r="I3192" t="str">
            <v>31</v>
          </cell>
          <cell r="J3192" t="str">
            <v>PESSOA JURÍDICA</v>
          </cell>
          <cell r="K3192" t="str">
            <v>10.745.749/0001-11</v>
          </cell>
          <cell r="L3192" t="str">
            <v>JT</v>
          </cell>
          <cell r="M3192" t="str">
            <v>ELIZETH RODRIGUES SANTANA NEVES</v>
          </cell>
          <cell r="N3192" t="str">
            <v>FRS7800</v>
          </cell>
          <cell r="O3192" t="str">
            <v>2014</v>
          </cell>
          <cell r="P3192" t="str">
            <v>10</v>
          </cell>
          <cell r="Q3192" t="str">
            <v>9</v>
          </cell>
        </row>
        <row r="3193">
          <cell r="B3193" t="str">
            <v>5008/16</v>
          </cell>
          <cell r="C3193" t="str">
            <v>2016-0.045.214-7</v>
          </cell>
          <cell r="D3193" t="str">
            <v>25/02/2016</v>
          </cell>
          <cell r="E3193" t="str">
            <v>28 de março de 2016</v>
          </cell>
          <cell r="F3193" t="str">
            <v>DARIO CAMPOS DA SILVA - EPP</v>
          </cell>
          <cell r="G3193" t="str">
            <v>26/02/2016</v>
          </cell>
          <cell r="H3193" t="str">
            <v>27/02/2016</v>
          </cell>
          <cell r="I3193" t="str">
            <v>31</v>
          </cell>
          <cell r="J3193" t="str">
            <v>PESSOA JURÍDICA</v>
          </cell>
          <cell r="K3193" t="str">
            <v>10.745.749/0001-11</v>
          </cell>
          <cell r="L3193" t="str">
            <v>MP</v>
          </cell>
          <cell r="M3193" t="str">
            <v>ANA PAULA PEREIRA DA SILVA BRAES</v>
          </cell>
          <cell r="N3193" t="str">
            <v>ELW9416</v>
          </cell>
          <cell r="O3193" t="str">
            <v>2011</v>
          </cell>
          <cell r="P3193" t="str">
            <v>10</v>
          </cell>
          <cell r="Q3193" t="str">
            <v>9</v>
          </cell>
        </row>
        <row r="3194">
          <cell r="B3194" t="str">
            <v>5009/16</v>
          </cell>
          <cell r="C3194" t="str">
            <v>2016-0.045.215-5</v>
          </cell>
          <cell r="D3194" t="str">
            <v/>
          </cell>
          <cell r="E3194" t="str">
            <v>26 de fevereiro de 2016</v>
          </cell>
          <cell r="F3194" t="str">
            <v>RAFAEL BORINI TRANSPORTES - ME</v>
          </cell>
          <cell r="G3194" t="str">
            <v>26/02/2016</v>
          </cell>
          <cell r="H3194" t="str">
            <v>27/02/2016</v>
          </cell>
          <cell r="I3194" t="str">
            <v>31</v>
          </cell>
          <cell r="J3194" t="str">
            <v>PESSOA JURÍDICA</v>
          </cell>
          <cell r="K3194" t="str">
            <v>16.671.366/0001-22</v>
          </cell>
          <cell r="L3194" t="str">
            <v>IQ</v>
          </cell>
          <cell r="M3194" t="str">
            <v>RAFAEL BORINI</v>
          </cell>
          <cell r="N3194" t="str">
            <v>EFV4804</v>
          </cell>
          <cell r="O3194" t="str">
            <v>2010</v>
          </cell>
          <cell r="P3194" t="str">
            <v>10</v>
          </cell>
          <cell r="Q3194" t="str">
            <v>9</v>
          </cell>
        </row>
        <row r="3195">
          <cell r="B3195" t="str">
            <v>5010/16</v>
          </cell>
          <cell r="C3195" t="str">
            <v>2016-0.045.216-3</v>
          </cell>
          <cell r="D3195" t="str">
            <v/>
          </cell>
          <cell r="E3195" t="str">
            <v>26 de fevereiro de 2016</v>
          </cell>
          <cell r="F3195" t="str">
            <v>ANA PAULA ALEXANDRE TRANSPORTE ESCOLAR - ME</v>
          </cell>
          <cell r="G3195" t="str">
            <v>26/02/2016</v>
          </cell>
          <cell r="H3195" t="str">
            <v>27/02/2016</v>
          </cell>
          <cell r="I3195" t="str">
            <v>31</v>
          </cell>
          <cell r="J3195" t="str">
            <v>PESSOA JURÍDICA</v>
          </cell>
          <cell r="K3195" t="str">
            <v>15.400.686/0001-85</v>
          </cell>
          <cell r="L3195" t="str">
            <v>MP</v>
          </cell>
          <cell r="M3195" t="str">
            <v>ERIK LORENA CERQUEIRA</v>
          </cell>
          <cell r="N3195" t="str">
            <v>DTE8590</v>
          </cell>
          <cell r="O3195" t="str">
            <v>2009</v>
          </cell>
          <cell r="P3195" t="str">
            <v>19</v>
          </cell>
          <cell r="Q3195" t="str">
            <v>18</v>
          </cell>
        </row>
        <row r="3196">
          <cell r="B3196" t="str">
            <v>5011/16</v>
          </cell>
          <cell r="C3196" t="str">
            <v>2016-0.045.217-1</v>
          </cell>
          <cell r="D3196" t="str">
            <v/>
          </cell>
          <cell r="E3196" t="str">
            <v>25 de abril de 2016</v>
          </cell>
          <cell r="F3196" t="str">
            <v>PACOTRANS TRANSPORTES LTDA - ME</v>
          </cell>
          <cell r="G3196" t="str">
            <v>25/04/2016</v>
          </cell>
          <cell r="H3196" t="str">
            <v>27/04/2016</v>
          </cell>
          <cell r="I3196" t="str">
            <v>55</v>
          </cell>
          <cell r="J3196" t="str">
            <v>PESSOA JURÍDICA</v>
          </cell>
          <cell r="K3196" t="str">
            <v>14.314.230/0001-30</v>
          </cell>
          <cell r="L3196" t="str">
            <v>MP</v>
          </cell>
          <cell r="M3196" t="str">
            <v>FRANCISCO ANTONIO GOMEZ PEREA</v>
          </cell>
          <cell r="N3196" t="str">
            <v>DTC8009</v>
          </cell>
          <cell r="O3196" t="str">
            <v>2009</v>
          </cell>
          <cell r="P3196" t="str">
            <v>11</v>
          </cell>
          <cell r="Q3196" t="str">
            <v>10</v>
          </cell>
        </row>
        <row r="3197">
          <cell r="B3197" t="str">
            <v>5012/16</v>
          </cell>
          <cell r="C3197" t="str">
            <v>2016-0.045.218-0</v>
          </cell>
          <cell r="D3197" t="str">
            <v/>
          </cell>
          <cell r="E3197" t="str">
            <v>22 de março de 2016</v>
          </cell>
          <cell r="F3197" t="str">
            <v>TRANS HELLOS TRANSPORTES LTDA - ME</v>
          </cell>
          <cell r="G3197" t="str">
            <v>07/03/2016</v>
          </cell>
          <cell r="H3197" t="str">
            <v>23/03/2016</v>
          </cell>
          <cell r="I3197" t="str">
            <v>60</v>
          </cell>
          <cell r="J3197" t="str">
            <v>PESSOA JURÍDICA</v>
          </cell>
          <cell r="K3197" t="str">
            <v>07.205.054/0001-32</v>
          </cell>
          <cell r="L3197" t="str">
            <v>MP</v>
          </cell>
          <cell r="M3197" t="str">
            <v>DARLENE DE MORAIS SILVA</v>
          </cell>
          <cell r="N3197" t="str">
            <v>EBM3458</v>
          </cell>
          <cell r="O3197" t="str">
            <v>2008</v>
          </cell>
          <cell r="P3197" t="str">
            <v>11</v>
          </cell>
          <cell r="Q3197" t="str">
            <v>10</v>
          </cell>
        </row>
        <row r="3198">
          <cell r="B3198" t="str">
            <v>5012/16</v>
          </cell>
          <cell r="C3198" t="str">
            <v>2016-0.045.218-0</v>
          </cell>
          <cell r="D3198" t="str">
            <v/>
          </cell>
          <cell r="E3198" t="str">
            <v>07 de março de 2016</v>
          </cell>
          <cell r="F3198" t="str">
            <v>TRANS HELLOS TRANSPORTES LTDA - ME</v>
          </cell>
          <cell r="G3198" t="str">
            <v>07/03/2016</v>
          </cell>
          <cell r="H3198" t="str">
            <v>23/03/2016</v>
          </cell>
          <cell r="I3198" t="str">
            <v>60</v>
          </cell>
          <cell r="J3198" t="str">
            <v>PESSOA JURÍDICA</v>
          </cell>
          <cell r="K3198" t="str">
            <v>07.205.054/0001-32</v>
          </cell>
          <cell r="L3198" t="str">
            <v>MP</v>
          </cell>
          <cell r="M3198" t="str">
            <v>ALEXANDRE ACIOLI DOS SANTOS</v>
          </cell>
          <cell r="N3198" t="str">
            <v>EFV7438</v>
          </cell>
          <cell r="O3198" t="str">
            <v>2011</v>
          </cell>
          <cell r="P3198" t="str">
            <v>10</v>
          </cell>
          <cell r="Q3198" t="str">
            <v>9</v>
          </cell>
        </row>
        <row r="3199">
          <cell r="B3199" t="str">
            <v>5012/16</v>
          </cell>
          <cell r="C3199" t="str">
            <v>2016-0.045.218-0</v>
          </cell>
          <cell r="D3199" t="str">
            <v/>
          </cell>
          <cell r="E3199" t="str">
            <v>31 de março de 2016</v>
          </cell>
          <cell r="F3199" t="str">
            <v>TRANS HELLOS TRANSPORTES LTDA - ME</v>
          </cell>
          <cell r="G3199" t="str">
            <v>07/03/2016</v>
          </cell>
          <cell r="H3199" t="str">
            <v>23/03/2016</v>
          </cell>
          <cell r="I3199" t="str">
            <v>60</v>
          </cell>
          <cell r="J3199" t="str">
            <v>PESSOA JURÍDICA</v>
          </cell>
          <cell r="K3199" t="str">
            <v>07.205.054/0001-32</v>
          </cell>
          <cell r="L3199" t="str">
            <v>MP</v>
          </cell>
          <cell r="M3199" t="str">
            <v>SAMUEL HIRAOKA MARQUES</v>
          </cell>
          <cell r="N3199" t="str">
            <v>DTB7390</v>
          </cell>
          <cell r="O3199" t="str">
            <v>2007</v>
          </cell>
          <cell r="P3199" t="str">
            <v>25</v>
          </cell>
          <cell r="Q3199" t="str">
            <v>23</v>
          </cell>
        </row>
        <row r="3200">
          <cell r="B3200" t="str">
            <v>5013/16</v>
          </cell>
          <cell r="C3200" t="str">
            <v>2016-0.045.219-8</v>
          </cell>
          <cell r="D3200" t="str">
            <v>17/02/2016</v>
          </cell>
          <cell r="E3200" t="str">
            <v>26 de fevereiro de 2016</v>
          </cell>
          <cell r="F3200" t="str">
            <v>ROSA DE SARON TRANSPORTES LTDA - ME</v>
          </cell>
          <cell r="G3200" t="str">
            <v>26/02/2016</v>
          </cell>
          <cell r="H3200" t="str">
            <v>27/02/2016</v>
          </cell>
          <cell r="I3200" t="str">
            <v>31</v>
          </cell>
          <cell r="J3200" t="str">
            <v>PESSOA JURÍDICA</v>
          </cell>
          <cell r="K3200" t="str">
            <v>10.909.971/0001-02</v>
          </cell>
          <cell r="L3200" t="str">
            <v>PE</v>
          </cell>
          <cell r="M3200" t="str">
            <v>SUZANE GOBBER FERREIRA</v>
          </cell>
          <cell r="N3200" t="str">
            <v>DTE1816</v>
          </cell>
          <cell r="O3200" t="str">
            <v>2009</v>
          </cell>
          <cell r="P3200" t="str">
            <v>11</v>
          </cell>
          <cell r="Q3200" t="str">
            <v>10</v>
          </cell>
        </row>
        <row r="3201">
          <cell r="B3201" t="str">
            <v>5014/16</v>
          </cell>
          <cell r="C3201" t="str">
            <v>2016-0.045.220-1</v>
          </cell>
          <cell r="D3201" t="str">
            <v>22/02/2016</v>
          </cell>
          <cell r="E3201" t="str">
            <v>02 de março de 2016</v>
          </cell>
          <cell r="F3201" t="str">
            <v>WILSIL TRANSPORTE ESCOLAR LTDA - ME</v>
          </cell>
          <cell r="G3201" t="str">
            <v>02/03/2016</v>
          </cell>
          <cell r="H3201" t="str">
            <v>05/03/2016</v>
          </cell>
          <cell r="I3201" t="str">
            <v>25</v>
          </cell>
          <cell r="J3201" t="str">
            <v>PESSOA JURÍDICA</v>
          </cell>
          <cell r="K3201" t="str">
            <v>73.072.308/0001-16</v>
          </cell>
          <cell r="L3201" t="str">
            <v>PJ</v>
          </cell>
          <cell r="M3201" t="str">
            <v>WILLIAM BINOTTO</v>
          </cell>
          <cell r="N3201" t="str">
            <v>FUV3600</v>
          </cell>
          <cell r="O3201" t="str">
            <v>2014</v>
          </cell>
          <cell r="P3201" t="str">
            <v>10</v>
          </cell>
          <cell r="Q3201" t="str">
            <v>9</v>
          </cell>
        </row>
        <row r="3202">
          <cell r="B3202" t="str">
            <v>5014/16</v>
          </cell>
          <cell r="C3202" t="str">
            <v>2016-0.045.220-1</v>
          </cell>
          <cell r="D3202" t="str">
            <v>19/02/2016</v>
          </cell>
          <cell r="E3202" t="str">
            <v>02 de março de 2016</v>
          </cell>
          <cell r="F3202" t="str">
            <v>WILSIL TRANSPORTE ESCOLAR LTDA - ME</v>
          </cell>
          <cell r="G3202" t="str">
            <v>02/03/2016</v>
          </cell>
          <cell r="H3202" t="str">
            <v>05/03/2016</v>
          </cell>
          <cell r="I3202" t="str">
            <v>25</v>
          </cell>
          <cell r="J3202" t="str">
            <v>PESSOA JURÍDICA</v>
          </cell>
          <cell r="K3202" t="str">
            <v>73.072.308/0001-16</v>
          </cell>
          <cell r="L3202" t="str">
            <v>IQ</v>
          </cell>
          <cell r="M3202" t="str">
            <v>ANDREIA LIMA CARVALHO</v>
          </cell>
          <cell r="N3202" t="str">
            <v>ELW7990</v>
          </cell>
          <cell r="O3202" t="str">
            <v>2011</v>
          </cell>
          <cell r="P3202" t="str">
            <v>10</v>
          </cell>
          <cell r="Q3202" t="str">
            <v>9</v>
          </cell>
        </row>
        <row r="3203">
          <cell r="B3203" t="str">
            <v>5015/16</v>
          </cell>
          <cell r="C3203" t="str">
            <v>2016-0.045.223-6</v>
          </cell>
          <cell r="D3203" t="str">
            <v/>
          </cell>
          <cell r="E3203" t="str">
            <v>26 de fevereiro de 2016</v>
          </cell>
          <cell r="F3203" t="str">
            <v>ALEX CALVO PANES TRANSPORTE - ME</v>
          </cell>
          <cell r="G3203" t="str">
            <v>26/02/2016</v>
          </cell>
          <cell r="H3203" t="str">
            <v>27/02/2016</v>
          </cell>
          <cell r="I3203" t="str">
            <v>31</v>
          </cell>
          <cell r="J3203" t="str">
            <v>PESSOA JURÍDICA</v>
          </cell>
          <cell r="K3203" t="str">
            <v>13.028.864/0001-63</v>
          </cell>
          <cell r="L3203" t="str">
            <v>IQ</v>
          </cell>
          <cell r="M3203" t="str">
            <v>POLLIANA DE MEDEIROS SILVA</v>
          </cell>
          <cell r="N3203" t="str">
            <v>CZX3383</v>
          </cell>
          <cell r="O3203" t="str">
            <v>2002</v>
          </cell>
          <cell r="P3203" t="str">
            <v>25</v>
          </cell>
          <cell r="Q3203" t="str">
            <v>23</v>
          </cell>
        </row>
        <row r="3204">
          <cell r="B3204" t="str">
            <v>5016/16</v>
          </cell>
          <cell r="C3204" t="str">
            <v>2016-0.045.224-4</v>
          </cell>
          <cell r="D3204" t="str">
            <v>22/02/2016</v>
          </cell>
          <cell r="E3204" t="str">
            <v>29 de fevereiro de 2016</v>
          </cell>
          <cell r="F3204" t="str">
            <v>XAVIER &amp; MATOS TRANSPORTE LTDA - ME</v>
          </cell>
          <cell r="G3204" t="str">
            <v>29/02/2016</v>
          </cell>
          <cell r="H3204" t="str">
            <v>18/03/2016</v>
          </cell>
          <cell r="I3204" t="str">
            <v>25</v>
          </cell>
          <cell r="J3204" t="str">
            <v>PESSOA JURÍDICA</v>
          </cell>
          <cell r="K3204" t="str">
            <v>15.492.475/0001-10</v>
          </cell>
          <cell r="L3204" t="str">
            <v>MP</v>
          </cell>
          <cell r="M3204" t="str">
            <v>JOAQUIM XAVIER DE OLIVEIRA</v>
          </cell>
          <cell r="N3204" t="str">
            <v>FQM5940</v>
          </cell>
          <cell r="O3204" t="str">
            <v>2014</v>
          </cell>
          <cell r="P3204" t="str">
            <v>19</v>
          </cell>
          <cell r="Q3204" t="str">
            <v>18</v>
          </cell>
        </row>
        <row r="3205">
          <cell r="B3205" t="str">
            <v>5017/16</v>
          </cell>
          <cell r="C3205" t="str">
            <v>2016-0.045.225-2</v>
          </cell>
          <cell r="D3205" t="str">
            <v>02/03/2016</v>
          </cell>
          <cell r="E3205" t="str">
            <v>18 de março de 2016</v>
          </cell>
          <cell r="F3205" t="str">
            <v>ANCAR TRANSPORTE ESCOLAR LTDA - ME</v>
          </cell>
          <cell r="G3205" t="str">
            <v>18/03/2016</v>
          </cell>
          <cell r="H3205" t="str">
            <v>19/03/2016</v>
          </cell>
          <cell r="I3205" t="str">
            <v>34</v>
          </cell>
          <cell r="J3205" t="str">
            <v>PESSOA JURÍDICA</v>
          </cell>
          <cell r="K3205" t="str">
            <v>13.758.051/0001-29</v>
          </cell>
          <cell r="L3205" t="str">
            <v>MP</v>
          </cell>
          <cell r="M3205" t="str">
            <v>ROSANA DA COSTA BARROS DE CARVALHO</v>
          </cell>
          <cell r="N3205" t="str">
            <v>DTE1106</v>
          </cell>
          <cell r="O3205" t="str">
            <v>2010</v>
          </cell>
          <cell r="P3205" t="str">
            <v>10</v>
          </cell>
          <cell r="Q3205" t="str">
            <v>9</v>
          </cell>
        </row>
        <row r="3206">
          <cell r="B3206" t="str">
            <v>5018/16</v>
          </cell>
          <cell r="C3206" t="str">
            <v>2016-0.045.226-0</v>
          </cell>
          <cell r="D3206" t="str">
            <v>15/02/2016</v>
          </cell>
          <cell r="E3206" t="str">
            <v>26 de fevereiro de 2016</v>
          </cell>
          <cell r="F3206" t="str">
            <v>FABIO &amp; KARINA TRANSPORTE ESCOLAR LTDA - ME</v>
          </cell>
          <cell r="G3206" t="str">
            <v>26/02/2016</v>
          </cell>
          <cell r="H3206" t="str">
            <v>27/02/2016</v>
          </cell>
          <cell r="I3206" t="str">
            <v>31</v>
          </cell>
          <cell r="J3206" t="str">
            <v>PESSOA JURÍDICA</v>
          </cell>
          <cell r="K3206" t="str">
            <v>16.665.595/0001-34</v>
          </cell>
          <cell r="L3206" t="str">
            <v>FO</v>
          </cell>
          <cell r="M3206" t="str">
            <v>CARLOS ROBERTO DOS SANTOS</v>
          </cell>
          <cell r="N3206" t="str">
            <v>ELW4306</v>
          </cell>
          <cell r="O3206" t="str">
            <v>2011</v>
          </cell>
          <cell r="P3206" t="str">
            <v>10</v>
          </cell>
          <cell r="Q3206" t="str">
            <v>9</v>
          </cell>
        </row>
        <row r="3207">
          <cell r="B3207" t="str">
            <v>5018/16</v>
          </cell>
          <cell r="C3207" t="str">
            <v>2016-0.045.226-0</v>
          </cell>
          <cell r="D3207" t="str">
            <v/>
          </cell>
          <cell r="E3207" t="str">
            <v>26 de fevereiro de 2016</v>
          </cell>
          <cell r="F3207" t="str">
            <v>FABIO &amp; KARINA TRANSPORTE ESCOLAR LTDA - ME</v>
          </cell>
          <cell r="G3207" t="str">
            <v>26/02/2016</v>
          </cell>
          <cell r="H3207" t="str">
            <v>27/02/2016</v>
          </cell>
          <cell r="I3207" t="str">
            <v>31</v>
          </cell>
          <cell r="J3207" t="str">
            <v>PESSOA JURÍDICA</v>
          </cell>
          <cell r="K3207" t="str">
            <v>16.665.595/0001-34</v>
          </cell>
          <cell r="L3207" t="str">
            <v>FO</v>
          </cell>
          <cell r="M3207" t="str">
            <v>FABIO ALVES</v>
          </cell>
          <cell r="N3207" t="str">
            <v>EMU4363</v>
          </cell>
          <cell r="O3207" t="str">
            <v>2011</v>
          </cell>
          <cell r="P3207" t="str">
            <v>10</v>
          </cell>
          <cell r="Q3207" t="str">
            <v>9</v>
          </cell>
        </row>
        <row r="3208">
          <cell r="B3208" t="str">
            <v>5018/16</v>
          </cell>
          <cell r="C3208" t="str">
            <v>2016-0.045.226-0</v>
          </cell>
          <cell r="D3208" t="str">
            <v/>
          </cell>
          <cell r="E3208" t="str">
            <v>15 de março de 2016</v>
          </cell>
          <cell r="F3208" t="str">
            <v>FABIO &amp; KARINA TRANSPORTE ESCOLAR LTDA - ME</v>
          </cell>
          <cell r="G3208" t="str">
            <v>26/02/2016</v>
          </cell>
          <cell r="H3208" t="str">
            <v>27/02/2016</v>
          </cell>
          <cell r="I3208" t="str">
            <v>31</v>
          </cell>
          <cell r="J3208" t="str">
            <v>PESSOA JURÍDICA</v>
          </cell>
          <cell r="K3208" t="str">
            <v>16.665.595/0001-34</v>
          </cell>
          <cell r="L3208" t="str">
            <v>FO</v>
          </cell>
          <cell r="M3208" t="str">
            <v>KARINA FILGUEIRAS ALVES</v>
          </cell>
          <cell r="N3208" t="str">
            <v>FOU8690</v>
          </cell>
          <cell r="O3208" t="str">
            <v>2014</v>
          </cell>
          <cell r="P3208" t="str">
            <v>10</v>
          </cell>
          <cell r="Q3208" t="str">
            <v>09</v>
          </cell>
        </row>
        <row r="3209">
          <cell r="B3209" t="str">
            <v>5019/16</v>
          </cell>
          <cell r="C3209" t="str">
            <v>2016-0.045.228-7</v>
          </cell>
          <cell r="D3209" t="str">
            <v/>
          </cell>
          <cell r="E3209" t="str">
            <v/>
          </cell>
          <cell r="F3209" t="str">
            <v>PROATIVA INFORMATICA SEGURANCA E TRANSPORTES LTDA - ME</v>
          </cell>
          <cell r="G3209" t="str">
            <v>15/04/2016</v>
          </cell>
          <cell r="H3209" t="str">
            <v>19/04/2016</v>
          </cell>
          <cell r="I3209" t="str">
            <v>30</v>
          </cell>
          <cell r="J3209" t="str">
            <v>PESSOA JURÍDICA</v>
          </cell>
          <cell r="K3209" t="str">
            <v>01.895.448/0001-83</v>
          </cell>
          <cell r="L3209" t="str">
            <v>IQ</v>
          </cell>
          <cell r="M3209" t="str">
            <v>IANA LUCIA PINHEIRO DA ROCHA</v>
          </cell>
          <cell r="N3209" t="str">
            <v>CZX6013</v>
          </cell>
          <cell r="O3209" t="str">
            <v>2002</v>
          </cell>
          <cell r="P3209" t="str">
            <v>25</v>
          </cell>
          <cell r="Q3209" t="str">
            <v>23</v>
          </cell>
        </row>
        <row r="3210">
          <cell r="B3210" t="str">
            <v>5019/16</v>
          </cell>
          <cell r="C3210" t="str">
            <v>2016-0.045.228-7</v>
          </cell>
          <cell r="D3210" t="str">
            <v>07/03/2016</v>
          </cell>
          <cell r="E3210" t="str">
            <v>15 de abril de 2016</v>
          </cell>
          <cell r="F3210" t="str">
            <v>PROATIVA INFORMATICA SEGURANCA E TRANSPORTES LTDA - ME</v>
          </cell>
          <cell r="G3210" t="str">
            <v>15/04/2016</v>
          </cell>
          <cell r="H3210" t="str">
            <v>19/04/2016</v>
          </cell>
          <cell r="I3210" t="str">
            <v>30</v>
          </cell>
          <cell r="J3210" t="str">
            <v>PESSOA JURÍDICA</v>
          </cell>
          <cell r="K3210" t="str">
            <v>01.895.448/0001-83</v>
          </cell>
          <cell r="L3210" t="str">
            <v>IQ</v>
          </cell>
          <cell r="M3210" t="str">
            <v>CLAUDINEIA BERNARDO DE ALMEIDA</v>
          </cell>
          <cell r="N3210" t="str">
            <v>CZX6028</v>
          </cell>
          <cell r="O3210" t="str">
            <v>2002</v>
          </cell>
          <cell r="P3210" t="str">
            <v>25</v>
          </cell>
          <cell r="Q3210" t="str">
            <v>23</v>
          </cell>
        </row>
        <row r="3211">
          <cell r="B3211" t="str">
            <v>5020/16</v>
          </cell>
          <cell r="C3211" t="str">
            <v>2016-0.045.230-9</v>
          </cell>
          <cell r="D3211" t="str">
            <v/>
          </cell>
          <cell r="E3211" t="str">
            <v>26 de fevereiro de 2016</v>
          </cell>
          <cell r="F3211" t="str">
            <v>2RFAST TRANSPORTES LTDA - ME</v>
          </cell>
          <cell r="G3211" t="str">
            <v>26/02/2016</v>
          </cell>
          <cell r="H3211" t="str">
            <v>27/02/2016</v>
          </cell>
          <cell r="I3211" t="str">
            <v>31</v>
          </cell>
          <cell r="J3211" t="str">
            <v>PESSOA JURÍDICA</v>
          </cell>
          <cell r="K3211" t="str">
            <v>16.552.223/0001-90</v>
          </cell>
          <cell r="L3211" t="str">
            <v>MP</v>
          </cell>
          <cell r="M3211" t="str">
            <v>FERNANDA JAQUELINE DOS SANTOS</v>
          </cell>
          <cell r="N3211" t="str">
            <v>DTC4054</v>
          </cell>
          <cell r="O3211" t="str">
            <v>2007</v>
          </cell>
          <cell r="P3211" t="str">
            <v>29</v>
          </cell>
          <cell r="Q3211" t="str">
            <v>27</v>
          </cell>
        </row>
        <row r="3212">
          <cell r="B3212" t="str">
            <v>5021/16</v>
          </cell>
          <cell r="C3212" t="str">
            <v>2016-0.045.232-5</v>
          </cell>
          <cell r="D3212" t="str">
            <v/>
          </cell>
          <cell r="E3212" t="str">
            <v>26 de fevereiro de 2016</v>
          </cell>
          <cell r="F3212" t="str">
            <v>SERGIO ADRIANO LOBO - TRANSPORTE ESCOLAR - ME</v>
          </cell>
          <cell r="G3212" t="str">
            <v>26/02/2016</v>
          </cell>
          <cell r="H3212" t="str">
            <v>27/02/2016</v>
          </cell>
          <cell r="I3212" t="str">
            <v>31</v>
          </cell>
          <cell r="J3212" t="str">
            <v>PESSOA JURÍDICA</v>
          </cell>
          <cell r="K3212" t="str">
            <v>17.831.794/0001-38</v>
          </cell>
          <cell r="L3212" t="str">
            <v>MP</v>
          </cell>
          <cell r="M3212" t="str">
            <v>SERGIO ADRIANO LOBO</v>
          </cell>
          <cell r="N3212" t="str">
            <v>EZN2330</v>
          </cell>
          <cell r="O3212" t="str">
            <v>2012</v>
          </cell>
          <cell r="P3212" t="str">
            <v>10</v>
          </cell>
          <cell r="Q3212" t="str">
            <v>9</v>
          </cell>
        </row>
        <row r="3213">
          <cell r="B3213" t="str">
            <v>5022/16</v>
          </cell>
          <cell r="C3213" t="str">
            <v>2016-0.045.234-1</v>
          </cell>
          <cell r="D3213" t="str">
            <v/>
          </cell>
          <cell r="E3213" t="str">
            <v>26 de fevereiro de 2016</v>
          </cell>
          <cell r="F3213" t="str">
            <v>FORMITUR TRANSPORTES LTDA - ME</v>
          </cell>
          <cell r="G3213" t="str">
            <v>26/02/2016</v>
          </cell>
          <cell r="H3213" t="str">
            <v>27/02/2016</v>
          </cell>
          <cell r="I3213" t="str">
            <v>31</v>
          </cell>
          <cell r="J3213" t="str">
            <v>PESSOA JURÍDICA</v>
          </cell>
          <cell r="K3213" t="str">
            <v>13.359.755/0001-29</v>
          </cell>
          <cell r="L3213" t="str">
            <v>FO</v>
          </cell>
          <cell r="M3213" t="str">
            <v>JUAREZ LEONCIO MACHADO</v>
          </cell>
          <cell r="N3213" t="str">
            <v>FCD4616</v>
          </cell>
          <cell r="O3213" t="str">
            <v>2015</v>
          </cell>
          <cell r="P3213" t="str">
            <v>10</v>
          </cell>
          <cell r="Q3213" t="str">
            <v>9</v>
          </cell>
        </row>
        <row r="3214">
          <cell r="B3214" t="str">
            <v>5022/16</v>
          </cell>
          <cell r="C3214" t="str">
            <v>2016-0.045.234-1</v>
          </cell>
          <cell r="D3214" t="str">
            <v/>
          </cell>
          <cell r="E3214" t="str">
            <v>15 de março de 2016</v>
          </cell>
          <cell r="F3214" t="str">
            <v>FORMITUR TRANSPORTES LTDA - ME</v>
          </cell>
          <cell r="G3214" t="str">
            <v>26/02/2016</v>
          </cell>
          <cell r="H3214" t="str">
            <v>27/02/2016</v>
          </cell>
          <cell r="I3214" t="str">
            <v>31</v>
          </cell>
          <cell r="J3214" t="str">
            <v>PESSOA JURÍDICA</v>
          </cell>
          <cell r="K3214" t="str">
            <v>13.359.755/0001-29</v>
          </cell>
          <cell r="L3214" t="str">
            <v>SM</v>
          </cell>
          <cell r="M3214" t="str">
            <v>ROSELI MARIA DA SILVA</v>
          </cell>
          <cell r="N3214" t="str">
            <v>FQZ8537</v>
          </cell>
          <cell r="O3214" t="str">
            <v>2015</v>
          </cell>
          <cell r="P3214" t="str">
            <v>45</v>
          </cell>
          <cell r="Q3214" t="str">
            <v>44</v>
          </cell>
        </row>
        <row r="3215">
          <cell r="B3215" t="str">
            <v>5022/16</v>
          </cell>
          <cell r="C3215" t="str">
            <v>2016-0.045.234-1</v>
          </cell>
          <cell r="D3215" t="str">
            <v/>
          </cell>
          <cell r="E3215" t="str">
            <v>15 de março de 2016</v>
          </cell>
          <cell r="F3215" t="str">
            <v>FORMITUR TRANSPORTES LTDA - ME</v>
          </cell>
          <cell r="G3215" t="str">
            <v>26/02/2016</v>
          </cell>
          <cell r="H3215" t="str">
            <v>27/02/2016</v>
          </cell>
          <cell r="I3215" t="str">
            <v>31</v>
          </cell>
          <cell r="J3215" t="str">
            <v>PESSOA JURÍDICA</v>
          </cell>
          <cell r="K3215" t="str">
            <v>13.359.755/0001-29</v>
          </cell>
          <cell r="L3215" t="str">
            <v>SM</v>
          </cell>
          <cell r="M3215" t="str">
            <v>WAGNER COLUCCI CAETANO</v>
          </cell>
          <cell r="N3215" t="str">
            <v>FJP7916</v>
          </cell>
          <cell r="O3215" t="str">
            <v>2013</v>
          </cell>
          <cell r="P3215" t="str">
            <v>10</v>
          </cell>
          <cell r="Q3215" t="str">
            <v>9</v>
          </cell>
        </row>
        <row r="3216">
          <cell r="B3216" t="str">
            <v>5023/16</v>
          </cell>
          <cell r="C3216" t="str">
            <v>2016-0.046.709-8</v>
          </cell>
          <cell r="D3216" t="str">
            <v>24/02/2016</v>
          </cell>
          <cell r="E3216" t="str">
            <v>03 de março de 2016</v>
          </cell>
          <cell r="F3216" t="str">
            <v>WGS TRANSPORTES LTDA - ME</v>
          </cell>
          <cell r="G3216" t="str">
            <v>24/02/2016</v>
          </cell>
          <cell r="H3216" t="str">
            <v>05/03/2016</v>
          </cell>
          <cell r="I3216" t="str">
            <v>25</v>
          </cell>
          <cell r="J3216" t="str">
            <v>PESSOA JURÍDICA</v>
          </cell>
          <cell r="K3216" t="str">
            <v>14.393.263/0001-12</v>
          </cell>
          <cell r="L3216" t="str">
            <v>IQ</v>
          </cell>
          <cell r="M3216" t="str">
            <v>WILSON GOMES DE SA</v>
          </cell>
          <cell r="N3216" t="str">
            <v>EVC2993</v>
          </cell>
          <cell r="O3216" t="str">
            <v>2011</v>
          </cell>
          <cell r="P3216" t="str">
            <v>10</v>
          </cell>
          <cell r="Q3216" t="str">
            <v>9</v>
          </cell>
        </row>
        <row r="3217">
          <cell r="B3217" t="str">
            <v>5023/16</v>
          </cell>
          <cell r="C3217" t="str">
            <v>2016-0.046.709-8</v>
          </cell>
          <cell r="D3217" t="str">
            <v>17/02/2016</v>
          </cell>
          <cell r="E3217" t="str">
            <v>03 de março de 2016</v>
          </cell>
          <cell r="F3217" t="str">
            <v>WGS TRANSPORTES LTDA - ME</v>
          </cell>
          <cell r="G3217" t="str">
            <v>24/02/2016</v>
          </cell>
          <cell r="H3217" t="str">
            <v>05/03/2016</v>
          </cell>
          <cell r="I3217" t="str">
            <v>25</v>
          </cell>
          <cell r="J3217" t="str">
            <v>PESSOA JURÍDICA</v>
          </cell>
          <cell r="K3217" t="str">
            <v>14.393.263/0001-12</v>
          </cell>
          <cell r="L3217" t="str">
            <v>IQ</v>
          </cell>
          <cell r="M3217" t="str">
            <v>VANIA FERREIRA DE OLIVEIRA</v>
          </cell>
          <cell r="N3217" t="str">
            <v>FFE7095</v>
          </cell>
          <cell r="O3217" t="str">
            <v>2012</v>
          </cell>
          <cell r="P3217" t="str">
            <v>10</v>
          </cell>
          <cell r="Q3217" t="str">
            <v>9</v>
          </cell>
        </row>
        <row r="3218">
          <cell r="B3218" t="str">
            <v>5024/16</v>
          </cell>
          <cell r="C3218" t="str">
            <v>2016-0.046.710-1</v>
          </cell>
          <cell r="D3218" t="str">
            <v>22/02/2016</v>
          </cell>
          <cell r="E3218" t="str">
            <v>29 de fevereiro de 2016</v>
          </cell>
          <cell r="F3218" t="str">
            <v>ELLOS TRANSPORTE ESCOLAR E LOCACAO DE VEICULOS LTDA - ME</v>
          </cell>
          <cell r="G3218" t="str">
            <v>29/02/2016</v>
          </cell>
          <cell r="H3218" t="str">
            <v>19/03/2016</v>
          </cell>
          <cell r="I3218" t="str">
            <v>34</v>
          </cell>
          <cell r="J3218" t="str">
            <v>PESSOA JURÍDICA</v>
          </cell>
          <cell r="K3218" t="str">
            <v>04.987.922/0001-95</v>
          </cell>
          <cell r="L3218" t="str">
            <v>CL</v>
          </cell>
          <cell r="M3218" t="str">
            <v>OSIAS TEIXEIRA DE BRITO</v>
          </cell>
          <cell r="N3218" t="str">
            <v>EFU9219</v>
          </cell>
          <cell r="O3218" t="str">
            <v>2009</v>
          </cell>
          <cell r="P3218" t="str">
            <v>19</v>
          </cell>
          <cell r="Q3218" t="str">
            <v>18</v>
          </cell>
        </row>
        <row r="3219">
          <cell r="B3219" t="str">
            <v>5024/16</v>
          </cell>
          <cell r="C3219" t="str">
            <v>2016-0.046.710-1</v>
          </cell>
          <cell r="D3219" t="str">
            <v/>
          </cell>
          <cell r="E3219" t="str">
            <v>18 de março de 2016</v>
          </cell>
          <cell r="F3219" t="str">
            <v>ELLOS TRANSPORTE ESCOLAR E LOCACAO DE VEICULOS LTDA - ME</v>
          </cell>
          <cell r="G3219" t="str">
            <v>29/02/2016</v>
          </cell>
          <cell r="H3219" t="str">
            <v>19/03/2016</v>
          </cell>
          <cell r="I3219" t="str">
            <v>34</v>
          </cell>
          <cell r="J3219" t="str">
            <v>PESSOA JURÍDICA</v>
          </cell>
          <cell r="K3219" t="str">
            <v>04.987.922/0001-95</v>
          </cell>
          <cell r="L3219" t="str">
            <v>BT</v>
          </cell>
          <cell r="M3219" t="str">
            <v>SEVERINO EVALDO VIEIRA</v>
          </cell>
          <cell r="N3219" t="str">
            <v>EZP0517</v>
          </cell>
          <cell r="O3219" t="str">
            <v>2012</v>
          </cell>
          <cell r="P3219" t="str">
            <v>19</v>
          </cell>
          <cell r="Q3219" t="str">
            <v>18</v>
          </cell>
        </row>
        <row r="3220">
          <cell r="B3220" t="str">
            <v>5025/16</v>
          </cell>
          <cell r="C3220" t="str">
            <v>2016-0.046.712-8</v>
          </cell>
          <cell r="D3220" t="str">
            <v>11/02/2016</v>
          </cell>
          <cell r="E3220" t="str">
            <v>29 de fevereiro de 2016</v>
          </cell>
          <cell r="F3220" t="str">
            <v>ACALANTO TRANSPORTES LTDA - ME</v>
          </cell>
          <cell r="G3220" t="str">
            <v>29/02/2016</v>
          </cell>
          <cell r="H3220" t="str">
            <v>19/03/2016</v>
          </cell>
          <cell r="I3220" t="str">
            <v>34</v>
          </cell>
          <cell r="J3220" t="str">
            <v>PESSOA JURÍDICA</v>
          </cell>
          <cell r="K3220" t="str">
            <v>11.077.794/0001-08</v>
          </cell>
          <cell r="L3220" t="str">
            <v>CL</v>
          </cell>
          <cell r="M3220" t="str">
            <v>JOAO CARLOS DA SILVA REIS</v>
          </cell>
          <cell r="N3220" t="str">
            <v>EQB4769</v>
          </cell>
          <cell r="O3220" t="str">
            <v>2012</v>
          </cell>
          <cell r="P3220" t="str">
            <v>10</v>
          </cell>
          <cell r="Q3220" t="str">
            <v>9</v>
          </cell>
        </row>
        <row r="3221">
          <cell r="B3221" t="str">
            <v>5025/16</v>
          </cell>
          <cell r="C3221" t="str">
            <v>2016-0.046.712-8</v>
          </cell>
          <cell r="D3221" t="str">
            <v>29/02/2016</v>
          </cell>
          <cell r="E3221" t="str">
            <v>23 de março de 2016</v>
          </cell>
          <cell r="F3221" t="str">
            <v>ACALANTO TRANSPORTES LTDA - ME</v>
          </cell>
          <cell r="G3221" t="str">
            <v>29/02/2016</v>
          </cell>
          <cell r="H3221" t="str">
            <v>19/03/2016</v>
          </cell>
          <cell r="I3221" t="str">
            <v>34</v>
          </cell>
          <cell r="J3221" t="str">
            <v>PESSOA JURÍDICA</v>
          </cell>
          <cell r="K3221" t="str">
            <v>11.077.794/0001-08</v>
          </cell>
          <cell r="L3221" t="str">
            <v>CL</v>
          </cell>
          <cell r="M3221" t="str">
            <v>PEDRO HENRIQUE MARTINS MARCELINO</v>
          </cell>
          <cell r="N3221" t="str">
            <v>DTC4186</v>
          </cell>
          <cell r="O3221" t="str">
            <v>2008</v>
          </cell>
          <cell r="P3221" t="str">
            <v>10</v>
          </cell>
          <cell r="Q3221" t="str">
            <v>9</v>
          </cell>
        </row>
        <row r="3222">
          <cell r="B3222" t="str">
            <v>5025/16</v>
          </cell>
          <cell r="C3222" t="str">
            <v>2016-0.046.712-8</v>
          </cell>
          <cell r="D3222" t="str">
            <v>07/03/2016</v>
          </cell>
          <cell r="E3222" t="str">
            <v>18 de março de 2016</v>
          </cell>
          <cell r="F3222" t="str">
            <v>ACALANTO TRANSPORTES LTDA - ME</v>
          </cell>
          <cell r="G3222" t="str">
            <v>29/02/2016</v>
          </cell>
          <cell r="H3222" t="str">
            <v>19/03/2016</v>
          </cell>
          <cell r="I3222" t="str">
            <v>34</v>
          </cell>
          <cell r="J3222" t="str">
            <v>PESSOA JURÍDICA</v>
          </cell>
          <cell r="K3222" t="str">
            <v>11.077.794/0001-08</v>
          </cell>
          <cell r="L3222" t="str">
            <v>CS</v>
          </cell>
          <cell r="M3222" t="str">
            <v>MARCIO JOSE FELIX DA SILVA</v>
          </cell>
          <cell r="N3222" t="str">
            <v>DTD2686</v>
          </cell>
          <cell r="O3222" t="str">
            <v>2007</v>
          </cell>
          <cell r="P3222" t="str">
            <v>29</v>
          </cell>
          <cell r="Q3222" t="str">
            <v>27</v>
          </cell>
        </row>
        <row r="3223">
          <cell r="B3223" t="str">
            <v>5025/16</v>
          </cell>
          <cell r="C3223" t="str">
            <v>2016-0.046.712-8</v>
          </cell>
          <cell r="D3223" t="str">
            <v/>
          </cell>
          <cell r="E3223" t="str">
            <v>18 de março de 2016</v>
          </cell>
          <cell r="F3223" t="str">
            <v>ACALANTO TRANSPORTES LTDA - ME</v>
          </cell>
          <cell r="G3223" t="str">
            <v>29/02/2016</v>
          </cell>
          <cell r="H3223" t="str">
            <v>19/03/2016</v>
          </cell>
          <cell r="I3223" t="str">
            <v>34</v>
          </cell>
          <cell r="J3223" t="str">
            <v>PESSOA JURÍDICA</v>
          </cell>
          <cell r="K3223" t="str">
            <v>11.077.794/0001-08</v>
          </cell>
          <cell r="L3223" t="str">
            <v>CS</v>
          </cell>
          <cell r="M3223" t="str">
            <v>JOSE SANTOS SILVA</v>
          </cell>
          <cell r="N3223" t="str">
            <v>DTD3138</v>
          </cell>
          <cell r="O3223" t="str">
            <v>2007</v>
          </cell>
          <cell r="P3223" t="str">
            <v>29</v>
          </cell>
          <cell r="Q3223" t="str">
            <v>27</v>
          </cell>
        </row>
        <row r="3224">
          <cell r="B3224" t="str">
            <v>5025/16</v>
          </cell>
          <cell r="C3224" t="str">
            <v>2016-0.046.712-8</v>
          </cell>
          <cell r="D3224" t="str">
            <v/>
          </cell>
          <cell r="E3224" t="str">
            <v/>
          </cell>
          <cell r="F3224" t="str">
            <v>ACALANTO TRANSPORTES LTDA - ME</v>
          </cell>
          <cell r="G3224" t="str">
            <v>29/02/2016</v>
          </cell>
          <cell r="H3224" t="str">
            <v>19/03/2016</v>
          </cell>
          <cell r="I3224" t="str">
            <v>34</v>
          </cell>
          <cell r="J3224" t="str">
            <v>PESSOA JURÍDICA</v>
          </cell>
          <cell r="K3224" t="str">
            <v>11.077.794/0001-08</v>
          </cell>
          <cell r="L3224" t="str">
            <v>CL</v>
          </cell>
          <cell r="M3224" t="str">
            <v>MARTA FERREIRA DA SILVA</v>
          </cell>
          <cell r="N3224" t="str">
            <v>DTC9484</v>
          </cell>
          <cell r="O3224" t="str">
            <v>2009</v>
          </cell>
          <cell r="P3224" t="str">
            <v>10</v>
          </cell>
          <cell r="Q3224" t="str">
            <v>9</v>
          </cell>
        </row>
        <row r="3225">
          <cell r="B3225" t="str">
            <v>5026/16</v>
          </cell>
          <cell r="C3225" t="str">
            <v>2016-0.046.713-6</v>
          </cell>
          <cell r="D3225" t="str">
            <v>07/03/2016</v>
          </cell>
          <cell r="E3225" t="str">
            <v>30 de março de 2016</v>
          </cell>
          <cell r="F3225" t="str">
            <v>WAGNER ROBERTO DA SILVA TRANSPORTES - ME</v>
          </cell>
          <cell r="G3225" t="str">
            <v>26/02/2016</v>
          </cell>
          <cell r="H3225" t="str">
            <v>27/02/2016</v>
          </cell>
          <cell r="I3225" t="str">
            <v>31</v>
          </cell>
          <cell r="J3225" t="str">
            <v>PESSOA JURÍDICA</v>
          </cell>
          <cell r="K3225" t="str">
            <v>10.929.911/0001-51</v>
          </cell>
          <cell r="L3225" t="str">
            <v>PJ</v>
          </cell>
          <cell r="M3225" t="str">
            <v>CARLOS ROBERTO DE OLIVEIRA</v>
          </cell>
          <cell r="N3225" t="str">
            <v>FOE3964</v>
          </cell>
          <cell r="O3225" t="str">
            <v>2013</v>
          </cell>
          <cell r="P3225" t="str">
            <v>10</v>
          </cell>
          <cell r="Q3225" t="str">
            <v>9</v>
          </cell>
        </row>
        <row r="3226">
          <cell r="B3226" t="str">
            <v>5026/16</v>
          </cell>
          <cell r="C3226" t="str">
            <v>2016-0.046.713-6</v>
          </cell>
          <cell r="D3226" t="str">
            <v/>
          </cell>
          <cell r="E3226" t="str">
            <v>26 de fevereiro de 2016</v>
          </cell>
          <cell r="F3226" t="str">
            <v>WAGNER ROBERTO DA SILVA TRANSPORTES - ME</v>
          </cell>
          <cell r="G3226" t="str">
            <v>26/02/2016</v>
          </cell>
          <cell r="H3226" t="str">
            <v>27/02/2016</v>
          </cell>
          <cell r="I3226" t="str">
            <v>31</v>
          </cell>
          <cell r="J3226" t="str">
            <v>PESSOA JURÍDICA</v>
          </cell>
          <cell r="K3226" t="str">
            <v>10.929.911/0001-51</v>
          </cell>
          <cell r="L3226" t="str">
            <v>FO</v>
          </cell>
          <cell r="M3226" t="str">
            <v>WAGNER ROBERTO DA SILVA</v>
          </cell>
          <cell r="N3226" t="str">
            <v>DTC3394</v>
          </cell>
          <cell r="O3226" t="str">
            <v>2009</v>
          </cell>
          <cell r="P3226" t="str">
            <v>11</v>
          </cell>
          <cell r="Q3226" t="str">
            <v>10</v>
          </cell>
        </row>
        <row r="3227">
          <cell r="B3227" t="str">
            <v>5027/16</v>
          </cell>
          <cell r="C3227" t="str">
            <v>2016-0.051.884-9</v>
          </cell>
          <cell r="D3227" t="str">
            <v/>
          </cell>
          <cell r="E3227" t="str">
            <v>15 de março de 2016</v>
          </cell>
          <cell r="F3227" t="str">
            <v>IRMAOS SANTANA TRANSPORTE ESCOLAR LTDA - ME</v>
          </cell>
          <cell r="G3227" t="str">
            <v>24/02/2016</v>
          </cell>
          <cell r="H3227" t="str">
            <v>08/03/2016</v>
          </cell>
          <cell r="I3227" t="str">
            <v>28</v>
          </cell>
          <cell r="J3227" t="str">
            <v>PESSOA JURÍDICA</v>
          </cell>
          <cell r="K3227" t="str">
            <v>15.630.166/0001-69</v>
          </cell>
          <cell r="L3227" t="str">
            <v>SA</v>
          </cell>
          <cell r="M3227" t="str">
            <v>GIVANILDO JOAO DE SANTANA</v>
          </cell>
          <cell r="N3227" t="str">
            <v>FVQ5619</v>
          </cell>
          <cell r="O3227" t="str">
            <v>2014</v>
          </cell>
          <cell r="P3227" t="str">
            <v>10</v>
          </cell>
          <cell r="Q3227" t="str">
            <v>9</v>
          </cell>
        </row>
        <row r="3228">
          <cell r="B3228" t="str">
            <v>5027/16</v>
          </cell>
          <cell r="C3228" t="str">
            <v>2016-0.051.884-9</v>
          </cell>
          <cell r="D3228" t="str">
            <v>16/02/2016</v>
          </cell>
          <cell r="E3228" t="str">
            <v>24 de fevereiro de 2016</v>
          </cell>
          <cell r="F3228" t="str">
            <v>IRMAOS SANTANA TRANSPORTE ESCOLAR LTDA - ME</v>
          </cell>
          <cell r="G3228" t="str">
            <v>24/02/2016</v>
          </cell>
          <cell r="H3228" t="str">
            <v>08/03/2016</v>
          </cell>
          <cell r="I3228" t="str">
            <v>28</v>
          </cell>
          <cell r="J3228" t="str">
            <v>PESSOA JURÍDICA</v>
          </cell>
          <cell r="K3228" t="str">
            <v>15.630.166/0001-69</v>
          </cell>
          <cell r="L3228" t="str">
            <v>SA</v>
          </cell>
          <cell r="M3228" t="str">
            <v>GENILDO ALVES DE SANTANA</v>
          </cell>
          <cell r="N3228" t="str">
            <v>EFW4490</v>
          </cell>
          <cell r="O3228" t="str">
            <v>2011</v>
          </cell>
          <cell r="P3228" t="str">
            <v>10</v>
          </cell>
          <cell r="Q3228" t="str">
            <v>9</v>
          </cell>
        </row>
        <row r="3229">
          <cell r="B3229" t="str">
            <v>5027/16</v>
          </cell>
          <cell r="C3229" t="str">
            <v>2016-0.051.884-9</v>
          </cell>
          <cell r="D3229" t="str">
            <v>15/02/2016</v>
          </cell>
          <cell r="E3229" t="str">
            <v>24 de fevereiro de 2016</v>
          </cell>
          <cell r="F3229" t="str">
            <v>IRMAOS SANTANA TRANSPORTE ESCOLAR LTDA - ME</v>
          </cell>
          <cell r="G3229" t="str">
            <v>24/02/2016</v>
          </cell>
          <cell r="H3229" t="str">
            <v>08/03/2016</v>
          </cell>
          <cell r="I3229" t="str">
            <v>28</v>
          </cell>
          <cell r="J3229" t="str">
            <v>PESSOA JURÍDICA</v>
          </cell>
          <cell r="K3229" t="str">
            <v>15.630.166/0001-69</v>
          </cell>
          <cell r="L3229" t="str">
            <v>SA</v>
          </cell>
          <cell r="M3229" t="str">
            <v>RUBENS FERNANDES SOARES</v>
          </cell>
          <cell r="N3229" t="str">
            <v>DTE2080</v>
          </cell>
          <cell r="O3229" t="str">
            <v>2009</v>
          </cell>
          <cell r="P3229" t="str">
            <v>11</v>
          </cell>
          <cell r="Q3229" t="str">
            <v>10</v>
          </cell>
        </row>
        <row r="3230">
          <cell r="B3230" t="str">
            <v>5027/16</v>
          </cell>
          <cell r="C3230" t="str">
            <v>2016-0.051.884-9</v>
          </cell>
          <cell r="D3230" t="str">
            <v/>
          </cell>
          <cell r="E3230" t="str">
            <v>15 de março de 2016</v>
          </cell>
          <cell r="F3230" t="str">
            <v>IRMAOS SANTANA TRANSPORTE ESCOLAR LTDA - ME</v>
          </cell>
          <cell r="G3230" t="str">
            <v>24/02/2016</v>
          </cell>
          <cell r="H3230" t="str">
            <v>08/03/2016</v>
          </cell>
          <cell r="I3230" t="str">
            <v>28</v>
          </cell>
          <cell r="J3230" t="str">
            <v>PESSOA JURÍDICA</v>
          </cell>
          <cell r="K3230" t="str">
            <v>15.630.166/0001-69</v>
          </cell>
          <cell r="L3230" t="str">
            <v>SA</v>
          </cell>
          <cell r="M3230" t="str">
            <v>RONALDO SANTANA DA SILVA</v>
          </cell>
          <cell r="N3230" t="str">
            <v>DJB4842</v>
          </cell>
          <cell r="O3230" t="str">
            <v>2009</v>
          </cell>
          <cell r="P3230" t="str">
            <v>11</v>
          </cell>
          <cell r="Q3230" t="str">
            <v>10</v>
          </cell>
        </row>
        <row r="3231">
          <cell r="B3231" t="str">
            <v>5027/16</v>
          </cell>
          <cell r="C3231" t="str">
            <v>2016-0.051.884-9</v>
          </cell>
          <cell r="D3231" t="str">
            <v/>
          </cell>
          <cell r="E3231" t="str">
            <v>16 de março de 2016</v>
          </cell>
          <cell r="F3231" t="str">
            <v>IRMAOS SANTANA TRANSPORTE ESCOLAR LTDA - ME</v>
          </cell>
          <cell r="G3231" t="str">
            <v>24/02/2016</v>
          </cell>
          <cell r="H3231" t="str">
            <v>08/03/2016</v>
          </cell>
          <cell r="I3231" t="str">
            <v>28</v>
          </cell>
          <cell r="J3231" t="str">
            <v>PESSOA JURÍDICA</v>
          </cell>
          <cell r="K3231" t="str">
            <v>15.630.166/0001-69</v>
          </cell>
          <cell r="L3231" t="str">
            <v>SA</v>
          </cell>
          <cell r="M3231" t="str">
            <v>ADRIANA ALVES DE SANTANA MEDEIROS</v>
          </cell>
          <cell r="N3231" t="str">
            <v>EXT3559</v>
          </cell>
          <cell r="O3231" t="str">
            <v>2012</v>
          </cell>
          <cell r="P3231" t="str">
            <v>10</v>
          </cell>
          <cell r="Q3231" t="str">
            <v>9</v>
          </cell>
        </row>
        <row r="3232">
          <cell r="B3232" t="str">
            <v>5028/16</v>
          </cell>
          <cell r="C3232" t="str">
            <v>2016-0.051.889-0</v>
          </cell>
          <cell r="D3232" t="str">
            <v>15/02/2016</v>
          </cell>
          <cell r="E3232" t="str">
            <v>22 de março de 2016</v>
          </cell>
          <cell r="F3232" t="str">
            <v>OSMAR LEMES TRANSPORTES - ME</v>
          </cell>
          <cell r="G3232" t="str">
            <v>22/03/2016</v>
          </cell>
          <cell r="H3232" t="str">
            <v>23/03/2016</v>
          </cell>
          <cell r="I3232" t="str">
            <v>60</v>
          </cell>
          <cell r="J3232" t="str">
            <v>PESSOA JURÍDICA</v>
          </cell>
          <cell r="K3232" t="str">
            <v>16.733.080/0001-24</v>
          </cell>
          <cell r="L3232" t="str">
            <v xml:space="preserve">SA </v>
          </cell>
          <cell r="M3232" t="str">
            <v>MANOEL MESSIAS DOS SANTOS</v>
          </cell>
          <cell r="N3232" t="str">
            <v>CZX2624</v>
          </cell>
          <cell r="O3232" t="str">
            <v>2003</v>
          </cell>
          <cell r="P3232" t="str">
            <v>25</v>
          </cell>
          <cell r="Q3232" t="str">
            <v>23</v>
          </cell>
        </row>
        <row r="3233">
          <cell r="B3233" t="str">
            <v>5029/16</v>
          </cell>
          <cell r="C3233" t="str">
            <v>2016-0.051.895-4</v>
          </cell>
          <cell r="D3233" t="str">
            <v/>
          </cell>
          <cell r="E3233" t="str">
            <v>09 de março de 2016</v>
          </cell>
          <cell r="F3233" t="str">
            <v>LERENO TRANSPORTES LTDA - ME</v>
          </cell>
          <cell r="G3233" t="str">
            <v>09/03/2016</v>
          </cell>
          <cell r="H3233" t="str">
            <v>10/03/2016</v>
          </cell>
          <cell r="I3233" t="str">
            <v>33</v>
          </cell>
          <cell r="J3233" t="str">
            <v>PESSOA JURÍDICA</v>
          </cell>
          <cell r="K3233" t="str">
            <v>13.438.363/0001-55</v>
          </cell>
          <cell r="L3233" t="str">
            <v>SA</v>
          </cell>
          <cell r="M3233" t="str">
            <v>CARLOS EDUARDO DE OLIVEIRA</v>
          </cell>
          <cell r="N3233" t="str">
            <v>DTC5565</v>
          </cell>
          <cell r="O3233" t="str">
            <v>2008</v>
          </cell>
          <cell r="P3233" t="str">
            <v>29</v>
          </cell>
          <cell r="Q3233" t="str">
            <v>27</v>
          </cell>
        </row>
        <row r="3234">
          <cell r="B3234" t="str">
            <v>5030/16</v>
          </cell>
          <cell r="C3234" t="str">
            <v>2016-0.051.229-8</v>
          </cell>
          <cell r="D3234" t="str">
            <v>16/02/2016</v>
          </cell>
          <cell r="E3234" t="str">
            <v>24 de fevereiro de 2016</v>
          </cell>
          <cell r="F3234" t="str">
            <v>J.M.M TRANSPORTE LTDA - ME</v>
          </cell>
          <cell r="G3234" t="str">
            <v>24/02/2016</v>
          </cell>
          <cell r="H3234" t="str">
            <v>08/03/2016</v>
          </cell>
          <cell r="I3234" t="str">
            <v>28</v>
          </cell>
          <cell r="J3234" t="str">
            <v>PESSOA JURÍDICA</v>
          </cell>
          <cell r="K3234" t="str">
            <v>01.853.385/0001-00</v>
          </cell>
          <cell r="L3234" t="str">
            <v>SA</v>
          </cell>
          <cell r="M3234" t="str">
            <v>LUIS FERNANDO DE CASTRO</v>
          </cell>
          <cell r="N3234" t="str">
            <v>EZL6944</v>
          </cell>
          <cell r="O3234" t="str">
            <v>2011</v>
          </cell>
          <cell r="P3234" t="str">
            <v>15</v>
          </cell>
          <cell r="Q3234" t="str">
            <v>14</v>
          </cell>
        </row>
        <row r="3235">
          <cell r="B3235" t="str">
            <v>5031/16</v>
          </cell>
          <cell r="C3235" t="str">
            <v>2016-0.051.233-6</v>
          </cell>
          <cell r="D3235" t="str">
            <v/>
          </cell>
          <cell r="E3235" t="str">
            <v>07 de março de 2016</v>
          </cell>
          <cell r="F3235" t="str">
            <v>TRANSMEL TRANSPORTES LTDA - ME</v>
          </cell>
          <cell r="G3235" t="str">
            <v>07/03/2016</v>
          </cell>
          <cell r="H3235" t="str">
            <v>10/03/2016</v>
          </cell>
          <cell r="I3235" t="str">
            <v>33</v>
          </cell>
          <cell r="J3235" t="str">
            <v>PESSOA JURÍDICA</v>
          </cell>
          <cell r="K3235" t="str">
            <v>20.789.423/0001-40</v>
          </cell>
          <cell r="L3235" t="str">
            <v>MP</v>
          </cell>
          <cell r="M3235" t="str">
            <v>CARLOS ALBERTO SILVA JUNIOR</v>
          </cell>
          <cell r="N3235" t="str">
            <v>DTC0968</v>
          </cell>
          <cell r="O3235" t="str">
            <v>2007</v>
          </cell>
          <cell r="P3235" t="str">
            <v>29</v>
          </cell>
          <cell r="Q3235" t="str">
            <v>27</v>
          </cell>
        </row>
        <row r="3236">
          <cell r="B3236" t="str">
            <v>5032/16</v>
          </cell>
          <cell r="C3236" t="str">
            <v>2016-0.051.235-2</v>
          </cell>
          <cell r="D3236" t="str">
            <v/>
          </cell>
          <cell r="E3236" t="str">
            <v>18 de março de 2016</v>
          </cell>
          <cell r="F3236" t="str">
            <v>S &amp; TA TRANSPORTES LTDA - ME</v>
          </cell>
          <cell r="G3236" t="str">
            <v>16/03/2016</v>
          </cell>
          <cell r="H3236" t="str">
            <v>19/03/2016</v>
          </cell>
          <cell r="I3236" t="str">
            <v>34</v>
          </cell>
          <cell r="J3236" t="str">
            <v>PESSOA JURÍDICA</v>
          </cell>
          <cell r="K3236" t="str">
            <v>02.456.920/0001-44</v>
          </cell>
          <cell r="L3236" t="str">
            <v>MP</v>
          </cell>
          <cell r="M3236" t="str">
            <v>MAURO DE OLIVEIRA TORRES</v>
          </cell>
          <cell r="N3236" t="str">
            <v>DTC6162</v>
          </cell>
          <cell r="O3236" t="str">
            <v>2009</v>
          </cell>
          <cell r="P3236" t="str">
            <v>19</v>
          </cell>
          <cell r="Q3236" t="str">
            <v>18</v>
          </cell>
        </row>
        <row r="3237">
          <cell r="B3237" t="str">
            <v>5032/16</v>
          </cell>
          <cell r="C3237" t="str">
            <v>2016-0.051.235-2</v>
          </cell>
          <cell r="D3237" t="str">
            <v/>
          </cell>
          <cell r="E3237" t="str">
            <v>16 de março de 2016</v>
          </cell>
          <cell r="F3237" t="str">
            <v>S &amp; TA TRANSPORTES LTDA - ME</v>
          </cell>
          <cell r="G3237" t="str">
            <v>16/03/2016</v>
          </cell>
          <cell r="H3237" t="str">
            <v>19/03/2016</v>
          </cell>
          <cell r="I3237" t="str">
            <v>34</v>
          </cell>
          <cell r="J3237" t="str">
            <v>PESSOA JURÍDICA</v>
          </cell>
          <cell r="K3237" t="str">
            <v>02.456.920/0001-44</v>
          </cell>
          <cell r="L3237" t="str">
            <v>MP</v>
          </cell>
          <cell r="M3237" t="str">
            <v>HELENA JOSEFA DA CONCEICAO JESUS</v>
          </cell>
          <cell r="N3237" t="str">
            <v>DTC5428</v>
          </cell>
          <cell r="O3237" t="str">
            <v>2008</v>
          </cell>
          <cell r="P3237" t="str">
            <v>29</v>
          </cell>
          <cell r="Q3237" t="str">
            <v>27</v>
          </cell>
        </row>
        <row r="3238">
          <cell r="B3238" t="str">
            <v>5033/16</v>
          </cell>
          <cell r="C3238" t="str">
            <v>2016-0.051.250-6</v>
          </cell>
          <cell r="D3238" t="str">
            <v/>
          </cell>
          <cell r="E3238" t="str">
            <v>09 de março de 2016</v>
          </cell>
          <cell r="F3238" t="str">
            <v>CLAUDEMIR CAVALCANTE TRANSPORTES - ME</v>
          </cell>
          <cell r="G3238" t="str">
            <v>09/03/2016</v>
          </cell>
          <cell r="H3238" t="str">
            <v>10/03/2016</v>
          </cell>
          <cell r="I3238" t="str">
            <v>33</v>
          </cell>
          <cell r="J3238" t="str">
            <v>PESSOA JURÍDICA</v>
          </cell>
          <cell r="K3238" t="str">
            <v>20.710.263/0001-00</v>
          </cell>
          <cell r="L3238" t="str">
            <v>MP</v>
          </cell>
          <cell r="M3238" t="str">
            <v>CLAUDEMIR CAVALCANTE</v>
          </cell>
          <cell r="N3238" t="str">
            <v>DTA4110</v>
          </cell>
          <cell r="O3238" t="str">
            <v>2007</v>
          </cell>
          <cell r="P3238" t="str">
            <v>29</v>
          </cell>
          <cell r="Q3238" t="str">
            <v>27</v>
          </cell>
        </row>
        <row r="3239">
          <cell r="B3239" t="str">
            <v>5034/16</v>
          </cell>
          <cell r="C3239" t="str">
            <v>2016-0.051.254-9</v>
          </cell>
          <cell r="D3239" t="str">
            <v>19/02/2016</v>
          </cell>
          <cell r="E3239" t="str">
            <v>24 de fevereiro de 2016</v>
          </cell>
          <cell r="F3239" t="str">
            <v>CLAUDIA GOMES FREITAS TOLEDO EIRELI - ME</v>
          </cell>
          <cell r="G3239" t="str">
            <v>24/02/2016</v>
          </cell>
          <cell r="H3239" t="str">
            <v>10/03/2016</v>
          </cell>
          <cell r="I3239" t="str">
            <v>33</v>
          </cell>
          <cell r="J3239" t="str">
            <v>PESSOA JURÍDICA</v>
          </cell>
          <cell r="K3239" t="str">
            <v>15.336.601/0001-47</v>
          </cell>
          <cell r="L3239" t="str">
            <v>FO</v>
          </cell>
          <cell r="M3239" t="str">
            <v>CLAUDIA GOMES FREITAS TOLEDO</v>
          </cell>
          <cell r="N3239" t="str">
            <v>FRN6374</v>
          </cell>
          <cell r="O3239" t="str">
            <v>2014</v>
          </cell>
          <cell r="P3239" t="str">
            <v>19</v>
          </cell>
          <cell r="Q3239" t="str">
            <v>18</v>
          </cell>
        </row>
        <row r="3240">
          <cell r="B3240" t="str">
            <v>5035/16</v>
          </cell>
          <cell r="C3240" t="str">
            <v>2016-0.051.255-7</v>
          </cell>
          <cell r="D3240" t="str">
            <v/>
          </cell>
          <cell r="E3240" t="str">
            <v>31 de março de 2016</v>
          </cell>
          <cell r="F3240" t="str">
            <v>SILVIA MARIA DE FREITAS TRANSPORTES - ME</v>
          </cell>
          <cell r="G3240" t="str">
            <v>31/03/2016</v>
          </cell>
          <cell r="H3240" t="str">
            <v>02/04/2016</v>
          </cell>
          <cell r="I3240" t="str">
            <v>44</v>
          </cell>
          <cell r="J3240" t="str">
            <v>PESSOA JURÍDICA</v>
          </cell>
          <cell r="K3240" t="str">
            <v>12.626.906/0001-03</v>
          </cell>
          <cell r="L3240" t="str">
            <v>JT</v>
          </cell>
          <cell r="M3240" t="str">
            <v>JOEL LIBERATO DE SOUZA</v>
          </cell>
          <cell r="N3240" t="str">
            <v>CZX5983</v>
          </cell>
          <cell r="O3240" t="str">
            <v>2002</v>
          </cell>
          <cell r="P3240" t="str">
            <v>25</v>
          </cell>
          <cell r="Q3240" t="str">
            <v>23</v>
          </cell>
        </row>
        <row r="3241">
          <cell r="B3241" t="str">
            <v>5035/16</v>
          </cell>
          <cell r="C3241" t="str">
            <v>2016-0.051.255-7</v>
          </cell>
          <cell r="D3241" t="str">
            <v/>
          </cell>
          <cell r="E3241" t="str">
            <v>31 de março de 2016</v>
          </cell>
          <cell r="F3241" t="str">
            <v>SILVIA MARIA DE FREITAS TRANSPORTES - ME</v>
          </cell>
          <cell r="G3241" t="str">
            <v>31/03/2016</v>
          </cell>
          <cell r="H3241" t="str">
            <v>02/04/2016</v>
          </cell>
          <cell r="I3241" t="str">
            <v>44</v>
          </cell>
          <cell r="J3241" t="str">
            <v>PESSOA JURÍDICA</v>
          </cell>
          <cell r="K3241" t="str">
            <v>12.626.906/0001-03</v>
          </cell>
          <cell r="L3241" t="str">
            <v>JT</v>
          </cell>
          <cell r="M3241" t="str">
            <v>VANDERCI MANTOVANI</v>
          </cell>
          <cell r="N3241" t="str">
            <v>CZX8565</v>
          </cell>
          <cell r="O3241" t="str">
            <v>2002</v>
          </cell>
          <cell r="P3241" t="str">
            <v>25</v>
          </cell>
          <cell r="Q3241" t="str">
            <v>23</v>
          </cell>
        </row>
        <row r="3242">
          <cell r="B3242" t="str">
            <v>5035/16</v>
          </cell>
          <cell r="C3242" t="str">
            <v>2016-0.051.255-7</v>
          </cell>
          <cell r="D3242" t="str">
            <v/>
          </cell>
          <cell r="E3242" t="str">
            <v>31 de março de 2016</v>
          </cell>
          <cell r="F3242" t="str">
            <v>SILVIA MARIA DE FREITAS TRANSPORTES - ME</v>
          </cell>
          <cell r="G3242" t="str">
            <v>31/03/2016</v>
          </cell>
          <cell r="H3242" t="str">
            <v>02/04/2016</v>
          </cell>
          <cell r="I3242" t="str">
            <v>44</v>
          </cell>
          <cell r="J3242" t="str">
            <v>PESSOA JURÍDICA</v>
          </cell>
          <cell r="K3242" t="str">
            <v>12.626.906/0001-03</v>
          </cell>
          <cell r="L3242" t="str">
            <v>JT</v>
          </cell>
          <cell r="M3242" t="str">
            <v>MARCELO GONCALVES</v>
          </cell>
          <cell r="N3242" t="str">
            <v>CZX6439</v>
          </cell>
          <cell r="O3242" t="str">
            <v>2002</v>
          </cell>
          <cell r="P3242" t="str">
            <v>25</v>
          </cell>
          <cell r="Q3242" t="str">
            <v>23</v>
          </cell>
        </row>
        <row r="3243">
          <cell r="B3243" t="str">
            <v>5036/16</v>
          </cell>
          <cell r="C3243" t="str">
            <v>2016-0.051.259-0</v>
          </cell>
          <cell r="D3243" t="str">
            <v/>
          </cell>
          <cell r="E3243" t="str">
            <v>06 de abril de 2016</v>
          </cell>
          <cell r="F3243" t="str">
            <v>ALTRUISTA TOUR LTDA - ME</v>
          </cell>
          <cell r="G3243" t="str">
            <v>25/02/2016</v>
          </cell>
          <cell r="H3243" t="str">
            <v>10/03/2016</v>
          </cell>
          <cell r="I3243" t="str">
            <v>33</v>
          </cell>
          <cell r="J3243" t="str">
            <v>PESSOA JURÍDICA</v>
          </cell>
          <cell r="K3243" t="str">
            <v>13.742.141/0001-21</v>
          </cell>
          <cell r="L3243" t="str">
            <v>MP</v>
          </cell>
          <cell r="M3243" t="str">
            <v>FERNANDO NUNES</v>
          </cell>
          <cell r="N3243" t="str">
            <v>FNU9127</v>
          </cell>
          <cell r="O3243" t="str">
            <v>2014</v>
          </cell>
          <cell r="P3243" t="str">
            <v>10</v>
          </cell>
          <cell r="Q3243" t="str">
            <v>9</v>
          </cell>
        </row>
        <row r="3244">
          <cell r="B3244" t="str">
            <v>5036/16</v>
          </cell>
          <cell r="C3244" t="str">
            <v>2016-0.051.259-0</v>
          </cell>
          <cell r="D3244" t="str">
            <v>25/02/2016</v>
          </cell>
          <cell r="E3244" t="str">
            <v>25 de fevereiro de 2016</v>
          </cell>
          <cell r="F3244" t="str">
            <v>ALTRUISTA TOUR LTDA - ME</v>
          </cell>
          <cell r="G3244" t="str">
            <v>25/02/2016</v>
          </cell>
          <cell r="H3244" t="str">
            <v>10/03/2016</v>
          </cell>
          <cell r="I3244" t="str">
            <v>33</v>
          </cell>
          <cell r="J3244" t="str">
            <v>PESSOA JURÍDICA</v>
          </cell>
          <cell r="K3244" t="str">
            <v>13.742.141/0001-21</v>
          </cell>
          <cell r="L3244" t="str">
            <v>IQ</v>
          </cell>
          <cell r="M3244" t="str">
            <v>ANTONIA JANETE CLEIA PINHEIRO</v>
          </cell>
          <cell r="N3244" t="str">
            <v>EFV4773</v>
          </cell>
          <cell r="O3244" t="str">
            <v>2010</v>
          </cell>
          <cell r="P3244" t="str">
            <v>10</v>
          </cell>
          <cell r="Q3244" t="str">
            <v>9</v>
          </cell>
        </row>
        <row r="3245">
          <cell r="B3245" t="str">
            <v>5036/16</v>
          </cell>
          <cell r="C3245" t="str">
            <v>2016-0.051.259-0</v>
          </cell>
          <cell r="D3245" t="str">
            <v>29/02/2016</v>
          </cell>
          <cell r="E3245" t="str">
            <v>29 de fevereiro de 2016</v>
          </cell>
          <cell r="F3245" t="str">
            <v>ALTRUISTA TOUR LTDA - ME</v>
          </cell>
          <cell r="G3245" t="str">
            <v>25/02/2016</v>
          </cell>
          <cell r="H3245" t="str">
            <v>10/03/2016</v>
          </cell>
          <cell r="I3245" t="str">
            <v>33</v>
          </cell>
          <cell r="J3245" t="str">
            <v>PESSOA JURÍDICA</v>
          </cell>
          <cell r="K3245" t="str">
            <v>13.742.141/0001-21</v>
          </cell>
          <cell r="L3245" t="str">
            <v>SM</v>
          </cell>
          <cell r="M3245" t="str">
            <v>FRANCISCO ROZENILDO PINHEIRO JUNIOR</v>
          </cell>
          <cell r="N3245" t="str">
            <v>DTA8767</v>
          </cell>
          <cell r="O3245" t="str">
            <v>2007</v>
          </cell>
          <cell r="P3245" t="str">
            <v>29</v>
          </cell>
          <cell r="Q3245" t="str">
            <v>27</v>
          </cell>
        </row>
        <row r="3246">
          <cell r="B3246" t="str">
            <v>5036/16</v>
          </cell>
          <cell r="C3246" t="str">
            <v>2016-0.051.259-0</v>
          </cell>
          <cell r="D3246" t="str">
            <v/>
          </cell>
          <cell r="E3246" t="str">
            <v/>
          </cell>
          <cell r="F3246" t="str">
            <v>ALTRUISTA TOUR LTDA - ME</v>
          </cell>
          <cell r="G3246" t="str">
            <v>25/02/2016</v>
          </cell>
          <cell r="H3246" t="str">
            <v>10/03/2016</v>
          </cell>
          <cell r="I3246" t="str">
            <v>33</v>
          </cell>
          <cell r="J3246" t="str">
            <v>PESSOA JURÍDICA</v>
          </cell>
          <cell r="K3246" t="str">
            <v>13.742.141/0001-21</v>
          </cell>
          <cell r="L3246" t="str">
            <v/>
          </cell>
          <cell r="M3246" t="str">
            <v/>
          </cell>
          <cell r="N3246" t="str">
            <v/>
          </cell>
          <cell r="O3246" t="str">
            <v/>
          </cell>
          <cell r="P3246" t="str">
            <v/>
          </cell>
          <cell r="Q3246" t="str">
            <v/>
          </cell>
        </row>
        <row r="3247">
          <cell r="B3247" t="str">
            <v>5037/16</v>
          </cell>
          <cell r="C3247" t="str">
            <v>2016-0.051.261-1</v>
          </cell>
          <cell r="D3247" t="str">
            <v>04/04/2016</v>
          </cell>
          <cell r="E3247" t="str">
            <v/>
          </cell>
          <cell r="F3247" t="str">
            <v>CARLOS EDUARDO DE ARAUJO - ME</v>
          </cell>
          <cell r="G3247" t="str">
            <v>08/03/2016</v>
          </cell>
          <cell r="H3247" t="str">
            <v>10/03/2016</v>
          </cell>
          <cell r="I3247" t="str">
            <v>33</v>
          </cell>
          <cell r="J3247" t="str">
            <v>PESSOA JURÍDICA</v>
          </cell>
          <cell r="K3247" t="str">
            <v>14.457.307/0001-20</v>
          </cell>
          <cell r="L3247" t="str">
            <v>G</v>
          </cell>
          <cell r="M3247" t="str">
            <v>ANA PAULA ROCHA TORRES</v>
          </cell>
          <cell r="N3247" t="str">
            <v>KVA3663</v>
          </cell>
          <cell r="O3247" t="str">
            <v>2008</v>
          </cell>
          <cell r="P3247" t="str">
            <v>25</v>
          </cell>
          <cell r="Q3247" t="str">
            <v>23</v>
          </cell>
        </row>
        <row r="3248">
          <cell r="B3248" t="str">
            <v>5037/16</v>
          </cell>
          <cell r="C3248" t="str">
            <v>2016-0.051.261-1</v>
          </cell>
          <cell r="D3248" t="str">
            <v>29/02/2016</v>
          </cell>
          <cell r="E3248" t="str">
            <v>29 de fevereiro de 2016</v>
          </cell>
          <cell r="F3248" t="str">
            <v>CARLOS EDUARDO DE ARAUJO - ME</v>
          </cell>
          <cell r="G3248" t="str">
            <v>08/03/2016</v>
          </cell>
          <cell r="H3248" t="str">
            <v>10/03/2016</v>
          </cell>
          <cell r="I3248" t="str">
            <v>33</v>
          </cell>
          <cell r="J3248" t="str">
            <v>PESSOA JURÍDICA</v>
          </cell>
          <cell r="K3248" t="str">
            <v>14.457.307/0001-20</v>
          </cell>
          <cell r="L3248" t="str">
            <v>PE</v>
          </cell>
          <cell r="M3248" t="str">
            <v>SERGIO DE ARAUJO GOMES</v>
          </cell>
          <cell r="N3248" t="str">
            <v>CZX6664</v>
          </cell>
          <cell r="O3248" t="str">
            <v>2002</v>
          </cell>
          <cell r="P3248" t="str">
            <v>25</v>
          </cell>
          <cell r="Q3248" t="str">
            <v>23</v>
          </cell>
        </row>
        <row r="3249">
          <cell r="B3249" t="str">
            <v>5037/16</v>
          </cell>
          <cell r="C3249" t="str">
            <v>2016-0.051.261-1</v>
          </cell>
          <cell r="D3249" t="str">
            <v/>
          </cell>
          <cell r="E3249" t="str">
            <v>08 de março de 2016</v>
          </cell>
          <cell r="F3249" t="str">
            <v>CARLOS EDUARDO DE ARAUJO - ME</v>
          </cell>
          <cell r="G3249" t="str">
            <v>08/03/2016</v>
          </cell>
          <cell r="H3249" t="str">
            <v>10/03/2016</v>
          </cell>
          <cell r="I3249" t="str">
            <v>33</v>
          </cell>
          <cell r="J3249" t="str">
            <v>PESSOA JURÍDICA</v>
          </cell>
          <cell r="K3249" t="str">
            <v>14.457.307/0001-20</v>
          </cell>
          <cell r="L3249" t="str">
            <v>MP</v>
          </cell>
          <cell r="M3249" t="str">
            <v>CARLOS EDUARDO DE ARAUJO</v>
          </cell>
          <cell r="N3249" t="str">
            <v>FUX0987</v>
          </cell>
          <cell r="O3249" t="str">
            <v>2014</v>
          </cell>
          <cell r="P3249" t="str">
            <v>10</v>
          </cell>
          <cell r="Q3249" t="str">
            <v>9</v>
          </cell>
        </row>
        <row r="3250">
          <cell r="B3250" t="str">
            <v>5038/16</v>
          </cell>
          <cell r="C3250" t="str">
            <v>2016-0.051.263-8</v>
          </cell>
          <cell r="D3250" t="str">
            <v>15/02/2016</v>
          </cell>
          <cell r="E3250" t="str">
            <v>24 de fevereiro de 2016</v>
          </cell>
          <cell r="F3250" t="str">
            <v>CARLA &amp; RAFAEL TRANSPORTE ESCOLAR LTDA - ME</v>
          </cell>
          <cell r="G3250" t="str">
            <v>24/02/2016</v>
          </cell>
          <cell r="H3250" t="str">
            <v>08/03/2016</v>
          </cell>
          <cell r="I3250" t="str">
            <v>28</v>
          </cell>
          <cell r="J3250" t="str">
            <v>PESSOA JURÍDICA</v>
          </cell>
          <cell r="K3250" t="str">
            <v>15.467.743/0001-43</v>
          </cell>
          <cell r="L3250" t="str">
            <v>JT</v>
          </cell>
          <cell r="M3250" t="str">
            <v>RAFAEL CARLOS ANTONIO</v>
          </cell>
          <cell r="N3250" t="str">
            <v>DTA4303</v>
          </cell>
          <cell r="O3250" t="str">
            <v>2007</v>
          </cell>
          <cell r="P3250" t="str">
            <v>25</v>
          </cell>
          <cell r="Q3250" t="str">
            <v>24</v>
          </cell>
        </row>
        <row r="3251">
          <cell r="B3251" t="str">
            <v>5039/16</v>
          </cell>
          <cell r="C3251" t="str">
            <v>2016-0.051.265-4</v>
          </cell>
          <cell r="D3251" t="str">
            <v>22/02/2016</v>
          </cell>
          <cell r="E3251" t="str">
            <v>24 de fevereiro de 2016</v>
          </cell>
          <cell r="F3251" t="str">
            <v>TRANS 2A TRANSPORTES &amp; LOCACAO LTDA - ME</v>
          </cell>
          <cell r="G3251" t="str">
            <v>24/02/2016</v>
          </cell>
          <cell r="H3251" t="str">
            <v>10/03/2016</v>
          </cell>
          <cell r="I3251" t="str">
            <v>33</v>
          </cell>
          <cell r="J3251" t="str">
            <v>PESSOA JURÍDICA</v>
          </cell>
          <cell r="K3251" t="str">
            <v>06.300.645/0001-26</v>
          </cell>
          <cell r="L3251" t="str">
            <v>JT</v>
          </cell>
          <cell r="M3251" t="str">
            <v>LEANDRO RODRIGUES DA SILVA</v>
          </cell>
          <cell r="N3251" t="str">
            <v>CZX9808</v>
          </cell>
          <cell r="O3251" t="str">
            <v>2003</v>
          </cell>
          <cell r="P3251" t="str">
            <v>25</v>
          </cell>
          <cell r="Q3251" t="str">
            <v>23</v>
          </cell>
        </row>
        <row r="3252">
          <cell r="B3252" t="str">
            <v>5039/16</v>
          </cell>
          <cell r="C3252" t="str">
            <v>2016-0.051.265-4</v>
          </cell>
          <cell r="D3252" t="str">
            <v/>
          </cell>
          <cell r="E3252" t="str">
            <v>13 de abril de 2016</v>
          </cell>
          <cell r="F3252" t="str">
            <v>TRANS 2A TRANSPORTES &amp; LOCACAO LTDA - ME</v>
          </cell>
          <cell r="G3252" t="str">
            <v>24/02/2016</v>
          </cell>
          <cell r="H3252" t="str">
            <v>10/03/2016</v>
          </cell>
          <cell r="I3252" t="str">
            <v>33</v>
          </cell>
          <cell r="J3252" t="str">
            <v>PESSOA JURÍDICA</v>
          </cell>
          <cell r="K3252" t="str">
            <v>06.300.645/0001-26</v>
          </cell>
          <cell r="L3252" t="str">
            <v>JT</v>
          </cell>
          <cell r="M3252" t="str">
            <v>AIRTON DE ANDRADE</v>
          </cell>
          <cell r="N3252" t="str">
            <v>CZC7781</v>
          </cell>
          <cell r="O3252" t="str">
            <v>2001</v>
          </cell>
          <cell r="P3252" t="str">
            <v>29</v>
          </cell>
          <cell r="Q3252" t="str">
            <v>27</v>
          </cell>
        </row>
        <row r="3253">
          <cell r="B3253" t="str">
            <v>5040/16</v>
          </cell>
          <cell r="C3253" t="str">
            <v>2016-0.051.907-1</v>
          </cell>
          <cell r="D3253" t="str">
            <v/>
          </cell>
          <cell r="E3253" t="str">
            <v>25 de abril de 2016</v>
          </cell>
          <cell r="F3253" t="str">
            <v>VIA LUZ TRANSPORTES DE PASSAGEIROS LTDA - EPP</v>
          </cell>
          <cell r="G3253" t="str">
            <v>13/04/2016</v>
          </cell>
          <cell r="H3253" t="str">
            <v>19/04/2016</v>
          </cell>
          <cell r="I3253" t="str">
            <v>30</v>
          </cell>
          <cell r="J3253" t="str">
            <v>PESSOA JURÍDICA</v>
          </cell>
          <cell r="K3253" t="str">
            <v>07.326.859/0001-34</v>
          </cell>
          <cell r="L3253" t="str">
            <v>SM</v>
          </cell>
          <cell r="M3253" t="str">
            <v>EDILSON BERNARDO DA SILVA</v>
          </cell>
          <cell r="N3253" t="str">
            <v>DTE4499</v>
          </cell>
          <cell r="O3253" t="str">
            <v>2008</v>
          </cell>
          <cell r="P3253" t="str">
            <v>11</v>
          </cell>
          <cell r="Q3253" t="str">
            <v>10</v>
          </cell>
        </row>
        <row r="3254">
          <cell r="B3254" t="str">
            <v>5040/16</v>
          </cell>
          <cell r="C3254" t="str">
            <v>2016-0.051.907-1</v>
          </cell>
          <cell r="D3254" t="str">
            <v/>
          </cell>
          <cell r="E3254" t="str">
            <v/>
          </cell>
          <cell r="F3254" t="str">
            <v>VIA LUZ TRANSPORTES DE PASSAGEIROS LTDA - EPP</v>
          </cell>
          <cell r="G3254" t="str">
            <v>13/04/2016</v>
          </cell>
          <cell r="H3254" t="str">
            <v>19/04/2016</v>
          </cell>
          <cell r="I3254" t="str">
            <v>30</v>
          </cell>
          <cell r="J3254" t="str">
            <v>PESSOA JURÍDICA</v>
          </cell>
          <cell r="K3254" t="str">
            <v>07.326.859/0001-34</v>
          </cell>
          <cell r="L3254" t="str">
            <v>JT</v>
          </cell>
          <cell r="M3254" t="str">
            <v>MARIA CELIA DE MOURA OLIVEIRA</v>
          </cell>
          <cell r="N3254" t="str">
            <v>FFN4025</v>
          </cell>
          <cell r="O3254" t="str">
            <v>2013</v>
          </cell>
          <cell r="P3254" t="str">
            <v>10</v>
          </cell>
          <cell r="Q3254" t="str">
            <v>9</v>
          </cell>
        </row>
        <row r="3255">
          <cell r="B3255" t="str">
            <v>5040/16</v>
          </cell>
          <cell r="C3255" t="str">
            <v>2016-0.051.907-1</v>
          </cell>
          <cell r="D3255" t="str">
            <v>01/03/2016</v>
          </cell>
          <cell r="E3255" t="str">
            <v>26 de abril de 2016</v>
          </cell>
          <cell r="F3255" t="str">
            <v>VIA LUZ TRANSPORTES DE PASSAGEIROS LTDA - EPP</v>
          </cell>
          <cell r="G3255" t="str">
            <v>13/04/2016</v>
          </cell>
          <cell r="H3255" t="str">
            <v>19/04/2016</v>
          </cell>
          <cell r="I3255" t="str">
            <v>30</v>
          </cell>
          <cell r="J3255" t="str">
            <v>PESSOA JURÍDICA</v>
          </cell>
          <cell r="K3255" t="str">
            <v>07.326.859/0001-34</v>
          </cell>
          <cell r="L3255" t="str">
            <v>SM</v>
          </cell>
          <cell r="M3255" t="str">
            <v>EDERSON RENATO DE OLIVEIRA</v>
          </cell>
          <cell r="N3255" t="str">
            <v>FFN4041</v>
          </cell>
          <cell r="O3255" t="str">
            <v>2013</v>
          </cell>
          <cell r="P3255" t="str">
            <v>10</v>
          </cell>
          <cell r="Q3255" t="str">
            <v>9</v>
          </cell>
        </row>
        <row r="3256">
          <cell r="B3256" t="str">
            <v>5040/16</v>
          </cell>
          <cell r="C3256" t="str">
            <v>2016-0.051.907-1</v>
          </cell>
          <cell r="D3256" t="str">
            <v/>
          </cell>
          <cell r="E3256" t="str">
            <v/>
          </cell>
          <cell r="F3256" t="str">
            <v>VIA LUZ TRANSPORTES DE PASSAGEIROS LTDA - EPP</v>
          </cell>
          <cell r="G3256" t="str">
            <v>13/04/2016</v>
          </cell>
          <cell r="H3256" t="str">
            <v>19/04/2016</v>
          </cell>
          <cell r="I3256" t="str">
            <v>30</v>
          </cell>
          <cell r="J3256" t="str">
            <v>PESSOA JURÍDICA</v>
          </cell>
          <cell r="K3256" t="str">
            <v>07.326.859/0001-34</v>
          </cell>
          <cell r="L3256" t="str">
            <v>JT</v>
          </cell>
          <cell r="M3256" t="str">
            <v>FRANCISCO VANDERLANIO DO NASCIMENTO</v>
          </cell>
          <cell r="N3256" t="str">
            <v>FFN4024</v>
          </cell>
          <cell r="O3256" t="str">
            <v>2013</v>
          </cell>
          <cell r="P3256" t="str">
            <v>10</v>
          </cell>
          <cell r="Q3256" t="str">
            <v>9</v>
          </cell>
        </row>
        <row r="3257">
          <cell r="B3257" t="str">
            <v>5040/16</v>
          </cell>
          <cell r="C3257" t="str">
            <v>2016-0.051.907-1</v>
          </cell>
          <cell r="D3257" t="str">
            <v>29/02/2016</v>
          </cell>
          <cell r="E3257" t="str">
            <v>13 de abril de 2016</v>
          </cell>
          <cell r="F3257" t="str">
            <v>VIA LUZ TRANSPORTES DE PASSAGEIROS LTDA - EPP</v>
          </cell>
          <cell r="G3257" t="str">
            <v>13/04/2016</v>
          </cell>
          <cell r="H3257" t="str">
            <v>19/04/2016</v>
          </cell>
          <cell r="I3257" t="str">
            <v>30</v>
          </cell>
          <cell r="J3257" t="str">
            <v>PESSOA JURÍDICA</v>
          </cell>
          <cell r="K3257" t="str">
            <v>07.326.859/0001-34</v>
          </cell>
          <cell r="L3257" t="str">
            <v>JT</v>
          </cell>
          <cell r="M3257" t="str">
            <v>BRUNA GOMES MONTEIRO</v>
          </cell>
          <cell r="N3257" t="str">
            <v>FFN4042</v>
          </cell>
          <cell r="O3257" t="str">
            <v>2013</v>
          </cell>
          <cell r="P3257" t="str">
            <v>10</v>
          </cell>
          <cell r="Q3257" t="str">
            <v>9</v>
          </cell>
        </row>
        <row r="3258">
          <cell r="B3258" t="str">
            <v>5040/16</v>
          </cell>
          <cell r="C3258" t="str">
            <v>2016-0.051.907-1</v>
          </cell>
          <cell r="D3258" t="str">
            <v>11/04/2016</v>
          </cell>
          <cell r="E3258" t="str">
            <v>13 de abril de 2016</v>
          </cell>
          <cell r="F3258" t="str">
            <v>VIA LUZ TRANSPORTES DE PASSAGEIROS LTDA - EPP</v>
          </cell>
          <cell r="G3258" t="str">
            <v>13/04/2016</v>
          </cell>
          <cell r="H3258" t="str">
            <v>19/04/2016</v>
          </cell>
          <cell r="I3258" t="str">
            <v>30</v>
          </cell>
          <cell r="J3258" t="str">
            <v>PESSOA JURÍDICA</v>
          </cell>
          <cell r="K3258" t="str">
            <v>07.326.859/0001-34</v>
          </cell>
          <cell r="L3258" t="str">
            <v>JT</v>
          </cell>
          <cell r="M3258" t="str">
            <v>JOAO PAULO MERCANTE</v>
          </cell>
          <cell r="N3258" t="str">
            <v>FDY4600</v>
          </cell>
          <cell r="O3258" t="str">
            <v>2014</v>
          </cell>
          <cell r="P3258" t="str">
            <v>10</v>
          </cell>
          <cell r="Q3258" t="str">
            <v>9</v>
          </cell>
        </row>
        <row r="3259">
          <cell r="B3259" t="str">
            <v>5040/16</v>
          </cell>
          <cell r="C3259" t="str">
            <v>2016-0.051.907-1</v>
          </cell>
          <cell r="D3259" t="str">
            <v>01/04/2016</v>
          </cell>
          <cell r="E3259" t="str">
            <v>27 de abril de 2016</v>
          </cell>
          <cell r="F3259" t="str">
            <v>VIA LUZ TRANSPORTES DE PASSAGEIROS LTDA - EPP</v>
          </cell>
          <cell r="G3259" t="str">
            <v>13/04/2016</v>
          </cell>
          <cell r="H3259" t="str">
            <v>19/04/2016</v>
          </cell>
          <cell r="I3259" t="str">
            <v>30</v>
          </cell>
          <cell r="J3259" t="str">
            <v>PESSOA JURÍDICA</v>
          </cell>
          <cell r="K3259" t="str">
            <v>07.326.859/0001-34</v>
          </cell>
          <cell r="L3259" t="str">
            <v>SM</v>
          </cell>
          <cell r="M3259" t="str">
            <v>GILBERTO DIAS DA SILVA</v>
          </cell>
          <cell r="N3259" t="str">
            <v>GAB7819</v>
          </cell>
          <cell r="O3259" t="str">
            <v>2015</v>
          </cell>
          <cell r="P3259" t="str">
            <v>27</v>
          </cell>
          <cell r="Q3259" t="str">
            <v>26</v>
          </cell>
        </row>
        <row r="3260">
          <cell r="B3260" t="str">
            <v>5040/16</v>
          </cell>
          <cell r="C3260" t="str">
            <v>2016-0.051.907-1</v>
          </cell>
          <cell r="D3260" t="str">
            <v/>
          </cell>
          <cell r="E3260" t="str">
            <v>27 de abril de 2016</v>
          </cell>
          <cell r="F3260" t="str">
            <v>VIA LUZ TRANSPORTES DE PASSAGEIROS LTDA - EPP</v>
          </cell>
          <cell r="G3260" t="str">
            <v>13/04/2016</v>
          </cell>
          <cell r="H3260" t="str">
            <v>19/04/2016</v>
          </cell>
          <cell r="I3260" t="str">
            <v>30</v>
          </cell>
          <cell r="J3260" t="str">
            <v>PESSOA JURÍDICA</v>
          </cell>
          <cell r="K3260" t="str">
            <v>07.326.859/0001-34</v>
          </cell>
          <cell r="L3260" t="str">
            <v>SM</v>
          </cell>
          <cell r="M3260" t="str">
            <v>JOSE LEONIDAS BASTOS DOS SANTOS</v>
          </cell>
          <cell r="N3260" t="str">
            <v>EMU7451</v>
          </cell>
          <cell r="O3260" t="str">
            <v>2012</v>
          </cell>
          <cell r="P3260" t="str">
            <v>15</v>
          </cell>
          <cell r="Q3260" t="str">
            <v>14</v>
          </cell>
        </row>
        <row r="3261">
          <cell r="B3261" t="str">
            <v>5040/16</v>
          </cell>
          <cell r="C3261" t="str">
            <v>2016-0.051.907-1</v>
          </cell>
          <cell r="D3261" t="str">
            <v/>
          </cell>
          <cell r="E3261" t="str">
            <v/>
          </cell>
          <cell r="F3261" t="str">
            <v>VIA LUZ TRANSPORTES DE PASSAGEIROS LTDA - EPP</v>
          </cell>
          <cell r="G3261" t="str">
            <v>13/04/2016</v>
          </cell>
          <cell r="H3261" t="str">
            <v>19/04/2016</v>
          </cell>
          <cell r="I3261" t="str">
            <v>30</v>
          </cell>
          <cell r="J3261" t="str">
            <v>PESSOA JURÍDICA</v>
          </cell>
          <cell r="K3261" t="str">
            <v>07.326.859/0001-34</v>
          </cell>
          <cell r="L3261" t="str">
            <v>SM</v>
          </cell>
          <cell r="M3261" t="str">
            <v>ADALBERTO RIBEIRO DE SOUZA</v>
          </cell>
          <cell r="N3261" t="str">
            <v>EFW5730</v>
          </cell>
          <cell r="O3261" t="str">
            <v>2010</v>
          </cell>
          <cell r="P3261" t="str">
            <v>10</v>
          </cell>
          <cell r="Q3261" t="str">
            <v>9</v>
          </cell>
        </row>
        <row r="3262">
          <cell r="B3262" t="str">
            <v>5040/16</v>
          </cell>
          <cell r="C3262" t="str">
            <v>2016-0.051.907-1</v>
          </cell>
          <cell r="D3262" t="str">
            <v>29/02/2016</v>
          </cell>
          <cell r="E3262" t="str">
            <v/>
          </cell>
          <cell r="F3262" t="str">
            <v>VIA LUZ TRANSPORTES DE PASSAGEIROS LTDA - EPP</v>
          </cell>
          <cell r="G3262" t="str">
            <v>13/04/2016</v>
          </cell>
          <cell r="H3262" t="str">
            <v>19/04/2016</v>
          </cell>
          <cell r="I3262" t="str">
            <v>30</v>
          </cell>
          <cell r="J3262" t="str">
            <v>PESSOA JURÍDICA</v>
          </cell>
          <cell r="K3262" t="str">
            <v>07.326.859/0001-34</v>
          </cell>
          <cell r="L3262" t="str">
            <v>PE</v>
          </cell>
          <cell r="M3262" t="str">
            <v>SANDRA MARIA LOURENCO SANTOS</v>
          </cell>
          <cell r="N3262" t="str">
            <v>EMU7111</v>
          </cell>
          <cell r="O3262" t="str">
            <v>2012</v>
          </cell>
          <cell r="P3262" t="str">
            <v>10</v>
          </cell>
          <cell r="Q3262" t="str">
            <v>9</v>
          </cell>
        </row>
        <row r="3263">
          <cell r="B3263" t="str">
            <v>5040/16</v>
          </cell>
          <cell r="C3263" t="str">
            <v>2016-0.051.907-1</v>
          </cell>
          <cell r="D3263" t="str">
            <v/>
          </cell>
          <cell r="E3263" t="str">
            <v/>
          </cell>
          <cell r="F3263" t="str">
            <v>VIA LUZ TRANSPORTES DE PASSAGEIROS LTDA - EPP</v>
          </cell>
          <cell r="G3263" t="str">
            <v>13/04/2016</v>
          </cell>
          <cell r="H3263" t="str">
            <v>19/04/2016</v>
          </cell>
          <cell r="I3263" t="str">
            <v>30</v>
          </cell>
          <cell r="J3263" t="str">
            <v>PESSOA JURÍDICA</v>
          </cell>
          <cell r="K3263" t="str">
            <v>07.326.859/0001-34</v>
          </cell>
          <cell r="L3263" t="str">
            <v>JT</v>
          </cell>
          <cell r="M3263" t="str">
            <v>EDNEY BARBOSA FERRAZ</v>
          </cell>
          <cell r="N3263" t="str">
            <v>FFN4023</v>
          </cell>
          <cell r="O3263" t="str">
            <v>2013</v>
          </cell>
          <cell r="P3263" t="str">
            <v>10</v>
          </cell>
          <cell r="Q3263" t="str">
            <v>9</v>
          </cell>
        </row>
        <row r="3264">
          <cell r="B3264" t="str">
            <v>5040/16</v>
          </cell>
          <cell r="C3264" t="str">
            <v>2016-0.051.907-1</v>
          </cell>
          <cell r="D3264" t="str">
            <v/>
          </cell>
          <cell r="E3264" t="str">
            <v>27 de abril de 2016</v>
          </cell>
          <cell r="F3264" t="str">
            <v>VIA LUZ TRANSPORTES DE PASSAGEIROS LTDA - EPP</v>
          </cell>
          <cell r="G3264" t="str">
            <v>13/04/2016</v>
          </cell>
          <cell r="H3264" t="str">
            <v>19/04/2016</v>
          </cell>
          <cell r="I3264" t="str">
            <v>30</v>
          </cell>
          <cell r="J3264" t="str">
            <v>PESSOA JURÍDICA</v>
          </cell>
          <cell r="K3264" t="str">
            <v>07.326.859/0001-34</v>
          </cell>
          <cell r="L3264" t="str">
            <v>SM</v>
          </cell>
          <cell r="M3264" t="str">
            <v>MARILENE JESUS DA SILVA PINHO</v>
          </cell>
          <cell r="N3264" t="str">
            <v>ECT6240</v>
          </cell>
          <cell r="O3264" t="str">
            <v>2008</v>
          </cell>
          <cell r="P3264" t="str">
            <v>11</v>
          </cell>
          <cell r="Q3264" t="str">
            <v>10</v>
          </cell>
        </row>
        <row r="3265">
          <cell r="B3265" t="str">
            <v>5041/16</v>
          </cell>
          <cell r="C3265" t="str">
            <v>2016-0.051.911-0</v>
          </cell>
          <cell r="D3265" t="str">
            <v/>
          </cell>
          <cell r="E3265" t="str">
            <v>07 de março de 2016</v>
          </cell>
          <cell r="F3265" t="str">
            <v>J.D. TRANSPORTE ESCOLAR LTDA - ME</v>
          </cell>
          <cell r="G3265" t="str">
            <v>07/03/2016</v>
          </cell>
          <cell r="H3265" t="str">
            <v>08/03/2016</v>
          </cell>
          <cell r="I3265" t="str">
            <v>28</v>
          </cell>
          <cell r="J3265" t="str">
            <v>PESSOA JURÍDICA</v>
          </cell>
          <cell r="K3265" t="str">
            <v>04.566.526/0001-94</v>
          </cell>
          <cell r="L3265" t="str">
            <v>SM</v>
          </cell>
          <cell r="M3265" t="str">
            <v>JOSE JULIO DE OLIVEIRA</v>
          </cell>
          <cell r="N3265" t="str">
            <v>DTC3778</v>
          </cell>
          <cell r="O3265" t="str">
            <v>2008</v>
          </cell>
          <cell r="P3265" t="str">
            <v>29</v>
          </cell>
          <cell r="Q3265" t="str">
            <v>27</v>
          </cell>
        </row>
        <row r="3266">
          <cell r="B3266" t="str">
            <v>5042/16</v>
          </cell>
          <cell r="C3266" t="str">
            <v>2016-0.051.918-7</v>
          </cell>
          <cell r="D3266" t="str">
            <v>25/02/2016</v>
          </cell>
          <cell r="E3266" t="str">
            <v>25 de fevereiro de 2016</v>
          </cell>
          <cell r="F3266" t="str">
            <v>LUIZA MARIA DE CRISTOFARO PALANDRANE - ME</v>
          </cell>
          <cell r="G3266" t="str">
            <v>25/02/2016</v>
          </cell>
          <cell r="H3266" t="str">
            <v>10/03/2016</v>
          </cell>
          <cell r="I3266" t="str">
            <v>33</v>
          </cell>
          <cell r="J3266" t="str">
            <v>PESSOA JURÍDICA</v>
          </cell>
          <cell r="K3266" t="str">
            <v>13.710.706/0001-99</v>
          </cell>
          <cell r="L3266" t="str">
            <v>IQ</v>
          </cell>
          <cell r="M3266" t="str">
            <v>FABIO ROBERTO PALANDRANE</v>
          </cell>
          <cell r="N3266" t="str">
            <v>EFB1069</v>
          </cell>
          <cell r="O3266" t="str">
            <v>2008</v>
          </cell>
          <cell r="P3266" t="str">
            <v>10</v>
          </cell>
          <cell r="Q3266" t="str">
            <v>9</v>
          </cell>
        </row>
        <row r="3267">
          <cell r="B3267" t="str">
            <v>5043/16</v>
          </cell>
          <cell r="C3267" t="str">
            <v>2016-0.051.923-3</v>
          </cell>
          <cell r="D3267" t="str">
            <v/>
          </cell>
          <cell r="E3267" t="str">
            <v>08 de março de 2016</v>
          </cell>
          <cell r="F3267" t="str">
            <v>LIGIA CRISTINA DE OLIVEIRA TRANSPORTE ESCOLAR - ME</v>
          </cell>
          <cell r="G3267" t="str">
            <v>08/03/2016</v>
          </cell>
          <cell r="H3267" t="str">
            <v>10/03/2016</v>
          </cell>
          <cell r="I3267" t="str">
            <v>33</v>
          </cell>
          <cell r="J3267" t="str">
            <v>PESSOA JURÍDICA</v>
          </cell>
          <cell r="K3267" t="str">
            <v>11.795.076/0001-77</v>
          </cell>
          <cell r="L3267" t="str">
            <v>IQ</v>
          </cell>
          <cell r="M3267" t="str">
            <v>LIGIA CRISTINA DE OLIVEIRA</v>
          </cell>
          <cell r="N3267" t="str">
            <v>EWO9423</v>
          </cell>
          <cell r="O3267" t="str">
            <v>2011</v>
          </cell>
          <cell r="P3267" t="str">
            <v>27</v>
          </cell>
          <cell r="Q3267" t="str">
            <v>26</v>
          </cell>
        </row>
        <row r="3268">
          <cell r="B3268" t="str">
            <v>5044/16</v>
          </cell>
          <cell r="C3268" t="str">
            <v>2016-0.051.931-4</v>
          </cell>
          <cell r="D3268" t="str">
            <v>21/03/2016</v>
          </cell>
          <cell r="E3268" t="str">
            <v>12 de abril de 2016</v>
          </cell>
          <cell r="F3268" t="str">
            <v>RENALUZ TRANSPORTES LTDA - ME</v>
          </cell>
          <cell r="G3268" t="str">
            <v>12/04/2016</v>
          </cell>
          <cell r="H3268" t="str">
            <v>13/04/2016</v>
          </cell>
          <cell r="I3268" t="str">
            <v>51</v>
          </cell>
          <cell r="J3268" t="str">
            <v>PESSOA JURÍDICA</v>
          </cell>
          <cell r="K3268" t="str">
            <v>20.883.323/0001-88</v>
          </cell>
          <cell r="L3268" t="str">
            <v>IQ</v>
          </cell>
          <cell r="M3268" t="str">
            <v>LUZANIRA FERREIRA NORONHA</v>
          </cell>
          <cell r="N3268" t="str">
            <v>DTC4096</v>
          </cell>
          <cell r="O3268" t="str">
            <v>2008</v>
          </cell>
          <cell r="P3268" t="str">
            <v>29</v>
          </cell>
          <cell r="Q3268" t="str">
            <v>27</v>
          </cell>
        </row>
        <row r="3269">
          <cell r="B3269" t="str">
            <v>5044/16</v>
          </cell>
          <cell r="C3269" t="str">
            <v>2016-0.051.931-4</v>
          </cell>
          <cell r="D3269" t="str">
            <v>07/03/2016</v>
          </cell>
          <cell r="E3269" t="str">
            <v>12 de abril de 2016</v>
          </cell>
          <cell r="F3269" t="str">
            <v>RENALUZ TRANSPORTES LTDA - ME</v>
          </cell>
          <cell r="G3269" t="str">
            <v>12/04/2016</v>
          </cell>
          <cell r="H3269" t="str">
            <v>13/04/2016</v>
          </cell>
          <cell r="I3269" t="str">
            <v>51</v>
          </cell>
          <cell r="J3269" t="str">
            <v>PESSOA JURÍDICA</v>
          </cell>
          <cell r="K3269" t="str">
            <v>20.883.323/0001-88</v>
          </cell>
          <cell r="L3269" t="str">
            <v>G</v>
          </cell>
          <cell r="M3269" t="str">
            <v>SUE ELLEN GOMES DA SILVA</v>
          </cell>
          <cell r="N3269" t="str">
            <v>FZQ3960</v>
          </cell>
          <cell r="O3269" t="str">
            <v>2015</v>
          </cell>
          <cell r="P3269" t="str">
            <v>10</v>
          </cell>
          <cell r="Q3269" t="str">
            <v>9</v>
          </cell>
        </row>
        <row r="3270">
          <cell r="B3270" t="str">
            <v>5044/16</v>
          </cell>
          <cell r="C3270" t="str">
            <v>2016-0.051.931-4</v>
          </cell>
          <cell r="D3270" t="str">
            <v>21/03/2016</v>
          </cell>
          <cell r="E3270" t="str">
            <v>12 de abril de 2016</v>
          </cell>
          <cell r="F3270" t="str">
            <v>RENALUZ TRANSPORTES LTDA - ME</v>
          </cell>
          <cell r="G3270" t="str">
            <v>12/04/2016</v>
          </cell>
          <cell r="H3270" t="str">
            <v>13/04/2016</v>
          </cell>
          <cell r="I3270" t="str">
            <v>51</v>
          </cell>
          <cell r="J3270" t="str">
            <v>PESSOA JURÍDICA</v>
          </cell>
          <cell r="K3270" t="str">
            <v>20.883.323/0001-88</v>
          </cell>
          <cell r="L3270" t="str">
            <v>G</v>
          </cell>
          <cell r="M3270" t="str">
            <v>REGINALDO GOMES DA SILVA</v>
          </cell>
          <cell r="N3270" t="str">
            <v>EXM2499</v>
          </cell>
          <cell r="O3270" t="str">
            <v>2013</v>
          </cell>
          <cell r="P3270" t="str">
            <v>19</v>
          </cell>
          <cell r="Q3270" t="str">
            <v>18</v>
          </cell>
        </row>
        <row r="3271">
          <cell r="B3271" t="str">
            <v>5045/16</v>
          </cell>
          <cell r="C3271" t="str">
            <v>2016-0.051.930-6</v>
          </cell>
          <cell r="D3271" t="str">
            <v/>
          </cell>
          <cell r="E3271" t="str">
            <v>12 de abril de 2016</v>
          </cell>
          <cell r="F3271" t="str">
            <v>JOSE EDUARDO FERREIRA TAVARES TRANSPORTES - ME</v>
          </cell>
          <cell r="G3271" t="str">
            <v>21/03/2016</v>
          </cell>
          <cell r="H3271" t="str">
            <v>09/04/2016</v>
          </cell>
          <cell r="I3271" t="str">
            <v>33</v>
          </cell>
          <cell r="J3271" t="str">
            <v>PESSOA JURÍDICA</v>
          </cell>
          <cell r="K3271" t="str">
            <v>01.487.025/0001-24</v>
          </cell>
          <cell r="L3271" t="str">
            <v>PJ</v>
          </cell>
          <cell r="M3271" t="str">
            <v>JOAO SANTOS DE OLIVEIRA</v>
          </cell>
          <cell r="N3271" t="str">
            <v>CZX5563</v>
          </cell>
          <cell r="O3271" t="str">
            <v>2002</v>
          </cell>
          <cell r="P3271" t="str">
            <v>25</v>
          </cell>
          <cell r="Q3271" t="str">
            <v>23</v>
          </cell>
        </row>
        <row r="3272">
          <cell r="B3272" t="str">
            <v>5045/16</v>
          </cell>
          <cell r="C3272" t="str">
            <v>2016-0.051.930-6</v>
          </cell>
          <cell r="D3272" t="str">
            <v/>
          </cell>
          <cell r="E3272" t="str">
            <v>21 de março de 2016</v>
          </cell>
          <cell r="F3272" t="str">
            <v>JOSE EDUARDO FERREIRA TAVARES TRANSPORTES - ME</v>
          </cell>
          <cell r="G3272" t="str">
            <v>21/03/2016</v>
          </cell>
          <cell r="H3272" t="str">
            <v>09/04/2016</v>
          </cell>
          <cell r="I3272" t="str">
            <v>33</v>
          </cell>
          <cell r="J3272" t="str">
            <v>PESSOA JURÍDICA</v>
          </cell>
          <cell r="K3272" t="str">
            <v>01.487.025/0001-24</v>
          </cell>
          <cell r="L3272" t="str">
            <v>PJ</v>
          </cell>
          <cell r="M3272" t="str">
            <v>JOAO DOS SANTOS MACEDO</v>
          </cell>
          <cell r="N3272" t="str">
            <v>ELW3931</v>
          </cell>
          <cell r="O3272" t="str">
            <v>2012</v>
          </cell>
          <cell r="P3272" t="str">
            <v>24</v>
          </cell>
          <cell r="Q3272" t="str">
            <v>23</v>
          </cell>
        </row>
        <row r="3273">
          <cell r="B3273" t="str">
            <v>5045/16</v>
          </cell>
          <cell r="C3273" t="str">
            <v>2016-0.051.930-6</v>
          </cell>
          <cell r="D3273" t="str">
            <v>18/02/2016</v>
          </cell>
          <cell r="E3273" t="str">
            <v>21 de março de 2016</v>
          </cell>
          <cell r="F3273" t="str">
            <v>JOSE EDUARDO FERREIRA TAVARES TRANSPORTES - ME</v>
          </cell>
          <cell r="G3273" t="str">
            <v>21/03/2016</v>
          </cell>
          <cell r="H3273" t="str">
            <v>09/04/2016</v>
          </cell>
          <cell r="I3273" t="str">
            <v>33</v>
          </cell>
          <cell r="J3273" t="str">
            <v>PESSOA JURÍDICA</v>
          </cell>
          <cell r="K3273" t="str">
            <v>01.487.025/0001-24</v>
          </cell>
          <cell r="L3273" t="str">
            <v>PJ</v>
          </cell>
          <cell r="M3273" t="str">
            <v>JOSE EDUARDO FERREIRA TAVARES</v>
          </cell>
          <cell r="N3273" t="str">
            <v>CLJ6370</v>
          </cell>
          <cell r="O3273" t="str">
            <v>2001</v>
          </cell>
          <cell r="P3273" t="str">
            <v>27</v>
          </cell>
          <cell r="Q3273" t="str">
            <v>25</v>
          </cell>
        </row>
        <row r="3274">
          <cell r="B3274" t="str">
            <v>5046/16</v>
          </cell>
          <cell r="C3274" t="str">
            <v>2016-0.051.933-0</v>
          </cell>
          <cell r="D3274" t="str">
            <v>15/02/2016</v>
          </cell>
          <cell r="E3274" t="str">
            <v>24 de fevereiro de 2016</v>
          </cell>
          <cell r="F3274" t="str">
            <v>DANILO ROBERTO DONINI - ME</v>
          </cell>
          <cell r="G3274" t="str">
            <v>24/02/2016</v>
          </cell>
          <cell r="H3274" t="str">
            <v>08/03/2016</v>
          </cell>
          <cell r="I3274" t="str">
            <v>28</v>
          </cell>
          <cell r="J3274" t="str">
            <v>PESSOA JURÍDICA</v>
          </cell>
          <cell r="K3274" t="str">
            <v>13.917.450/0001-95</v>
          </cell>
          <cell r="L3274" t="str">
            <v>PE</v>
          </cell>
          <cell r="M3274" t="str">
            <v>DANILO ROBERTO DONINI</v>
          </cell>
          <cell r="N3274" t="str">
            <v>DTE4030</v>
          </cell>
          <cell r="O3274" t="str">
            <v>2008</v>
          </cell>
          <cell r="P3274" t="str">
            <v>11</v>
          </cell>
          <cell r="Q3274" t="str">
            <v>10</v>
          </cell>
        </row>
        <row r="3275">
          <cell r="B3275" t="str">
            <v>5047/16</v>
          </cell>
          <cell r="C3275" t="str">
            <v>2016-0.051.883-0</v>
          </cell>
          <cell r="D3275" t="str">
            <v>22/02/2016</v>
          </cell>
          <cell r="E3275" t="str">
            <v>29 de fevereiro de 2016</v>
          </cell>
          <cell r="F3275" t="str">
            <v>4.AZAS TRASNPORTES LTDA - ME</v>
          </cell>
          <cell r="G3275" t="str">
            <v>29/02/2016</v>
          </cell>
          <cell r="H3275" t="str">
            <v>19/03/2016</v>
          </cell>
          <cell r="I3275" t="str">
            <v>34</v>
          </cell>
          <cell r="J3275" t="str">
            <v>PESSOA JURÍDICA</v>
          </cell>
          <cell r="K3275" t="str">
            <v>17.831.112/0001-97</v>
          </cell>
          <cell r="L3275" t="str">
            <v>CS</v>
          </cell>
          <cell r="M3275" t="str">
            <v>ALVARO XAVIER DE SOUZA</v>
          </cell>
          <cell r="N3275" t="str">
            <v>DTC1077</v>
          </cell>
          <cell r="O3275" t="str">
            <v>2007</v>
          </cell>
          <cell r="P3275" t="str">
            <v>29</v>
          </cell>
          <cell r="Q3275" t="str">
            <v>27</v>
          </cell>
        </row>
        <row r="3276">
          <cell r="B3276" t="str">
            <v>5048/16</v>
          </cell>
          <cell r="C3276" t="str">
            <v>2016-0.051.887-3</v>
          </cell>
          <cell r="D3276" t="str">
            <v/>
          </cell>
          <cell r="E3276" t="str">
            <v>04 de abril de 2016</v>
          </cell>
          <cell r="F3276" t="str">
            <v>P R SELIS TRANSPORTES - ME</v>
          </cell>
          <cell r="G3276" t="str">
            <v>29/02/2016</v>
          </cell>
          <cell r="H3276" t="str">
            <v>18/03/2016</v>
          </cell>
          <cell r="I3276" t="str">
            <v>25</v>
          </cell>
          <cell r="J3276" t="str">
            <v>PESSOA JURÍDICA</v>
          </cell>
          <cell r="K3276" t="str">
            <v>12.003.681/0001-20</v>
          </cell>
          <cell r="L3276" t="str">
            <v>CS</v>
          </cell>
          <cell r="M3276" t="str">
            <v>KARINA MENDES PEREIRA</v>
          </cell>
          <cell r="N3276" t="str">
            <v>EFW6734</v>
          </cell>
          <cell r="O3276" t="str">
            <v>2011</v>
          </cell>
          <cell r="P3276" t="str">
            <v>10</v>
          </cell>
          <cell r="Q3276" t="str">
            <v>9</v>
          </cell>
        </row>
        <row r="3277">
          <cell r="B3277" t="str">
            <v>5048/16</v>
          </cell>
          <cell r="C3277" t="str">
            <v>2016-0.051.887-3</v>
          </cell>
          <cell r="D3277" t="str">
            <v/>
          </cell>
          <cell r="E3277" t="str">
            <v/>
          </cell>
          <cell r="F3277" t="str">
            <v>P R SELIS TRANSPORTES - ME</v>
          </cell>
          <cell r="G3277" t="str">
            <v>29/02/2016</v>
          </cell>
          <cell r="H3277" t="str">
            <v>18/03/2016</v>
          </cell>
          <cell r="I3277" t="str">
            <v>25</v>
          </cell>
          <cell r="J3277" t="str">
            <v>PESSOA JURÍDICA</v>
          </cell>
          <cell r="K3277" t="str">
            <v>12.003.681/0001-20</v>
          </cell>
          <cell r="L3277" t="str">
            <v>CL</v>
          </cell>
          <cell r="M3277" t="str">
            <v>ANDRE MACHADO DE BORBA</v>
          </cell>
          <cell r="N3277" t="str">
            <v>EZN4996</v>
          </cell>
          <cell r="O3277" t="str">
            <v>2012</v>
          </cell>
          <cell r="P3277" t="str">
            <v>10</v>
          </cell>
          <cell r="Q3277" t="str">
            <v>9</v>
          </cell>
        </row>
        <row r="3278">
          <cell r="B3278" t="str">
            <v>5048/16</v>
          </cell>
          <cell r="C3278" t="str">
            <v>2016-0.051.887-3</v>
          </cell>
          <cell r="D3278" t="str">
            <v/>
          </cell>
          <cell r="E3278" t="str">
            <v>09 de março de 2016</v>
          </cell>
          <cell r="F3278" t="str">
            <v>P R SELIS TRANSPORTES - ME</v>
          </cell>
          <cell r="G3278" t="str">
            <v>29/02/2016</v>
          </cell>
          <cell r="H3278" t="str">
            <v>18/03/2016</v>
          </cell>
          <cell r="I3278" t="str">
            <v>25</v>
          </cell>
          <cell r="J3278" t="str">
            <v>PESSOA JURÍDICA</v>
          </cell>
          <cell r="K3278" t="str">
            <v>12.003.681/0001-20</v>
          </cell>
          <cell r="L3278" t="str">
            <v>CL</v>
          </cell>
          <cell r="M3278" t="str">
            <v>ZEZITO GONCALVES DOS SANTOS</v>
          </cell>
          <cell r="N3278" t="str">
            <v>FJB9423</v>
          </cell>
          <cell r="O3278" t="str">
            <v>2014</v>
          </cell>
          <cell r="P3278" t="str">
            <v>10</v>
          </cell>
          <cell r="Q3278" t="str">
            <v>9</v>
          </cell>
        </row>
        <row r="3279">
          <cell r="B3279" t="str">
            <v>5048/16</v>
          </cell>
          <cell r="C3279" t="str">
            <v>2016-0.051.887-3</v>
          </cell>
          <cell r="D3279" t="str">
            <v>01/02/2016</v>
          </cell>
          <cell r="E3279" t="str">
            <v>08 de abril de 2016</v>
          </cell>
          <cell r="F3279" t="str">
            <v>P R SELIS TRANSPORTES - ME</v>
          </cell>
          <cell r="G3279" t="str">
            <v>29/02/2016</v>
          </cell>
          <cell r="H3279" t="str">
            <v>18/03/2016</v>
          </cell>
          <cell r="I3279" t="str">
            <v>25</v>
          </cell>
          <cell r="J3279" t="str">
            <v>PESSOA JURÍDICA</v>
          </cell>
          <cell r="K3279" t="str">
            <v>12.003.681/0001-20</v>
          </cell>
          <cell r="L3279" t="str">
            <v>CS</v>
          </cell>
          <cell r="M3279" t="str">
            <v>JOSE MARIVALDO DA SILVA REIS</v>
          </cell>
          <cell r="N3279" t="str">
            <v>EFU9113</v>
          </cell>
          <cell r="O3279" t="str">
            <v>2010</v>
          </cell>
          <cell r="P3279" t="str">
            <v>10</v>
          </cell>
          <cell r="Q3279" t="str">
            <v>9</v>
          </cell>
        </row>
        <row r="3280">
          <cell r="B3280" t="str">
            <v>5048/16</v>
          </cell>
          <cell r="C3280" t="str">
            <v>2016-0.051.887-3</v>
          </cell>
          <cell r="D3280" t="str">
            <v>30/01/2016</v>
          </cell>
          <cell r="E3280" t="str">
            <v>29 de fevereiro de 2016</v>
          </cell>
          <cell r="F3280" t="str">
            <v>P R SELIS TRANSPORTES - ME</v>
          </cell>
          <cell r="G3280" t="str">
            <v>29/02/2016</v>
          </cell>
          <cell r="H3280" t="str">
            <v>18/03/2016</v>
          </cell>
          <cell r="I3280" t="str">
            <v>25</v>
          </cell>
          <cell r="J3280" t="str">
            <v>PESSOA JURÍDICA</v>
          </cell>
          <cell r="K3280" t="str">
            <v>12.003.681/0001-20</v>
          </cell>
          <cell r="L3280" t="str">
            <v>CS</v>
          </cell>
          <cell r="M3280" t="str">
            <v>AURELIANO MACHADO DE BORBA</v>
          </cell>
          <cell r="N3280" t="str">
            <v>EFU9114</v>
          </cell>
          <cell r="O3280" t="str">
            <v>2010</v>
          </cell>
          <cell r="P3280" t="str">
            <v>10</v>
          </cell>
          <cell r="Q3280" t="str">
            <v>9</v>
          </cell>
        </row>
        <row r="3281">
          <cell r="B3281" t="str">
            <v>5048/16</v>
          </cell>
          <cell r="C3281" t="str">
            <v>2016-0.051.887-3</v>
          </cell>
          <cell r="D3281" t="str">
            <v>11/02/2016</v>
          </cell>
          <cell r="E3281" t="str">
            <v>29 de fevereiro de 2016</v>
          </cell>
          <cell r="F3281" t="str">
            <v>P R SELIS TRANSPORTES - ME</v>
          </cell>
          <cell r="G3281" t="str">
            <v>29/02/2016</v>
          </cell>
          <cell r="H3281" t="str">
            <v>18/03/2016</v>
          </cell>
          <cell r="I3281" t="str">
            <v>25</v>
          </cell>
          <cell r="J3281" t="str">
            <v>PESSOA JURÍDICA</v>
          </cell>
          <cell r="K3281" t="str">
            <v>12.003.681/0001-20</v>
          </cell>
          <cell r="L3281" t="str">
            <v>CL</v>
          </cell>
          <cell r="M3281" t="str">
            <v>WANDERSON GERALDO ALVES DE SOUZA</v>
          </cell>
          <cell r="N3281" t="str">
            <v>EFU9115</v>
          </cell>
          <cell r="O3281" t="str">
            <v>2010</v>
          </cell>
          <cell r="P3281" t="str">
            <v>10</v>
          </cell>
          <cell r="Q3281" t="str">
            <v>9</v>
          </cell>
        </row>
        <row r="3282">
          <cell r="B3282" t="str">
            <v>5048/16</v>
          </cell>
          <cell r="C3282" t="str">
            <v>2016-0.051.887-3</v>
          </cell>
          <cell r="D3282" t="str">
            <v>27/02/2016</v>
          </cell>
          <cell r="E3282" t="str">
            <v>29 de fevereiro de 2016</v>
          </cell>
          <cell r="F3282" t="str">
            <v>P R SELIS TRANSPORTES - ME</v>
          </cell>
          <cell r="G3282" t="str">
            <v>29/02/2016</v>
          </cell>
          <cell r="H3282" t="str">
            <v>18/03/2016</v>
          </cell>
          <cell r="I3282" t="str">
            <v>25</v>
          </cell>
          <cell r="J3282" t="str">
            <v>PESSOA JURÍDICA</v>
          </cell>
          <cell r="K3282" t="str">
            <v>12.003.681/0001-20</v>
          </cell>
          <cell r="L3282" t="str">
            <v>CS</v>
          </cell>
          <cell r="M3282" t="str">
            <v>JESSICA FERREIRA</v>
          </cell>
          <cell r="N3282" t="str">
            <v>EFU9101</v>
          </cell>
          <cell r="O3282" t="str">
            <v>2010</v>
          </cell>
          <cell r="P3282" t="str">
            <v>10</v>
          </cell>
          <cell r="Q3282" t="str">
            <v>9</v>
          </cell>
        </row>
        <row r="3283">
          <cell r="B3283" t="str">
            <v>5048/16</v>
          </cell>
          <cell r="C3283" t="str">
            <v>2016-0.051.887-3</v>
          </cell>
          <cell r="D3283" t="str">
            <v/>
          </cell>
          <cell r="E3283" t="str">
            <v>08 de abril de 2016</v>
          </cell>
          <cell r="F3283" t="str">
            <v>P R SELIS TRANSPORTES - ME</v>
          </cell>
          <cell r="G3283" t="str">
            <v>29/02/2016</v>
          </cell>
          <cell r="H3283" t="str">
            <v>18/03/2016</v>
          </cell>
          <cell r="I3283" t="str">
            <v>25</v>
          </cell>
          <cell r="J3283" t="str">
            <v>PESSOA JURÍDICA</v>
          </cell>
          <cell r="K3283" t="str">
            <v>12.003.681/0001-20</v>
          </cell>
          <cell r="L3283" t="str">
            <v>CS</v>
          </cell>
          <cell r="M3283" t="str">
            <v>RICARDO SIMON SELIS</v>
          </cell>
          <cell r="N3283" t="str">
            <v>FTM4369</v>
          </cell>
          <cell r="O3283" t="str">
            <v>2015</v>
          </cell>
          <cell r="P3283" t="str">
            <v>10</v>
          </cell>
          <cell r="Q3283" t="str">
            <v>9</v>
          </cell>
        </row>
        <row r="3284">
          <cell r="B3284" t="str">
            <v>5048/16</v>
          </cell>
          <cell r="C3284" t="str">
            <v>2016-0.051.887-3</v>
          </cell>
          <cell r="D3284" t="str">
            <v/>
          </cell>
          <cell r="E3284" t="str">
            <v>04 de abril de 2016</v>
          </cell>
          <cell r="F3284" t="str">
            <v>P R SELIS TRANSPORTES - ME</v>
          </cell>
          <cell r="G3284" t="str">
            <v>29/02/2016</v>
          </cell>
          <cell r="H3284" t="str">
            <v>18/03/2016</v>
          </cell>
          <cell r="I3284" t="str">
            <v>25</v>
          </cell>
          <cell r="J3284" t="str">
            <v>PESSOA JURÍDICA</v>
          </cell>
          <cell r="K3284" t="str">
            <v>12.003.681/0001-20</v>
          </cell>
          <cell r="L3284" t="str">
            <v>CS</v>
          </cell>
          <cell r="M3284" t="str">
            <v>LENILSON LUIZ FERREIRA</v>
          </cell>
          <cell r="N3284" t="str">
            <v>EFU9107</v>
          </cell>
          <cell r="O3284" t="str">
            <v>2010</v>
          </cell>
          <cell r="P3284" t="str">
            <v>19</v>
          </cell>
          <cell r="Q3284" t="str">
            <v>18</v>
          </cell>
        </row>
        <row r="3285">
          <cell r="B3285" t="str">
            <v>5048/16</v>
          </cell>
          <cell r="C3285" t="str">
            <v>2016-0.051.887-3</v>
          </cell>
          <cell r="D3285" t="str">
            <v/>
          </cell>
          <cell r="E3285" t="str">
            <v>04 de abril de 2016</v>
          </cell>
          <cell r="F3285" t="str">
            <v>P R SELIS TRANSPORTES - ME</v>
          </cell>
          <cell r="G3285" t="str">
            <v>29/02/2016</v>
          </cell>
          <cell r="H3285" t="str">
            <v>18/03/2016</v>
          </cell>
          <cell r="I3285" t="str">
            <v>25</v>
          </cell>
          <cell r="J3285" t="str">
            <v>PESSOA JURÍDICA</v>
          </cell>
          <cell r="K3285" t="str">
            <v>12.003.681/0001-20</v>
          </cell>
          <cell r="L3285" t="str">
            <v>CS</v>
          </cell>
          <cell r="M3285" t="str">
            <v>HUMBERTO MUNIZ BATISTA</v>
          </cell>
          <cell r="N3285" t="str">
            <v>FMT0299</v>
          </cell>
          <cell r="O3285" t="str">
            <v>2015</v>
          </cell>
          <cell r="P3285" t="str">
            <v>27</v>
          </cell>
          <cell r="Q3285" t="str">
            <v>26</v>
          </cell>
        </row>
        <row r="3286">
          <cell r="B3286" t="str">
            <v>5048/16</v>
          </cell>
          <cell r="C3286" t="str">
            <v>2016-0.051.887-3</v>
          </cell>
          <cell r="D3286" t="str">
            <v>30/01/2016</v>
          </cell>
          <cell r="E3286" t="str">
            <v>29 de fevereiro de 2016</v>
          </cell>
          <cell r="F3286" t="str">
            <v>P R SELIS TRANSPORTES - ME</v>
          </cell>
          <cell r="G3286" t="str">
            <v>29/02/2016</v>
          </cell>
          <cell r="H3286" t="str">
            <v>18/03/2016</v>
          </cell>
          <cell r="I3286" t="str">
            <v>25</v>
          </cell>
          <cell r="J3286" t="str">
            <v>PESSOA JURÍDICA</v>
          </cell>
          <cell r="K3286" t="str">
            <v>12.003.681/0001-20</v>
          </cell>
          <cell r="L3286" t="str">
            <v>CS</v>
          </cell>
          <cell r="M3286" t="str">
            <v>ROGERIO PEREIRA SANTOS FEITOSA</v>
          </cell>
          <cell r="N3286" t="str">
            <v>EUE4349</v>
          </cell>
          <cell r="O3286" t="str">
            <v>2011</v>
          </cell>
          <cell r="P3286" t="str">
            <v>10</v>
          </cell>
          <cell r="Q3286" t="str">
            <v>9</v>
          </cell>
        </row>
        <row r="3287">
          <cell r="B3287" t="str">
            <v>5048/16</v>
          </cell>
          <cell r="C3287" t="str">
            <v>2016-0.051.887-3</v>
          </cell>
          <cell r="D3287" t="str">
            <v>29/02/2016</v>
          </cell>
          <cell r="E3287" t="str">
            <v>29 de fevereiro de 2016</v>
          </cell>
          <cell r="F3287" t="str">
            <v>P R SELIS TRANSPORTES - ME</v>
          </cell>
          <cell r="G3287" t="str">
            <v>29/02/2016</v>
          </cell>
          <cell r="H3287" t="str">
            <v>18/03/2016</v>
          </cell>
          <cell r="I3287" t="str">
            <v>25</v>
          </cell>
          <cell r="J3287" t="str">
            <v>PESSOA JURÍDICA</v>
          </cell>
          <cell r="K3287" t="str">
            <v>12.003.681/0001-20</v>
          </cell>
          <cell r="L3287" t="str">
            <v>CS</v>
          </cell>
          <cell r="M3287" t="str">
            <v>ISMENIO LINO RODRIGUES</v>
          </cell>
          <cell r="N3287" t="str">
            <v>FDR0027</v>
          </cell>
          <cell r="O3287" t="str">
            <v>2012</v>
          </cell>
          <cell r="P3287" t="str">
            <v>10</v>
          </cell>
          <cell r="Q3287" t="str">
            <v>9</v>
          </cell>
        </row>
        <row r="3288">
          <cell r="B3288" t="str">
            <v>5048/16</v>
          </cell>
          <cell r="C3288" t="str">
            <v>2016-0.051.887-3</v>
          </cell>
          <cell r="D3288" t="str">
            <v>30/01/2016</v>
          </cell>
          <cell r="E3288" t="str">
            <v>29 de fevereiro de 2016</v>
          </cell>
          <cell r="F3288" t="str">
            <v>P R SELIS TRANSPORTES - ME</v>
          </cell>
          <cell r="G3288" t="str">
            <v>29/02/2016</v>
          </cell>
          <cell r="H3288" t="str">
            <v>18/03/2016</v>
          </cell>
          <cell r="I3288" t="str">
            <v>25</v>
          </cell>
          <cell r="J3288" t="str">
            <v>PESSOA JURÍDICA</v>
          </cell>
          <cell r="K3288" t="str">
            <v>12.003.681/0001-20</v>
          </cell>
          <cell r="L3288" t="str">
            <v>CS</v>
          </cell>
          <cell r="M3288" t="str">
            <v>JOSE GILMAR ROSCHEL LOPES</v>
          </cell>
          <cell r="N3288" t="str">
            <v>ELW4439</v>
          </cell>
          <cell r="O3288" t="str">
            <v>2011</v>
          </cell>
          <cell r="P3288" t="str">
            <v>10</v>
          </cell>
          <cell r="Q3288" t="str">
            <v>9</v>
          </cell>
        </row>
        <row r="3289">
          <cell r="B3289" t="str">
            <v>5048/16</v>
          </cell>
          <cell r="C3289" t="str">
            <v>2016-0.051.887-3</v>
          </cell>
          <cell r="D3289" t="str">
            <v/>
          </cell>
          <cell r="E3289" t="str">
            <v/>
          </cell>
          <cell r="F3289" t="str">
            <v>P R SELIS TRANSPORTES - ME</v>
          </cell>
          <cell r="G3289" t="str">
            <v>29/02/2016</v>
          </cell>
          <cell r="H3289" t="str">
            <v>18/03/2016</v>
          </cell>
          <cell r="I3289" t="str">
            <v>25</v>
          </cell>
          <cell r="J3289" t="str">
            <v>PESSOA JURÍDICA</v>
          </cell>
          <cell r="K3289" t="str">
            <v>12.003.681/0001-20</v>
          </cell>
          <cell r="L3289" t="str">
            <v/>
          </cell>
          <cell r="M3289" t="str">
            <v/>
          </cell>
          <cell r="N3289" t="str">
            <v/>
          </cell>
          <cell r="O3289" t="str">
            <v/>
          </cell>
          <cell r="P3289" t="str">
            <v/>
          </cell>
          <cell r="Q3289" t="str">
            <v/>
          </cell>
        </row>
        <row r="3290">
          <cell r="B3290" t="str">
            <v>5048/16</v>
          </cell>
          <cell r="C3290" t="str">
            <v>2016-0.051.887-3</v>
          </cell>
          <cell r="D3290" t="str">
            <v/>
          </cell>
          <cell r="E3290" t="str">
            <v>08 de abril de 2016</v>
          </cell>
          <cell r="F3290" t="str">
            <v>P R SELIS TRANSPORTES - ME</v>
          </cell>
          <cell r="G3290" t="str">
            <v>29/02/2016</v>
          </cell>
          <cell r="H3290" t="str">
            <v>18/03/2016</v>
          </cell>
          <cell r="I3290" t="str">
            <v>25</v>
          </cell>
          <cell r="J3290" t="str">
            <v>PESSOA JURÍDICA</v>
          </cell>
          <cell r="K3290" t="str">
            <v>12.003.681/0001-20</v>
          </cell>
          <cell r="L3290" t="str">
            <v>CS</v>
          </cell>
          <cell r="M3290" t="str">
            <v>PAULO MARTINS DE SOUZA</v>
          </cell>
          <cell r="N3290" t="str">
            <v>FAG6902</v>
          </cell>
          <cell r="O3290" t="str">
            <v>2014</v>
          </cell>
          <cell r="P3290" t="str">
            <v>10</v>
          </cell>
          <cell r="Q3290" t="str">
            <v>9</v>
          </cell>
        </row>
        <row r="3291">
          <cell r="B3291" t="str">
            <v>5048/16</v>
          </cell>
          <cell r="C3291" t="str">
            <v>2016-0.051.887-3</v>
          </cell>
          <cell r="D3291" t="str">
            <v/>
          </cell>
          <cell r="E3291" t="str">
            <v/>
          </cell>
          <cell r="F3291" t="str">
            <v>P R SELIS TRANSPORTES - ME</v>
          </cell>
          <cell r="G3291" t="str">
            <v>29/02/2016</v>
          </cell>
          <cell r="H3291" t="str">
            <v>18/03/2016</v>
          </cell>
          <cell r="I3291" t="str">
            <v>25</v>
          </cell>
          <cell r="J3291" t="str">
            <v>PESSOA JURÍDICA</v>
          </cell>
          <cell r="K3291" t="str">
            <v>12.003.681/0001-20</v>
          </cell>
          <cell r="L3291" t="str">
            <v>CL</v>
          </cell>
          <cell r="M3291" t="str">
            <v>JOSE GONCALVES NETO</v>
          </cell>
          <cell r="N3291" t="str">
            <v>FQY1512</v>
          </cell>
          <cell r="O3291" t="str">
            <v>2014</v>
          </cell>
          <cell r="P3291" t="str">
            <v>10</v>
          </cell>
          <cell r="Q3291" t="str">
            <v>9</v>
          </cell>
        </row>
        <row r="3292">
          <cell r="B3292" t="str">
            <v>5048/16</v>
          </cell>
          <cell r="C3292" t="str">
            <v>2016-0.051.887-3</v>
          </cell>
          <cell r="D3292" t="str">
            <v>29/02/2016</v>
          </cell>
          <cell r="E3292" t="str">
            <v>29 de fevereiro de 2016</v>
          </cell>
          <cell r="F3292" t="str">
            <v>P R SELIS TRANSPORTES - ME</v>
          </cell>
          <cell r="G3292" t="str">
            <v>29/02/2016</v>
          </cell>
          <cell r="H3292" t="str">
            <v>18/03/2016</v>
          </cell>
          <cell r="I3292" t="str">
            <v>25</v>
          </cell>
          <cell r="J3292" t="str">
            <v>PESSOA JURÍDICA</v>
          </cell>
          <cell r="K3292" t="str">
            <v>12.003.681/0001-20</v>
          </cell>
          <cell r="L3292" t="str">
            <v>CS</v>
          </cell>
          <cell r="M3292" t="str">
            <v>GILBERTO USELIS</v>
          </cell>
          <cell r="N3292" t="str">
            <v>FUX1319</v>
          </cell>
          <cell r="O3292" t="str">
            <v>2014</v>
          </cell>
          <cell r="P3292" t="str">
            <v>10</v>
          </cell>
          <cell r="Q3292" t="str">
            <v>09</v>
          </cell>
        </row>
        <row r="3293">
          <cell r="B3293" t="str">
            <v>5048/16</v>
          </cell>
          <cell r="C3293" t="str">
            <v>2016-0.051.887-3</v>
          </cell>
          <cell r="D3293" t="str">
            <v/>
          </cell>
          <cell r="E3293" t="str">
            <v>08 de abril de 2016</v>
          </cell>
          <cell r="F3293" t="str">
            <v>P R SELIS TRANSPORTES - ME</v>
          </cell>
          <cell r="G3293" t="str">
            <v>29/02/2016</v>
          </cell>
          <cell r="H3293" t="str">
            <v>18/03/2016</v>
          </cell>
          <cell r="I3293" t="str">
            <v>25</v>
          </cell>
          <cell r="J3293" t="str">
            <v>PESSOA JURÍDICA</v>
          </cell>
          <cell r="K3293" t="str">
            <v>12.003.681/0001-20</v>
          </cell>
          <cell r="L3293" t="str">
            <v>CS</v>
          </cell>
          <cell r="M3293" t="str">
            <v>MAURICIO CARLOS ALVES COSTA</v>
          </cell>
          <cell r="N3293" t="str">
            <v>EQI4627</v>
          </cell>
          <cell r="O3293" t="str">
            <v>2011</v>
          </cell>
          <cell r="P3293" t="str">
            <v>10</v>
          </cell>
          <cell r="Q3293" t="str">
            <v>9</v>
          </cell>
        </row>
        <row r="3294">
          <cell r="B3294" t="str">
            <v>5048/16</v>
          </cell>
          <cell r="C3294" t="str">
            <v>2016-0.051.887-3</v>
          </cell>
          <cell r="D3294" t="str">
            <v/>
          </cell>
          <cell r="E3294" t="str">
            <v>08 de abril de 2016</v>
          </cell>
          <cell r="F3294" t="str">
            <v>P R SELIS TRANSPORTES - ME</v>
          </cell>
          <cell r="G3294" t="str">
            <v>29/02/2016</v>
          </cell>
          <cell r="H3294" t="str">
            <v>18/03/2016</v>
          </cell>
          <cell r="I3294" t="str">
            <v>25</v>
          </cell>
          <cell r="J3294" t="str">
            <v>PESSOA JURÍDICA</v>
          </cell>
          <cell r="K3294" t="str">
            <v>12.003.681/0001-20</v>
          </cell>
          <cell r="L3294" t="str">
            <v>CS</v>
          </cell>
          <cell r="M3294" t="str">
            <v>CARLOS ROBERTO DOS SANTOS</v>
          </cell>
          <cell r="N3294" t="str">
            <v>DST5594</v>
          </cell>
          <cell r="O3294" t="str">
            <v>2008</v>
          </cell>
          <cell r="P3294" t="str">
            <v>10</v>
          </cell>
          <cell r="Q3294" t="str">
            <v>9</v>
          </cell>
        </row>
        <row r="3295">
          <cell r="B3295" t="str">
            <v>5048/16</v>
          </cell>
          <cell r="C3295" t="str">
            <v>2016-0.051.887-3</v>
          </cell>
          <cell r="D3295" t="str">
            <v>06/03/2016</v>
          </cell>
          <cell r="E3295" t="str">
            <v>06 de março de 2016</v>
          </cell>
          <cell r="F3295" t="str">
            <v>P R SELIS TRANSPORTES - ME</v>
          </cell>
          <cell r="G3295" t="str">
            <v>29/02/2016</v>
          </cell>
          <cell r="H3295" t="str">
            <v>18/03/2016</v>
          </cell>
          <cell r="I3295" t="str">
            <v>25</v>
          </cell>
          <cell r="J3295" t="str">
            <v>PESSOA JURÍDICA</v>
          </cell>
          <cell r="K3295" t="str">
            <v>12.003.681/0001-20</v>
          </cell>
          <cell r="L3295" t="str">
            <v>CS</v>
          </cell>
          <cell r="M3295" t="str">
            <v>JOAO DE JESUS GARCIA</v>
          </cell>
          <cell r="N3295" t="str">
            <v>FFS2039</v>
          </cell>
          <cell r="O3295" t="str">
            <v>2014</v>
          </cell>
          <cell r="P3295" t="str">
            <v>33</v>
          </cell>
          <cell r="Q3295" t="str">
            <v>32</v>
          </cell>
        </row>
        <row r="3296">
          <cell r="B3296" t="str">
            <v>5048/16</v>
          </cell>
          <cell r="C3296" t="str">
            <v>2016-0.051.887-3</v>
          </cell>
          <cell r="D3296" t="str">
            <v>27/02/2016</v>
          </cell>
          <cell r="E3296" t="str">
            <v>29 de fevereiro de 2016</v>
          </cell>
          <cell r="F3296" t="str">
            <v>P R SELIS TRANSPORTES - ME</v>
          </cell>
          <cell r="G3296" t="str">
            <v>29/02/2016</v>
          </cell>
          <cell r="H3296" t="str">
            <v>18/03/2016</v>
          </cell>
          <cell r="I3296" t="str">
            <v>25</v>
          </cell>
          <cell r="J3296" t="str">
            <v>PESSOA JURÍDICA</v>
          </cell>
          <cell r="K3296" t="str">
            <v>12.003.681/0001-20</v>
          </cell>
          <cell r="L3296" t="str">
            <v>CS</v>
          </cell>
          <cell r="M3296" t="str">
            <v>DANILO APONTES DA SILVA</v>
          </cell>
          <cell r="N3296" t="str">
            <v>FCZ5490</v>
          </cell>
          <cell r="O3296" t="str">
            <v>2014</v>
          </cell>
          <cell r="P3296" t="str">
            <v>33</v>
          </cell>
          <cell r="Q3296" t="str">
            <v>32</v>
          </cell>
        </row>
        <row r="3297">
          <cell r="B3297" t="str">
            <v>5048/16</v>
          </cell>
          <cell r="C3297" t="str">
            <v>2016-0.051.887-3</v>
          </cell>
          <cell r="D3297" t="str">
            <v>27/02/2016</v>
          </cell>
          <cell r="E3297" t="str">
            <v>29 de fevereiro de 2016</v>
          </cell>
          <cell r="F3297" t="str">
            <v>P R SELIS TRANSPORTES - ME</v>
          </cell>
          <cell r="G3297" t="str">
            <v>29/02/2016</v>
          </cell>
          <cell r="H3297" t="str">
            <v>18/03/2016</v>
          </cell>
          <cell r="I3297" t="str">
            <v>25</v>
          </cell>
          <cell r="J3297" t="str">
            <v>PESSOA JURÍDICA</v>
          </cell>
          <cell r="K3297" t="str">
            <v>12.003.681/0001-20</v>
          </cell>
          <cell r="L3297" t="str">
            <v>CS</v>
          </cell>
          <cell r="M3297" t="str">
            <v>LUIZ ALBERTO ARRUDA DE OLIVEIRA</v>
          </cell>
          <cell r="N3297" t="str">
            <v>ECT8355</v>
          </cell>
          <cell r="O3297" t="str">
            <v>2009</v>
          </cell>
          <cell r="P3297" t="str">
            <v>29</v>
          </cell>
          <cell r="Q3297" t="str">
            <v>27</v>
          </cell>
        </row>
        <row r="3298">
          <cell r="B3298" t="str">
            <v>5048/16</v>
          </cell>
          <cell r="C3298" t="str">
            <v>2016-0.051.887-3</v>
          </cell>
          <cell r="D3298" t="str">
            <v>27/02/2016</v>
          </cell>
          <cell r="E3298" t="str">
            <v>29 de fevereiro de 2016</v>
          </cell>
          <cell r="F3298" t="str">
            <v>P R SELIS TRANSPORTES - ME</v>
          </cell>
          <cell r="G3298" t="str">
            <v>29/02/2016</v>
          </cell>
          <cell r="H3298" t="str">
            <v>18/03/2016</v>
          </cell>
          <cell r="I3298" t="str">
            <v>25</v>
          </cell>
          <cell r="J3298" t="str">
            <v>PESSOA JURÍDICA</v>
          </cell>
          <cell r="K3298" t="str">
            <v>12.003.681/0001-20</v>
          </cell>
          <cell r="L3298" t="str">
            <v>CS</v>
          </cell>
          <cell r="M3298" t="str">
            <v>ELIETE BONFIM DE ALMEIDA</v>
          </cell>
          <cell r="N3298" t="str">
            <v>FJR0691</v>
          </cell>
          <cell r="O3298" t="str">
            <v>2014</v>
          </cell>
          <cell r="P3298" t="str">
            <v>10</v>
          </cell>
          <cell r="Q3298" t="str">
            <v>09</v>
          </cell>
        </row>
        <row r="3299">
          <cell r="B3299" t="str">
            <v>5048/16</v>
          </cell>
          <cell r="C3299" t="str">
            <v>2016-0.051.887-3</v>
          </cell>
          <cell r="D3299" t="str">
            <v/>
          </cell>
          <cell r="E3299" t="str">
            <v>09 de março de 2016</v>
          </cell>
          <cell r="F3299" t="str">
            <v>P R SELIS TRANSPORTES - ME</v>
          </cell>
          <cell r="G3299" t="str">
            <v>29/02/2016</v>
          </cell>
          <cell r="H3299" t="str">
            <v>18/03/2016</v>
          </cell>
          <cell r="I3299" t="str">
            <v>25</v>
          </cell>
          <cell r="J3299" t="str">
            <v>PESSOA JURÍDICA</v>
          </cell>
          <cell r="K3299" t="str">
            <v>12.003.681/0001-20</v>
          </cell>
          <cell r="L3299" t="str">
            <v>CS</v>
          </cell>
          <cell r="M3299" t="str">
            <v>PAULO ROBERTO SELIS</v>
          </cell>
          <cell r="N3299" t="str">
            <v>EYN6420</v>
          </cell>
          <cell r="O3299" t="str">
            <v>2011</v>
          </cell>
          <cell r="P3299" t="str">
            <v>10</v>
          </cell>
          <cell r="Q3299" t="str">
            <v>9</v>
          </cell>
        </row>
        <row r="3300">
          <cell r="B3300" t="str">
            <v>5048/16</v>
          </cell>
          <cell r="C3300" t="str">
            <v>2016-0.051.887-3</v>
          </cell>
          <cell r="D3300" t="str">
            <v/>
          </cell>
          <cell r="E3300" t="str">
            <v>08 de abril de 2016</v>
          </cell>
          <cell r="F3300" t="str">
            <v>P R SELIS TRANSPORTES - ME</v>
          </cell>
          <cell r="G3300" t="str">
            <v>29/02/2016</v>
          </cell>
          <cell r="H3300" t="str">
            <v>18/03/2016</v>
          </cell>
          <cell r="I3300" t="str">
            <v>25</v>
          </cell>
          <cell r="J3300" t="str">
            <v>PESSOA JURÍDICA</v>
          </cell>
          <cell r="K3300" t="str">
            <v>12.003.681/0001-20</v>
          </cell>
          <cell r="L3300" t="str">
            <v>CS</v>
          </cell>
          <cell r="M3300" t="str">
            <v>EDUARDO JOSE DOS SANTOS</v>
          </cell>
          <cell r="N3300" t="str">
            <v>FUD2138</v>
          </cell>
          <cell r="O3300" t="str">
            <v>2014</v>
          </cell>
          <cell r="P3300" t="str">
            <v>10</v>
          </cell>
          <cell r="Q3300" t="str">
            <v>9</v>
          </cell>
        </row>
        <row r="3301">
          <cell r="B3301" t="str">
            <v>5048/16</v>
          </cell>
          <cell r="C3301" t="str">
            <v>2016-0.051.887-3</v>
          </cell>
          <cell r="D3301" t="str">
            <v/>
          </cell>
          <cell r="E3301" t="str">
            <v/>
          </cell>
          <cell r="F3301" t="str">
            <v>P R SELIS TRANSPORTES - ME</v>
          </cell>
          <cell r="G3301" t="str">
            <v>29/02/2016</v>
          </cell>
          <cell r="H3301" t="str">
            <v>18/03/2016</v>
          </cell>
          <cell r="I3301" t="str">
            <v>25</v>
          </cell>
          <cell r="J3301" t="str">
            <v>PESSOA JURÍDICA</v>
          </cell>
          <cell r="K3301" t="str">
            <v>12.003.681/0001-20</v>
          </cell>
          <cell r="L3301" t="str">
            <v/>
          </cell>
          <cell r="M3301" t="str">
            <v/>
          </cell>
          <cell r="N3301" t="str">
            <v/>
          </cell>
          <cell r="O3301" t="str">
            <v/>
          </cell>
          <cell r="P3301" t="str">
            <v/>
          </cell>
          <cell r="Q3301" t="str">
            <v/>
          </cell>
        </row>
        <row r="3302">
          <cell r="B3302" t="str">
            <v>5049/16</v>
          </cell>
          <cell r="C3302" t="str">
            <v>2016-0.051.893-8</v>
          </cell>
          <cell r="D3302" t="str">
            <v>26/02/2016</v>
          </cell>
          <cell r="E3302" t="str">
            <v>26 de fevereiro de 2016</v>
          </cell>
          <cell r="F3302" t="str">
            <v>ASSISTENCIAL TRANSPORTES ESCOLARES E FRETAMENTOS LTDA - ME</v>
          </cell>
          <cell r="G3302" t="str">
            <v>26/02/2016</v>
          </cell>
          <cell r="H3302" t="str">
            <v>10/03/2016</v>
          </cell>
          <cell r="I3302" t="str">
            <v>33</v>
          </cell>
          <cell r="J3302" t="str">
            <v>PESSOA JURÍDICA</v>
          </cell>
          <cell r="K3302" t="str">
            <v>14.505.954/0001-60</v>
          </cell>
          <cell r="L3302" t="str">
            <v>SM</v>
          </cell>
          <cell r="M3302" t="str">
            <v>ODAIR ZEQUINATTO</v>
          </cell>
          <cell r="N3302" t="str">
            <v>CZX8747</v>
          </cell>
          <cell r="O3302" t="str">
            <v>2002</v>
          </cell>
          <cell r="P3302" t="str">
            <v>25</v>
          </cell>
          <cell r="Q3302" t="str">
            <v>23</v>
          </cell>
        </row>
        <row r="3303">
          <cell r="B3303" t="str">
            <v>5049/16</v>
          </cell>
          <cell r="C3303" t="str">
            <v>2016-0.051.893-8</v>
          </cell>
          <cell r="D3303" t="str">
            <v>29/03/2016</v>
          </cell>
          <cell r="E3303" t="str">
            <v/>
          </cell>
          <cell r="F3303" t="str">
            <v>ASSISTENCIAL TRANSPORTES ESCOLARES E FRETAMENTOS LTDA - ME</v>
          </cell>
          <cell r="G3303" t="str">
            <v>26/02/2016</v>
          </cell>
          <cell r="H3303" t="str">
            <v>10/03/2016</v>
          </cell>
          <cell r="I3303" t="str">
            <v>33</v>
          </cell>
          <cell r="J3303" t="str">
            <v>PESSOA JURÍDICA</v>
          </cell>
          <cell r="K3303" t="str">
            <v>14.505.954/0001-60</v>
          </cell>
          <cell r="L3303" t="str">
            <v>SM</v>
          </cell>
          <cell r="M3303" t="str">
            <v>LEANDRO SOARES VIEIRA</v>
          </cell>
          <cell r="N3303" t="str">
            <v>LOR1226</v>
          </cell>
          <cell r="O3303" t="str">
            <v>2003</v>
          </cell>
          <cell r="P3303" t="str">
            <v>19</v>
          </cell>
          <cell r="Q3303" t="str">
            <v>17</v>
          </cell>
        </row>
        <row r="3304">
          <cell r="B3304" t="str">
            <v>5049/16</v>
          </cell>
          <cell r="C3304" t="str">
            <v>2016-0.051.893-8</v>
          </cell>
          <cell r="D3304" t="str">
            <v/>
          </cell>
          <cell r="E3304" t="str">
            <v>14 de março de 2016</v>
          </cell>
          <cell r="F3304" t="str">
            <v>ASSISTENCIAL TRANSPORTES ESCOLARES E FRETAMENTOS LTDA - ME</v>
          </cell>
          <cell r="G3304" t="str">
            <v>26/02/2016</v>
          </cell>
          <cell r="H3304" t="str">
            <v>10/03/2016</v>
          </cell>
          <cell r="I3304" t="str">
            <v>33</v>
          </cell>
          <cell r="J3304" t="str">
            <v>PESSOA JURÍDICA</v>
          </cell>
          <cell r="K3304" t="str">
            <v>14.505.954/0001-60</v>
          </cell>
          <cell r="L3304" t="str">
            <v>SM</v>
          </cell>
          <cell r="M3304" t="str">
            <v>JOSIEL TIBURCIO DOS RAMOS</v>
          </cell>
          <cell r="N3304" t="str">
            <v>FWP2315</v>
          </cell>
          <cell r="O3304" t="str">
            <v>2015</v>
          </cell>
          <cell r="P3304" t="str">
            <v>19</v>
          </cell>
          <cell r="Q3304" t="str">
            <v>18</v>
          </cell>
        </row>
        <row r="3305">
          <cell r="B3305" t="str">
            <v>5049/16</v>
          </cell>
          <cell r="C3305" t="str">
            <v>2016-0.051.893-8</v>
          </cell>
          <cell r="D3305" t="str">
            <v/>
          </cell>
          <cell r="E3305" t="str">
            <v>09 de março de 2016</v>
          </cell>
          <cell r="F3305" t="str">
            <v>ASSISTENCIAL TRANSPORTES ESCOLARES E FRETAMENTOS LTDA - ME</v>
          </cell>
          <cell r="G3305" t="str">
            <v>26/02/2016</v>
          </cell>
          <cell r="H3305" t="str">
            <v>10/03/2016</v>
          </cell>
          <cell r="I3305" t="str">
            <v>33</v>
          </cell>
          <cell r="J3305" t="str">
            <v>PESSOA JURÍDICA</v>
          </cell>
          <cell r="K3305" t="str">
            <v>14.505.954/0001-60</v>
          </cell>
          <cell r="L3305" t="str">
            <v>SM</v>
          </cell>
          <cell r="M3305" t="str">
            <v>CARLOS CAVALCANTE BOMFIM</v>
          </cell>
          <cell r="N3305" t="str">
            <v>FWV0470</v>
          </cell>
          <cell r="O3305" t="str">
            <v>2014</v>
          </cell>
          <cell r="P3305" t="str">
            <v>10</v>
          </cell>
          <cell r="Q3305" t="str">
            <v>09</v>
          </cell>
        </row>
        <row r="3306">
          <cell r="B3306" t="str">
            <v>5050/16</v>
          </cell>
          <cell r="C3306" t="str">
            <v>2016-0.051.897-0</v>
          </cell>
          <cell r="D3306" t="str">
            <v>24/02/2016</v>
          </cell>
          <cell r="E3306" t="str">
            <v>24 de fevereiro de 2016</v>
          </cell>
          <cell r="F3306" t="str">
            <v>MARIA A. SILVEIRA TRANSPORTE ESCOLAR - ME</v>
          </cell>
          <cell r="G3306" t="str">
            <v>24/02/2016</v>
          </cell>
          <cell r="H3306" t="str">
            <v>08/03/2016</v>
          </cell>
          <cell r="I3306" t="str">
            <v>28</v>
          </cell>
          <cell r="J3306" t="str">
            <v>PESSOA JURÍDICA</v>
          </cell>
          <cell r="K3306" t="str">
            <v>14.318.213/0001-70</v>
          </cell>
          <cell r="L3306" t="str">
            <v>PE</v>
          </cell>
          <cell r="M3306" t="str">
            <v>ISRAEL PAULINO DA SILVA</v>
          </cell>
          <cell r="N3306" t="str">
            <v>DTE0610</v>
          </cell>
          <cell r="O3306" t="str">
            <v>2008</v>
          </cell>
          <cell r="P3306" t="str">
            <v>25</v>
          </cell>
          <cell r="Q3306" t="str">
            <v>23</v>
          </cell>
        </row>
        <row r="3307">
          <cell r="B3307" t="str">
            <v>5051/16</v>
          </cell>
          <cell r="C3307" t="str">
            <v>2016-0.051.903-9</v>
          </cell>
          <cell r="D3307" t="str">
            <v/>
          </cell>
          <cell r="E3307" t="str">
            <v>04 de abril de 2016</v>
          </cell>
          <cell r="F3307" t="str">
            <v>NIVEL LOCACAO DE VEICULOS AUTOMOTORES LTDA - ME</v>
          </cell>
          <cell r="G3307" t="str">
            <v>24/02/2016</v>
          </cell>
          <cell r="H3307" t="str">
            <v>08/03/2016</v>
          </cell>
          <cell r="I3307" t="str">
            <v>28</v>
          </cell>
          <cell r="J3307" t="str">
            <v>PESSOA JURÍDICA</v>
          </cell>
          <cell r="K3307" t="str">
            <v>10.641.695/0001-44</v>
          </cell>
          <cell r="L3307" t="str">
            <v>PJ</v>
          </cell>
          <cell r="M3307" t="str">
            <v>LUIZ CLAUDIO SOUZA LIRA</v>
          </cell>
          <cell r="N3307" t="str">
            <v>EUT8789</v>
          </cell>
          <cell r="O3307" t="str">
            <v>2011</v>
          </cell>
          <cell r="P3307" t="str">
            <v>27</v>
          </cell>
          <cell r="Q3307" t="str">
            <v>26</v>
          </cell>
        </row>
        <row r="3308">
          <cell r="B3308" t="str">
            <v>5051/16</v>
          </cell>
          <cell r="C3308" t="str">
            <v>2016-0.051.903-9</v>
          </cell>
          <cell r="D3308" t="str">
            <v/>
          </cell>
          <cell r="E3308" t="str">
            <v>15 de março de 2016</v>
          </cell>
          <cell r="F3308" t="str">
            <v>NIVEL LOCACAO DE VEICULOS AUTOMOTORES LTDA - ME</v>
          </cell>
          <cell r="G3308" t="str">
            <v>24/02/2016</v>
          </cell>
          <cell r="H3308" t="str">
            <v>08/03/2016</v>
          </cell>
          <cell r="I3308" t="str">
            <v>28</v>
          </cell>
          <cell r="J3308" t="str">
            <v>PESSOA JURÍDICA</v>
          </cell>
          <cell r="K3308" t="str">
            <v>10.641.695/0001-44</v>
          </cell>
          <cell r="L3308" t="str">
            <v>PJ</v>
          </cell>
          <cell r="M3308" t="str">
            <v>CATARINE ALMEIDA GAMA MACEDO</v>
          </cell>
          <cell r="N3308" t="str">
            <v>EZC5110</v>
          </cell>
          <cell r="O3308" t="str">
            <v>2012</v>
          </cell>
          <cell r="P3308" t="str">
            <v>15</v>
          </cell>
          <cell r="Q3308" t="str">
            <v>14</v>
          </cell>
        </row>
        <row r="3309">
          <cell r="B3309" t="str">
            <v>5051/16</v>
          </cell>
          <cell r="C3309" t="str">
            <v>2016-0.051.903-9</v>
          </cell>
          <cell r="D3309" t="str">
            <v>22/02/2016</v>
          </cell>
          <cell r="E3309" t="str">
            <v>24 de fevereiro de 2016</v>
          </cell>
          <cell r="F3309" t="str">
            <v>NIVEL LOCACAO DE VEICULOS AUTOMOTORES LTDA - ME</v>
          </cell>
          <cell r="G3309" t="str">
            <v>24/02/2016</v>
          </cell>
          <cell r="H3309" t="str">
            <v>08/03/2016</v>
          </cell>
          <cell r="I3309" t="str">
            <v>28</v>
          </cell>
          <cell r="J3309" t="str">
            <v>PESSOA JURÍDICA</v>
          </cell>
          <cell r="K3309" t="str">
            <v>10.641.695/0001-44</v>
          </cell>
          <cell r="L3309" t="str">
            <v>PJ</v>
          </cell>
          <cell r="M3309" t="str">
            <v>CELIA REGINA DA SILVA</v>
          </cell>
          <cell r="N3309" t="str">
            <v>DTA8469</v>
          </cell>
          <cell r="O3309" t="str">
            <v>2007</v>
          </cell>
          <cell r="P3309" t="str">
            <v>29</v>
          </cell>
          <cell r="Q3309" t="str">
            <v>27</v>
          </cell>
        </row>
        <row r="3310">
          <cell r="B3310" t="str">
            <v>5051/16</v>
          </cell>
          <cell r="C3310" t="str">
            <v>2016-0.051.903-9</v>
          </cell>
          <cell r="D3310" t="str">
            <v/>
          </cell>
          <cell r="E3310" t="str">
            <v>15 de março de 2016</v>
          </cell>
          <cell r="F3310" t="str">
            <v>NIVEL LOCACAO DE VEICULOS AUTOMOTORES LTDA - ME</v>
          </cell>
          <cell r="G3310" t="str">
            <v>24/02/2016</v>
          </cell>
          <cell r="H3310" t="str">
            <v>08/03/2016</v>
          </cell>
          <cell r="I3310" t="str">
            <v>28</v>
          </cell>
          <cell r="J3310" t="str">
            <v>PESSOA JURÍDICA</v>
          </cell>
          <cell r="K3310" t="str">
            <v>10.641.695/0001-44</v>
          </cell>
          <cell r="L3310" t="str">
            <v>PJ</v>
          </cell>
          <cell r="M3310" t="str">
            <v>HERDES DE BRITO OLIVEIRA</v>
          </cell>
          <cell r="N3310" t="str">
            <v>FVN0709</v>
          </cell>
          <cell r="O3310" t="str">
            <v>2013</v>
          </cell>
          <cell r="P3310" t="str">
            <v>36</v>
          </cell>
          <cell r="Q3310" t="str">
            <v>35</v>
          </cell>
        </row>
        <row r="3311">
          <cell r="B3311" t="str">
            <v>5052/16</v>
          </cell>
          <cell r="C3311" t="str">
            <v>2016-0.051.905-5</v>
          </cell>
          <cell r="D3311" t="str">
            <v/>
          </cell>
          <cell r="E3311" t="str">
            <v>07 de março de 2016</v>
          </cell>
          <cell r="F3311" t="str">
            <v>JDF TRANSPORTES LTDA - ME</v>
          </cell>
          <cell r="G3311" t="str">
            <v>24/02/2016</v>
          </cell>
          <cell r="H3311" t="str">
            <v>10/03/2016</v>
          </cell>
          <cell r="I3311" t="str">
            <v>33</v>
          </cell>
          <cell r="J3311" t="str">
            <v>PESSOA JURÍDICA</v>
          </cell>
          <cell r="K3311" t="str">
            <v>14.607.892/0001-06</v>
          </cell>
          <cell r="L3311" t="str">
            <v>PJ</v>
          </cell>
          <cell r="M3311" t="str">
            <v>LUANA APARECIDA FREMAN</v>
          </cell>
          <cell r="N3311" t="str">
            <v>DTA7718</v>
          </cell>
          <cell r="O3311" t="str">
            <v>2009</v>
          </cell>
          <cell r="P3311" t="str">
            <v>19</v>
          </cell>
          <cell r="Q3311" t="str">
            <v>18</v>
          </cell>
        </row>
        <row r="3312">
          <cell r="B3312" t="str">
            <v>5053/16</v>
          </cell>
          <cell r="C3312" t="str">
            <v>2016-0.051.906-3</v>
          </cell>
          <cell r="D3312" t="str">
            <v>19/02/2016</v>
          </cell>
          <cell r="E3312" t="str">
            <v>24 de fevereiro de 2016</v>
          </cell>
          <cell r="F3312" t="str">
            <v>VANDERLEI DA SILVA LOPES - ME</v>
          </cell>
          <cell r="G3312" t="str">
            <v>24/02/2016</v>
          </cell>
          <cell r="H3312" t="str">
            <v>10/03/2016</v>
          </cell>
          <cell r="I3312" t="str">
            <v>33</v>
          </cell>
          <cell r="J3312" t="str">
            <v>PESSOA JURÍDICA</v>
          </cell>
          <cell r="K3312" t="str">
            <v>05.317.685/0001-18</v>
          </cell>
          <cell r="L3312" t="str">
            <v>PJ</v>
          </cell>
          <cell r="M3312" t="str">
            <v>VALQUIRIA PAULINO SILVA</v>
          </cell>
          <cell r="N3312" t="str">
            <v>CZX8990</v>
          </cell>
          <cell r="O3312" t="str">
            <v>2003</v>
          </cell>
          <cell r="P3312" t="str">
            <v>25</v>
          </cell>
          <cell r="Q3312" t="str">
            <v>23</v>
          </cell>
        </row>
        <row r="3313">
          <cell r="B3313" t="str">
            <v>5053/16</v>
          </cell>
          <cell r="C3313" t="str">
            <v>2016-0.051.906-3</v>
          </cell>
          <cell r="D3313" t="str">
            <v>19/02/2016</v>
          </cell>
          <cell r="E3313" t="str">
            <v>24 de fevereiro de 2016</v>
          </cell>
          <cell r="F3313" t="str">
            <v>VANDERLEI DA SILVA LOPES - ME</v>
          </cell>
          <cell r="G3313" t="str">
            <v>24/02/2016</v>
          </cell>
          <cell r="H3313" t="str">
            <v>10/03/2016</v>
          </cell>
          <cell r="I3313" t="str">
            <v>33</v>
          </cell>
          <cell r="J3313" t="str">
            <v>PESSOA JURÍDICA</v>
          </cell>
          <cell r="K3313" t="str">
            <v>05.317.685/0001-18</v>
          </cell>
          <cell r="L3313" t="str">
            <v>PJ</v>
          </cell>
          <cell r="M3313" t="str">
            <v>MANUEL DA CONCEICAO LOPES</v>
          </cell>
          <cell r="N3313" t="str">
            <v>CZX8850</v>
          </cell>
          <cell r="O3313" t="str">
            <v>2003</v>
          </cell>
          <cell r="P3313" t="str">
            <v>25</v>
          </cell>
          <cell r="Q3313" t="str">
            <v>23</v>
          </cell>
        </row>
        <row r="3314">
          <cell r="B3314" t="str">
            <v>5053/16</v>
          </cell>
          <cell r="C3314" t="str">
            <v>2016-0.051.906-3</v>
          </cell>
          <cell r="D3314" t="str">
            <v>19/02/2016</v>
          </cell>
          <cell r="E3314" t="str">
            <v>24 de fevereiro de 2016</v>
          </cell>
          <cell r="F3314" t="str">
            <v>VANDERLEI DA SILVA LOPES - ME</v>
          </cell>
          <cell r="G3314" t="str">
            <v>24/02/2016</v>
          </cell>
          <cell r="H3314" t="str">
            <v>10/03/2016</v>
          </cell>
          <cell r="I3314" t="str">
            <v>33</v>
          </cell>
          <cell r="J3314" t="str">
            <v>PESSOA JURÍDICA</v>
          </cell>
          <cell r="K3314" t="str">
            <v>05.317.685/0001-18</v>
          </cell>
          <cell r="L3314" t="str">
            <v>PJ</v>
          </cell>
          <cell r="M3314" t="str">
            <v>WILSON ROCHA CASTORI</v>
          </cell>
          <cell r="N3314" t="str">
            <v>CZX9320</v>
          </cell>
          <cell r="O3314" t="str">
            <v>2002</v>
          </cell>
          <cell r="P3314" t="str">
            <v>25</v>
          </cell>
          <cell r="Q3314" t="str">
            <v>23</v>
          </cell>
        </row>
        <row r="3315">
          <cell r="B3315" t="str">
            <v>5053/16</v>
          </cell>
          <cell r="C3315" t="str">
            <v>2016-0.051.906-3</v>
          </cell>
          <cell r="D3315" t="str">
            <v>23/02/2016</v>
          </cell>
          <cell r="E3315" t="str">
            <v>24 de fevereiro de 2016</v>
          </cell>
          <cell r="F3315" t="str">
            <v>VANDERLEI DA SILVA LOPES - ME</v>
          </cell>
          <cell r="G3315" t="str">
            <v>24/02/2016</v>
          </cell>
          <cell r="H3315" t="str">
            <v>10/03/2016</v>
          </cell>
          <cell r="I3315" t="str">
            <v>33</v>
          </cell>
          <cell r="J3315" t="str">
            <v>PESSOA JURÍDICA</v>
          </cell>
          <cell r="K3315" t="str">
            <v>05.317.685/0001-18</v>
          </cell>
          <cell r="L3315" t="str">
            <v>PJ</v>
          </cell>
          <cell r="M3315" t="str">
            <v>MARIA JOSE DE SOUZA</v>
          </cell>
          <cell r="N3315" t="str">
            <v>CZX9290</v>
          </cell>
          <cell r="O3315" t="str">
            <v>2003</v>
          </cell>
          <cell r="P3315" t="str">
            <v>25</v>
          </cell>
          <cell r="Q3315" t="str">
            <v>23</v>
          </cell>
        </row>
        <row r="3316">
          <cell r="B3316" t="str">
            <v>5054/16</v>
          </cell>
          <cell r="C3316" t="str">
            <v>2016-0.051.909-8</v>
          </cell>
          <cell r="D3316" t="str">
            <v>22/02/2016</v>
          </cell>
          <cell r="E3316" t="str">
            <v>24 de fevereiro de 2016</v>
          </cell>
          <cell r="F3316" t="str">
            <v>S. DA SILVA LEME TRANSPORTES - ME</v>
          </cell>
          <cell r="G3316" t="str">
            <v>24/02/2016</v>
          </cell>
          <cell r="H3316" t="str">
            <v>08/03/2016</v>
          </cell>
          <cell r="I3316" t="str">
            <v>28</v>
          </cell>
          <cell r="J3316" t="str">
            <v>PESSOA JURÍDICA</v>
          </cell>
          <cell r="K3316" t="str">
            <v>12.491.347/0001-63</v>
          </cell>
          <cell r="L3316" t="str">
            <v>PJ</v>
          </cell>
          <cell r="M3316" t="str">
            <v>SEBASTIAO DA SILVA LEME</v>
          </cell>
          <cell r="N3316" t="str">
            <v>DTC6625</v>
          </cell>
          <cell r="O3316" t="str">
            <v>2009</v>
          </cell>
          <cell r="P3316" t="str">
            <v>11</v>
          </cell>
          <cell r="Q3316" t="str">
            <v>10</v>
          </cell>
        </row>
        <row r="3317">
          <cell r="B3317" t="str">
            <v>5055/16</v>
          </cell>
          <cell r="C3317" t="str">
            <v>2016-0.051.912-8</v>
          </cell>
          <cell r="D3317" t="str">
            <v>17/02/2016</v>
          </cell>
          <cell r="E3317" t="str">
            <v>24 de fevereiro de 2016</v>
          </cell>
          <cell r="F3317" t="str">
            <v>C.C.J. TRANSPORTES LTDA - ME</v>
          </cell>
          <cell r="G3317" t="str">
            <v>24/02/2016</v>
          </cell>
          <cell r="H3317" t="str">
            <v>08/03/2016</v>
          </cell>
          <cell r="I3317" t="str">
            <v>28</v>
          </cell>
          <cell r="J3317" t="str">
            <v>PESSOA JURÍDICA</v>
          </cell>
          <cell r="K3317" t="str">
            <v>19.995.395/0001-38</v>
          </cell>
          <cell r="L3317" t="str">
            <v>SM</v>
          </cell>
          <cell r="M3317" t="str">
            <v>FABIANO SILVINO SILVA</v>
          </cell>
          <cell r="N3317" t="str">
            <v>DTC0256</v>
          </cell>
          <cell r="O3317" t="str">
            <v>2007</v>
          </cell>
          <cell r="P3317" t="str">
            <v>10</v>
          </cell>
          <cell r="Q3317" t="str">
            <v>9</v>
          </cell>
        </row>
        <row r="3318">
          <cell r="B3318" t="str">
            <v>5055/16</v>
          </cell>
          <cell r="C3318" t="str">
            <v>2016-0.051.912-8</v>
          </cell>
          <cell r="D3318" t="str">
            <v/>
          </cell>
          <cell r="E3318" t="str">
            <v>14 de março de 2016</v>
          </cell>
          <cell r="F3318" t="str">
            <v>C.C.J. TRANSPORTES LTDA - ME</v>
          </cell>
          <cell r="G3318" t="str">
            <v>24/02/2016</v>
          </cell>
          <cell r="H3318" t="str">
            <v>08/03/2016</v>
          </cell>
          <cell r="I3318" t="str">
            <v>28</v>
          </cell>
          <cell r="J3318" t="str">
            <v>PESSOA JURÍDICA</v>
          </cell>
          <cell r="K3318" t="str">
            <v>19.995.395/0001-38</v>
          </cell>
          <cell r="L3318" t="str">
            <v>SM</v>
          </cell>
          <cell r="M3318" t="str">
            <v>JOSE HENRIQUE DA HORA</v>
          </cell>
          <cell r="N3318" t="str">
            <v>DUM8018</v>
          </cell>
          <cell r="O3318" t="str">
            <v>2006</v>
          </cell>
          <cell r="P3318" t="str">
            <v>29</v>
          </cell>
          <cell r="Q3318" t="str">
            <v>27</v>
          </cell>
        </row>
        <row r="3319">
          <cell r="B3319" t="str">
            <v>5056/16</v>
          </cell>
          <cell r="C3319" t="str">
            <v>2016-0.051.915-2</v>
          </cell>
          <cell r="D3319" t="str">
            <v/>
          </cell>
          <cell r="E3319" t="str">
            <v>29 de fevereiro de 2016</v>
          </cell>
          <cell r="F3319" t="str">
            <v>C. RUIZ AMAD ENNES ESCOLAR E CIA LTDA - ME</v>
          </cell>
          <cell r="G3319" t="str">
            <v>29/02/2016</v>
          </cell>
          <cell r="H3319" t="str">
            <v>19/03/2016</v>
          </cell>
          <cell r="I3319" t="str">
            <v>34</v>
          </cell>
          <cell r="J3319" t="str">
            <v>PESSOA JURÍDICA</v>
          </cell>
          <cell r="K3319" t="str">
            <v>14.219.500/0001-23</v>
          </cell>
          <cell r="L3319" t="str">
            <v>SM</v>
          </cell>
          <cell r="M3319" t="str">
            <v>HERMES FERNANDO DA SILVA</v>
          </cell>
          <cell r="N3319" t="str">
            <v>GBL6190</v>
          </cell>
          <cell r="O3319" t="str">
            <v>2015</v>
          </cell>
          <cell r="P3319" t="str">
            <v>27</v>
          </cell>
          <cell r="Q3319" t="str">
            <v>26</v>
          </cell>
        </row>
        <row r="3320">
          <cell r="B3320" t="str">
            <v>5057/16</v>
          </cell>
          <cell r="C3320" t="str">
            <v>2016-0.055.202-8</v>
          </cell>
          <cell r="D3320" t="str">
            <v>22/02/2016</v>
          </cell>
          <cell r="E3320" t="str">
            <v>24 de fevereiro de 2016</v>
          </cell>
          <cell r="F3320" t="str">
            <v>CMHP TRANSPORTES LTDA - ME</v>
          </cell>
          <cell r="G3320" t="str">
            <v>24/02/2016</v>
          </cell>
          <cell r="H3320" t="str">
            <v>12/03/2016</v>
          </cell>
          <cell r="I3320" t="str">
            <v>28</v>
          </cell>
          <cell r="J3320" t="str">
            <v>PESSOA JURÍDICA</v>
          </cell>
          <cell r="K3320" t="str">
            <v>09.525.233/0001-82</v>
          </cell>
          <cell r="L3320" t="str">
            <v>PJ</v>
          </cell>
          <cell r="M3320" t="str">
            <v>CICERO FERREIRA DA SILVA</v>
          </cell>
          <cell r="N3320" t="str">
            <v>DTE8017</v>
          </cell>
          <cell r="O3320" t="str">
            <v>2009</v>
          </cell>
          <cell r="P3320" t="str">
            <v>19</v>
          </cell>
          <cell r="Q3320" t="str">
            <v>17</v>
          </cell>
        </row>
        <row r="3321">
          <cell r="B3321" t="str">
            <v>5058/16</v>
          </cell>
          <cell r="C3321" t="str">
            <v>2016-0.055.194-3</v>
          </cell>
          <cell r="D3321" t="str">
            <v>25/02/2016</v>
          </cell>
          <cell r="E3321" t="str">
            <v>25 de fevereiro de 2016</v>
          </cell>
          <cell r="F3321" t="str">
            <v>FABIANO DUARTE - ME</v>
          </cell>
          <cell r="G3321" t="str">
            <v>25/02/2016</v>
          </cell>
          <cell r="H3321" t="str">
            <v>12/03/2016</v>
          </cell>
          <cell r="I3321" t="str">
            <v>28</v>
          </cell>
          <cell r="J3321" t="str">
            <v>PESSOA JURÍDICA</v>
          </cell>
          <cell r="K3321" t="str">
            <v>08.983.646/0001-48</v>
          </cell>
          <cell r="L3321" t="str">
            <v>SM</v>
          </cell>
          <cell r="M3321" t="str">
            <v>JOAO ANANIAS DA SILVA</v>
          </cell>
          <cell r="N3321" t="str">
            <v>CZX8730</v>
          </cell>
          <cell r="O3321" t="str">
            <v>2002</v>
          </cell>
          <cell r="P3321" t="str">
            <v>31</v>
          </cell>
          <cell r="Q3321" t="str">
            <v>29</v>
          </cell>
        </row>
        <row r="3322">
          <cell r="B3322" t="str">
            <v>5058/16</v>
          </cell>
          <cell r="C3322" t="str">
            <v>2016-0.055.194-3</v>
          </cell>
          <cell r="D3322" t="str">
            <v>14/03/2016</v>
          </cell>
          <cell r="E3322" t="str">
            <v>14 de março de 2016</v>
          </cell>
          <cell r="F3322" t="str">
            <v>FABIANO DUARTE - ME</v>
          </cell>
          <cell r="G3322" t="str">
            <v>25/02/2016</v>
          </cell>
          <cell r="H3322" t="str">
            <v>12/03/2016</v>
          </cell>
          <cell r="I3322" t="str">
            <v>28</v>
          </cell>
          <cell r="J3322" t="str">
            <v>PESSOA JURÍDICA</v>
          </cell>
          <cell r="K3322" t="str">
            <v>08.983.646/0001-48</v>
          </cell>
          <cell r="L3322" t="str">
            <v>G</v>
          </cell>
          <cell r="M3322" t="str">
            <v>LEONARDO FRANCISCO ORACIO</v>
          </cell>
          <cell r="N3322" t="str">
            <v>DTD4070</v>
          </cell>
          <cell r="O3322" t="str">
            <v>2007</v>
          </cell>
          <cell r="P3322" t="str">
            <v>29</v>
          </cell>
          <cell r="Q3322" t="str">
            <v>27</v>
          </cell>
        </row>
        <row r="3323">
          <cell r="B3323" t="str">
            <v>5058/16</v>
          </cell>
          <cell r="C3323" t="str">
            <v>2016-0.055.194-3</v>
          </cell>
          <cell r="D3323" t="str">
            <v>14/03/2016</v>
          </cell>
          <cell r="E3323" t="str">
            <v>14 de março de 2016</v>
          </cell>
          <cell r="F3323" t="str">
            <v>FABIANO DUARTE - ME</v>
          </cell>
          <cell r="G3323" t="str">
            <v>25/02/2016</v>
          </cell>
          <cell r="H3323" t="str">
            <v>12/03/2016</v>
          </cell>
          <cell r="I3323" t="str">
            <v>28</v>
          </cell>
          <cell r="J3323" t="str">
            <v>PESSOA JURÍDICA</v>
          </cell>
          <cell r="K3323" t="str">
            <v>08.983.646/0001-48</v>
          </cell>
          <cell r="L3323" t="str">
            <v>G</v>
          </cell>
          <cell r="M3323" t="str">
            <v>LUCINEA FARIAS SILVA TRINDADE</v>
          </cell>
          <cell r="N3323" t="str">
            <v>CZZ2805</v>
          </cell>
          <cell r="O3323" t="str">
            <v>2003</v>
          </cell>
          <cell r="P3323" t="str">
            <v>31</v>
          </cell>
          <cell r="Q3323" t="str">
            <v>30</v>
          </cell>
        </row>
        <row r="3324">
          <cell r="B3324" t="str">
            <v>5058/16</v>
          </cell>
          <cell r="C3324" t="str">
            <v>2016-0.055.194-3</v>
          </cell>
          <cell r="D3324" t="str">
            <v>14/03/2016</v>
          </cell>
          <cell r="E3324" t="str">
            <v>14 de abril de 2016</v>
          </cell>
          <cell r="F3324" t="str">
            <v>FABIANO DUARTE - ME</v>
          </cell>
          <cell r="G3324" t="str">
            <v>25/02/2016</v>
          </cell>
          <cell r="H3324" t="str">
            <v>12/03/2016</v>
          </cell>
          <cell r="I3324" t="str">
            <v>28</v>
          </cell>
          <cell r="J3324" t="str">
            <v>PESSOA JURÍDICA</v>
          </cell>
          <cell r="K3324" t="str">
            <v>08.983.646/0001-48</v>
          </cell>
          <cell r="L3324" t="str">
            <v>G</v>
          </cell>
          <cell r="M3324" t="str">
            <v>EVERALDO ALVES PINHO</v>
          </cell>
          <cell r="N3324" t="str">
            <v>ECM5080</v>
          </cell>
          <cell r="O3324" t="str">
            <v>2010</v>
          </cell>
          <cell r="P3324" t="str">
            <v>19</v>
          </cell>
          <cell r="Q3324" t="str">
            <v>18</v>
          </cell>
        </row>
        <row r="3325">
          <cell r="B3325" t="str">
            <v>5059/16</v>
          </cell>
          <cell r="C3325" t="str">
            <v>2016-0.055.189-7</v>
          </cell>
          <cell r="D3325" t="str">
            <v>29/02/2016</v>
          </cell>
          <cell r="E3325" t="str">
            <v>29 de fevereiro de 2016</v>
          </cell>
          <cell r="F3325" t="str">
            <v>FREEDOM TRANSPORTES E LOCACAO LTDA - ME</v>
          </cell>
          <cell r="G3325" t="str">
            <v>29/02/2016</v>
          </cell>
          <cell r="H3325" t="str">
            <v>12/03/2016</v>
          </cell>
          <cell r="I3325" t="str">
            <v>29</v>
          </cell>
          <cell r="J3325" t="str">
            <v>PESSOA JURÍDICA</v>
          </cell>
          <cell r="K3325" t="str">
            <v>20.674.525/0001-10</v>
          </cell>
          <cell r="L3325" t="str">
            <v>SA</v>
          </cell>
          <cell r="M3325" t="str">
            <v>FABIO JULIO DE SOUSA LIMA</v>
          </cell>
          <cell r="N3325" t="str">
            <v>DTB2797</v>
          </cell>
          <cell r="O3325" t="str">
            <v>2006</v>
          </cell>
          <cell r="P3325" t="str">
            <v>25</v>
          </cell>
          <cell r="Q3325" t="str">
            <v>23</v>
          </cell>
        </row>
        <row r="3326">
          <cell r="B3326" t="str">
            <v>5059/16</v>
          </cell>
          <cell r="C3326" t="str">
            <v>2016-0.055.189-7</v>
          </cell>
          <cell r="D3326" t="str">
            <v/>
          </cell>
          <cell r="E3326" t="str">
            <v>16 de março de 2016</v>
          </cell>
          <cell r="F3326" t="str">
            <v>FREEDOM TRANSPORTES E LOCACAO LTDA - ME</v>
          </cell>
          <cell r="G3326" t="str">
            <v>29/02/2016</v>
          </cell>
          <cell r="H3326" t="str">
            <v>12/03/2016</v>
          </cell>
          <cell r="I3326" t="str">
            <v>29</v>
          </cell>
          <cell r="J3326" t="str">
            <v>PESSOA JURÍDICA</v>
          </cell>
          <cell r="K3326" t="str">
            <v>20.674.525/0001-10</v>
          </cell>
          <cell r="L3326" t="str">
            <v>SA</v>
          </cell>
          <cell r="M3326" t="str">
            <v>MARCELO GARCIA NOGUEIRA</v>
          </cell>
          <cell r="N3326" t="str">
            <v>DTE6440</v>
          </cell>
          <cell r="O3326" t="str">
            <v>2008</v>
          </cell>
          <cell r="P3326" t="str">
            <v>19</v>
          </cell>
          <cell r="Q3326" t="str">
            <v>18</v>
          </cell>
        </row>
        <row r="3327">
          <cell r="B3327" t="str">
            <v>5060/16</v>
          </cell>
          <cell r="C3327" t="str">
            <v>2016-0.055.181-1</v>
          </cell>
          <cell r="D3327" t="str">
            <v>15/02/2016</v>
          </cell>
          <cell r="E3327" t="str">
            <v>24 de fevereiro de 2016</v>
          </cell>
          <cell r="F3327" t="str">
            <v>JOSE OSTACIO BARBOSA DOS SANTOS TRANSPORTES - ME</v>
          </cell>
          <cell r="G3327" t="str">
            <v>24/02/2016</v>
          </cell>
          <cell r="H3327" t="str">
            <v>12/03/2016</v>
          </cell>
          <cell r="I3327" t="str">
            <v>29</v>
          </cell>
          <cell r="J3327" t="str">
            <v>PESSOA JURÍDICA</v>
          </cell>
          <cell r="K3327" t="str">
            <v>16.667.895/0001-52</v>
          </cell>
          <cell r="L3327" t="str">
            <v>G</v>
          </cell>
          <cell r="M3327" t="str">
            <v>ANA PAULA OLIVEIRA SANTOS</v>
          </cell>
          <cell r="N3327" t="str">
            <v>EQF6509</v>
          </cell>
          <cell r="O3327" t="str">
            <v>2010</v>
          </cell>
          <cell r="P3327" t="str">
            <v>15</v>
          </cell>
          <cell r="Q3327" t="str">
            <v>14</v>
          </cell>
        </row>
        <row r="3328">
          <cell r="B3328" t="str">
            <v>5061/16</v>
          </cell>
          <cell r="C3328" t="str">
            <v>2016-0.055.163-3</v>
          </cell>
          <cell r="D3328" t="str">
            <v>15/02/2016</v>
          </cell>
          <cell r="E3328" t="str">
            <v>24 de fevereiro de 2016</v>
          </cell>
          <cell r="F3328" t="str">
            <v>L.V.A. TRANSPORTE ESCOLAR LTDA - ME</v>
          </cell>
          <cell r="G3328" t="str">
            <v>24/02/2016</v>
          </cell>
          <cell r="H3328" t="str">
            <v>12/03/2016</v>
          </cell>
          <cell r="I3328" t="str">
            <v>29</v>
          </cell>
          <cell r="J3328" t="str">
            <v>PESSOA JURÍDICA</v>
          </cell>
          <cell r="K3328" t="str">
            <v>08.251.429/0001-63</v>
          </cell>
          <cell r="L3328" t="str">
            <v>G</v>
          </cell>
          <cell r="M3328" t="str">
            <v>GILDASIO BOMJARDIM FRANCO</v>
          </cell>
          <cell r="N3328" t="str">
            <v>DVS3696</v>
          </cell>
          <cell r="O3328" t="str">
            <v>2007</v>
          </cell>
          <cell r="P3328" t="str">
            <v>30</v>
          </cell>
          <cell r="Q3328" t="str">
            <v>29</v>
          </cell>
        </row>
        <row r="3329">
          <cell r="B3329" t="str">
            <v>5061/16</v>
          </cell>
          <cell r="C3329" t="str">
            <v>2016-0.055.163-3</v>
          </cell>
          <cell r="D3329" t="str">
            <v>29/02/2016</v>
          </cell>
          <cell r="E3329" t="str">
            <v>29 de fevereiro de 2016</v>
          </cell>
          <cell r="F3329" t="str">
            <v>L.V.A. TRANSPORTE ESCOLAR LTDA - ME</v>
          </cell>
          <cell r="G3329" t="str">
            <v>24/02/2016</v>
          </cell>
          <cell r="H3329" t="str">
            <v>12/03/2016</v>
          </cell>
          <cell r="I3329" t="str">
            <v>29</v>
          </cell>
          <cell r="J3329" t="str">
            <v>PESSOA JURÍDICA</v>
          </cell>
          <cell r="K3329" t="str">
            <v>08.251.429/0001-63</v>
          </cell>
          <cell r="L3329" t="str">
            <v>G</v>
          </cell>
          <cell r="M3329" t="str">
            <v>TATIANE DOS SANTOS ARAUJO BISPO</v>
          </cell>
          <cell r="N3329" t="str">
            <v>LPB0674</v>
          </cell>
          <cell r="O3329" t="str">
            <v>2004</v>
          </cell>
          <cell r="P3329" t="str">
            <v>25</v>
          </cell>
          <cell r="Q3329" t="str">
            <v>23</v>
          </cell>
        </row>
        <row r="3330">
          <cell r="B3330" t="str">
            <v>5061/16</v>
          </cell>
          <cell r="C3330" t="str">
            <v>2016-0.055.163-3</v>
          </cell>
          <cell r="D3330" t="str">
            <v>07/03/2016</v>
          </cell>
          <cell r="E3330" t="str">
            <v>15 de abril de 2016</v>
          </cell>
          <cell r="F3330" t="str">
            <v>L.V.A. TRANSPORTE ESCOLAR LTDA - ME</v>
          </cell>
          <cell r="G3330" t="str">
            <v>24/02/2016</v>
          </cell>
          <cell r="H3330" t="str">
            <v>12/03/2016</v>
          </cell>
          <cell r="I3330" t="str">
            <v>29</v>
          </cell>
          <cell r="J3330" t="str">
            <v>PESSOA JURÍDICA</v>
          </cell>
          <cell r="K3330" t="str">
            <v>08.251.429/0001-63</v>
          </cell>
          <cell r="L3330" t="str">
            <v>G</v>
          </cell>
          <cell r="M3330" t="str">
            <v>JOSE IVON DA SILVA FILHO</v>
          </cell>
          <cell r="N3330" t="str">
            <v>DJC7366</v>
          </cell>
          <cell r="O3330" t="str">
            <v>2004</v>
          </cell>
          <cell r="P3330" t="str">
            <v>27</v>
          </cell>
          <cell r="Q3330" t="str">
            <v>26</v>
          </cell>
        </row>
        <row r="3331">
          <cell r="B3331" t="str">
            <v>5061/16</v>
          </cell>
          <cell r="C3331" t="str">
            <v>2016-0.055.163-3</v>
          </cell>
          <cell r="D3331" t="str">
            <v>01/04/2016</v>
          </cell>
          <cell r="E3331" t="str">
            <v>27 de abril de 2016</v>
          </cell>
          <cell r="F3331" t="str">
            <v>L.V.A. TRANSPORTE ESCOLAR LTDA - ME</v>
          </cell>
          <cell r="G3331" t="str">
            <v>24/02/2016</v>
          </cell>
          <cell r="H3331" t="str">
            <v>12/03/2016</v>
          </cell>
          <cell r="I3331" t="str">
            <v>29</v>
          </cell>
          <cell r="J3331" t="str">
            <v>PESSOA JURÍDICA</v>
          </cell>
          <cell r="K3331" t="str">
            <v>08.251.429/0001-63</v>
          </cell>
          <cell r="L3331" t="str">
            <v>G</v>
          </cell>
          <cell r="M3331" t="str">
            <v>LUCIANO LEANDRO DA SILVA</v>
          </cell>
          <cell r="N3331" t="str">
            <v>EZL4510</v>
          </cell>
          <cell r="O3331" t="str">
            <v>2011</v>
          </cell>
          <cell r="P3331" t="str">
            <v>19</v>
          </cell>
          <cell r="Q3331" t="str">
            <v>18</v>
          </cell>
        </row>
        <row r="3332">
          <cell r="B3332" t="str">
            <v>5061/16</v>
          </cell>
          <cell r="C3332" t="str">
            <v>2016-0.055.163-3</v>
          </cell>
          <cell r="D3332" t="str">
            <v/>
          </cell>
          <cell r="E3332" t="str">
            <v>30 de março de 2016</v>
          </cell>
          <cell r="F3332" t="str">
            <v>L.V.A. TRANSPORTE ESCOLAR LTDA - ME</v>
          </cell>
          <cell r="G3332" t="str">
            <v>24/02/2016</v>
          </cell>
          <cell r="H3332" t="str">
            <v>12/03/2016</v>
          </cell>
          <cell r="I3332" t="str">
            <v>29</v>
          </cell>
          <cell r="J3332" t="str">
            <v>PESSOA JURÍDICA</v>
          </cell>
          <cell r="K3332" t="str">
            <v>08.251.429/0001-63</v>
          </cell>
          <cell r="L3332" t="str">
            <v>G</v>
          </cell>
          <cell r="M3332" t="str">
            <v>SEBASTIAO DA SILVA SOBRINHO</v>
          </cell>
          <cell r="N3332" t="str">
            <v>EFV1472</v>
          </cell>
          <cell r="O3332" t="str">
            <v>2010</v>
          </cell>
          <cell r="P3332" t="str">
            <v>19</v>
          </cell>
          <cell r="Q3332" t="str">
            <v>18</v>
          </cell>
        </row>
        <row r="3333">
          <cell r="B3333" t="str">
            <v>5061/16</v>
          </cell>
          <cell r="C3333" t="str">
            <v>2016-0.055.163-3</v>
          </cell>
          <cell r="D3333" t="str">
            <v>04/03/2016</v>
          </cell>
          <cell r="E3333" t="str">
            <v>27 de abril de 2016</v>
          </cell>
          <cell r="F3333" t="str">
            <v>L.V.A. TRANSPORTE ESCOLAR LTDA - ME</v>
          </cell>
          <cell r="G3333" t="str">
            <v>24/02/2016</v>
          </cell>
          <cell r="H3333" t="str">
            <v>12/03/2016</v>
          </cell>
          <cell r="I3333" t="str">
            <v>29</v>
          </cell>
          <cell r="J3333" t="str">
            <v>PESSOA JURÍDICA</v>
          </cell>
          <cell r="K3333" t="str">
            <v>08.251.429/0001-63</v>
          </cell>
          <cell r="L3333" t="str">
            <v>G</v>
          </cell>
          <cell r="M3333" t="str">
            <v>LAMARTINE LEANDRO DA SILVA</v>
          </cell>
          <cell r="N3333" t="str">
            <v>CZX9015</v>
          </cell>
          <cell r="O3333" t="str">
            <v>2003</v>
          </cell>
          <cell r="P3333" t="str">
            <v>25</v>
          </cell>
          <cell r="Q3333" t="str">
            <v>23</v>
          </cell>
        </row>
        <row r="3334">
          <cell r="B3334" t="str">
            <v>5061/16</v>
          </cell>
          <cell r="C3334" t="str">
            <v>2016-0.055.163-3</v>
          </cell>
          <cell r="D3334" t="str">
            <v>04/03/2016</v>
          </cell>
          <cell r="E3334" t="str">
            <v>15 de abril de 2016</v>
          </cell>
          <cell r="F3334" t="str">
            <v>L.V.A. TRANSPORTE ESCOLAR LTDA - ME</v>
          </cell>
          <cell r="G3334" t="str">
            <v>24/02/2016</v>
          </cell>
          <cell r="H3334" t="str">
            <v>12/03/2016</v>
          </cell>
          <cell r="I3334" t="str">
            <v>29</v>
          </cell>
          <cell r="J3334" t="str">
            <v>PESSOA JURÍDICA</v>
          </cell>
          <cell r="K3334" t="str">
            <v>08.251.429/0001-63</v>
          </cell>
          <cell r="L3334" t="str">
            <v>G</v>
          </cell>
          <cell r="M3334" t="str">
            <v>VANESSA FONSECA DOS SANTOS SOUZA</v>
          </cell>
          <cell r="N3334" t="str">
            <v>CZX8750</v>
          </cell>
          <cell r="O3334" t="str">
            <v>2002</v>
          </cell>
          <cell r="P3334" t="str">
            <v>25</v>
          </cell>
          <cell r="Q3334" t="str">
            <v>23</v>
          </cell>
        </row>
        <row r="3335">
          <cell r="B3335" t="str">
            <v>5062/16</v>
          </cell>
          <cell r="C3335" t="str">
            <v>2016-0.055.149-8</v>
          </cell>
          <cell r="D3335" t="str">
            <v>29/02/2016</v>
          </cell>
          <cell r="E3335" t="str">
            <v>29 de fevereiro de 2016</v>
          </cell>
          <cell r="F3335" t="str">
            <v>LEAO TUR TRANSPORTES E LOCADORA LTDA - ME</v>
          </cell>
          <cell r="G3335" t="str">
            <v>29/02/2016</v>
          </cell>
          <cell r="H3335" t="str">
            <v>18/03/2016</v>
          </cell>
          <cell r="I3335" t="str">
            <v>25</v>
          </cell>
          <cell r="J3335" t="str">
            <v>PESSOA JURÍDICA</v>
          </cell>
          <cell r="K3335" t="str">
            <v>07.365.970/0001-30</v>
          </cell>
          <cell r="L3335" t="str">
            <v>SA</v>
          </cell>
          <cell r="M3335" t="str">
            <v>JOAO LEAO TEIXEIRA</v>
          </cell>
          <cell r="N3335" t="str">
            <v>CZX6319</v>
          </cell>
          <cell r="O3335" t="str">
            <v>2002</v>
          </cell>
          <cell r="P3335" t="str">
            <v>25</v>
          </cell>
          <cell r="Q3335" t="str">
            <v>23</v>
          </cell>
        </row>
        <row r="3336">
          <cell r="B3336" t="str">
            <v>5063/16</v>
          </cell>
          <cell r="C3336" t="str">
            <v>2016-0.055.143-9</v>
          </cell>
          <cell r="D3336" t="str">
            <v>15/02/2016</v>
          </cell>
          <cell r="E3336" t="str">
            <v>24 de fevereiro de 2016</v>
          </cell>
          <cell r="F3336" t="str">
            <v>R.A.P. &amp; LEMOS TRANSPORTES LTDA - ME</v>
          </cell>
          <cell r="G3336" t="str">
            <v>24/02/2016</v>
          </cell>
          <cell r="H3336" t="str">
            <v>12/03/2016</v>
          </cell>
          <cell r="I3336" t="str">
            <v>29</v>
          </cell>
          <cell r="J3336" t="str">
            <v>PESSOA JURÍDICA</v>
          </cell>
          <cell r="K3336" t="str">
            <v>19.040.693/0001-74</v>
          </cell>
          <cell r="L3336" t="str">
            <v>G</v>
          </cell>
          <cell r="M3336" t="str">
            <v>RODRIGO ALVES PINTO</v>
          </cell>
          <cell r="N3336" t="str">
            <v>EFV5477</v>
          </cell>
          <cell r="O3336" t="str">
            <v>2010</v>
          </cell>
          <cell r="P3336" t="str">
            <v>10</v>
          </cell>
          <cell r="Q3336" t="str">
            <v>9</v>
          </cell>
        </row>
        <row r="3337">
          <cell r="B3337" t="str">
            <v>5064/16</v>
          </cell>
          <cell r="C3337" t="str">
            <v>2016-0.055.124-2</v>
          </cell>
          <cell r="D3337" t="str">
            <v>29/02/2016</v>
          </cell>
          <cell r="E3337" t="str">
            <v>29 de fevereiro de 2016</v>
          </cell>
          <cell r="F3337" t="str">
            <v>RMF COELHO TRANSPORTES - ME</v>
          </cell>
          <cell r="G3337" t="str">
            <v>29/02/2016</v>
          </cell>
          <cell r="H3337" t="str">
            <v>12/03/2016</v>
          </cell>
          <cell r="I3337" t="str">
            <v>29</v>
          </cell>
          <cell r="J3337" t="str">
            <v>PESSOA JURÍDICA</v>
          </cell>
          <cell r="K3337" t="str">
            <v>20.825.588/0001-20</v>
          </cell>
          <cell r="L3337" t="str">
            <v>PJ</v>
          </cell>
          <cell r="M3337" t="str">
            <v>ROSANA MARIA FAGUNDES COELHO</v>
          </cell>
          <cell r="N3337" t="str">
            <v>GDK6250</v>
          </cell>
          <cell r="O3337" t="str">
            <v>2015</v>
          </cell>
          <cell r="P3337" t="str">
            <v>19</v>
          </cell>
          <cell r="Q3337" t="str">
            <v>18</v>
          </cell>
        </row>
        <row r="3338">
          <cell r="B3338" t="str">
            <v>5065/16</v>
          </cell>
          <cell r="C3338" t="str">
            <v>2016-0.055.119-6</v>
          </cell>
          <cell r="D3338" t="str">
            <v>22/02/2016</v>
          </cell>
          <cell r="E3338" t="str">
            <v>24 de fevereiro de 2016</v>
          </cell>
          <cell r="F3338" t="str">
            <v>MARIO BARBOSA TRANSPORTES - ME</v>
          </cell>
          <cell r="G3338" t="str">
            <v>24/02/2016</v>
          </cell>
          <cell r="H3338" t="str">
            <v>12/03/2016</v>
          </cell>
          <cell r="I3338" t="str">
            <v>29</v>
          </cell>
          <cell r="J3338" t="str">
            <v>PESSOA JURÍDICA</v>
          </cell>
          <cell r="K3338" t="str">
            <v>11.512.517/0001-86</v>
          </cell>
          <cell r="L3338" t="str">
            <v>PE</v>
          </cell>
          <cell r="M3338" t="str">
            <v>MARIO BARBOSA</v>
          </cell>
          <cell r="N3338" t="str">
            <v>EYN7231</v>
          </cell>
          <cell r="O3338" t="str">
            <v>2012</v>
          </cell>
          <cell r="P3338" t="str">
            <v>10</v>
          </cell>
          <cell r="Q3338" t="str">
            <v>9</v>
          </cell>
        </row>
        <row r="3339">
          <cell r="B3339" t="str">
            <v>5066/16</v>
          </cell>
          <cell r="C3339" t="str">
            <v>2016-0.055.114-5</v>
          </cell>
          <cell r="D3339" t="str">
            <v>11/02/2016</v>
          </cell>
          <cell r="E3339" t="str">
            <v>29 de fevereiro de 2016</v>
          </cell>
          <cell r="F3339" t="str">
            <v>ASA TOUR TRANSPORTES LTDA - ME</v>
          </cell>
          <cell r="G3339" t="str">
            <v>29/02/2016</v>
          </cell>
          <cell r="H3339" t="str">
            <v>18/03/2016</v>
          </cell>
          <cell r="I3339" t="str">
            <v>26</v>
          </cell>
          <cell r="J3339" t="str">
            <v>PESSOA JURÍDICA</v>
          </cell>
          <cell r="K3339" t="str">
            <v>14.690.607/0001-55</v>
          </cell>
          <cell r="L3339" t="str">
            <v>CS</v>
          </cell>
          <cell r="M3339" t="str">
            <v>FAUSTINO CARDOSO DOS SANTOS</v>
          </cell>
          <cell r="N3339" t="str">
            <v>DTE1178</v>
          </cell>
          <cell r="O3339" t="str">
            <v>2010</v>
          </cell>
          <cell r="P3339" t="str">
            <v>10</v>
          </cell>
          <cell r="Q3339" t="str">
            <v>9</v>
          </cell>
        </row>
        <row r="3340">
          <cell r="B3340" t="str">
            <v>5067/16</v>
          </cell>
          <cell r="C3340" t="str">
            <v>2016-0.055.106-4</v>
          </cell>
          <cell r="D3340" t="str">
            <v>22/02/2016</v>
          </cell>
          <cell r="E3340" t="str">
            <v>29 de março de 2016</v>
          </cell>
          <cell r="F3340" t="str">
            <v>S.I.T. LOCACAO, TRANSPORTE E TURISMO LTDA - ME</v>
          </cell>
          <cell r="G3340" t="str">
            <v>29/03/2016</v>
          </cell>
          <cell r="H3340" t="str">
            <v>31/03/2016</v>
          </cell>
          <cell r="I3340" t="str">
            <v>37</v>
          </cell>
          <cell r="J3340" t="str">
            <v>PESSOA JURÍDICA</v>
          </cell>
          <cell r="K3340" t="str">
            <v>12.773.807/0001-46</v>
          </cell>
          <cell r="L3340" t="str">
            <v>SM</v>
          </cell>
          <cell r="M3340" t="str">
            <v>REGINALDO WAGNER PAULO</v>
          </cell>
          <cell r="N3340" t="str">
            <v>ECT4530</v>
          </cell>
          <cell r="O3340" t="str">
            <v>2008</v>
          </cell>
          <cell r="P3340" t="str">
            <v>29</v>
          </cell>
          <cell r="Q3340" t="str">
            <v>27</v>
          </cell>
        </row>
        <row r="3341">
          <cell r="B3341" t="str">
            <v>5068/16</v>
          </cell>
          <cell r="C3341" t="str">
            <v>2016-0.055.081-5</v>
          </cell>
          <cell r="D3341" t="str">
            <v>22/02/2016</v>
          </cell>
          <cell r="E3341" t="str">
            <v>24 de fevereiro de 2016</v>
          </cell>
          <cell r="F3341" t="str">
            <v>SAMUEL RODRIGUES TRANSPORTES - ME</v>
          </cell>
          <cell r="G3341" t="str">
            <v>24/02/2016</v>
          </cell>
          <cell r="H3341" t="str">
            <v>12/03/2016</v>
          </cell>
          <cell r="I3341" t="str">
            <v>29</v>
          </cell>
          <cell r="J3341" t="str">
            <v>PESSOA JURÍDICA</v>
          </cell>
          <cell r="K3341" t="str">
            <v>01.810.893/0001-01</v>
          </cell>
          <cell r="L3341" t="str">
            <v>SM</v>
          </cell>
          <cell r="M3341" t="str">
            <v>SARA DE CASSIA DOS SANTOS DE OLIVEIRA</v>
          </cell>
          <cell r="N3341" t="str">
            <v>EKV7690</v>
          </cell>
          <cell r="O3341" t="str">
            <v>2009</v>
          </cell>
          <cell r="P3341" t="str">
            <v>29</v>
          </cell>
          <cell r="Q3341" t="str">
            <v>28</v>
          </cell>
        </row>
        <row r="3342">
          <cell r="B3342" t="str">
            <v>5069/16</v>
          </cell>
          <cell r="C3342" t="str">
            <v>2016-0.055.071-8</v>
          </cell>
          <cell r="D3342" t="str">
            <v>12/02/2016</v>
          </cell>
          <cell r="E3342" t="str">
            <v>24 de fevereiro de 2016</v>
          </cell>
          <cell r="F3342" t="str">
            <v>SANVILE TRANSPORTES LTDA - ME</v>
          </cell>
          <cell r="G3342" t="str">
            <v>24/02/2016</v>
          </cell>
          <cell r="H3342" t="str">
            <v>12/03/2016</v>
          </cell>
          <cell r="I3342" t="str">
            <v>29</v>
          </cell>
          <cell r="J3342" t="str">
            <v>PESSOA JURÍDICA</v>
          </cell>
          <cell r="K3342" t="str">
            <v>16.454.598/0001-29</v>
          </cell>
          <cell r="L3342" t="str">
            <v>JT</v>
          </cell>
          <cell r="M3342" t="str">
            <v>ALEXANDRA DA CUNHA PEREIRA</v>
          </cell>
          <cell r="N3342" t="str">
            <v>DTE6759</v>
          </cell>
          <cell r="O3342" t="str">
            <v>2009</v>
          </cell>
          <cell r="P3342" t="str">
            <v>11</v>
          </cell>
          <cell r="Q3342" t="str">
            <v>10</v>
          </cell>
        </row>
        <row r="3343">
          <cell r="B3343" t="str">
            <v>5070/16</v>
          </cell>
          <cell r="C3343" t="str">
            <v>2016-0.055.054-8</v>
          </cell>
          <cell r="D3343" t="str">
            <v>17/03/2016</v>
          </cell>
          <cell r="E3343" t="str">
            <v/>
          </cell>
          <cell r="F3343" t="str">
            <v>TORRE FORTE TRANSPORTE ESCOLAR E LOCADORA EIRELLI - ME</v>
          </cell>
          <cell r="G3343" t="str">
            <v>29/02/2016</v>
          </cell>
          <cell r="H3343" t="str">
            <v>19/03/2016</v>
          </cell>
          <cell r="I3343" t="str">
            <v>34</v>
          </cell>
          <cell r="J3343" t="str">
            <v>PESSOA JURÍDICA</v>
          </cell>
          <cell r="K3343" t="str">
            <v>10.631.196/0001-76</v>
          </cell>
          <cell r="L3343" t="str">
            <v>SM</v>
          </cell>
          <cell r="M3343" t="str">
            <v>DANIEL RODRIGO PONTES DA SILVA</v>
          </cell>
          <cell r="N3343" t="str">
            <v>DDS2819</v>
          </cell>
          <cell r="O3343" t="str">
            <v>2001</v>
          </cell>
          <cell r="P3343" t="str">
            <v>25</v>
          </cell>
          <cell r="Q3343" t="str">
            <v>23</v>
          </cell>
        </row>
        <row r="3344">
          <cell r="B3344" t="str">
            <v>5070/16</v>
          </cell>
          <cell r="C3344" t="str">
            <v>2016-0.055.054-8</v>
          </cell>
          <cell r="D3344" t="str">
            <v/>
          </cell>
          <cell r="E3344" t="str">
            <v>18 de março de 2016</v>
          </cell>
          <cell r="F3344" t="str">
            <v>TORRE FORTE TRANSPORTE ESCOLAR E LOCADORA EIRELLI - ME</v>
          </cell>
          <cell r="G3344" t="str">
            <v>29/02/2016</v>
          </cell>
          <cell r="H3344" t="str">
            <v>19/03/2016</v>
          </cell>
          <cell r="I3344" t="str">
            <v>34</v>
          </cell>
          <cell r="J3344" t="str">
            <v>PESSOA JURÍDICA</v>
          </cell>
          <cell r="K3344" t="str">
            <v>10.631.196/0001-76</v>
          </cell>
          <cell r="L3344" t="str">
            <v>IQ</v>
          </cell>
          <cell r="M3344" t="str">
            <v>RAFAEL HOLANDA DE ALMEIDA</v>
          </cell>
          <cell r="N3344" t="str">
            <v>DCD5834</v>
          </cell>
          <cell r="O3344" t="str">
            <v>2001</v>
          </cell>
          <cell r="P3344" t="str">
            <v>25</v>
          </cell>
          <cell r="Q3344" t="str">
            <v>23</v>
          </cell>
        </row>
        <row r="3345">
          <cell r="B3345" t="str">
            <v>5070/16</v>
          </cell>
          <cell r="C3345" t="str">
            <v>2016-0.055.054-8</v>
          </cell>
          <cell r="D3345" t="str">
            <v/>
          </cell>
          <cell r="E3345" t="str">
            <v>29 de fevereiro de 2016</v>
          </cell>
          <cell r="F3345" t="str">
            <v>TORRE FORTE TRANSPORTE ESCOLAR E LOCADORA EIRELLI - ME</v>
          </cell>
          <cell r="G3345" t="str">
            <v>29/02/2016</v>
          </cell>
          <cell r="H3345" t="str">
            <v>19/03/2016</v>
          </cell>
          <cell r="I3345" t="str">
            <v>34</v>
          </cell>
          <cell r="J3345" t="str">
            <v>PESSOA JURÍDICA</v>
          </cell>
          <cell r="K3345" t="str">
            <v>10.631.196/0001-76</v>
          </cell>
          <cell r="L3345" t="str">
            <v>IQ</v>
          </cell>
          <cell r="M3345" t="str">
            <v>MARIA CRISTINA PIGNATARI</v>
          </cell>
          <cell r="N3345" t="str">
            <v>EGK5519</v>
          </cell>
          <cell r="O3345" t="str">
            <v>2010</v>
          </cell>
          <cell r="P3345" t="str">
            <v>19</v>
          </cell>
          <cell r="Q3345" t="str">
            <v>18</v>
          </cell>
        </row>
        <row r="3346">
          <cell r="B3346" t="str">
            <v>5070/16</v>
          </cell>
          <cell r="C3346" t="str">
            <v>2016-0.055.054-8</v>
          </cell>
          <cell r="D3346" t="str">
            <v>25/02/2016</v>
          </cell>
          <cell r="E3346" t="str">
            <v>29 de fevereiro de 2016</v>
          </cell>
          <cell r="F3346" t="str">
            <v>TORRE FORTE TRANSPORTE ESCOLAR E LOCADORA EIRELLI - ME</v>
          </cell>
          <cell r="G3346" t="str">
            <v>29/02/2016</v>
          </cell>
          <cell r="H3346" t="str">
            <v>19/03/2016</v>
          </cell>
          <cell r="I3346" t="str">
            <v>34</v>
          </cell>
          <cell r="J3346" t="str">
            <v>PESSOA JURÍDICA</v>
          </cell>
          <cell r="K3346" t="str">
            <v>10.631.196/0001-76</v>
          </cell>
          <cell r="L3346" t="str">
            <v>IQ</v>
          </cell>
          <cell r="M3346" t="str">
            <v>JIDERCO LEANDRO BARBOSA</v>
          </cell>
          <cell r="N3346" t="str">
            <v>ERM6435</v>
          </cell>
          <cell r="O3346" t="str">
            <v>2010</v>
          </cell>
          <cell r="P3346" t="str">
            <v>29</v>
          </cell>
          <cell r="Q3346" t="str">
            <v>28</v>
          </cell>
        </row>
        <row r="3347">
          <cell r="B3347" t="str">
            <v>5071/16</v>
          </cell>
          <cell r="C3347" t="str">
            <v>2016-0.055.040-8</v>
          </cell>
          <cell r="D3347" t="str">
            <v>01/02/2016</v>
          </cell>
          <cell r="E3347" t="str">
            <v>25 de fevereiro de 2016</v>
          </cell>
          <cell r="F3347" t="str">
            <v>VVT TRANSPORTES LTDA - ME</v>
          </cell>
          <cell r="G3347" t="str">
            <v>25/02/2016</v>
          </cell>
          <cell r="H3347" t="str">
            <v>12/03/2016</v>
          </cell>
          <cell r="I3347" t="str">
            <v>29</v>
          </cell>
          <cell r="J3347" t="str">
            <v>PESSOA JURÍDICA</v>
          </cell>
          <cell r="K3347" t="str">
            <v>15.031.757/0001-10</v>
          </cell>
          <cell r="L3347" t="str">
            <v>CS</v>
          </cell>
          <cell r="M3347" t="str">
            <v>VENANCIO APARECIDO DOS ANJOS</v>
          </cell>
          <cell r="N3347" t="str">
            <v>DTE9288</v>
          </cell>
          <cell r="O3347" t="str">
            <v>2009</v>
          </cell>
          <cell r="P3347" t="str">
            <v>11</v>
          </cell>
          <cell r="Q3347" t="str">
            <v>10</v>
          </cell>
        </row>
        <row r="3348">
          <cell r="B3348" t="str">
            <v>5071/16</v>
          </cell>
          <cell r="C3348" t="str">
            <v>2016-0.055.040-8</v>
          </cell>
          <cell r="D3348" t="str">
            <v>25/02/2016</v>
          </cell>
          <cell r="E3348" t="str">
            <v>25 de fevereiro de 2016</v>
          </cell>
          <cell r="F3348" t="str">
            <v>VVT TRANSPORTES LTDA - ME</v>
          </cell>
          <cell r="G3348" t="str">
            <v>25/02/2016</v>
          </cell>
          <cell r="H3348" t="str">
            <v>12/03/2016</v>
          </cell>
          <cell r="I3348" t="str">
            <v>29</v>
          </cell>
          <cell r="J3348" t="str">
            <v>PESSOA JURÍDICA</v>
          </cell>
          <cell r="K3348" t="str">
            <v>15.031.757/0001-10</v>
          </cell>
          <cell r="L3348" t="str">
            <v>CS</v>
          </cell>
          <cell r="M3348" t="str">
            <v>CLAUDIA SUELOTTO</v>
          </cell>
          <cell r="N3348" t="str">
            <v>FJZ5539</v>
          </cell>
          <cell r="O3348" t="str">
            <v>2013</v>
          </cell>
          <cell r="P3348" t="str">
            <v>19</v>
          </cell>
          <cell r="Q3348" t="str">
            <v>18</v>
          </cell>
        </row>
        <row r="3349">
          <cell r="B3349" t="str">
            <v>5072/16</v>
          </cell>
          <cell r="C3349" t="str">
            <v>2016-0.055.009-2</v>
          </cell>
          <cell r="D3349" t="str">
            <v>24/02/2016</v>
          </cell>
          <cell r="E3349" t="str">
            <v>15 de abril de 2016</v>
          </cell>
          <cell r="F3349" t="str">
            <v>U.P DE SOUSA SILVA TRANSPORTE E TURISMO - ME</v>
          </cell>
          <cell r="G3349" t="str">
            <v>15/04/2016</v>
          </cell>
          <cell r="H3349" t="str">
            <v>19/04/2016</v>
          </cell>
          <cell r="I3349" t="str">
            <v>30</v>
          </cell>
          <cell r="J3349" t="str">
            <v>PESSOA JURÍDICA</v>
          </cell>
          <cell r="K3349" t="str">
            <v>13.218.368/0001-72</v>
          </cell>
          <cell r="L3349" t="str">
            <v>PE</v>
          </cell>
          <cell r="M3349" t="str">
            <v>RODRIGO MACHADO DE OLIVEIRA</v>
          </cell>
          <cell r="N3349" t="str">
            <v>DZH2917</v>
          </cell>
          <cell r="O3349" t="str">
            <v>2008</v>
          </cell>
          <cell r="P3349" t="str">
            <v>29</v>
          </cell>
          <cell r="Q3349" t="str">
            <v>27</v>
          </cell>
        </row>
        <row r="3350">
          <cell r="B3350" t="str">
            <v>5073/16</v>
          </cell>
          <cell r="C3350" t="str">
            <v>2016-0.054.998-1</v>
          </cell>
          <cell r="D3350" t="str">
            <v/>
          </cell>
          <cell r="E3350" t="str">
            <v/>
          </cell>
          <cell r="F3350" t="str">
            <v>TRANS SALES TRANSPORTES LTDA - ME</v>
          </cell>
          <cell r="G3350" t="str">
            <v>24/02/2016</v>
          </cell>
          <cell r="H3350" t="str">
            <v>12/03/2016</v>
          </cell>
          <cell r="I3350" t="str">
            <v>29</v>
          </cell>
          <cell r="J3350" t="str">
            <v>PESSOA JURÍDICA</v>
          </cell>
          <cell r="K3350" t="str">
            <v>16.669.508/0001-17</v>
          </cell>
          <cell r="L3350" t="str">
            <v>SM</v>
          </cell>
          <cell r="M3350" t="str">
            <v>ROBERTO MIRANDA TEIXEIRA FERNANDES</v>
          </cell>
          <cell r="N3350" t="str">
            <v>DTA1899</v>
          </cell>
          <cell r="O3350" t="str">
            <v>2007</v>
          </cell>
          <cell r="P3350" t="str">
            <v>29</v>
          </cell>
          <cell r="Q3350" t="str">
            <v>27</v>
          </cell>
        </row>
        <row r="3351">
          <cell r="B3351" t="str">
            <v>5073/16</v>
          </cell>
          <cell r="C3351" t="str">
            <v>2016-0.054.998-1</v>
          </cell>
          <cell r="D3351" t="str">
            <v>22/02/2016</v>
          </cell>
          <cell r="E3351" t="str">
            <v>24 de fevereiro de 2016</v>
          </cell>
          <cell r="F3351" t="str">
            <v>TRANS SALES TRANSPORTES LTDA - ME</v>
          </cell>
          <cell r="G3351" t="str">
            <v>24/02/2016</v>
          </cell>
          <cell r="H3351" t="str">
            <v>12/03/2016</v>
          </cell>
          <cell r="I3351" t="str">
            <v>29</v>
          </cell>
          <cell r="J3351" t="str">
            <v>PESSOA JURÍDICA</v>
          </cell>
          <cell r="K3351" t="str">
            <v>16.669.508/0001-17</v>
          </cell>
          <cell r="L3351" t="str">
            <v>SM</v>
          </cell>
          <cell r="M3351" t="str">
            <v>REINALDO DE MORAES SALES</v>
          </cell>
          <cell r="N3351" t="str">
            <v>DTC4185</v>
          </cell>
          <cell r="O3351" t="str">
            <v>2008</v>
          </cell>
          <cell r="P3351" t="str">
            <v>29</v>
          </cell>
          <cell r="Q3351" t="str">
            <v>27</v>
          </cell>
        </row>
        <row r="3352">
          <cell r="B3352" t="str">
            <v>5074/16</v>
          </cell>
          <cell r="C3352" t="str">
            <v>2016-0.054.971-0</v>
          </cell>
          <cell r="D3352" t="str">
            <v>07/03/2016</v>
          </cell>
          <cell r="E3352" t="str">
            <v>07 de março de 2016</v>
          </cell>
          <cell r="F3352" t="str">
            <v>CJ FELIX TRANSPORTES LTDA - ME</v>
          </cell>
          <cell r="G3352" t="str">
            <v>07/03/2016</v>
          </cell>
          <cell r="H3352" t="str">
            <v>12/03/2016</v>
          </cell>
          <cell r="I3352" t="str">
            <v>29</v>
          </cell>
          <cell r="J3352" t="str">
            <v>PESSOA JURÍDICA</v>
          </cell>
          <cell r="K3352" t="str">
            <v>08.086.046/0001-87</v>
          </cell>
          <cell r="L3352" t="str">
            <v>SM</v>
          </cell>
          <cell r="M3352" t="str">
            <v>JESIEL FELIX DO NASCIMENTO</v>
          </cell>
          <cell r="N3352" t="str">
            <v>DPF7323</v>
          </cell>
          <cell r="O3352" t="str">
            <v>2009</v>
          </cell>
          <cell r="P3352" t="str">
            <v>29</v>
          </cell>
          <cell r="Q3352" t="str">
            <v>27</v>
          </cell>
        </row>
        <row r="3353">
          <cell r="B3353" t="str">
            <v>5074/16</v>
          </cell>
          <cell r="C3353" t="str">
            <v>2016-0.054.971-0</v>
          </cell>
          <cell r="D3353" t="str">
            <v>07/03/2016</v>
          </cell>
          <cell r="E3353" t="str">
            <v>07 de março de 2016</v>
          </cell>
          <cell r="F3353" t="str">
            <v>CJ FELIX TRANSPORTES LTDA - ME</v>
          </cell>
          <cell r="G3353" t="str">
            <v>07/03/2016</v>
          </cell>
          <cell r="H3353" t="str">
            <v>12/03/2016</v>
          </cell>
          <cell r="I3353" t="str">
            <v>29</v>
          </cell>
          <cell r="J3353" t="str">
            <v>PESSOA JURÍDICA</v>
          </cell>
          <cell r="K3353" t="str">
            <v>08.086.046/0001-87</v>
          </cell>
          <cell r="L3353" t="str">
            <v>SM</v>
          </cell>
          <cell r="M3353" t="str">
            <v>CARLOS JOSE DA SILVA FELIX</v>
          </cell>
          <cell r="N3353" t="str">
            <v>DTD2870</v>
          </cell>
          <cell r="O3353" t="str">
            <v>2007</v>
          </cell>
          <cell r="P3353" t="str">
            <v>29</v>
          </cell>
          <cell r="Q3353" t="str">
            <v>27</v>
          </cell>
        </row>
        <row r="3354">
          <cell r="B3354" t="str">
            <v>5075/16</v>
          </cell>
          <cell r="C3354" t="str">
            <v>2016-0.055.995-2</v>
          </cell>
          <cell r="D3354" t="str">
            <v/>
          </cell>
          <cell r="E3354" t="str">
            <v/>
          </cell>
          <cell r="F3354" t="str">
            <v>EDILSON DA LUZ CARVALHO - ME</v>
          </cell>
          <cell r="G3354" t="str">
            <v>05/04/2016</v>
          </cell>
          <cell r="H3354" t="str">
            <v>19/04/2016</v>
          </cell>
          <cell r="I3354" t="str">
            <v>30</v>
          </cell>
          <cell r="J3354" t="str">
            <v>PESSOA JURÍDICA</v>
          </cell>
          <cell r="K3354" t="str">
            <v>11.926.472/0001-96</v>
          </cell>
          <cell r="L3354" t="str">
            <v>BT</v>
          </cell>
          <cell r="M3354" t="str">
            <v/>
          </cell>
          <cell r="N3354" t="str">
            <v>ELW9250</v>
          </cell>
          <cell r="O3354" t="str">
            <v>2011</v>
          </cell>
          <cell r="P3354" t="str">
            <v>19</v>
          </cell>
          <cell r="Q3354" t="str">
            <v>18</v>
          </cell>
        </row>
        <row r="3355">
          <cell r="B3355" t="str">
            <v>5075/16</v>
          </cell>
          <cell r="C3355" t="str">
            <v>2016-0.055.995-2</v>
          </cell>
          <cell r="D3355" t="str">
            <v/>
          </cell>
          <cell r="E3355" t="str">
            <v>13 de abril de 2016</v>
          </cell>
          <cell r="F3355" t="str">
            <v>EDILSON DA LUZ CARVALHO - ME</v>
          </cell>
          <cell r="G3355" t="str">
            <v>05/04/2016</v>
          </cell>
          <cell r="H3355" t="str">
            <v>19/04/2016</v>
          </cell>
          <cell r="I3355" t="str">
            <v>30</v>
          </cell>
          <cell r="J3355" t="str">
            <v>PESSOA JURÍDICA</v>
          </cell>
          <cell r="K3355" t="str">
            <v>11.926.472/0001-96</v>
          </cell>
          <cell r="L3355" t="str">
            <v>BT</v>
          </cell>
          <cell r="M3355" t="str">
            <v>GUILHERME MARQUES GOIS</v>
          </cell>
          <cell r="N3355" t="str">
            <v>DOR2582</v>
          </cell>
          <cell r="O3355" t="str">
            <v>2007</v>
          </cell>
          <cell r="P3355" t="str">
            <v>29</v>
          </cell>
          <cell r="Q3355" t="str">
            <v>27</v>
          </cell>
        </row>
        <row r="3356">
          <cell r="B3356" t="str">
            <v>5075/16</v>
          </cell>
          <cell r="C3356" t="str">
            <v>2016-0.055.995-2</v>
          </cell>
          <cell r="D3356" t="str">
            <v>21/03/2016</v>
          </cell>
          <cell r="E3356" t="str">
            <v>13 de abril de 2016</v>
          </cell>
          <cell r="F3356" t="str">
            <v>EDILSON DA LUZ CARVALHO - ME</v>
          </cell>
          <cell r="G3356" t="str">
            <v>05/04/2016</v>
          </cell>
          <cell r="H3356" t="str">
            <v>19/04/2016</v>
          </cell>
          <cell r="I3356" t="str">
            <v>30</v>
          </cell>
          <cell r="J3356" t="str">
            <v>PESSOA JURÍDICA</v>
          </cell>
          <cell r="K3356" t="str">
            <v>11.926.472/0001-96</v>
          </cell>
          <cell r="L3356" t="str">
            <v>BT</v>
          </cell>
          <cell r="M3356" t="str">
            <v>MOACIR TADEU ELLER</v>
          </cell>
          <cell r="N3356" t="str">
            <v>ELW7920</v>
          </cell>
          <cell r="O3356" t="str">
            <v>2011</v>
          </cell>
          <cell r="P3356" t="str">
            <v>19</v>
          </cell>
          <cell r="Q3356" t="str">
            <v>18</v>
          </cell>
        </row>
        <row r="3357">
          <cell r="B3357" t="str">
            <v>5075/16</v>
          </cell>
          <cell r="C3357" t="str">
            <v>2016-0.055.995-2</v>
          </cell>
          <cell r="D3357" t="str">
            <v/>
          </cell>
          <cell r="E3357" t="str">
            <v>13 de abril de 2016</v>
          </cell>
          <cell r="F3357" t="str">
            <v>EDILSON DA LUZ CARVALHO - ME</v>
          </cell>
          <cell r="G3357" t="str">
            <v>05/04/2016</v>
          </cell>
          <cell r="H3357" t="str">
            <v>19/04/2016</v>
          </cell>
          <cell r="I3357" t="str">
            <v>30</v>
          </cell>
          <cell r="J3357" t="str">
            <v>PESSOA JURÍDICA</v>
          </cell>
          <cell r="K3357" t="str">
            <v>11.926.472/0001-96</v>
          </cell>
          <cell r="L3357" t="str">
            <v>IP</v>
          </cell>
          <cell r="M3357" t="str">
            <v>CARLOS MELO TEIXEIRA</v>
          </cell>
          <cell r="N3357" t="str">
            <v>FFN4035</v>
          </cell>
          <cell r="O3357" t="str">
            <v>2013</v>
          </cell>
          <cell r="P3357" t="str">
            <v>15</v>
          </cell>
          <cell r="Q3357" t="str">
            <v>14</v>
          </cell>
        </row>
        <row r="3358">
          <cell r="B3358" t="str">
            <v>5075/16</v>
          </cell>
          <cell r="C3358" t="str">
            <v>2016-0.055.995-2</v>
          </cell>
          <cell r="D3358" t="str">
            <v/>
          </cell>
          <cell r="E3358" t="str">
            <v/>
          </cell>
          <cell r="F3358" t="str">
            <v>EDILSON DA LUZ CARVALHO - ME</v>
          </cell>
          <cell r="G3358" t="str">
            <v>05/04/2016</v>
          </cell>
          <cell r="H3358" t="str">
            <v>19/04/2016</v>
          </cell>
          <cell r="I3358" t="str">
            <v>30</v>
          </cell>
          <cell r="J3358" t="str">
            <v>PESSOA JURÍDICA</v>
          </cell>
          <cell r="K3358" t="str">
            <v>11.926.472/0001-96</v>
          </cell>
          <cell r="L3358" t="str">
            <v>BT</v>
          </cell>
          <cell r="M3358" t="str">
            <v>JOSE ROBERTO COELHO</v>
          </cell>
          <cell r="N3358" t="str">
            <v>DTE7420</v>
          </cell>
          <cell r="O3358" t="str">
            <v>2009</v>
          </cell>
          <cell r="P3358" t="str">
            <v>19</v>
          </cell>
          <cell r="Q3358" t="str">
            <v>18</v>
          </cell>
        </row>
        <row r="3359">
          <cell r="B3359" t="str">
            <v>5075/16</v>
          </cell>
          <cell r="C3359" t="str">
            <v>2016-0.055.995-2</v>
          </cell>
          <cell r="D3359" t="str">
            <v/>
          </cell>
          <cell r="E3359" t="str">
            <v/>
          </cell>
          <cell r="F3359" t="str">
            <v>EDILSON DA LUZ CARVALHO - ME</v>
          </cell>
          <cell r="G3359" t="str">
            <v>05/04/2016</v>
          </cell>
          <cell r="H3359" t="str">
            <v>19/04/2016</v>
          </cell>
          <cell r="I3359" t="str">
            <v>30</v>
          </cell>
          <cell r="J3359" t="str">
            <v>PESSOA JURÍDICA</v>
          </cell>
          <cell r="K3359" t="str">
            <v>11.926.472/0001-96</v>
          </cell>
          <cell r="L3359" t="str">
            <v>BT</v>
          </cell>
          <cell r="M3359" t="str">
            <v>HAROLDO REIS PEREIRA</v>
          </cell>
          <cell r="N3359" t="str">
            <v>ELW6948</v>
          </cell>
          <cell r="O3359" t="str">
            <v>2011</v>
          </cell>
          <cell r="P3359" t="str">
            <v>19</v>
          </cell>
          <cell r="Q3359" t="str">
            <v>18</v>
          </cell>
        </row>
        <row r="3360">
          <cell r="B3360" t="str">
            <v>5075/16</v>
          </cell>
          <cell r="C3360" t="str">
            <v>2016-0.055.995-2</v>
          </cell>
          <cell r="D3360" t="str">
            <v/>
          </cell>
          <cell r="E3360" t="str">
            <v/>
          </cell>
          <cell r="F3360" t="str">
            <v>EDILSON DA LUZ CARVALHO - ME</v>
          </cell>
          <cell r="G3360" t="str">
            <v>05/04/2016</v>
          </cell>
          <cell r="H3360" t="str">
            <v>19/04/2016</v>
          </cell>
          <cell r="I3360" t="str">
            <v>30</v>
          </cell>
          <cell r="J3360" t="str">
            <v>PESSOA JURÍDICA</v>
          </cell>
          <cell r="K3360" t="str">
            <v>11.926.472/0001-96</v>
          </cell>
          <cell r="L3360" t="str">
            <v>BT</v>
          </cell>
          <cell r="M3360" t="str">
            <v>LILIAN CRISTINA MESSIAS DA SILVA</v>
          </cell>
          <cell r="N3360" t="str">
            <v>DPF0772</v>
          </cell>
          <cell r="O3360" t="str">
            <v>2008</v>
          </cell>
          <cell r="P3360" t="str">
            <v>25</v>
          </cell>
          <cell r="Q3360" t="str">
            <v>23</v>
          </cell>
        </row>
        <row r="3361">
          <cell r="B3361" t="str">
            <v>5075/16</v>
          </cell>
          <cell r="C3361" t="str">
            <v>2016-0.055.995-2</v>
          </cell>
          <cell r="D3361" t="str">
            <v/>
          </cell>
          <cell r="E3361" t="str">
            <v/>
          </cell>
          <cell r="F3361" t="str">
            <v>EDILSON DA LUZ CARVALHO - ME</v>
          </cell>
          <cell r="G3361" t="str">
            <v>05/04/2016</v>
          </cell>
          <cell r="H3361" t="str">
            <v>19/04/2016</v>
          </cell>
          <cell r="I3361" t="str">
            <v>30</v>
          </cell>
          <cell r="J3361" t="str">
            <v>PESSOA JURÍDICA</v>
          </cell>
          <cell r="K3361" t="str">
            <v>11.926.472/0001-96</v>
          </cell>
          <cell r="L3361" t="str">
            <v>IP</v>
          </cell>
          <cell r="M3361" t="str">
            <v>ANTONIO JOSE MONTEIRO</v>
          </cell>
          <cell r="N3361" t="str">
            <v>DTD7995</v>
          </cell>
          <cell r="O3361" t="str">
            <v>2009</v>
          </cell>
          <cell r="P3361" t="str">
            <v>10</v>
          </cell>
          <cell r="Q3361" t="str">
            <v>9</v>
          </cell>
        </row>
        <row r="3362">
          <cell r="B3362" t="str">
            <v>5075/16</v>
          </cell>
          <cell r="C3362" t="str">
            <v>2016-0.055.995-2</v>
          </cell>
          <cell r="D3362" t="str">
            <v>21/03/2016</v>
          </cell>
          <cell r="E3362" t="str">
            <v>20 de abril de 2016</v>
          </cell>
          <cell r="F3362" t="str">
            <v>EDILSON DA LUZ CARVALHO - ME</v>
          </cell>
          <cell r="G3362" t="str">
            <v>05/04/2016</v>
          </cell>
          <cell r="H3362" t="str">
            <v>19/04/2016</v>
          </cell>
          <cell r="I3362" t="str">
            <v>30</v>
          </cell>
          <cell r="J3362" t="str">
            <v>PESSOA JURÍDICA</v>
          </cell>
          <cell r="K3362" t="str">
            <v>11.926.472/0001-96</v>
          </cell>
          <cell r="L3362" t="str">
            <v>BT</v>
          </cell>
          <cell r="M3362" t="str">
            <v>JOSE VICENTE DO NASCIMENTO</v>
          </cell>
          <cell r="N3362" t="str">
            <v>FFR9430</v>
          </cell>
          <cell r="O3362" t="str">
            <v>2014</v>
          </cell>
          <cell r="P3362" t="str">
            <v>19</v>
          </cell>
          <cell r="Q3362" t="str">
            <v>18</v>
          </cell>
        </row>
        <row r="3363">
          <cell r="B3363" t="str">
            <v>5075/16</v>
          </cell>
          <cell r="C3363" t="str">
            <v>2016-0.055.995-2</v>
          </cell>
          <cell r="D3363" t="str">
            <v>22/02/2016</v>
          </cell>
          <cell r="E3363" t="str">
            <v>13 de abril de 2016</v>
          </cell>
          <cell r="F3363" t="str">
            <v>EDILSON DA LUZ CARVALHO - ME</v>
          </cell>
          <cell r="G3363" t="str">
            <v>05/04/2016</v>
          </cell>
          <cell r="H3363" t="str">
            <v>19/04/2016</v>
          </cell>
          <cell r="I3363" t="str">
            <v>30</v>
          </cell>
          <cell r="J3363" t="str">
            <v>PESSOA JURÍDICA</v>
          </cell>
          <cell r="K3363" t="str">
            <v>11.926.472/0001-96</v>
          </cell>
          <cell r="L3363" t="str">
            <v>IP</v>
          </cell>
          <cell r="M3363" t="str">
            <v>ALBINO FERREIRA DAS NEVES JUNIOR</v>
          </cell>
          <cell r="N3363" t="str">
            <v>DTA6974</v>
          </cell>
          <cell r="O3363" t="str">
            <v>2007</v>
          </cell>
          <cell r="P3363" t="str">
            <v>25</v>
          </cell>
          <cell r="Q3363" t="str">
            <v>23</v>
          </cell>
        </row>
        <row r="3364">
          <cell r="B3364" t="str">
            <v>5075/16</v>
          </cell>
          <cell r="C3364" t="str">
            <v>2016-0.055.995-2</v>
          </cell>
          <cell r="D3364" t="str">
            <v/>
          </cell>
          <cell r="E3364" t="str">
            <v>05 de abril de 2016</v>
          </cell>
          <cell r="F3364" t="str">
            <v>EDILSON DA LUZ CARVALHO - ME</v>
          </cell>
          <cell r="G3364" t="str">
            <v>05/04/2016</v>
          </cell>
          <cell r="H3364" t="str">
            <v>19/04/2016</v>
          </cell>
          <cell r="I3364" t="str">
            <v>30</v>
          </cell>
          <cell r="J3364" t="str">
            <v>PESSOA JURÍDICA</v>
          </cell>
          <cell r="K3364" t="str">
            <v>11.926.472/0001-96</v>
          </cell>
          <cell r="L3364" t="str">
            <v>BT</v>
          </cell>
          <cell r="M3364" t="str">
            <v>JANE IVANILDE GARCIA CONEGUNDES</v>
          </cell>
          <cell r="N3364" t="str">
            <v>DTC4918</v>
          </cell>
          <cell r="O3364" t="str">
            <v>2008</v>
          </cell>
          <cell r="P3364" t="str">
            <v>25</v>
          </cell>
          <cell r="Q3364" t="str">
            <v>23</v>
          </cell>
        </row>
        <row r="3365">
          <cell r="B3365" t="str">
            <v>5076/16</v>
          </cell>
          <cell r="C3365" t="str">
            <v>2016-0.056.000-4</v>
          </cell>
          <cell r="D3365" t="str">
            <v/>
          </cell>
          <cell r="E3365" t="str">
            <v/>
          </cell>
          <cell r="F3365" t="str">
            <v>F.R.TRANSPORTES E TURISMO LTDA - ME</v>
          </cell>
          <cell r="G3365" t="str">
            <v>29/02/2016</v>
          </cell>
          <cell r="H3365" t="str">
            <v>18/03/2016</v>
          </cell>
          <cell r="I3365" t="str">
            <v>26</v>
          </cell>
          <cell r="J3365" t="str">
            <v>PESSOA JURÍDICA</v>
          </cell>
          <cell r="K3365" t="str">
            <v>06.242.670/0001-09</v>
          </cell>
          <cell r="L3365" t="str">
            <v>BT</v>
          </cell>
          <cell r="M3365" t="str">
            <v>GISELLE CAROLINE BADREDDINI DOTA</v>
          </cell>
          <cell r="N3365" t="str">
            <v>DTE0269</v>
          </cell>
          <cell r="O3365" t="str">
            <v>2008</v>
          </cell>
          <cell r="P3365" t="str">
            <v>15</v>
          </cell>
          <cell r="Q3365" t="str">
            <v>13</v>
          </cell>
        </row>
        <row r="3366">
          <cell r="B3366" t="str">
            <v>5076/16</v>
          </cell>
          <cell r="C3366" t="str">
            <v>2016-0.056.000-4</v>
          </cell>
          <cell r="D3366" t="str">
            <v/>
          </cell>
          <cell r="E3366" t="str">
            <v/>
          </cell>
          <cell r="F3366" t="str">
            <v>F.R.TRANSPORTES E TURISMO LTDA - ME</v>
          </cell>
          <cell r="G3366" t="str">
            <v>29/02/2016</v>
          </cell>
          <cell r="H3366" t="str">
            <v>18/03/2016</v>
          </cell>
          <cell r="I3366" t="str">
            <v>26</v>
          </cell>
          <cell r="J3366" t="str">
            <v>PESSOA JURÍDICA</v>
          </cell>
          <cell r="K3366" t="str">
            <v>06.242.670/0001-09</v>
          </cell>
          <cell r="L3366" t="str">
            <v>BT</v>
          </cell>
          <cell r="M3366" t="str">
            <v>TALITA SILVA MARIANO DE MARIA</v>
          </cell>
          <cell r="N3366" t="str">
            <v>JWY4206</v>
          </cell>
          <cell r="O3366" t="str">
            <v>2004</v>
          </cell>
          <cell r="P3366" t="str">
            <v>32</v>
          </cell>
          <cell r="Q3366" t="str">
            <v>30</v>
          </cell>
        </row>
        <row r="3367">
          <cell r="B3367" t="str">
            <v>5076/16</v>
          </cell>
          <cell r="C3367" t="str">
            <v>2016-0.056.000-4</v>
          </cell>
          <cell r="D3367" t="str">
            <v/>
          </cell>
          <cell r="E3367" t="str">
            <v>15 de março de 2016</v>
          </cell>
          <cell r="F3367" t="str">
            <v>F.R.TRANSPORTES E TURISMO LTDA - ME</v>
          </cell>
          <cell r="G3367" t="str">
            <v>29/02/2016</v>
          </cell>
          <cell r="H3367" t="str">
            <v>18/03/2016</v>
          </cell>
          <cell r="I3367" t="str">
            <v>26</v>
          </cell>
          <cell r="J3367" t="str">
            <v>PESSOA JURÍDICA</v>
          </cell>
          <cell r="K3367" t="str">
            <v>06.242.670/0001-09</v>
          </cell>
          <cell r="L3367" t="str">
            <v>BT</v>
          </cell>
          <cell r="M3367" t="str">
            <v>JOSE LEONIDAS DA SILVA PEREIRA</v>
          </cell>
          <cell r="N3367" t="str">
            <v>CLJ6399</v>
          </cell>
          <cell r="O3367" t="str">
            <v>2001</v>
          </cell>
          <cell r="P3367" t="str">
            <v>15</v>
          </cell>
          <cell r="Q3367" t="str">
            <v>13</v>
          </cell>
        </row>
        <row r="3368">
          <cell r="B3368" t="str">
            <v>5076/16</v>
          </cell>
          <cell r="C3368" t="str">
            <v>2016-0.056.000-4</v>
          </cell>
          <cell r="D3368" t="str">
            <v/>
          </cell>
          <cell r="E3368" t="str">
            <v/>
          </cell>
          <cell r="F3368" t="str">
            <v>F.R.TRANSPORTES E TURISMO LTDA - ME</v>
          </cell>
          <cell r="G3368" t="str">
            <v>29/02/2016</v>
          </cell>
          <cell r="H3368" t="str">
            <v>18/03/2016</v>
          </cell>
          <cell r="I3368" t="str">
            <v>26</v>
          </cell>
          <cell r="J3368" t="str">
            <v>PESSOA JURÍDICA</v>
          </cell>
          <cell r="K3368" t="str">
            <v>06.242.670/0001-09</v>
          </cell>
          <cell r="L3368" t="str">
            <v>BT</v>
          </cell>
          <cell r="M3368" t="str">
            <v>ELIANE JANONI PEREIRA</v>
          </cell>
          <cell r="N3368" t="str">
            <v>DTE0268</v>
          </cell>
          <cell r="O3368" t="str">
            <v>2008</v>
          </cell>
          <cell r="P3368" t="str">
            <v>15</v>
          </cell>
          <cell r="Q3368" t="str">
            <v>13</v>
          </cell>
        </row>
        <row r="3369">
          <cell r="B3369" t="str">
            <v>5076/16</v>
          </cell>
          <cell r="C3369" t="str">
            <v>2016-0.056.000-4</v>
          </cell>
          <cell r="D3369" t="str">
            <v/>
          </cell>
          <cell r="E3369" t="str">
            <v>15 de março de 2016</v>
          </cell>
          <cell r="F3369" t="str">
            <v>F.R.TRANSPORTES E TURISMO LTDA - ME</v>
          </cell>
          <cell r="G3369" t="str">
            <v>29/02/2016</v>
          </cell>
          <cell r="H3369" t="str">
            <v>18/03/2016</v>
          </cell>
          <cell r="I3369" t="str">
            <v>26</v>
          </cell>
          <cell r="J3369" t="str">
            <v>PESSOA JURÍDICA</v>
          </cell>
          <cell r="K3369" t="str">
            <v>06.242.670/0001-09</v>
          </cell>
          <cell r="L3369" t="str">
            <v>BT</v>
          </cell>
          <cell r="M3369" t="str">
            <v>VALDINEIA DA SILVA BERING</v>
          </cell>
          <cell r="N3369" t="str">
            <v>JHC6968</v>
          </cell>
          <cell r="O3369" t="str">
            <v>2007</v>
          </cell>
          <cell r="P3369" t="str">
            <v>15</v>
          </cell>
          <cell r="Q3369" t="str">
            <v>13</v>
          </cell>
        </row>
        <row r="3370">
          <cell r="B3370" t="str">
            <v>5076/16</v>
          </cell>
          <cell r="C3370" t="str">
            <v>2016-0.056.000-4</v>
          </cell>
          <cell r="D3370" t="str">
            <v>29/02/2016</v>
          </cell>
          <cell r="E3370" t="str">
            <v>29 de fevereiro de 2016</v>
          </cell>
          <cell r="F3370" t="str">
            <v>F.R.TRANSPORTES E TURISMO LTDA - ME</v>
          </cell>
          <cell r="G3370" t="str">
            <v>29/02/2016</v>
          </cell>
          <cell r="H3370" t="str">
            <v>18/03/2016</v>
          </cell>
          <cell r="I3370" t="str">
            <v>26</v>
          </cell>
          <cell r="J3370" t="str">
            <v>PESSOA JURÍDICA</v>
          </cell>
          <cell r="K3370" t="str">
            <v>06.242.670/0001-09</v>
          </cell>
          <cell r="L3370" t="str">
            <v>BT</v>
          </cell>
          <cell r="M3370" t="str">
            <v>FLAVIA GONCALVES BORGES CRESCENCIO</v>
          </cell>
          <cell r="N3370" t="str">
            <v>GCA9450</v>
          </cell>
          <cell r="O3370" t="str">
            <v>2015</v>
          </cell>
          <cell r="P3370" t="str">
            <v>19</v>
          </cell>
          <cell r="Q3370" t="str">
            <v>18</v>
          </cell>
        </row>
        <row r="3371">
          <cell r="B3371" t="str">
            <v>5076/16</v>
          </cell>
          <cell r="C3371" t="str">
            <v>2016-0.056.000-4</v>
          </cell>
          <cell r="D3371" t="str">
            <v/>
          </cell>
          <cell r="E3371" t="str">
            <v>15 de março de 2016</v>
          </cell>
          <cell r="F3371" t="str">
            <v>F.R.TRANSPORTES E TURISMO LTDA - ME</v>
          </cell>
          <cell r="G3371" t="str">
            <v>29/02/2016</v>
          </cell>
          <cell r="H3371" t="str">
            <v>18/03/2016</v>
          </cell>
          <cell r="I3371" t="str">
            <v>26</v>
          </cell>
          <cell r="J3371" t="str">
            <v>PESSOA JURÍDICA</v>
          </cell>
          <cell r="K3371" t="str">
            <v>06.242.670/0001-09</v>
          </cell>
          <cell r="L3371" t="str">
            <v>BT</v>
          </cell>
          <cell r="M3371" t="str">
            <v>JOSE NILTON DE SANTANA</v>
          </cell>
          <cell r="N3371" t="str">
            <v>DVS4399</v>
          </cell>
          <cell r="O3371" t="str">
            <v>2007</v>
          </cell>
          <cell r="P3371" t="str">
            <v>32</v>
          </cell>
          <cell r="Q3371" t="str">
            <v>30</v>
          </cell>
        </row>
        <row r="3372">
          <cell r="B3372" t="str">
            <v>5076/16</v>
          </cell>
          <cell r="C3372" t="str">
            <v>2016-0.056.000-4</v>
          </cell>
          <cell r="D3372" t="str">
            <v/>
          </cell>
          <cell r="E3372" t="str">
            <v/>
          </cell>
          <cell r="F3372" t="str">
            <v>F.R.TRANSPORTES E TURISMO LTDA - ME</v>
          </cell>
          <cell r="G3372" t="str">
            <v>29/02/2016</v>
          </cell>
          <cell r="H3372" t="str">
            <v>18/03/2016</v>
          </cell>
          <cell r="I3372" t="str">
            <v>26</v>
          </cell>
          <cell r="J3372" t="str">
            <v>PESSOA JURÍDICA</v>
          </cell>
          <cell r="K3372" t="str">
            <v>06.242.670/0001-09</v>
          </cell>
          <cell r="L3372" t="str">
            <v>BT</v>
          </cell>
          <cell r="M3372" t="str">
            <v>EDSON LIMA DA CRUZ</v>
          </cell>
          <cell r="N3372" t="str">
            <v>DJB9830</v>
          </cell>
          <cell r="O3372" t="str">
            <v>2004</v>
          </cell>
          <cell r="P3372" t="str">
            <v>24</v>
          </cell>
          <cell r="Q3372" t="str">
            <v>22</v>
          </cell>
        </row>
        <row r="3373">
          <cell r="B3373" t="str">
            <v>5076/16</v>
          </cell>
          <cell r="C3373" t="str">
            <v>2016-0.056.000-4</v>
          </cell>
          <cell r="D3373" t="str">
            <v/>
          </cell>
          <cell r="E3373" t="str">
            <v/>
          </cell>
          <cell r="F3373" t="str">
            <v>F.R.TRANSPORTES E TURISMO LTDA - ME</v>
          </cell>
          <cell r="G3373" t="str">
            <v>29/02/2016</v>
          </cell>
          <cell r="H3373" t="str">
            <v>18/03/2016</v>
          </cell>
          <cell r="I3373" t="str">
            <v>26</v>
          </cell>
          <cell r="J3373" t="str">
            <v>PESSOA JURÍDICA</v>
          </cell>
          <cell r="K3373" t="str">
            <v>06.242.670/0001-09</v>
          </cell>
          <cell r="L3373" t="str">
            <v>BT</v>
          </cell>
          <cell r="M3373" t="str">
            <v>SERGIO LUIZ MARIANO DE MARIA</v>
          </cell>
          <cell r="N3373" t="str">
            <v>DPF6088</v>
          </cell>
          <cell r="O3373" t="str">
            <v>2006</v>
          </cell>
          <cell r="P3373" t="str">
            <v>15</v>
          </cell>
          <cell r="Q3373" t="str">
            <v>13</v>
          </cell>
        </row>
        <row r="3374">
          <cell r="B3374" t="str">
            <v>5076/16</v>
          </cell>
          <cell r="C3374" t="str">
            <v>2016-0.056.000-4</v>
          </cell>
          <cell r="D3374" t="str">
            <v>14/03/2016</v>
          </cell>
          <cell r="E3374" t="str">
            <v>14 de março de 2016</v>
          </cell>
          <cell r="F3374" t="str">
            <v>F.R.TRANSPORTES E TURISMO LTDA - ME</v>
          </cell>
          <cell r="G3374" t="str">
            <v>29/02/2016</v>
          </cell>
          <cell r="H3374" t="str">
            <v>18/03/2016</v>
          </cell>
          <cell r="I3374" t="str">
            <v>26</v>
          </cell>
          <cell r="J3374" t="str">
            <v>PESSOA JURÍDICA</v>
          </cell>
          <cell r="K3374" t="str">
            <v>06.242.670/0001-09</v>
          </cell>
          <cell r="L3374" t="str">
            <v>BT</v>
          </cell>
          <cell r="M3374" t="str">
            <v>MANUEL APRIGIO DE PONTE</v>
          </cell>
          <cell r="N3374" t="str">
            <v>EZL9776</v>
          </cell>
          <cell r="O3374" t="str">
            <v>2012</v>
          </cell>
          <cell r="P3374" t="str">
            <v>15</v>
          </cell>
          <cell r="Q3374" t="str">
            <v>14</v>
          </cell>
        </row>
        <row r="3375">
          <cell r="B3375" t="str">
            <v>5076/16</v>
          </cell>
          <cell r="C3375" t="str">
            <v>2016-0.056.000-4</v>
          </cell>
          <cell r="D3375" t="str">
            <v/>
          </cell>
          <cell r="E3375" t="str">
            <v>15 de março de 2016</v>
          </cell>
          <cell r="F3375" t="str">
            <v>F.R.TRANSPORTES E TURISMO LTDA - ME</v>
          </cell>
          <cell r="G3375" t="str">
            <v>29/02/2016</v>
          </cell>
          <cell r="H3375" t="str">
            <v>18/03/2016</v>
          </cell>
          <cell r="I3375" t="str">
            <v>26</v>
          </cell>
          <cell r="J3375" t="str">
            <v>PESSOA JURÍDICA</v>
          </cell>
          <cell r="K3375" t="str">
            <v>06.242.670/0001-09</v>
          </cell>
          <cell r="L3375" t="str">
            <v>BT</v>
          </cell>
          <cell r="M3375" t="str">
            <v>SANDRA RANTUCHIERI DA SILVA BORGES</v>
          </cell>
          <cell r="N3375" t="str">
            <v>DTE0273</v>
          </cell>
          <cell r="O3375" t="str">
            <v>2012</v>
          </cell>
          <cell r="P3375" t="str">
            <v>15</v>
          </cell>
          <cell r="Q3375" t="str">
            <v>14</v>
          </cell>
        </row>
        <row r="3376">
          <cell r="B3376" t="str">
            <v>5076/16</v>
          </cell>
          <cell r="C3376" t="str">
            <v>2016-0.056.000-4</v>
          </cell>
          <cell r="D3376" t="str">
            <v/>
          </cell>
          <cell r="E3376" t="str">
            <v>15 de março de 2016</v>
          </cell>
          <cell r="F3376" t="str">
            <v>F.R.TRANSPORTES E TURISMO LTDA - ME</v>
          </cell>
          <cell r="G3376" t="str">
            <v>29/02/2016</v>
          </cell>
          <cell r="H3376" t="str">
            <v>18/03/2016</v>
          </cell>
          <cell r="I3376" t="str">
            <v>26</v>
          </cell>
          <cell r="J3376" t="str">
            <v>PESSOA JURÍDICA</v>
          </cell>
          <cell r="K3376" t="str">
            <v>06.242.670/0001-09</v>
          </cell>
          <cell r="L3376" t="str">
            <v>BT</v>
          </cell>
          <cell r="M3376" t="str">
            <v>MARCELO DUTRA DE SOUZA</v>
          </cell>
          <cell r="N3376" t="str">
            <v>DTE0267</v>
          </cell>
          <cell r="O3376" t="str">
            <v>2012</v>
          </cell>
          <cell r="P3376" t="str">
            <v>19</v>
          </cell>
          <cell r="Q3376" t="str">
            <v>18</v>
          </cell>
        </row>
        <row r="3377">
          <cell r="B3377" t="str">
            <v>5076/16</v>
          </cell>
          <cell r="C3377" t="str">
            <v>2016-0.056.000-4</v>
          </cell>
          <cell r="D3377" t="str">
            <v/>
          </cell>
          <cell r="E3377" t="str">
            <v>15 de março de 2016</v>
          </cell>
          <cell r="F3377" t="str">
            <v>F.R.TRANSPORTES E TURISMO LTDA - ME</v>
          </cell>
          <cell r="G3377" t="str">
            <v>29/02/2016</v>
          </cell>
          <cell r="H3377" t="str">
            <v>18/03/2016</v>
          </cell>
          <cell r="I3377" t="str">
            <v>26</v>
          </cell>
          <cell r="J3377" t="str">
            <v>PESSOA JURÍDICA</v>
          </cell>
          <cell r="K3377" t="str">
            <v>06.242.670/0001-09</v>
          </cell>
          <cell r="L3377" t="str">
            <v>BT</v>
          </cell>
          <cell r="M3377" t="str">
            <v>CLAUDETE APARECIDA TENCA DIAS SOUZA</v>
          </cell>
          <cell r="N3377" t="str">
            <v>DZH2259</v>
          </cell>
          <cell r="O3377" t="str">
            <v>2008</v>
          </cell>
          <cell r="P3377" t="str">
            <v>15</v>
          </cell>
          <cell r="Q3377" t="str">
            <v>14</v>
          </cell>
        </row>
        <row r="3378">
          <cell r="B3378" t="str">
            <v>5077/16</v>
          </cell>
          <cell r="C3378" t="str">
            <v>2016-0.056.010-1</v>
          </cell>
          <cell r="D3378" t="str">
            <v/>
          </cell>
          <cell r="E3378" t="str">
            <v/>
          </cell>
          <cell r="F3378" t="str">
            <v>JULIEDRY TRANSPORTES LTDA - ME</v>
          </cell>
          <cell r="G3378" t="str">
            <v/>
          </cell>
          <cell r="H3378" t="str">
            <v/>
          </cell>
          <cell r="I3378" t="str">
            <v/>
          </cell>
          <cell r="J3378" t="str">
            <v>PESSOA JURÍDICA</v>
          </cell>
          <cell r="K3378" t="str">
            <v>08.411.537/0001-56</v>
          </cell>
          <cell r="L3378" t="str">
            <v>BT</v>
          </cell>
          <cell r="M3378" t="str">
            <v>PENHA REGINA MIGUEL SUIZU</v>
          </cell>
          <cell r="N3378" t="str">
            <v>ELW1538</v>
          </cell>
          <cell r="O3378" t="str">
            <v>2011</v>
          </cell>
          <cell r="P3378" t="str">
            <v>10</v>
          </cell>
          <cell r="Q3378" t="str">
            <v>9</v>
          </cell>
        </row>
        <row r="3379">
          <cell r="B3379" t="str">
            <v>5077/16</v>
          </cell>
          <cell r="C3379" t="str">
            <v>2016-0.056.010-1</v>
          </cell>
          <cell r="D3379" t="str">
            <v/>
          </cell>
          <cell r="E3379" t="str">
            <v/>
          </cell>
          <cell r="F3379" t="str">
            <v>JULIEDRY TRANSPORTES LTDA - ME</v>
          </cell>
          <cell r="G3379" t="str">
            <v/>
          </cell>
          <cell r="H3379" t="str">
            <v/>
          </cell>
          <cell r="I3379" t="str">
            <v/>
          </cell>
          <cell r="J3379" t="str">
            <v>PESSOA JURÍDICA</v>
          </cell>
          <cell r="K3379" t="str">
            <v>08.411.537/0001-56</v>
          </cell>
          <cell r="L3379" t="str">
            <v>BT</v>
          </cell>
          <cell r="M3379" t="str">
            <v>ADALBERTO BOMFIM</v>
          </cell>
          <cell r="N3379" t="str">
            <v/>
          </cell>
          <cell r="O3379" t="str">
            <v/>
          </cell>
          <cell r="P3379" t="str">
            <v/>
          </cell>
          <cell r="Q3379" t="str">
            <v/>
          </cell>
        </row>
        <row r="3380">
          <cell r="B3380" t="str">
            <v>5077/16</v>
          </cell>
          <cell r="C3380" t="str">
            <v>2016-0.056.010-1</v>
          </cell>
          <cell r="D3380" t="str">
            <v/>
          </cell>
          <cell r="E3380" t="str">
            <v/>
          </cell>
          <cell r="F3380" t="str">
            <v>JULIEDRY TRANSPORTES LTDA - ME</v>
          </cell>
          <cell r="G3380" t="str">
            <v/>
          </cell>
          <cell r="H3380" t="str">
            <v/>
          </cell>
          <cell r="I3380" t="str">
            <v/>
          </cell>
          <cell r="J3380" t="str">
            <v>PESSOA JURÍDICA</v>
          </cell>
          <cell r="K3380" t="str">
            <v>08.411.537/0001-56</v>
          </cell>
          <cell r="L3380" t="str">
            <v>BT</v>
          </cell>
          <cell r="M3380" t="str">
            <v>ROSANA LORIA</v>
          </cell>
          <cell r="N3380" t="str">
            <v>DTC6370</v>
          </cell>
          <cell r="O3380" t="str">
            <v>2009</v>
          </cell>
          <cell r="P3380" t="str">
            <v>11</v>
          </cell>
          <cell r="Q3380" t="str">
            <v>10</v>
          </cell>
        </row>
        <row r="3381">
          <cell r="B3381" t="str">
            <v>5077/16</v>
          </cell>
          <cell r="C3381" t="str">
            <v>2016-0.056.010-1</v>
          </cell>
          <cell r="D3381" t="str">
            <v>29/02/2016</v>
          </cell>
          <cell r="E3381" t="str">
            <v/>
          </cell>
          <cell r="F3381" t="str">
            <v>JULIEDRY TRANSPORTES LTDA - ME</v>
          </cell>
          <cell r="G3381" t="str">
            <v/>
          </cell>
          <cell r="H3381" t="str">
            <v/>
          </cell>
          <cell r="I3381" t="str">
            <v/>
          </cell>
          <cell r="J3381" t="str">
            <v>PESSOA JURÍDICA</v>
          </cell>
          <cell r="K3381" t="str">
            <v>08.411.537/0001-56</v>
          </cell>
          <cell r="L3381" t="str">
            <v>BT</v>
          </cell>
          <cell r="M3381" t="str">
            <v>JOAREZ FELIX ALVES</v>
          </cell>
          <cell r="N3381" t="str">
            <v>DTC6380</v>
          </cell>
          <cell r="O3381" t="str">
            <v>2009</v>
          </cell>
          <cell r="P3381" t="str">
            <v>11</v>
          </cell>
          <cell r="Q3381" t="str">
            <v>10</v>
          </cell>
        </row>
        <row r="3382">
          <cell r="B3382" t="str">
            <v>5077/16</v>
          </cell>
          <cell r="C3382" t="str">
            <v>2016-0.056.010-1</v>
          </cell>
          <cell r="D3382" t="str">
            <v>19/02/2016</v>
          </cell>
          <cell r="E3382" t="str">
            <v/>
          </cell>
          <cell r="F3382" t="str">
            <v>JULIEDRY TRANSPORTES LTDA - ME</v>
          </cell>
          <cell r="G3382" t="str">
            <v/>
          </cell>
          <cell r="H3382" t="str">
            <v/>
          </cell>
          <cell r="I3382" t="str">
            <v/>
          </cell>
          <cell r="J3382" t="str">
            <v>PESSOA JURÍDICA</v>
          </cell>
          <cell r="K3382" t="str">
            <v>08.411.537/0001-56</v>
          </cell>
          <cell r="L3382" t="str">
            <v>PJ</v>
          </cell>
          <cell r="M3382" t="str">
            <v>AFONSO JOSE DE SOUSA</v>
          </cell>
          <cell r="N3382" t="str">
            <v>DTD7380</v>
          </cell>
          <cell r="O3382" t="str">
            <v>2009</v>
          </cell>
          <cell r="P3382" t="str">
            <v>11</v>
          </cell>
          <cell r="Q3382" t="str">
            <v>10</v>
          </cell>
        </row>
        <row r="3383">
          <cell r="B3383" t="str">
            <v>5077/16</v>
          </cell>
          <cell r="C3383" t="str">
            <v>2016-0.056.010-1</v>
          </cell>
          <cell r="D3383" t="str">
            <v/>
          </cell>
          <cell r="E3383" t="str">
            <v/>
          </cell>
          <cell r="F3383" t="str">
            <v>JULIEDRY TRANSPORTES LTDA - ME</v>
          </cell>
          <cell r="G3383" t="str">
            <v/>
          </cell>
          <cell r="H3383" t="str">
            <v/>
          </cell>
          <cell r="I3383" t="str">
            <v/>
          </cell>
          <cell r="J3383" t="str">
            <v>PESSOA JURÍDICA</v>
          </cell>
          <cell r="K3383" t="str">
            <v>08.411.537/0001-56</v>
          </cell>
          <cell r="L3383" t="str">
            <v>FO</v>
          </cell>
          <cell r="M3383" t="str">
            <v>JEFERSON ALVES SOARES</v>
          </cell>
          <cell r="N3383" t="str">
            <v>DTE9240</v>
          </cell>
          <cell r="O3383" t="str">
            <v>2009</v>
          </cell>
          <cell r="P3383" t="str">
            <v>11</v>
          </cell>
          <cell r="Q3383" t="str">
            <v>10</v>
          </cell>
        </row>
        <row r="3384">
          <cell r="B3384" t="str">
            <v>5077/16</v>
          </cell>
          <cell r="C3384" t="str">
            <v>2016-0.056.010-1</v>
          </cell>
          <cell r="D3384" t="str">
            <v/>
          </cell>
          <cell r="E3384" t="str">
            <v/>
          </cell>
          <cell r="F3384" t="str">
            <v>JULIEDRY TRANSPORTES LTDA - ME</v>
          </cell>
          <cell r="G3384" t="str">
            <v/>
          </cell>
          <cell r="H3384" t="str">
            <v/>
          </cell>
          <cell r="I3384" t="str">
            <v/>
          </cell>
          <cell r="J3384" t="str">
            <v>PESSOA JURÍDICA</v>
          </cell>
          <cell r="K3384" t="str">
            <v>08.411.537/0001-56</v>
          </cell>
          <cell r="L3384" t="str">
            <v>BT</v>
          </cell>
          <cell r="M3384" t="str">
            <v>LUISA DA SILVA MARCELINO</v>
          </cell>
          <cell r="N3384" t="str">
            <v>EZL4030</v>
          </cell>
          <cell r="O3384" t="str">
            <v>2012</v>
          </cell>
          <cell r="P3384" t="str">
            <v>10</v>
          </cell>
          <cell r="Q3384" t="str">
            <v>9</v>
          </cell>
        </row>
        <row r="3385">
          <cell r="B3385" t="str">
            <v>5077/16</v>
          </cell>
          <cell r="C3385" t="str">
            <v>2016-0.056.010-1</v>
          </cell>
          <cell r="D3385" t="str">
            <v/>
          </cell>
          <cell r="E3385" t="str">
            <v/>
          </cell>
          <cell r="F3385" t="str">
            <v>JULIEDRY TRANSPORTES LTDA - ME</v>
          </cell>
          <cell r="G3385" t="str">
            <v/>
          </cell>
          <cell r="H3385" t="str">
            <v/>
          </cell>
          <cell r="I3385" t="str">
            <v/>
          </cell>
          <cell r="J3385" t="str">
            <v>PESSOA JURÍDICA</v>
          </cell>
          <cell r="K3385" t="str">
            <v>08.411.537/0001-56</v>
          </cell>
          <cell r="L3385" t="str">
            <v>PJ</v>
          </cell>
          <cell r="M3385" t="str">
            <v>JURANDIR BARBOZA DE OLIVEIRA</v>
          </cell>
          <cell r="N3385" t="str">
            <v>FFN2710</v>
          </cell>
          <cell r="O3385" t="str">
            <v>2013</v>
          </cell>
          <cell r="P3385" t="str">
            <v>17</v>
          </cell>
          <cell r="Q3385" t="str">
            <v>16</v>
          </cell>
        </row>
        <row r="3386">
          <cell r="B3386" t="str">
            <v>5077/16</v>
          </cell>
          <cell r="C3386" t="str">
            <v>2016-0.056.010-1</v>
          </cell>
          <cell r="D3386" t="str">
            <v>01/03/2016</v>
          </cell>
          <cell r="E3386" t="str">
            <v/>
          </cell>
          <cell r="F3386" t="str">
            <v>JULIEDRY TRANSPORTES LTDA - ME</v>
          </cell>
          <cell r="G3386" t="str">
            <v/>
          </cell>
          <cell r="H3386" t="str">
            <v/>
          </cell>
          <cell r="I3386" t="str">
            <v/>
          </cell>
          <cell r="J3386" t="str">
            <v>PESSOA JURÍDICA</v>
          </cell>
          <cell r="K3386" t="str">
            <v>08.411.537/0001-56</v>
          </cell>
          <cell r="L3386" t="str">
            <v>BT</v>
          </cell>
          <cell r="M3386" t="str">
            <v>PATRICIA APARECIDA DE OLIVEIRA MORALES</v>
          </cell>
          <cell r="N3386" t="str">
            <v>EMU7100</v>
          </cell>
          <cell r="O3386" t="str">
            <v>2012</v>
          </cell>
          <cell r="P3386" t="str">
            <v>10</v>
          </cell>
          <cell r="Q3386" t="str">
            <v>09</v>
          </cell>
        </row>
        <row r="3387">
          <cell r="B3387" t="str">
            <v>5077/16</v>
          </cell>
          <cell r="C3387" t="str">
            <v>2016-0.056.010-1</v>
          </cell>
          <cell r="D3387" t="str">
            <v>17/02/2016</v>
          </cell>
          <cell r="E3387" t="str">
            <v/>
          </cell>
          <cell r="F3387" t="str">
            <v>JULIEDRY TRANSPORTES LTDA - ME</v>
          </cell>
          <cell r="G3387" t="str">
            <v/>
          </cell>
          <cell r="H3387" t="str">
            <v/>
          </cell>
          <cell r="I3387" t="str">
            <v/>
          </cell>
          <cell r="J3387" t="str">
            <v>PESSOA JURÍDICA</v>
          </cell>
          <cell r="K3387" t="str">
            <v>08.411.537/0001-56</v>
          </cell>
          <cell r="L3387" t="str">
            <v>PJ</v>
          </cell>
          <cell r="M3387" t="str">
            <v>JOSE RIBEIRO</v>
          </cell>
          <cell r="N3387" t="str">
            <v>FIM9820</v>
          </cell>
          <cell r="O3387" t="str">
            <v>2014</v>
          </cell>
          <cell r="P3387" t="str">
            <v>10</v>
          </cell>
          <cell r="Q3387" t="str">
            <v>9</v>
          </cell>
        </row>
        <row r="3388">
          <cell r="B3388" t="str">
            <v>5078/16</v>
          </cell>
          <cell r="C3388" t="str">
            <v>2016-0.056.013-6</v>
          </cell>
          <cell r="D3388" t="str">
            <v>03/03/2016</v>
          </cell>
          <cell r="E3388" t="str">
            <v>07 de março de 2016</v>
          </cell>
          <cell r="F3388" t="str">
            <v>MARIA FERNANDA BM DE MARIA TRANSPORTES - ME</v>
          </cell>
          <cell r="G3388" t="str">
            <v>07/03/2016</v>
          </cell>
          <cell r="H3388" t="str">
            <v>18/03/2016</v>
          </cell>
          <cell r="I3388" t="str">
            <v>26</v>
          </cell>
          <cell r="J3388" t="str">
            <v>PESSOA JURÍDICA</v>
          </cell>
          <cell r="K3388" t="str">
            <v>14.138.729/0001-33</v>
          </cell>
          <cell r="L3388" t="str">
            <v>BT</v>
          </cell>
          <cell r="M3388" t="str">
            <v>ALESSANDRA CRISTINA FIGUEIRA DE PONTE</v>
          </cell>
          <cell r="N3388" t="str">
            <v>CUB2687</v>
          </cell>
          <cell r="O3388" t="str">
            <v>2009</v>
          </cell>
          <cell r="P3388" t="str">
            <v>15</v>
          </cell>
          <cell r="Q3388" t="str">
            <v>14</v>
          </cell>
        </row>
        <row r="3389">
          <cell r="B3389" t="str">
            <v>5078/16</v>
          </cell>
          <cell r="C3389" t="str">
            <v>2016-0.056.013-6</v>
          </cell>
          <cell r="D3389" t="str">
            <v/>
          </cell>
          <cell r="E3389" t="str">
            <v/>
          </cell>
          <cell r="F3389" t="str">
            <v>MARIA FERNANDA BM DE MARIA TRANSPORTES - ME</v>
          </cell>
          <cell r="G3389" t="str">
            <v>07/03/2016</v>
          </cell>
          <cell r="H3389" t="str">
            <v>18/03/2016</v>
          </cell>
          <cell r="I3389" t="str">
            <v>26</v>
          </cell>
          <cell r="J3389" t="str">
            <v>PESSOA JURÍDICA</v>
          </cell>
          <cell r="K3389" t="str">
            <v>14.138.729/0001-33</v>
          </cell>
          <cell r="L3389" t="str">
            <v>BT</v>
          </cell>
          <cell r="M3389" t="str">
            <v>SIMONE APARECIDA DE PONTE SANTANA</v>
          </cell>
          <cell r="N3389" t="str">
            <v>DTE0274</v>
          </cell>
          <cell r="O3389" t="str">
            <v>2012</v>
          </cell>
          <cell r="P3389" t="str">
            <v>15</v>
          </cell>
          <cell r="Q3389" t="str">
            <v>14</v>
          </cell>
        </row>
        <row r="3390">
          <cell r="B3390" t="str">
            <v>5078/16</v>
          </cell>
          <cell r="C3390" t="str">
            <v>2016-0.056.013-6</v>
          </cell>
          <cell r="D3390" t="str">
            <v/>
          </cell>
          <cell r="E3390" t="str">
            <v>15 de março de 2016</v>
          </cell>
          <cell r="F3390" t="str">
            <v>MARIA FERNANDA BM DE MARIA TRANSPORTES - ME</v>
          </cell>
          <cell r="G3390" t="str">
            <v>07/03/2016</v>
          </cell>
          <cell r="H3390" t="str">
            <v>18/03/2016</v>
          </cell>
          <cell r="I3390" t="str">
            <v>26</v>
          </cell>
          <cell r="J3390" t="str">
            <v>PESSOA JURÍDICA</v>
          </cell>
          <cell r="K3390" t="str">
            <v>14.138.729/0001-33</v>
          </cell>
          <cell r="L3390" t="str">
            <v>BT</v>
          </cell>
          <cell r="M3390" t="str">
            <v>MARIA FERNANDA BORGES MARIANO DE MARIA</v>
          </cell>
          <cell r="N3390" t="str">
            <v>EZL9773</v>
          </cell>
          <cell r="O3390" t="str">
            <v>2012</v>
          </cell>
          <cell r="P3390" t="str">
            <v>28</v>
          </cell>
          <cell r="Q3390" t="str">
            <v>27</v>
          </cell>
        </row>
        <row r="3391">
          <cell r="B3391" t="str">
            <v>5079/16</v>
          </cell>
          <cell r="C3391" t="str">
            <v>2016-0.056.017-9</v>
          </cell>
          <cell r="D3391" t="str">
            <v/>
          </cell>
          <cell r="E3391" t="str">
            <v/>
          </cell>
          <cell r="F3391" t="str">
            <v>ROGERTRANS TRANSPORTES LTDA - ME</v>
          </cell>
          <cell r="G3391" t="str">
            <v/>
          </cell>
          <cell r="H3391" t="str">
            <v/>
          </cell>
          <cell r="I3391" t="str">
            <v/>
          </cell>
          <cell r="J3391" t="str">
            <v>PESSOA JURÍDICA</v>
          </cell>
          <cell r="K3391" t="str">
            <v>12.462.095/0001-44</v>
          </cell>
          <cell r="L3391" t="str">
            <v>CS</v>
          </cell>
          <cell r="M3391" t="str">
            <v>MARCOS DE ALMEIDA BUENO</v>
          </cell>
          <cell r="N3391" t="str">
            <v>EFU8299</v>
          </cell>
          <cell r="O3391" t="str">
            <v>2009</v>
          </cell>
          <cell r="P3391" t="str">
            <v>39</v>
          </cell>
          <cell r="Q3391" t="str">
            <v>38</v>
          </cell>
        </row>
        <row r="3392">
          <cell r="B3392" t="str">
            <v>5079/16</v>
          </cell>
          <cell r="C3392" t="str">
            <v>2016-0.056.017-9</v>
          </cell>
          <cell r="D3392" t="str">
            <v>02/04/2016</v>
          </cell>
          <cell r="E3392" t="str">
            <v/>
          </cell>
          <cell r="F3392" t="str">
            <v>ROGERTRANS TRANSPORTES LTDA - ME</v>
          </cell>
          <cell r="G3392" t="str">
            <v/>
          </cell>
          <cell r="H3392" t="str">
            <v/>
          </cell>
          <cell r="I3392" t="str">
            <v/>
          </cell>
          <cell r="J3392" t="str">
            <v>PESSOA JURÍDICA</v>
          </cell>
          <cell r="K3392" t="str">
            <v>12.462.095/0001-44</v>
          </cell>
          <cell r="L3392" t="str">
            <v>CS</v>
          </cell>
          <cell r="M3392" t="str">
            <v>JOAO GUILHERMINO DE FREITAS</v>
          </cell>
          <cell r="N3392" t="str">
            <v>DTE1831</v>
          </cell>
          <cell r="O3392" t="str">
            <v>2009</v>
          </cell>
          <cell r="P3392" t="str">
            <v>11</v>
          </cell>
          <cell r="Q3392" t="str">
            <v>10</v>
          </cell>
        </row>
        <row r="3393">
          <cell r="B3393" t="str">
            <v>5079/16</v>
          </cell>
          <cell r="C3393" t="str">
            <v>2016-0.056.017-9</v>
          </cell>
          <cell r="D3393" t="str">
            <v/>
          </cell>
          <cell r="E3393" t="str">
            <v/>
          </cell>
          <cell r="F3393" t="str">
            <v>ROGERTRANS TRANSPORTES LTDA - ME</v>
          </cell>
          <cell r="G3393" t="str">
            <v/>
          </cell>
          <cell r="H3393" t="str">
            <v/>
          </cell>
          <cell r="I3393" t="str">
            <v/>
          </cell>
          <cell r="J3393" t="str">
            <v>PESSOA JURÍDICA</v>
          </cell>
          <cell r="K3393" t="str">
            <v>12.462.095/0001-44</v>
          </cell>
          <cell r="L3393" t="str">
            <v>CS</v>
          </cell>
          <cell r="M3393" t="str">
            <v>RUBENS GOTTSFRITZ</v>
          </cell>
          <cell r="N3393" t="str">
            <v>FDR0030</v>
          </cell>
          <cell r="O3393" t="str">
            <v>2011</v>
          </cell>
          <cell r="P3393" t="str">
            <v>10</v>
          </cell>
          <cell r="Q3393" t="str">
            <v>9</v>
          </cell>
        </row>
        <row r="3394">
          <cell r="B3394" t="str">
            <v>5080/16</v>
          </cell>
          <cell r="C3394" t="str">
            <v>2016-0.056.021-7</v>
          </cell>
          <cell r="D3394" t="str">
            <v/>
          </cell>
          <cell r="E3394" t="str">
            <v/>
          </cell>
          <cell r="F3394" t="str">
            <v>NEYFLA LOCADORA DE VEICULOS LTDA - ME</v>
          </cell>
          <cell r="G3394" t="str">
            <v>07/03/2016</v>
          </cell>
          <cell r="H3394" t="str">
            <v>19/03/2016</v>
          </cell>
          <cell r="I3394" t="str">
            <v>34</v>
          </cell>
          <cell r="J3394" t="str">
            <v>PESSOA JURÍDICA</v>
          </cell>
          <cell r="K3394" t="str">
            <v>06.060.654/0001-97</v>
          </cell>
          <cell r="L3394" t="str">
            <v>SA</v>
          </cell>
          <cell r="M3394" t="str">
            <v>CASSIO WAGNER MIRANDA CALIRIO</v>
          </cell>
          <cell r="N3394" t="str">
            <v>DTA8005</v>
          </cell>
          <cell r="O3394" t="str">
            <v>2008</v>
          </cell>
          <cell r="P3394" t="str">
            <v>29</v>
          </cell>
          <cell r="Q3394" t="str">
            <v>27</v>
          </cell>
        </row>
        <row r="3395">
          <cell r="B3395" t="str">
            <v>5080/16</v>
          </cell>
          <cell r="C3395" t="str">
            <v>2016-0.056.021-7</v>
          </cell>
          <cell r="D3395" t="str">
            <v>18/02/2016</v>
          </cell>
          <cell r="E3395" t="str">
            <v/>
          </cell>
          <cell r="F3395" t="str">
            <v>NEYFLA LOCADORA DE VEICULOS LTDA - ME</v>
          </cell>
          <cell r="G3395" t="str">
            <v>07/03/2016</v>
          </cell>
          <cell r="H3395" t="str">
            <v>19/03/2016</v>
          </cell>
          <cell r="I3395" t="str">
            <v>34</v>
          </cell>
          <cell r="J3395" t="str">
            <v>PESSOA JURÍDICA</v>
          </cell>
          <cell r="K3395" t="str">
            <v>06.060.654/0001-97</v>
          </cell>
          <cell r="L3395" t="str">
            <v>SA</v>
          </cell>
          <cell r="M3395" t="str">
            <v>JOSAIAS MARTINIANO</v>
          </cell>
          <cell r="N3395" t="str">
            <v>ECT3966</v>
          </cell>
          <cell r="O3395" t="str">
            <v>2008</v>
          </cell>
          <cell r="P3395" t="str">
            <v>15</v>
          </cell>
          <cell r="Q3395" t="str">
            <v>13</v>
          </cell>
        </row>
        <row r="3396">
          <cell r="B3396" t="str">
            <v>5080/16</v>
          </cell>
          <cell r="C3396" t="str">
            <v>2016-0.056.021-7</v>
          </cell>
          <cell r="D3396" t="str">
            <v/>
          </cell>
          <cell r="E3396" t="str">
            <v>14 de março de 2016</v>
          </cell>
          <cell r="F3396" t="str">
            <v>NEYFLA LOCADORA DE VEICULOS LTDA - ME</v>
          </cell>
          <cell r="G3396" t="str">
            <v>07/03/2016</v>
          </cell>
          <cell r="H3396" t="str">
            <v>19/03/2016</v>
          </cell>
          <cell r="I3396" t="str">
            <v>34</v>
          </cell>
          <cell r="J3396" t="str">
            <v>PESSOA JURÍDICA</v>
          </cell>
          <cell r="K3396" t="str">
            <v>06.060.654/0001-97</v>
          </cell>
          <cell r="L3396" t="str">
            <v>SA</v>
          </cell>
          <cell r="M3396" t="str">
            <v>SILAS JOSE DA SILVA</v>
          </cell>
          <cell r="N3396" t="str">
            <v>EBO3121</v>
          </cell>
          <cell r="O3396" t="str">
            <v>2008</v>
          </cell>
          <cell r="P3396" t="str">
            <v>29</v>
          </cell>
          <cell r="Q3396" t="str">
            <v>27</v>
          </cell>
        </row>
        <row r="3397">
          <cell r="B3397" t="str">
            <v>5081/16</v>
          </cell>
          <cell r="C3397" t="str">
            <v>2016-0.056.028-4</v>
          </cell>
          <cell r="D3397" t="str">
            <v/>
          </cell>
          <cell r="E3397" t="str">
            <v>09 de março de 2016</v>
          </cell>
          <cell r="F3397" t="str">
            <v>WM DIAS TRANSPORTE ESCOLAR LTDA - ME</v>
          </cell>
          <cell r="G3397" t="str">
            <v>09/03/2016</v>
          </cell>
          <cell r="H3397" t="str">
            <v>12/03/2016</v>
          </cell>
          <cell r="I3397" t="str">
            <v>29</v>
          </cell>
          <cell r="J3397" t="str">
            <v>PESSOA JURÍDICA</v>
          </cell>
          <cell r="K3397" t="str">
            <v>11.956.379/0001-24</v>
          </cell>
          <cell r="L3397" t="str">
            <v>G</v>
          </cell>
          <cell r="M3397" t="str">
            <v>MARCIO ALVES DIAS DE ALCANTARA</v>
          </cell>
          <cell r="N3397" t="str">
            <v>ECT5357</v>
          </cell>
          <cell r="O3397" t="str">
            <v>2008</v>
          </cell>
          <cell r="P3397" t="str">
            <v>29</v>
          </cell>
          <cell r="Q3397" t="str">
            <v>28</v>
          </cell>
        </row>
        <row r="3398">
          <cell r="B3398" t="str">
            <v>5081/16</v>
          </cell>
          <cell r="C3398" t="str">
            <v>2016-0.056.028-4</v>
          </cell>
          <cell r="D3398" t="str">
            <v>14/03/2016</v>
          </cell>
          <cell r="E3398" t="str">
            <v>20 de abril de 2016</v>
          </cell>
          <cell r="F3398" t="str">
            <v>WM DIAS TRANSPORTE ESCOLAR LTDA - ME</v>
          </cell>
          <cell r="G3398" t="str">
            <v>09/03/2016</v>
          </cell>
          <cell r="H3398" t="str">
            <v>12/03/2016</v>
          </cell>
          <cell r="I3398" t="str">
            <v>29</v>
          </cell>
          <cell r="J3398" t="str">
            <v>PESSOA JURÍDICA</v>
          </cell>
          <cell r="K3398" t="str">
            <v>11.956.379/0001-24</v>
          </cell>
          <cell r="L3398" t="str">
            <v>G</v>
          </cell>
          <cell r="M3398" t="str">
            <v>OSEIAS SILVA SARDINHA</v>
          </cell>
          <cell r="N3398" t="str">
            <v>DJC4641</v>
          </cell>
          <cell r="O3398" t="str">
            <v>2004</v>
          </cell>
          <cell r="P3398" t="str">
            <v>24</v>
          </cell>
          <cell r="Q3398" t="str">
            <v>23</v>
          </cell>
        </row>
        <row r="3399">
          <cell r="B3399" t="str">
            <v>5081/16</v>
          </cell>
          <cell r="C3399" t="str">
            <v>2016-0.056.028-4</v>
          </cell>
          <cell r="D3399" t="str">
            <v>04/03/2016</v>
          </cell>
          <cell r="E3399" t="str">
            <v>04 de março de 2016</v>
          </cell>
          <cell r="F3399" t="str">
            <v>WM DIAS TRANSPORTE ESCOLAR LTDA - ME</v>
          </cell>
          <cell r="G3399" t="str">
            <v>09/03/2016</v>
          </cell>
          <cell r="H3399" t="str">
            <v>12/03/2016</v>
          </cell>
          <cell r="I3399" t="str">
            <v>29</v>
          </cell>
          <cell r="J3399" t="str">
            <v>PESSOA JURÍDICA</v>
          </cell>
          <cell r="K3399" t="str">
            <v>11.956.379/0001-24</v>
          </cell>
          <cell r="L3399" t="str">
            <v>G</v>
          </cell>
          <cell r="M3399" t="str">
            <v>ROBSON JORGE ALVES DA SILVA</v>
          </cell>
          <cell r="N3399" t="str">
            <v>ELQ4399</v>
          </cell>
          <cell r="O3399" t="str">
            <v>2010</v>
          </cell>
          <cell r="P3399" t="str">
            <v>19</v>
          </cell>
          <cell r="Q3399" t="str">
            <v>18</v>
          </cell>
        </row>
        <row r="3400">
          <cell r="B3400" t="str">
            <v>5081/16</v>
          </cell>
          <cell r="C3400" t="str">
            <v>2016-0.056.028-4</v>
          </cell>
          <cell r="D3400" t="str">
            <v>04/03/2016</v>
          </cell>
          <cell r="E3400" t="str">
            <v>04 de março de 2016</v>
          </cell>
          <cell r="F3400" t="str">
            <v>WM DIAS TRANSPORTE ESCOLAR LTDA - ME</v>
          </cell>
          <cell r="G3400" t="str">
            <v>09/03/2016</v>
          </cell>
          <cell r="H3400" t="str">
            <v>12/03/2016</v>
          </cell>
          <cell r="I3400" t="str">
            <v>29</v>
          </cell>
          <cell r="J3400" t="str">
            <v>PESSOA JURÍDICA</v>
          </cell>
          <cell r="K3400" t="str">
            <v>11.956.379/0001-24</v>
          </cell>
          <cell r="L3400" t="str">
            <v>G</v>
          </cell>
          <cell r="M3400" t="str">
            <v>DALTON DOS SANTOS GUIMARAES</v>
          </cell>
          <cell r="N3400" t="str">
            <v>DDR7660</v>
          </cell>
          <cell r="O3400" t="str">
            <v>2001</v>
          </cell>
          <cell r="P3400" t="str">
            <v>19</v>
          </cell>
          <cell r="Q3400" t="str">
            <v>18</v>
          </cell>
        </row>
        <row r="3401">
          <cell r="B3401" t="str">
            <v>5081/16</v>
          </cell>
          <cell r="C3401" t="str">
            <v>2016-0.056.028-4</v>
          </cell>
          <cell r="D3401" t="str">
            <v>04/03/2016</v>
          </cell>
          <cell r="E3401" t="str">
            <v>20 de abril de 2016</v>
          </cell>
          <cell r="F3401" t="str">
            <v>WM DIAS TRANSPORTE ESCOLAR LTDA - ME</v>
          </cell>
          <cell r="G3401" t="str">
            <v>09/03/2016</v>
          </cell>
          <cell r="H3401" t="str">
            <v>12/03/2016</v>
          </cell>
          <cell r="I3401" t="str">
            <v>29</v>
          </cell>
          <cell r="J3401" t="str">
            <v>PESSOA JURÍDICA</v>
          </cell>
          <cell r="K3401" t="str">
            <v>11.956.379/0001-24</v>
          </cell>
          <cell r="L3401" t="str">
            <v>G</v>
          </cell>
          <cell r="M3401" t="str">
            <v>AGNALDO ALVES MARINHO DA SILVA</v>
          </cell>
          <cell r="N3401" t="str">
            <v>CNR3460</v>
          </cell>
          <cell r="O3401" t="str">
            <v>2014</v>
          </cell>
          <cell r="P3401" t="str">
            <v>15</v>
          </cell>
          <cell r="Q3401" t="str">
            <v>14</v>
          </cell>
        </row>
        <row r="3402">
          <cell r="B3402" t="str">
            <v>5081/16</v>
          </cell>
          <cell r="C3402" t="str">
            <v>2016-0.056.028-4</v>
          </cell>
          <cell r="D3402" t="str">
            <v>04/03/2016</v>
          </cell>
          <cell r="E3402" t="str">
            <v>20 de abril de 2016</v>
          </cell>
          <cell r="F3402" t="str">
            <v>WM DIAS TRANSPORTE ESCOLAR LTDA - ME</v>
          </cell>
          <cell r="G3402" t="str">
            <v>09/03/2016</v>
          </cell>
          <cell r="H3402" t="str">
            <v>12/03/2016</v>
          </cell>
          <cell r="I3402" t="str">
            <v>29</v>
          </cell>
          <cell r="J3402" t="str">
            <v>PESSOA JURÍDICA</v>
          </cell>
          <cell r="K3402" t="str">
            <v>11.956.379/0001-24</v>
          </cell>
          <cell r="L3402" t="str">
            <v>G</v>
          </cell>
          <cell r="M3402" t="str">
            <v>ALESSANDRA MARINHO DA SILVA</v>
          </cell>
          <cell r="N3402" t="str">
            <v>FMC3645</v>
          </cell>
          <cell r="O3402" t="str">
            <v>2013</v>
          </cell>
          <cell r="P3402" t="str">
            <v>19</v>
          </cell>
          <cell r="Q3402" t="str">
            <v>18</v>
          </cell>
        </row>
        <row r="3403">
          <cell r="B3403" t="str">
            <v>5081/16</v>
          </cell>
          <cell r="C3403" t="str">
            <v>2016-0.056.028-4</v>
          </cell>
          <cell r="D3403" t="str">
            <v/>
          </cell>
          <cell r="E3403" t="str">
            <v>09 de março de 2016</v>
          </cell>
          <cell r="F3403" t="str">
            <v>WM DIAS TRANSPORTE ESCOLAR LTDA - ME</v>
          </cell>
          <cell r="G3403" t="str">
            <v>09/03/2016</v>
          </cell>
          <cell r="H3403" t="str">
            <v>12/03/2016</v>
          </cell>
          <cell r="I3403" t="str">
            <v>29</v>
          </cell>
          <cell r="J3403" t="str">
            <v>PESSOA JURÍDICA</v>
          </cell>
          <cell r="K3403" t="str">
            <v>11.956.379/0001-24</v>
          </cell>
          <cell r="L3403" t="str">
            <v>IQ</v>
          </cell>
          <cell r="M3403" t="str">
            <v>VALDIR ARAUJO MENDES</v>
          </cell>
          <cell r="N3403" t="str">
            <v>DMG7202</v>
          </cell>
          <cell r="O3403" t="str">
            <v>2003</v>
          </cell>
          <cell r="P3403" t="str">
            <v>25</v>
          </cell>
          <cell r="Q3403" t="str">
            <v>23</v>
          </cell>
        </row>
        <row r="3404">
          <cell r="B3404" t="str">
            <v>5081/16</v>
          </cell>
          <cell r="C3404" t="str">
            <v>2016-0.056.028-4</v>
          </cell>
          <cell r="D3404" t="str">
            <v/>
          </cell>
          <cell r="E3404" t="str">
            <v>09 de março de 2016</v>
          </cell>
          <cell r="F3404" t="str">
            <v>WM DIAS TRANSPORTE ESCOLAR LTDA - ME</v>
          </cell>
          <cell r="G3404" t="str">
            <v>09/03/2016</v>
          </cell>
          <cell r="H3404" t="str">
            <v>12/03/2016</v>
          </cell>
          <cell r="I3404" t="str">
            <v>29</v>
          </cell>
          <cell r="J3404" t="str">
            <v>PESSOA JURÍDICA</v>
          </cell>
          <cell r="K3404" t="str">
            <v>11.956.379/0001-24</v>
          </cell>
          <cell r="L3404" t="str">
            <v>G</v>
          </cell>
          <cell r="M3404" t="str">
            <v>TIAGO DE ALMEIDA MENDES</v>
          </cell>
          <cell r="N3404" t="str">
            <v>DTB5449</v>
          </cell>
          <cell r="O3404" t="str">
            <v>2007</v>
          </cell>
          <cell r="P3404" t="str">
            <v>25</v>
          </cell>
          <cell r="Q3404" t="str">
            <v>23</v>
          </cell>
        </row>
        <row r="3405">
          <cell r="B3405" t="str">
            <v>5081/16</v>
          </cell>
          <cell r="C3405" t="str">
            <v>2016-0.056.028-4</v>
          </cell>
          <cell r="D3405" t="str">
            <v/>
          </cell>
          <cell r="E3405" t="str">
            <v>09 de março de 2016</v>
          </cell>
          <cell r="F3405" t="str">
            <v>WM DIAS TRANSPORTE ESCOLAR LTDA - ME</v>
          </cell>
          <cell r="G3405" t="str">
            <v>09/03/2016</v>
          </cell>
          <cell r="H3405" t="str">
            <v>12/03/2016</v>
          </cell>
          <cell r="I3405" t="str">
            <v>29</v>
          </cell>
          <cell r="J3405" t="str">
            <v>PESSOA JURÍDICA</v>
          </cell>
          <cell r="K3405" t="str">
            <v>11.956.379/0001-24</v>
          </cell>
          <cell r="L3405" t="str">
            <v>IQ</v>
          </cell>
          <cell r="M3405" t="str">
            <v>DENILTON SOARES ROCHA</v>
          </cell>
          <cell r="N3405" t="str">
            <v>DTC0348</v>
          </cell>
          <cell r="O3405" t="str">
            <v>2010</v>
          </cell>
          <cell r="P3405" t="str">
            <v>19</v>
          </cell>
          <cell r="Q3405" t="str">
            <v>18</v>
          </cell>
        </row>
        <row r="3406">
          <cell r="B3406" t="str">
            <v>5082/16</v>
          </cell>
          <cell r="C3406" t="str">
            <v>2016-0.056.036-5</v>
          </cell>
          <cell r="D3406" t="str">
            <v>22/02/2016</v>
          </cell>
          <cell r="E3406" t="str">
            <v>06 de abril de 2016</v>
          </cell>
          <cell r="F3406" t="str">
            <v>WMW TOUR TRANSPORTES LTDA - ME</v>
          </cell>
          <cell r="G3406" t="str">
            <v>06/04/2016</v>
          </cell>
          <cell r="H3406" t="str">
            <v>07/04/2016</v>
          </cell>
          <cell r="I3406" t="str">
            <v>20</v>
          </cell>
          <cell r="J3406" t="str">
            <v>PESSOA JURÍDICA</v>
          </cell>
          <cell r="K3406" t="str">
            <v>14.982.212/0001-26</v>
          </cell>
          <cell r="L3406" t="str">
            <v>CS</v>
          </cell>
          <cell r="M3406" t="str">
            <v>LARISSA DE CARVALHO DOS SANTOS</v>
          </cell>
          <cell r="N3406" t="str">
            <v>FFN8435</v>
          </cell>
          <cell r="O3406" t="str">
            <v>2013</v>
          </cell>
          <cell r="P3406" t="str">
            <v>10</v>
          </cell>
          <cell r="Q3406" t="str">
            <v>9</v>
          </cell>
        </row>
        <row r="3407">
          <cell r="B3407" t="str">
            <v>5082/16</v>
          </cell>
          <cell r="C3407" t="str">
            <v>2016-0.056.036-5</v>
          </cell>
          <cell r="D3407" t="str">
            <v>19/02/2016</v>
          </cell>
          <cell r="E3407" t="str">
            <v>06 de abril de 2016</v>
          </cell>
          <cell r="F3407" t="str">
            <v>WMW TOUR TRANSPORTES LTDA - ME</v>
          </cell>
          <cell r="G3407" t="str">
            <v>06/04/2016</v>
          </cell>
          <cell r="H3407" t="str">
            <v>07/04/2016</v>
          </cell>
          <cell r="I3407" t="str">
            <v>20</v>
          </cell>
          <cell r="J3407" t="str">
            <v>PESSOA JURÍDICA</v>
          </cell>
          <cell r="K3407" t="str">
            <v>14.982.212/0001-26</v>
          </cell>
          <cell r="L3407" t="str">
            <v>CS</v>
          </cell>
          <cell r="M3407" t="str">
            <v>WILLIAM DA SILVA GARCIA</v>
          </cell>
          <cell r="N3407" t="str">
            <v>GCM8710</v>
          </cell>
          <cell r="O3407" t="str">
            <v>2015</v>
          </cell>
          <cell r="P3407" t="str">
            <v>10</v>
          </cell>
          <cell r="Q3407" t="str">
            <v>09</v>
          </cell>
        </row>
        <row r="3408">
          <cell r="B3408" t="str">
            <v>5082/16</v>
          </cell>
          <cell r="C3408" t="str">
            <v>2016-0.056.036-5</v>
          </cell>
          <cell r="D3408" t="str">
            <v>29/02/2016</v>
          </cell>
          <cell r="E3408" t="str">
            <v>06 de abril de 2016</v>
          </cell>
          <cell r="F3408" t="str">
            <v>WMW TOUR TRANSPORTES LTDA - ME</v>
          </cell>
          <cell r="G3408" t="str">
            <v>06/04/2016</v>
          </cell>
          <cell r="H3408" t="str">
            <v>07/04/2016</v>
          </cell>
          <cell r="I3408" t="str">
            <v>20</v>
          </cell>
          <cell r="J3408" t="str">
            <v>PESSOA JURÍDICA</v>
          </cell>
          <cell r="K3408" t="str">
            <v>14.982.212/0001-26</v>
          </cell>
          <cell r="L3408" t="str">
            <v>CS</v>
          </cell>
          <cell r="M3408" t="str">
            <v>WILSON SANCHES GARCIA</v>
          </cell>
          <cell r="N3408" t="str">
            <v>FJP7929</v>
          </cell>
          <cell r="O3408" t="str">
            <v>2013</v>
          </cell>
          <cell r="P3408" t="str">
            <v>10</v>
          </cell>
          <cell r="Q3408" t="str">
            <v>9</v>
          </cell>
        </row>
        <row r="3409">
          <cell r="B3409" t="str">
            <v>5083/16</v>
          </cell>
          <cell r="C3409" t="str">
            <v>2016-0.056.039-0</v>
          </cell>
          <cell r="D3409" t="str">
            <v/>
          </cell>
          <cell r="E3409" t="str">
            <v/>
          </cell>
          <cell r="F3409" t="str">
            <v>LWG SERVICOS LTDA - ME</v>
          </cell>
          <cell r="G3409" t="str">
            <v>07/03/2016</v>
          </cell>
          <cell r="H3409" t="str">
            <v>19/03/2016</v>
          </cell>
          <cell r="I3409" t="str">
            <v>34</v>
          </cell>
          <cell r="J3409" t="str">
            <v>PESSOA JURÍDICA</v>
          </cell>
          <cell r="K3409" t="str">
            <v>12.386.887/0001-87</v>
          </cell>
          <cell r="L3409" t="str">
            <v>BT</v>
          </cell>
          <cell r="M3409" t="str">
            <v>HERNANDES ALVES DELGADO</v>
          </cell>
          <cell r="N3409" t="str">
            <v>CZX2571</v>
          </cell>
          <cell r="O3409" t="str">
            <v>2002</v>
          </cell>
          <cell r="P3409" t="str">
            <v>25</v>
          </cell>
          <cell r="Q3409" t="str">
            <v>23</v>
          </cell>
        </row>
        <row r="3410">
          <cell r="B3410" t="str">
            <v>5083/16</v>
          </cell>
          <cell r="C3410" t="str">
            <v>2016-0.056.039-0</v>
          </cell>
          <cell r="D3410" t="str">
            <v/>
          </cell>
          <cell r="E3410" t="str">
            <v>18 de março de 2016</v>
          </cell>
          <cell r="F3410" t="str">
            <v>LWG SERVICOS LTDA - ME</v>
          </cell>
          <cell r="G3410" t="str">
            <v>07/03/2016</v>
          </cell>
          <cell r="H3410" t="str">
            <v>19/03/2016</v>
          </cell>
          <cell r="I3410" t="str">
            <v>34</v>
          </cell>
          <cell r="J3410" t="str">
            <v>PESSOA JURÍDICA</v>
          </cell>
          <cell r="K3410" t="str">
            <v>12.386.887/0001-87</v>
          </cell>
          <cell r="L3410" t="str">
            <v>BT</v>
          </cell>
          <cell r="M3410" t="str">
            <v>ALEXANDRE MORAES GALDINO</v>
          </cell>
          <cell r="N3410" t="str">
            <v>DTC4930</v>
          </cell>
          <cell r="O3410" t="str">
            <v>2008</v>
          </cell>
          <cell r="P3410" t="str">
            <v>29</v>
          </cell>
          <cell r="Q3410" t="str">
            <v>27</v>
          </cell>
        </row>
        <row r="3411">
          <cell r="B3411" t="str">
            <v>5083/16</v>
          </cell>
          <cell r="C3411" t="str">
            <v>2016-0.056.039-0</v>
          </cell>
          <cell r="D3411" t="str">
            <v/>
          </cell>
          <cell r="E3411" t="str">
            <v>07 de março de 2016</v>
          </cell>
          <cell r="F3411" t="str">
            <v>LWG SERVICOS LTDA - ME</v>
          </cell>
          <cell r="G3411" t="str">
            <v>07/03/2016</v>
          </cell>
          <cell r="H3411" t="str">
            <v>19/03/2016</v>
          </cell>
          <cell r="I3411" t="str">
            <v>34</v>
          </cell>
          <cell r="J3411" t="str">
            <v>PESSOA JURÍDICA</v>
          </cell>
          <cell r="K3411" t="str">
            <v>12.386.887/0001-87</v>
          </cell>
          <cell r="L3411" t="str">
            <v>BT</v>
          </cell>
          <cell r="M3411" t="str">
            <v>ANA PAULA ROTILIO DOS SANTOS</v>
          </cell>
          <cell r="N3411" t="str">
            <v>EZL4987</v>
          </cell>
          <cell r="O3411" t="str">
            <v>2012</v>
          </cell>
          <cell r="P3411" t="str">
            <v>10</v>
          </cell>
          <cell r="Q3411" t="str">
            <v>9</v>
          </cell>
        </row>
        <row r="3412">
          <cell r="B3412" t="str">
            <v>5084/16</v>
          </cell>
          <cell r="C3412" t="str">
            <v>2016-0.056.041-1</v>
          </cell>
          <cell r="D3412" t="str">
            <v>24/02/2016</v>
          </cell>
          <cell r="E3412" t="str">
            <v/>
          </cell>
          <cell r="F3412" t="str">
            <v>BELLA TRANSPORTES LTDA - ME</v>
          </cell>
          <cell r="G3412" t="str">
            <v>14/03/2016</v>
          </cell>
          <cell r="H3412" t="str">
            <v>19/03/2016</v>
          </cell>
          <cell r="I3412" t="str">
            <v>34</v>
          </cell>
          <cell r="J3412" t="str">
            <v>PESSOA JURÍDICA</v>
          </cell>
          <cell r="K3412" t="str">
            <v>17.678.874/0001-03</v>
          </cell>
          <cell r="L3412" t="str">
            <v>CL</v>
          </cell>
          <cell r="M3412" t="str">
            <v/>
          </cell>
          <cell r="N3412" t="str">
            <v>FVE7160</v>
          </cell>
          <cell r="O3412" t="str">
            <v>2015</v>
          </cell>
          <cell r="P3412" t="str">
            <v>10</v>
          </cell>
          <cell r="Q3412" t="str">
            <v>09</v>
          </cell>
        </row>
        <row r="3413">
          <cell r="B3413" t="str">
            <v>5084/16</v>
          </cell>
          <cell r="C3413" t="str">
            <v>2016-0.056.041-1</v>
          </cell>
          <cell r="D3413" t="str">
            <v>14/03/2016</v>
          </cell>
          <cell r="E3413" t="str">
            <v>20 de abril de 2016</v>
          </cell>
          <cell r="F3413" t="str">
            <v>BELLA TRANSPORTES LTDA - ME</v>
          </cell>
          <cell r="G3413" t="str">
            <v>14/03/2016</v>
          </cell>
          <cell r="H3413" t="str">
            <v>19/03/2016</v>
          </cell>
          <cell r="I3413" t="str">
            <v>34</v>
          </cell>
          <cell r="J3413" t="str">
            <v>PESSOA JURÍDICA</v>
          </cell>
          <cell r="K3413" t="str">
            <v>17.678.874/0001-03</v>
          </cell>
          <cell r="L3413" t="str">
            <v>CS</v>
          </cell>
          <cell r="M3413" t="str">
            <v>EZEQUIEL MATOS</v>
          </cell>
          <cell r="N3413" t="str">
            <v>FDR1426</v>
          </cell>
          <cell r="O3413" t="str">
            <v>2013</v>
          </cell>
          <cell r="P3413" t="str">
            <v>36</v>
          </cell>
          <cell r="Q3413" t="str">
            <v>35</v>
          </cell>
        </row>
        <row r="3414">
          <cell r="B3414" t="str">
            <v>5084/16</v>
          </cell>
          <cell r="C3414" t="str">
            <v>2016-0.056.041-1</v>
          </cell>
          <cell r="D3414" t="str">
            <v/>
          </cell>
          <cell r="E3414" t="str">
            <v>06 de abril de 2016</v>
          </cell>
          <cell r="F3414" t="str">
            <v>BELLA TRANSPORTES LTDA - ME</v>
          </cell>
          <cell r="G3414" t="str">
            <v>14/03/2016</v>
          </cell>
          <cell r="H3414" t="str">
            <v>19/03/2016</v>
          </cell>
          <cell r="I3414" t="str">
            <v>34</v>
          </cell>
          <cell r="J3414" t="str">
            <v>PESSOA JURÍDICA</v>
          </cell>
          <cell r="K3414" t="str">
            <v>17.678.874/0001-03</v>
          </cell>
          <cell r="L3414" t="str">
            <v>CS</v>
          </cell>
          <cell r="M3414" t="str">
            <v>WILLIAM FELIPE DA CONCEICAO</v>
          </cell>
          <cell r="N3414" t="str">
            <v>DTD4217</v>
          </cell>
          <cell r="O3414" t="str">
            <v>2007</v>
          </cell>
          <cell r="P3414" t="str">
            <v>29</v>
          </cell>
          <cell r="Q3414" t="str">
            <v>27</v>
          </cell>
        </row>
        <row r="3415">
          <cell r="B3415" t="str">
            <v>5084/16</v>
          </cell>
          <cell r="C3415" t="str">
            <v>2016-0.056.041-1</v>
          </cell>
          <cell r="D3415" t="str">
            <v>24/02/2016</v>
          </cell>
          <cell r="E3415" t="str">
            <v>31 de março de 2016</v>
          </cell>
          <cell r="F3415" t="str">
            <v>BELLA TRANSPORTES LTDA - ME</v>
          </cell>
          <cell r="G3415" t="str">
            <v>14/03/2016</v>
          </cell>
          <cell r="H3415" t="str">
            <v>19/03/2016</v>
          </cell>
          <cell r="I3415" t="str">
            <v>34</v>
          </cell>
          <cell r="J3415" t="str">
            <v>PESSOA JURÍDICA</v>
          </cell>
          <cell r="K3415" t="str">
            <v>17.678.874/0001-03</v>
          </cell>
          <cell r="L3415" t="str">
            <v>CS</v>
          </cell>
          <cell r="M3415" t="str">
            <v>KAREN GONCALVES DOS SANTOS</v>
          </cell>
          <cell r="N3415" t="str">
            <v>DJE9477</v>
          </cell>
          <cell r="O3415" t="str">
            <v>2006</v>
          </cell>
          <cell r="P3415" t="str">
            <v>34</v>
          </cell>
          <cell r="Q3415" t="str">
            <v>32</v>
          </cell>
        </row>
        <row r="3416">
          <cell r="B3416" t="str">
            <v>5084/16</v>
          </cell>
          <cell r="C3416" t="str">
            <v>2016-0.056.041-1</v>
          </cell>
          <cell r="D3416" t="str">
            <v>03/03/2016</v>
          </cell>
          <cell r="E3416" t="str">
            <v>20 de abril de 2016</v>
          </cell>
          <cell r="F3416" t="str">
            <v>BELLA TRANSPORTES LTDA - ME</v>
          </cell>
          <cell r="G3416" t="str">
            <v>14/03/2016</v>
          </cell>
          <cell r="H3416" t="str">
            <v>19/03/2016</v>
          </cell>
          <cell r="I3416" t="str">
            <v>34</v>
          </cell>
          <cell r="J3416" t="str">
            <v>PESSOA JURÍDICA</v>
          </cell>
          <cell r="K3416" t="str">
            <v>17.678.874/0001-03</v>
          </cell>
          <cell r="L3416" t="str">
            <v>CL</v>
          </cell>
          <cell r="M3416" t="str">
            <v>ZEZITO GONCALVES DOS SANTOS</v>
          </cell>
          <cell r="N3416" t="str">
            <v>FJG8657</v>
          </cell>
          <cell r="O3416" t="str">
            <v>2015</v>
          </cell>
          <cell r="P3416" t="str">
            <v>10</v>
          </cell>
          <cell r="Q3416" t="str">
            <v>09</v>
          </cell>
        </row>
        <row r="3417">
          <cell r="B3417" t="str">
            <v>5084/16</v>
          </cell>
          <cell r="C3417" t="str">
            <v>2016-0.056.041-1</v>
          </cell>
          <cell r="D3417" t="str">
            <v/>
          </cell>
          <cell r="E3417" t="str">
            <v>14 de março de 2016</v>
          </cell>
          <cell r="F3417" t="str">
            <v>BELLA TRANSPORTES LTDA - ME</v>
          </cell>
          <cell r="G3417" t="str">
            <v>14/03/2016</v>
          </cell>
          <cell r="H3417" t="str">
            <v>19/03/2016</v>
          </cell>
          <cell r="I3417" t="str">
            <v>34</v>
          </cell>
          <cell r="J3417" t="str">
            <v>PESSOA JURÍDICA</v>
          </cell>
          <cell r="K3417" t="str">
            <v>17.678.874/0001-03</v>
          </cell>
          <cell r="L3417" t="str">
            <v>CS</v>
          </cell>
          <cell r="M3417" t="str">
            <v>JEAN PAULO BISPO DA SILVA</v>
          </cell>
          <cell r="N3417" t="str">
            <v>DTC3350</v>
          </cell>
          <cell r="O3417" t="str">
            <v>2007</v>
          </cell>
          <cell r="P3417" t="str">
            <v>45</v>
          </cell>
          <cell r="Q3417" t="str">
            <v>43</v>
          </cell>
        </row>
        <row r="3418">
          <cell r="B3418" t="str">
            <v>5084/16</v>
          </cell>
          <cell r="C3418" t="str">
            <v>2016-0.056.041-1</v>
          </cell>
          <cell r="D3418" t="str">
            <v/>
          </cell>
          <cell r="E3418" t="str">
            <v>23 de março de 2016</v>
          </cell>
          <cell r="F3418" t="str">
            <v>BELLA TRANSPORTES LTDA - ME</v>
          </cell>
          <cell r="G3418" t="str">
            <v>14/03/2016</v>
          </cell>
          <cell r="H3418" t="str">
            <v>19/03/2016</v>
          </cell>
          <cell r="I3418" t="str">
            <v>34</v>
          </cell>
          <cell r="J3418" t="str">
            <v>PESSOA JURÍDICA</v>
          </cell>
          <cell r="K3418" t="str">
            <v>17.678.874/0001-03</v>
          </cell>
          <cell r="L3418" t="str">
            <v>CS</v>
          </cell>
          <cell r="M3418" t="str">
            <v>JOSEFA MARIA BATISTA DE ARAUJO</v>
          </cell>
          <cell r="N3418" t="str">
            <v>FWB4020</v>
          </cell>
          <cell r="O3418" t="str">
            <v>2015</v>
          </cell>
          <cell r="P3418" t="str">
            <v>10</v>
          </cell>
          <cell r="Q3418" t="str">
            <v>9</v>
          </cell>
        </row>
        <row r="3419">
          <cell r="B3419" t="str">
            <v>5084/16</v>
          </cell>
          <cell r="C3419" t="str">
            <v>2016-0.056.041-1</v>
          </cell>
          <cell r="D3419" t="str">
            <v>07/03/2016</v>
          </cell>
          <cell r="E3419" t="str">
            <v>08 de abril de 2016</v>
          </cell>
          <cell r="F3419" t="str">
            <v>BELLA TRANSPORTES LTDA - ME</v>
          </cell>
          <cell r="G3419" t="str">
            <v>14/03/2016</v>
          </cell>
          <cell r="H3419" t="str">
            <v>19/03/2016</v>
          </cell>
          <cell r="I3419" t="str">
            <v>34</v>
          </cell>
          <cell r="J3419" t="str">
            <v>PESSOA JURÍDICA</v>
          </cell>
          <cell r="K3419" t="str">
            <v>17.678.874/0001-03</v>
          </cell>
          <cell r="L3419" t="str">
            <v>CL</v>
          </cell>
          <cell r="M3419" t="str">
            <v>CICERO REGINALDO DE SOUSA</v>
          </cell>
          <cell r="N3419" t="str">
            <v>FWF9757</v>
          </cell>
          <cell r="O3419" t="str">
            <v>2015</v>
          </cell>
          <cell r="P3419" t="str">
            <v>10</v>
          </cell>
          <cell r="Q3419" t="str">
            <v>09</v>
          </cell>
        </row>
        <row r="3420">
          <cell r="B3420" t="str">
            <v>5085/16</v>
          </cell>
          <cell r="C3420" t="str">
            <v>2016-0.056.046-2</v>
          </cell>
          <cell r="D3420" t="str">
            <v>11/03/2016</v>
          </cell>
          <cell r="E3420" t="str">
            <v>06 de abril de 2016</v>
          </cell>
          <cell r="F3420" t="str">
            <v>J.V.N.TRANSPORTES E LOCADORA DE VEICULOS LTDA - ME</v>
          </cell>
          <cell r="G3420" t="str">
            <v>06/04/2016</v>
          </cell>
          <cell r="H3420" t="str">
            <v>07/04/2016</v>
          </cell>
          <cell r="I3420" t="str">
            <v>20</v>
          </cell>
          <cell r="J3420" t="str">
            <v>PESSOA JURÍDICA</v>
          </cell>
          <cell r="K3420" t="str">
            <v>71.978.829/0001-01</v>
          </cell>
          <cell r="L3420" t="str">
            <v>SM</v>
          </cell>
          <cell r="M3420" t="str">
            <v>ROGELIO FONSECA MARTINELLI</v>
          </cell>
          <cell r="N3420" t="str">
            <v>DTE1134</v>
          </cell>
          <cell r="O3420" t="str">
            <v>2010</v>
          </cell>
          <cell r="P3420" t="str">
            <v>10</v>
          </cell>
          <cell r="Q3420" t="str">
            <v>9</v>
          </cell>
        </row>
        <row r="3421">
          <cell r="B3421" t="str">
            <v>5085/16</v>
          </cell>
          <cell r="C3421" t="str">
            <v>2016-0.056.046-2</v>
          </cell>
          <cell r="D3421" t="str">
            <v>07/03/2016</v>
          </cell>
          <cell r="E3421" t="str">
            <v>06 de abril de 2016</v>
          </cell>
          <cell r="F3421" t="str">
            <v>J.V.N.TRANSPORTES E LOCADORA DE VEICULOS LTDA - ME</v>
          </cell>
          <cell r="G3421" t="str">
            <v>06/04/2016</v>
          </cell>
          <cell r="H3421" t="str">
            <v>07/04/2016</v>
          </cell>
          <cell r="I3421" t="str">
            <v>20</v>
          </cell>
          <cell r="J3421" t="str">
            <v>PESSOA JURÍDICA</v>
          </cell>
          <cell r="K3421" t="str">
            <v>71.978.829/0001-01</v>
          </cell>
          <cell r="L3421" t="str">
            <v>BT</v>
          </cell>
          <cell r="M3421" t="str">
            <v>MARCOS JOSE DE SOUZA</v>
          </cell>
          <cell r="N3421" t="str">
            <v>EFW8530</v>
          </cell>
          <cell r="O3421" t="str">
            <v>2010</v>
          </cell>
          <cell r="P3421" t="str">
            <v>10</v>
          </cell>
          <cell r="Q3421" t="str">
            <v>9</v>
          </cell>
        </row>
        <row r="3422">
          <cell r="B3422" t="str">
            <v>5085/16</v>
          </cell>
          <cell r="C3422" t="str">
            <v>2016-0.056.046-2</v>
          </cell>
          <cell r="D3422" t="str">
            <v>31/03/2016</v>
          </cell>
          <cell r="E3422" t="str">
            <v>06 de abril de 2016</v>
          </cell>
          <cell r="F3422" t="str">
            <v>J.V.N.TRANSPORTES E LOCADORA DE VEICULOS LTDA - ME</v>
          </cell>
          <cell r="G3422" t="str">
            <v>06/04/2016</v>
          </cell>
          <cell r="H3422" t="str">
            <v>07/04/2016</v>
          </cell>
          <cell r="I3422" t="str">
            <v>20</v>
          </cell>
          <cell r="J3422" t="str">
            <v>PESSOA JURÍDICA</v>
          </cell>
          <cell r="K3422" t="str">
            <v>71.978.829/0001-01</v>
          </cell>
          <cell r="L3422" t="str">
            <v>SM</v>
          </cell>
          <cell r="M3422" t="str">
            <v>KATIA REGINA DA SILVA BORGES DE NOVAES</v>
          </cell>
          <cell r="N3422" t="str">
            <v>FXG7409</v>
          </cell>
          <cell r="O3422" t="str">
            <v>2015</v>
          </cell>
          <cell r="P3422" t="str">
            <v>19</v>
          </cell>
          <cell r="Q3422" t="str">
            <v>18</v>
          </cell>
        </row>
        <row r="3423">
          <cell r="B3423" t="str">
            <v>5085/16</v>
          </cell>
          <cell r="C3423" t="str">
            <v>2016-0.056.046-2</v>
          </cell>
          <cell r="D3423" t="str">
            <v/>
          </cell>
          <cell r="E3423" t="str">
            <v>06 de abril de 2016</v>
          </cell>
          <cell r="F3423" t="str">
            <v>J.V.N.TRANSPORTES E LOCADORA DE VEICULOS LTDA - ME</v>
          </cell>
          <cell r="G3423" t="str">
            <v>06/04/2016</v>
          </cell>
          <cell r="H3423" t="str">
            <v>07/04/2016</v>
          </cell>
          <cell r="I3423" t="str">
            <v>20</v>
          </cell>
          <cell r="J3423" t="str">
            <v>PESSOA JURÍDICA</v>
          </cell>
          <cell r="K3423" t="str">
            <v>71.978.829/0001-01</v>
          </cell>
          <cell r="L3423" t="str">
            <v>SM</v>
          </cell>
          <cell r="M3423" t="str">
            <v>REGIANE VIEIRA CONEJO FERREIRA</v>
          </cell>
          <cell r="N3423" t="str">
            <v>FYB7351</v>
          </cell>
          <cell r="O3423" t="str">
            <v>2015</v>
          </cell>
          <cell r="P3423" t="str">
            <v>10</v>
          </cell>
          <cell r="Q3423" t="str">
            <v>9</v>
          </cell>
        </row>
        <row r="3424">
          <cell r="B3424" t="str">
            <v>5085/16</v>
          </cell>
          <cell r="C3424" t="str">
            <v>2016-0.056.046-2</v>
          </cell>
          <cell r="D3424" t="str">
            <v/>
          </cell>
          <cell r="E3424" t="str">
            <v>06 de abril de 2016</v>
          </cell>
          <cell r="F3424" t="str">
            <v>J.V.N.TRANSPORTES E LOCADORA DE VEICULOS LTDA - ME</v>
          </cell>
          <cell r="G3424" t="str">
            <v>06/04/2016</v>
          </cell>
          <cell r="H3424" t="str">
            <v>07/04/2016</v>
          </cell>
          <cell r="I3424" t="str">
            <v>20</v>
          </cell>
          <cell r="J3424" t="str">
            <v>PESSOA JURÍDICA</v>
          </cell>
          <cell r="K3424" t="str">
            <v>71.978.829/0001-01</v>
          </cell>
          <cell r="L3424" t="str">
            <v>SM</v>
          </cell>
          <cell r="M3424" t="str">
            <v>ANSELMO MARQUES TAMARINO</v>
          </cell>
          <cell r="N3424" t="str">
            <v>DTA4390</v>
          </cell>
          <cell r="O3424" t="str">
            <v>2007</v>
          </cell>
          <cell r="P3424" t="str">
            <v>45</v>
          </cell>
          <cell r="Q3424" t="str">
            <v>44</v>
          </cell>
        </row>
        <row r="3425">
          <cell r="B3425" t="str">
            <v>5086/16</v>
          </cell>
          <cell r="C3425" t="str">
            <v>2016-0.056.049-7</v>
          </cell>
          <cell r="D3425" t="str">
            <v>22/02/2016</v>
          </cell>
          <cell r="E3425" t="str">
            <v>29 de fevereiro de 2016</v>
          </cell>
          <cell r="F3425" t="str">
            <v>JTI TRANSPORTES LTDA - ME</v>
          </cell>
          <cell r="G3425" t="str">
            <v>29/02/2016</v>
          </cell>
          <cell r="H3425" t="str">
            <v>19/03/2016</v>
          </cell>
          <cell r="I3425" t="str">
            <v>35</v>
          </cell>
          <cell r="J3425" t="str">
            <v>PESSOA JURÍDICA</v>
          </cell>
          <cell r="K3425" t="str">
            <v>20.060.095/0001-46</v>
          </cell>
          <cell r="L3425" t="str">
            <v>CL</v>
          </cell>
          <cell r="M3425" t="str">
            <v>TROCOU CONDUTOR</v>
          </cell>
          <cell r="N3425" t="str">
            <v>EFV1925</v>
          </cell>
          <cell r="O3425" t="str">
            <v>2010</v>
          </cell>
          <cell r="P3425" t="str">
            <v>19</v>
          </cell>
          <cell r="Q3425" t="str">
            <v>18</v>
          </cell>
        </row>
        <row r="3426">
          <cell r="B3426" t="str">
            <v>5086/16</v>
          </cell>
          <cell r="C3426" t="str">
            <v>2016-0.056.049-7</v>
          </cell>
          <cell r="D3426" t="str">
            <v>15/03/2016</v>
          </cell>
          <cell r="E3426" t="str">
            <v>25 de abril de 2016</v>
          </cell>
          <cell r="F3426" t="str">
            <v>JTI TRANSPORTES LTDA - ME</v>
          </cell>
          <cell r="G3426" t="str">
            <v>29/02/2016</v>
          </cell>
          <cell r="H3426" t="str">
            <v>19/03/2016</v>
          </cell>
          <cell r="I3426" t="str">
            <v>35</v>
          </cell>
          <cell r="J3426" t="str">
            <v>PESSOA JURÍDICA</v>
          </cell>
          <cell r="K3426" t="str">
            <v>20.060.095/0001-46</v>
          </cell>
          <cell r="L3426" t="str">
            <v>CL</v>
          </cell>
          <cell r="M3426" t="str">
            <v>PRISCILLA APARECIDO DA CRUZ</v>
          </cell>
          <cell r="N3426" t="str">
            <v>DTD4855</v>
          </cell>
          <cell r="O3426" t="str">
            <v>2009</v>
          </cell>
          <cell r="P3426" t="str">
            <v>09</v>
          </cell>
          <cell r="Q3426" t="str">
            <v>08</v>
          </cell>
        </row>
        <row r="3427">
          <cell r="B3427" t="str">
            <v>5086/16</v>
          </cell>
          <cell r="C3427" t="str">
            <v>2016-0.056.049-7</v>
          </cell>
          <cell r="D3427" t="str">
            <v/>
          </cell>
          <cell r="E3427" t="str">
            <v>06 de abril de 2016</v>
          </cell>
          <cell r="F3427" t="str">
            <v>JTI TRANSPORTES LTDA - ME</v>
          </cell>
          <cell r="G3427" t="str">
            <v>29/02/2016</v>
          </cell>
          <cell r="H3427" t="str">
            <v>19/03/2016</v>
          </cell>
          <cell r="I3427" t="str">
            <v>35</v>
          </cell>
          <cell r="J3427" t="str">
            <v>PESSOA JURÍDICA</v>
          </cell>
          <cell r="K3427" t="str">
            <v>20.060.095/0001-46</v>
          </cell>
          <cell r="L3427" t="str">
            <v>CL</v>
          </cell>
          <cell r="M3427" t="str">
            <v>TELMA MARIA PEREIRA ANDRADE</v>
          </cell>
          <cell r="N3427" t="str">
            <v>FKR5639</v>
          </cell>
          <cell r="O3427" t="str">
            <v>2015</v>
          </cell>
          <cell r="P3427" t="str">
            <v>10</v>
          </cell>
          <cell r="Q3427" t="str">
            <v>9</v>
          </cell>
        </row>
        <row r="3428">
          <cell r="B3428" t="str">
            <v>5086/16</v>
          </cell>
          <cell r="C3428" t="str">
            <v>2016-0.056.049-7</v>
          </cell>
          <cell r="D3428" t="str">
            <v/>
          </cell>
          <cell r="E3428" t="str">
            <v>29 de fevereiro de 2016</v>
          </cell>
          <cell r="F3428" t="str">
            <v>JTI TRANSPORTES LTDA - ME</v>
          </cell>
          <cell r="G3428" t="str">
            <v>29/02/2016</v>
          </cell>
          <cell r="H3428" t="str">
            <v>19/03/2016</v>
          </cell>
          <cell r="I3428" t="str">
            <v>35</v>
          </cell>
          <cell r="J3428" t="str">
            <v>PESSOA JURÍDICA</v>
          </cell>
          <cell r="K3428" t="str">
            <v>20.060.095/0001-46</v>
          </cell>
          <cell r="L3428" t="str">
            <v>CL</v>
          </cell>
          <cell r="M3428" t="str">
            <v>SONIA FERRARETO</v>
          </cell>
          <cell r="N3428" t="str">
            <v>FCY9020</v>
          </cell>
          <cell r="O3428" t="str">
            <v>2015</v>
          </cell>
          <cell r="P3428" t="str">
            <v>10</v>
          </cell>
          <cell r="Q3428" t="str">
            <v>9</v>
          </cell>
        </row>
        <row r="3429">
          <cell r="B3429" t="str">
            <v>5086/16</v>
          </cell>
          <cell r="C3429" t="str">
            <v>2016-0.056.049-7</v>
          </cell>
          <cell r="D3429" t="str">
            <v>04/04/2016</v>
          </cell>
          <cell r="E3429" t="str">
            <v>06 de abril de 2016</v>
          </cell>
          <cell r="F3429" t="str">
            <v>JTI TRANSPORTES LTDA - ME</v>
          </cell>
          <cell r="G3429" t="str">
            <v>29/02/2016</v>
          </cell>
          <cell r="H3429" t="str">
            <v>19/03/2016</v>
          </cell>
          <cell r="I3429" t="str">
            <v>35</v>
          </cell>
          <cell r="J3429" t="str">
            <v>PESSOA JURÍDICA</v>
          </cell>
          <cell r="K3429" t="str">
            <v>20.060.095/0001-46</v>
          </cell>
          <cell r="L3429" t="str">
            <v>CL</v>
          </cell>
          <cell r="M3429" t="str">
            <v>JOSE BONIFACIO DE ARAUJO</v>
          </cell>
          <cell r="N3429" t="str">
            <v>FQQ4810</v>
          </cell>
          <cell r="O3429" t="str">
            <v>2014</v>
          </cell>
          <cell r="P3429" t="str">
            <v>10</v>
          </cell>
          <cell r="Q3429" t="str">
            <v>9</v>
          </cell>
        </row>
        <row r="3430">
          <cell r="B3430" t="str">
            <v>5086/16</v>
          </cell>
          <cell r="C3430" t="str">
            <v>2016-0.056.049-7</v>
          </cell>
          <cell r="D3430" t="str">
            <v/>
          </cell>
          <cell r="E3430" t="str">
            <v>18 de março de 2016</v>
          </cell>
          <cell r="F3430" t="str">
            <v>JTI TRANSPORTES LTDA - ME</v>
          </cell>
          <cell r="G3430" t="str">
            <v>29/02/2016</v>
          </cell>
          <cell r="H3430" t="str">
            <v>19/03/2016</v>
          </cell>
          <cell r="I3430" t="str">
            <v>35</v>
          </cell>
          <cell r="J3430" t="str">
            <v>PESSOA JURÍDICA</v>
          </cell>
          <cell r="K3430" t="str">
            <v>20.060.095/0001-46</v>
          </cell>
          <cell r="L3430" t="str">
            <v>CL</v>
          </cell>
          <cell r="M3430" t="str">
            <v>AUGUSTO CESAR DA CRUZ</v>
          </cell>
          <cell r="N3430" t="str">
            <v>EFW1375</v>
          </cell>
          <cell r="O3430" t="str">
            <v>2009</v>
          </cell>
          <cell r="P3430" t="str">
            <v>11</v>
          </cell>
          <cell r="Q3430" t="str">
            <v>10</v>
          </cell>
        </row>
        <row r="3431">
          <cell r="B3431" t="str">
            <v>5086/16</v>
          </cell>
          <cell r="C3431" t="str">
            <v>2016-0.056.049-7</v>
          </cell>
          <cell r="D3431" t="str">
            <v/>
          </cell>
          <cell r="E3431" t="str">
            <v>29 de fevereiro de 2016</v>
          </cell>
          <cell r="F3431" t="str">
            <v>JTI TRANSPORTES LTDA - ME</v>
          </cell>
          <cell r="G3431" t="str">
            <v>29/02/2016</v>
          </cell>
          <cell r="H3431" t="str">
            <v>19/03/2016</v>
          </cell>
          <cell r="I3431" t="str">
            <v>35</v>
          </cell>
          <cell r="J3431" t="str">
            <v>PESSOA JURÍDICA</v>
          </cell>
          <cell r="K3431" t="str">
            <v>20.060.095/0001-46</v>
          </cell>
          <cell r="L3431" t="str">
            <v>CL</v>
          </cell>
          <cell r="M3431" t="str">
            <v>MAURO PIRES DE PAIVA JUNIOR</v>
          </cell>
          <cell r="N3431" t="str">
            <v>DTD4862</v>
          </cell>
          <cell r="O3431" t="str">
            <v>2009</v>
          </cell>
          <cell r="P3431" t="str">
            <v>9</v>
          </cell>
          <cell r="Q3431" t="str">
            <v>8</v>
          </cell>
        </row>
        <row r="3432">
          <cell r="B3432" t="str">
            <v>5087/16</v>
          </cell>
          <cell r="C3432" t="str">
            <v>2016-0.056.042-0</v>
          </cell>
          <cell r="D3432" t="str">
            <v/>
          </cell>
          <cell r="E3432" t="str">
            <v/>
          </cell>
          <cell r="F3432" t="str">
            <v>RODA LEGAL W. A. T. TRANSPORTES LTDA - ME</v>
          </cell>
          <cell r="G3432" t="str">
            <v>27/04/2016</v>
          </cell>
          <cell r="H3432" t="str">
            <v/>
          </cell>
          <cell r="I3432" t="str">
            <v/>
          </cell>
          <cell r="J3432" t="str">
            <v>PESSOA JURÍDICA</v>
          </cell>
          <cell r="K3432" t="str">
            <v>13.823.533/0001-15</v>
          </cell>
          <cell r="L3432" t="str">
            <v>CL</v>
          </cell>
          <cell r="M3432" t="str">
            <v>ADIVAL FERREIRA</v>
          </cell>
          <cell r="N3432" t="str">
            <v>ELQ6395</v>
          </cell>
          <cell r="O3432" t="str">
            <v>2011</v>
          </cell>
          <cell r="P3432" t="str">
            <v>15</v>
          </cell>
          <cell r="Q3432" t="str">
            <v>14</v>
          </cell>
        </row>
        <row r="3433">
          <cell r="B3433" t="str">
            <v>5087/16</v>
          </cell>
          <cell r="C3433" t="str">
            <v>2016-0.056.042-0</v>
          </cell>
          <cell r="D3433" t="str">
            <v/>
          </cell>
          <cell r="E3433" t="str">
            <v/>
          </cell>
          <cell r="F3433" t="str">
            <v>RODA LEGAL W. A. T. TRANSPORTES LTDA - ME</v>
          </cell>
          <cell r="G3433" t="str">
            <v>27/04/2016</v>
          </cell>
          <cell r="H3433" t="str">
            <v/>
          </cell>
          <cell r="I3433" t="str">
            <v/>
          </cell>
          <cell r="J3433" t="str">
            <v>PESSOA JURÍDICA</v>
          </cell>
          <cell r="K3433" t="str">
            <v>13.823.533/0001-15</v>
          </cell>
          <cell r="L3433" t="str">
            <v>CL</v>
          </cell>
          <cell r="M3433" t="str">
            <v>WESLEY FLORENCIO</v>
          </cell>
          <cell r="N3433" t="str">
            <v>FKE9649</v>
          </cell>
          <cell r="O3433" t="str">
            <v>2013</v>
          </cell>
          <cell r="P3433" t="str">
            <v>19</v>
          </cell>
          <cell r="Q3433" t="str">
            <v>18</v>
          </cell>
        </row>
        <row r="3434">
          <cell r="B3434" t="str">
            <v>5087/16</v>
          </cell>
          <cell r="C3434" t="str">
            <v>2016-0.056.042-0</v>
          </cell>
          <cell r="D3434" t="str">
            <v>10/03/2016</v>
          </cell>
          <cell r="E3434" t="str">
            <v>27 de abril de 2016</v>
          </cell>
          <cell r="F3434" t="str">
            <v>RODA LEGAL W. A. T. TRANSPORTES LTDA - ME</v>
          </cell>
          <cell r="G3434" t="str">
            <v>27/04/2016</v>
          </cell>
          <cell r="H3434" t="str">
            <v/>
          </cell>
          <cell r="I3434" t="str">
            <v/>
          </cell>
          <cell r="J3434" t="str">
            <v>PESSOA JURÍDICA</v>
          </cell>
          <cell r="K3434" t="str">
            <v>13.823.533/0001-15</v>
          </cell>
          <cell r="L3434" t="str">
            <v>CL</v>
          </cell>
          <cell r="M3434" t="str">
            <v>JURACI TADEU DA SILVA</v>
          </cell>
          <cell r="N3434" t="str">
            <v>FKD7350</v>
          </cell>
          <cell r="O3434" t="str">
            <v>2015</v>
          </cell>
          <cell r="P3434" t="str">
            <v>10</v>
          </cell>
          <cell r="Q3434" t="str">
            <v>09</v>
          </cell>
        </row>
        <row r="3435">
          <cell r="B3435" t="str">
            <v>5087/16</v>
          </cell>
          <cell r="C3435" t="str">
            <v>2016-0.056.042-0</v>
          </cell>
          <cell r="D3435" t="str">
            <v/>
          </cell>
          <cell r="E3435" t="str">
            <v/>
          </cell>
          <cell r="F3435" t="str">
            <v>RODA LEGAL W. A. T. TRANSPORTES LTDA - ME</v>
          </cell>
          <cell r="G3435" t="str">
            <v>27/04/2016</v>
          </cell>
          <cell r="H3435" t="str">
            <v/>
          </cell>
          <cell r="I3435" t="str">
            <v/>
          </cell>
          <cell r="J3435" t="str">
            <v>PESSOA JURÍDICA</v>
          </cell>
          <cell r="K3435" t="str">
            <v>13.823.533/0001-15</v>
          </cell>
          <cell r="L3435" t="str">
            <v>CL</v>
          </cell>
          <cell r="M3435" t="str">
            <v>ALICE GONCALVES DE OLIVEIRA FLORENCIO</v>
          </cell>
          <cell r="N3435" t="str">
            <v>EWS8487</v>
          </cell>
          <cell r="O3435" t="str">
            <v>2011</v>
          </cell>
          <cell r="P3435" t="str">
            <v>19</v>
          </cell>
          <cell r="Q3435" t="str">
            <v>18</v>
          </cell>
        </row>
        <row r="3436">
          <cell r="B3436" t="str">
            <v>5087/16</v>
          </cell>
          <cell r="C3436" t="str">
            <v>2016-0.056.042-0</v>
          </cell>
          <cell r="D3436" t="str">
            <v>07/03/2016</v>
          </cell>
          <cell r="E3436" t="str">
            <v>27 de abril de 2016</v>
          </cell>
          <cell r="F3436" t="str">
            <v>RODA LEGAL W. A. T. TRANSPORTES LTDA - ME</v>
          </cell>
          <cell r="G3436" t="str">
            <v>27/04/2016</v>
          </cell>
          <cell r="H3436" t="str">
            <v/>
          </cell>
          <cell r="I3436" t="str">
            <v/>
          </cell>
          <cell r="J3436" t="str">
            <v>PESSOA JURÍDICA</v>
          </cell>
          <cell r="K3436" t="str">
            <v>13.823.533/0001-15</v>
          </cell>
          <cell r="L3436" t="str">
            <v>CL</v>
          </cell>
          <cell r="M3436" t="str">
            <v>FABIO MACEDO AMORIM</v>
          </cell>
          <cell r="N3436" t="str">
            <v>EQO2189</v>
          </cell>
          <cell r="O3436" t="str">
            <v>2011</v>
          </cell>
          <cell r="P3436" t="str">
            <v>19</v>
          </cell>
          <cell r="Q3436" t="str">
            <v>18</v>
          </cell>
        </row>
        <row r="3437">
          <cell r="B3437" t="str">
            <v>5088/16</v>
          </cell>
          <cell r="C3437" t="str">
            <v>2016-0.056.047-0</v>
          </cell>
          <cell r="D3437" t="str">
            <v>22/03/2016</v>
          </cell>
          <cell r="E3437" t="str">
            <v/>
          </cell>
          <cell r="F3437" t="str">
            <v>JAMBEIROS LUXO TRANSPORTE ESCOLAR LTDA - ME</v>
          </cell>
          <cell r="G3437" t="str">
            <v/>
          </cell>
          <cell r="H3437" t="str">
            <v/>
          </cell>
          <cell r="I3437" t="str">
            <v/>
          </cell>
          <cell r="J3437" t="str">
            <v>PESSOA JURÍDICA</v>
          </cell>
          <cell r="K3437" t="str">
            <v>09.177.410/0001-87</v>
          </cell>
          <cell r="L3437" t="str">
            <v>CL</v>
          </cell>
          <cell r="M3437" t="str">
            <v>SANDRO ROGERIO FERREIRA DOS SANTOS</v>
          </cell>
          <cell r="N3437" t="str">
            <v>FXV6590</v>
          </cell>
          <cell r="O3437" t="str">
            <v>2015</v>
          </cell>
          <cell r="P3437" t="str">
            <v>10</v>
          </cell>
          <cell r="Q3437" t="str">
            <v>09</v>
          </cell>
        </row>
        <row r="3438">
          <cell r="B3438" t="str">
            <v>5088/16</v>
          </cell>
          <cell r="C3438" t="str">
            <v>2016-0.056.047-0</v>
          </cell>
          <cell r="D3438" t="str">
            <v>16/03/2016</v>
          </cell>
          <cell r="E3438" t="str">
            <v/>
          </cell>
          <cell r="F3438" t="str">
            <v>JAMBEIROS LUXO TRANSPORTE ESCOLAR LTDA - ME</v>
          </cell>
          <cell r="G3438" t="str">
            <v/>
          </cell>
          <cell r="H3438" t="str">
            <v/>
          </cell>
          <cell r="I3438" t="str">
            <v/>
          </cell>
          <cell r="J3438" t="str">
            <v>PESSOA JURÍDICA</v>
          </cell>
          <cell r="K3438" t="str">
            <v>09.177.410/0001-87</v>
          </cell>
          <cell r="L3438" t="str">
            <v>CL</v>
          </cell>
          <cell r="M3438" t="str">
            <v>AGUINALDO VIGATI</v>
          </cell>
          <cell r="N3438" t="str">
            <v>FLJ6030</v>
          </cell>
          <cell r="O3438" t="str">
            <v>2015</v>
          </cell>
          <cell r="P3438" t="str">
            <v>10</v>
          </cell>
          <cell r="Q3438" t="str">
            <v>09</v>
          </cell>
        </row>
        <row r="3439">
          <cell r="B3439" t="str">
            <v>5088/16</v>
          </cell>
          <cell r="C3439" t="str">
            <v>2016-0.056.047-0</v>
          </cell>
          <cell r="D3439" t="str">
            <v/>
          </cell>
          <cell r="E3439" t="str">
            <v/>
          </cell>
          <cell r="F3439" t="str">
            <v>JAMBEIROS LUXO TRANSPORTE ESCOLAR LTDA - ME</v>
          </cell>
          <cell r="G3439" t="str">
            <v/>
          </cell>
          <cell r="H3439" t="str">
            <v/>
          </cell>
          <cell r="I3439" t="str">
            <v/>
          </cell>
          <cell r="J3439" t="str">
            <v>PESSOA JURÍDICA</v>
          </cell>
          <cell r="K3439" t="str">
            <v>09.177.410/0001-87</v>
          </cell>
          <cell r="L3439" t="str">
            <v>BT</v>
          </cell>
          <cell r="M3439" t="str">
            <v>ANDREIA LUZIA DOS SANTOS XAVIER</v>
          </cell>
          <cell r="N3439" t="str">
            <v>FDR0039</v>
          </cell>
          <cell r="O3439" t="str">
            <v>2012</v>
          </cell>
          <cell r="P3439" t="str">
            <v>10</v>
          </cell>
          <cell r="Q3439" t="str">
            <v>9</v>
          </cell>
        </row>
        <row r="3440">
          <cell r="B3440" t="str">
            <v>5088/16</v>
          </cell>
          <cell r="C3440" t="str">
            <v>2016-0.056.047-0</v>
          </cell>
          <cell r="D3440" t="str">
            <v>07/03/2016</v>
          </cell>
          <cell r="E3440" t="str">
            <v/>
          </cell>
          <cell r="F3440" t="str">
            <v>JAMBEIROS LUXO TRANSPORTE ESCOLAR LTDA - ME</v>
          </cell>
          <cell r="G3440" t="str">
            <v/>
          </cell>
          <cell r="H3440" t="str">
            <v/>
          </cell>
          <cell r="I3440" t="str">
            <v/>
          </cell>
          <cell r="J3440" t="str">
            <v>PESSOA JURÍDICA</v>
          </cell>
          <cell r="K3440" t="str">
            <v>09.177.410/0001-87</v>
          </cell>
          <cell r="L3440" t="str">
            <v>CL</v>
          </cell>
          <cell r="M3440" t="str">
            <v>VALMIRO MACHADO OLIVEIRA</v>
          </cell>
          <cell r="N3440" t="str">
            <v>FRQ6460</v>
          </cell>
          <cell r="O3440" t="str">
            <v>2014</v>
          </cell>
          <cell r="P3440" t="str">
            <v>10</v>
          </cell>
          <cell r="Q3440" t="str">
            <v>9</v>
          </cell>
        </row>
        <row r="3441">
          <cell r="B3441" t="str">
            <v>5088/16</v>
          </cell>
          <cell r="C3441" t="str">
            <v>2016-0.056.047-0</v>
          </cell>
          <cell r="D3441" t="str">
            <v/>
          </cell>
          <cell r="E3441" t="str">
            <v/>
          </cell>
          <cell r="F3441" t="str">
            <v>JAMBEIROS LUXO TRANSPORTE ESCOLAR LTDA - ME</v>
          </cell>
          <cell r="G3441" t="str">
            <v/>
          </cell>
          <cell r="H3441" t="str">
            <v/>
          </cell>
          <cell r="I3441" t="str">
            <v/>
          </cell>
          <cell r="J3441" t="str">
            <v>PESSOA JURÍDICA</v>
          </cell>
          <cell r="K3441" t="str">
            <v>09.177.410/0001-87</v>
          </cell>
          <cell r="L3441" t="str">
            <v>PJ</v>
          </cell>
          <cell r="M3441" t="str">
            <v>APARECIDA PEREIRA DA SILVA CALDEIRA</v>
          </cell>
          <cell r="N3441" t="str">
            <v>FTM9860</v>
          </cell>
          <cell r="O3441" t="str">
            <v>2014</v>
          </cell>
          <cell r="P3441" t="str">
            <v>10</v>
          </cell>
          <cell r="Q3441" t="str">
            <v>9</v>
          </cell>
        </row>
        <row r="3442">
          <cell r="B3442" t="str">
            <v>5088/16</v>
          </cell>
          <cell r="C3442" t="str">
            <v>2016-0.056.047-0</v>
          </cell>
          <cell r="D3442" t="str">
            <v/>
          </cell>
          <cell r="E3442" t="str">
            <v/>
          </cell>
          <cell r="F3442" t="str">
            <v>JAMBEIROS LUXO TRANSPORTE ESCOLAR LTDA - ME</v>
          </cell>
          <cell r="G3442" t="str">
            <v/>
          </cell>
          <cell r="H3442" t="str">
            <v/>
          </cell>
          <cell r="I3442" t="str">
            <v/>
          </cell>
          <cell r="J3442" t="str">
            <v>PESSOA JURÍDICA</v>
          </cell>
          <cell r="K3442" t="str">
            <v>09.177.410/0001-87</v>
          </cell>
          <cell r="L3442" t="str">
            <v>CS</v>
          </cell>
          <cell r="M3442" t="str">
            <v>NIVALDO MACHADO OLIVEIRA</v>
          </cell>
          <cell r="N3442" t="str">
            <v>EFV0338</v>
          </cell>
          <cell r="O3442" t="str">
            <v>2009</v>
          </cell>
          <cell r="P3442" t="str">
            <v>39</v>
          </cell>
          <cell r="Q3442" t="str">
            <v>38</v>
          </cell>
        </row>
        <row r="3443">
          <cell r="B3443" t="str">
            <v>5088/16</v>
          </cell>
          <cell r="C3443" t="str">
            <v>2016-0.056.047-0</v>
          </cell>
          <cell r="D3443" t="str">
            <v/>
          </cell>
          <cell r="E3443" t="str">
            <v/>
          </cell>
          <cell r="F3443" t="str">
            <v>JAMBEIROS LUXO TRANSPORTE ESCOLAR LTDA - ME</v>
          </cell>
          <cell r="G3443" t="str">
            <v/>
          </cell>
          <cell r="H3443" t="str">
            <v/>
          </cell>
          <cell r="I3443" t="str">
            <v/>
          </cell>
          <cell r="J3443" t="str">
            <v>PESSOA JURÍDICA</v>
          </cell>
          <cell r="K3443" t="str">
            <v>09.177.410/0001-87</v>
          </cell>
          <cell r="L3443" t="str">
            <v>PJ</v>
          </cell>
          <cell r="M3443" t="str">
            <v>JOSE GIOVA DA SILVA</v>
          </cell>
          <cell r="N3443" t="str">
            <v>FAW2919</v>
          </cell>
          <cell r="O3443" t="str">
            <v>2015</v>
          </cell>
          <cell r="P3443" t="str">
            <v>10</v>
          </cell>
          <cell r="Q3443" t="str">
            <v>9</v>
          </cell>
        </row>
        <row r="3444">
          <cell r="B3444" t="str">
            <v>5088/16</v>
          </cell>
          <cell r="C3444" t="str">
            <v>2016-0.056.047-0</v>
          </cell>
          <cell r="D3444" t="str">
            <v/>
          </cell>
          <cell r="E3444" t="str">
            <v/>
          </cell>
          <cell r="F3444" t="str">
            <v>JAMBEIROS LUXO TRANSPORTE ESCOLAR LTDA - ME</v>
          </cell>
          <cell r="G3444" t="str">
            <v/>
          </cell>
          <cell r="H3444" t="str">
            <v/>
          </cell>
          <cell r="I3444" t="str">
            <v/>
          </cell>
          <cell r="J3444" t="str">
            <v>PESSOA JURÍDICA</v>
          </cell>
          <cell r="K3444" t="str">
            <v>09.177.410/0001-87</v>
          </cell>
          <cell r="L3444" t="str">
            <v>PJ</v>
          </cell>
          <cell r="M3444" t="str">
            <v>MARIA ELIANE DA SILVA SANTOS</v>
          </cell>
          <cell r="N3444" t="str">
            <v>FMJ3060</v>
          </cell>
          <cell r="O3444" t="str">
            <v>2015</v>
          </cell>
          <cell r="P3444" t="str">
            <v>10</v>
          </cell>
          <cell r="Q3444" t="str">
            <v>09</v>
          </cell>
        </row>
        <row r="3445">
          <cell r="B3445" t="str">
            <v>5089/16</v>
          </cell>
          <cell r="C3445" t="str">
            <v>2016-0.056.020-9</v>
          </cell>
          <cell r="D3445" t="str">
            <v/>
          </cell>
          <cell r="E3445" t="str">
            <v>20 de abril de 2016</v>
          </cell>
          <cell r="F3445" t="str">
            <v>CASSIO DA SILVA TRANSPORTE - ME</v>
          </cell>
          <cell r="G3445" t="str">
            <v>20/04/2016</v>
          </cell>
          <cell r="H3445" t="str">
            <v>21/04/2016</v>
          </cell>
          <cell r="I3445" t="str">
            <v>96</v>
          </cell>
          <cell r="J3445" t="str">
            <v>PESSOA JURÍDICA</v>
          </cell>
          <cell r="K3445" t="str">
            <v>15.546.402/0001-63</v>
          </cell>
          <cell r="L3445" t="str">
            <v>PJ</v>
          </cell>
          <cell r="M3445" t="str">
            <v>CASSIO DA SILVA</v>
          </cell>
          <cell r="N3445" t="str">
            <v>FPT4820</v>
          </cell>
          <cell r="O3445" t="str">
            <v>2014</v>
          </cell>
          <cell r="P3445" t="str">
            <v>27</v>
          </cell>
          <cell r="Q3445" t="str">
            <v>26</v>
          </cell>
        </row>
        <row r="3446">
          <cell r="B3446" t="str">
            <v>5089/16</v>
          </cell>
          <cell r="C3446" t="str">
            <v>2016-0.056.020-9</v>
          </cell>
          <cell r="D3446" t="str">
            <v>21/03/2016</v>
          </cell>
          <cell r="E3446" t="str">
            <v>26 de abril de 2016</v>
          </cell>
          <cell r="F3446" t="str">
            <v>CASSIO DA SILVA TRANSPORTE - ME</v>
          </cell>
          <cell r="G3446" t="str">
            <v>20/04/2016</v>
          </cell>
          <cell r="H3446" t="str">
            <v>21/04/2016</v>
          </cell>
          <cell r="I3446" t="str">
            <v>96</v>
          </cell>
          <cell r="J3446" t="str">
            <v>PESSOA JURÍDICA</v>
          </cell>
          <cell r="K3446" t="str">
            <v>15.546.402/0001-63</v>
          </cell>
          <cell r="L3446" t="str">
            <v>PJ</v>
          </cell>
          <cell r="M3446" t="str">
            <v>FELIPE PINHEIRO SANTOS</v>
          </cell>
          <cell r="N3446" t="str">
            <v>DTB9810</v>
          </cell>
          <cell r="O3446" t="str">
            <v>2007</v>
          </cell>
          <cell r="P3446" t="str">
            <v>29</v>
          </cell>
          <cell r="Q3446" t="str">
            <v>27</v>
          </cell>
        </row>
        <row r="3447">
          <cell r="B3447" t="str">
            <v>5089/16</v>
          </cell>
          <cell r="C3447" t="str">
            <v>2016-0.056.020-9</v>
          </cell>
          <cell r="D3447" t="str">
            <v>04/04/2016</v>
          </cell>
          <cell r="E3447" t="str">
            <v>20 de abril de 2016</v>
          </cell>
          <cell r="F3447" t="str">
            <v>CASSIO DA SILVA TRANSPORTE - ME</v>
          </cell>
          <cell r="G3447" t="str">
            <v>20/04/2016</v>
          </cell>
          <cell r="H3447" t="str">
            <v>21/04/2016</v>
          </cell>
          <cell r="I3447" t="str">
            <v>96</v>
          </cell>
          <cell r="J3447" t="str">
            <v>PESSOA JURÍDICA</v>
          </cell>
          <cell r="K3447" t="str">
            <v>15.546.402/0001-63</v>
          </cell>
          <cell r="L3447" t="str">
            <v>PJ</v>
          </cell>
          <cell r="M3447" t="str">
            <v>MANOEL FLOR DA SILVA</v>
          </cell>
          <cell r="N3447" t="str">
            <v>CZX6023</v>
          </cell>
          <cell r="O3447" t="str">
            <v>2002</v>
          </cell>
          <cell r="P3447" t="str">
            <v>25</v>
          </cell>
          <cell r="Q3447" t="str">
            <v>23</v>
          </cell>
        </row>
        <row r="3448">
          <cell r="B3448" t="str">
            <v>5089/16</v>
          </cell>
          <cell r="C3448" t="str">
            <v>2016-0.056.020-9</v>
          </cell>
          <cell r="D3448" t="str">
            <v>29/02/2016</v>
          </cell>
          <cell r="E3448" t="str">
            <v>20 de abril de 2016</v>
          </cell>
          <cell r="F3448" t="str">
            <v>CASSIO DA SILVA TRANSPORTE - ME</v>
          </cell>
          <cell r="G3448" t="str">
            <v>20/04/2016</v>
          </cell>
          <cell r="H3448" t="str">
            <v>21/04/2016</v>
          </cell>
          <cell r="I3448" t="str">
            <v>96</v>
          </cell>
          <cell r="J3448" t="str">
            <v>PESSOA JURÍDICA</v>
          </cell>
          <cell r="K3448" t="str">
            <v>15.546.402/0001-63</v>
          </cell>
          <cell r="L3448" t="str">
            <v>PJ</v>
          </cell>
          <cell r="M3448" t="str">
            <v>EDNA DE OLIVEIRA</v>
          </cell>
          <cell r="N3448" t="str">
            <v>EJW2064</v>
          </cell>
          <cell r="O3448" t="str">
            <v>2009</v>
          </cell>
          <cell r="P3448" t="str">
            <v>29</v>
          </cell>
          <cell r="Q3448" t="str">
            <v>27</v>
          </cell>
        </row>
        <row r="3449">
          <cell r="B3449" t="str">
            <v>5090/16</v>
          </cell>
          <cell r="C3449" t="str">
            <v>2016-0.056.024-1</v>
          </cell>
          <cell r="D3449" t="str">
            <v>14/03/2016</v>
          </cell>
          <cell r="E3449" t="str">
            <v>12 de abril de 2016</v>
          </cell>
          <cell r="F3449" t="str">
            <v>FLEEJET TRANSPORTES LTDA - ME</v>
          </cell>
          <cell r="G3449" t="str">
            <v>12/04/2016</v>
          </cell>
          <cell r="H3449" t="str">
            <v>13/04/2016</v>
          </cell>
          <cell r="I3449" t="str">
            <v>52</v>
          </cell>
          <cell r="J3449" t="str">
            <v>PESSOA JURÍDICA</v>
          </cell>
          <cell r="K3449" t="str">
            <v>13.727.697/0001-49</v>
          </cell>
          <cell r="L3449" t="str">
            <v>SM</v>
          </cell>
          <cell r="M3449" t="str">
            <v>VALDINEY BEZERRA DA SILVA</v>
          </cell>
          <cell r="N3449" t="str">
            <v>DTC6420</v>
          </cell>
          <cell r="O3449" t="str">
            <v>2009</v>
          </cell>
          <cell r="P3449" t="str">
            <v>10</v>
          </cell>
          <cell r="Q3449" t="str">
            <v>9</v>
          </cell>
        </row>
        <row r="3450">
          <cell r="B3450" t="str">
            <v>5090/16</v>
          </cell>
          <cell r="C3450" t="str">
            <v>2016-0.056.024-1</v>
          </cell>
          <cell r="D3450" t="str">
            <v/>
          </cell>
          <cell r="E3450" t="str">
            <v>11 de abril de 2016</v>
          </cell>
          <cell r="F3450" t="str">
            <v>FLEEJET TRANSPORTES LTDA - ME</v>
          </cell>
          <cell r="G3450" t="str">
            <v>12/04/2016</v>
          </cell>
          <cell r="H3450" t="str">
            <v>13/04/2016</v>
          </cell>
          <cell r="I3450" t="str">
            <v>52</v>
          </cell>
          <cell r="J3450" t="str">
            <v>PESSOA JURÍDICA</v>
          </cell>
          <cell r="K3450" t="str">
            <v>13.727.697/0001-49</v>
          </cell>
          <cell r="L3450" t="str">
            <v>SM</v>
          </cell>
          <cell r="M3450" t="str">
            <v>EDGAR LEITE DE FREITAS</v>
          </cell>
          <cell r="N3450" t="str">
            <v>CZX6215</v>
          </cell>
          <cell r="O3450" t="str">
            <v>2002</v>
          </cell>
          <cell r="P3450" t="str">
            <v>25</v>
          </cell>
          <cell r="Q3450" t="str">
            <v>23</v>
          </cell>
        </row>
        <row r="3451">
          <cell r="B3451" t="str">
            <v>5090/16</v>
          </cell>
          <cell r="C3451" t="str">
            <v>2016-0.056.024-1</v>
          </cell>
          <cell r="D3451" t="str">
            <v/>
          </cell>
          <cell r="E3451" t="str">
            <v>12 de abril de 2016</v>
          </cell>
          <cell r="F3451" t="str">
            <v>FLEEJET TRANSPORTES LTDA - ME</v>
          </cell>
          <cell r="G3451" t="str">
            <v>12/04/2016</v>
          </cell>
          <cell r="H3451" t="str">
            <v>13/04/2016</v>
          </cell>
          <cell r="I3451" t="str">
            <v>52</v>
          </cell>
          <cell r="J3451" t="str">
            <v>PESSOA JURÍDICA</v>
          </cell>
          <cell r="K3451" t="str">
            <v>13.727.697/0001-49</v>
          </cell>
          <cell r="L3451" t="str">
            <v>SM</v>
          </cell>
          <cell r="M3451" t="str">
            <v>JOSE ERIVALDO DE FREITAS</v>
          </cell>
          <cell r="N3451" t="str">
            <v>FBF3290</v>
          </cell>
          <cell r="O3451" t="str">
            <v>2015</v>
          </cell>
          <cell r="P3451" t="str">
            <v>19</v>
          </cell>
          <cell r="Q3451" t="str">
            <v>18</v>
          </cell>
        </row>
        <row r="3452">
          <cell r="B3452" t="str">
            <v>5091/16</v>
          </cell>
          <cell r="C3452" t="str">
            <v>2016-0.056.029-2</v>
          </cell>
          <cell r="D3452" t="str">
            <v/>
          </cell>
          <cell r="E3452" t="str">
            <v/>
          </cell>
          <cell r="F3452" t="str">
            <v>CAVALCANTE TRANSPORTES ESCOLARES E FRETAMENTO LTDA - ME</v>
          </cell>
          <cell r="G3452" t="str">
            <v/>
          </cell>
          <cell r="H3452" t="str">
            <v/>
          </cell>
          <cell r="I3452" t="str">
            <v/>
          </cell>
          <cell r="J3452" t="str">
            <v>PESSOA JURÍDICA</v>
          </cell>
          <cell r="K3452" t="str">
            <v>06.334.560/0001-69</v>
          </cell>
          <cell r="L3452" t="str">
            <v>JT</v>
          </cell>
          <cell r="M3452" t="str">
            <v>APARECIDO DE ANDRADE</v>
          </cell>
          <cell r="N3452" t="str">
            <v>FIV8079</v>
          </cell>
          <cell r="O3452" t="str">
            <v>2015</v>
          </cell>
          <cell r="P3452" t="str">
            <v>10</v>
          </cell>
          <cell r="Q3452" t="str">
            <v>09</v>
          </cell>
        </row>
        <row r="3453">
          <cell r="B3453" t="str">
            <v>5091/16</v>
          </cell>
          <cell r="C3453" t="str">
            <v>2016-0.056.029-2</v>
          </cell>
          <cell r="D3453" t="str">
            <v>26/02/2016</v>
          </cell>
          <cell r="E3453" t="str">
            <v/>
          </cell>
          <cell r="F3453" t="str">
            <v>CAVALCANTE TRANSPORTES ESCOLARES E FRETAMENTO LTDA - ME</v>
          </cell>
          <cell r="G3453" t="str">
            <v/>
          </cell>
          <cell r="H3453" t="str">
            <v/>
          </cell>
          <cell r="I3453" t="str">
            <v/>
          </cell>
          <cell r="J3453" t="str">
            <v>PESSOA JURÍDICA</v>
          </cell>
          <cell r="K3453" t="str">
            <v>06.334.560/0001-69</v>
          </cell>
          <cell r="L3453" t="str">
            <v>SM</v>
          </cell>
          <cell r="M3453" t="str">
            <v>ERICA SOARES VIEIRA</v>
          </cell>
          <cell r="N3453" t="str">
            <v>EZL9737</v>
          </cell>
          <cell r="O3453" t="str">
            <v>2012</v>
          </cell>
          <cell r="P3453" t="str">
            <v>19</v>
          </cell>
          <cell r="Q3453" t="str">
            <v>18</v>
          </cell>
        </row>
        <row r="3454">
          <cell r="B3454" t="str">
            <v>5091/16</v>
          </cell>
          <cell r="C3454" t="str">
            <v>2016-0.056.029-2</v>
          </cell>
          <cell r="D3454" t="str">
            <v>24/02/2016</v>
          </cell>
          <cell r="E3454" t="str">
            <v/>
          </cell>
          <cell r="F3454" t="str">
            <v>CAVALCANTE TRANSPORTES ESCOLARES E FRETAMENTO LTDA - ME</v>
          </cell>
          <cell r="G3454" t="str">
            <v/>
          </cell>
          <cell r="H3454" t="str">
            <v/>
          </cell>
          <cell r="I3454" t="str">
            <v/>
          </cell>
          <cell r="J3454" t="str">
            <v>PESSOA JURÍDICA</v>
          </cell>
          <cell r="K3454" t="str">
            <v>06.334.560/0001-69</v>
          </cell>
          <cell r="L3454" t="str">
            <v>SM</v>
          </cell>
          <cell r="M3454" t="str">
            <v>ANDREIA CARMO LOPES</v>
          </cell>
          <cell r="N3454" t="str">
            <v>EXO0050</v>
          </cell>
          <cell r="O3454" t="str">
            <v>2011</v>
          </cell>
          <cell r="P3454" t="str">
            <v>19</v>
          </cell>
          <cell r="Q3454" t="str">
            <v>18</v>
          </cell>
        </row>
        <row r="3455">
          <cell r="B3455" t="str">
            <v>5092/16</v>
          </cell>
          <cell r="C3455" t="str">
            <v>2016-0.056.032-2</v>
          </cell>
          <cell r="D3455" t="str">
            <v/>
          </cell>
          <cell r="E3455" t="str">
            <v>18 de abril de 2016</v>
          </cell>
          <cell r="F3455" t="str">
            <v>AZUL TRANSPORTES E TURISMO LTDA - EPP</v>
          </cell>
          <cell r="G3455" t="str">
            <v>18/04/2016</v>
          </cell>
          <cell r="H3455" t="str">
            <v>21/04/2016</v>
          </cell>
          <cell r="I3455" t="str">
            <v>96</v>
          </cell>
          <cell r="J3455" t="str">
            <v>PESSOA JURÍDICA</v>
          </cell>
          <cell r="K3455" t="str">
            <v>10.764.533/0001-01</v>
          </cell>
          <cell r="L3455" t="str">
            <v>CS</v>
          </cell>
          <cell r="M3455" t="str">
            <v xml:space="preserve">LUCILIO DA SILVA </v>
          </cell>
          <cell r="N3455" t="str">
            <v>DTD8077</v>
          </cell>
          <cell r="O3455" t="str">
            <v>2009</v>
          </cell>
          <cell r="P3455" t="str">
            <v>11</v>
          </cell>
          <cell r="Q3455" t="str">
            <v>10</v>
          </cell>
        </row>
        <row r="3456">
          <cell r="B3456" t="str">
            <v>5092/16</v>
          </cell>
          <cell r="C3456" t="str">
            <v>2016-0.056.032-2</v>
          </cell>
          <cell r="D3456" t="str">
            <v/>
          </cell>
          <cell r="E3456" t="str">
            <v>18 de abril de 2016</v>
          </cell>
          <cell r="F3456" t="str">
            <v>AZUL TRANSPORTES E TURISMO LTDA - EPP</v>
          </cell>
          <cell r="G3456" t="str">
            <v>18/04/2016</v>
          </cell>
          <cell r="H3456" t="str">
            <v>21/04/2016</v>
          </cell>
          <cell r="I3456" t="str">
            <v>96</v>
          </cell>
          <cell r="J3456" t="str">
            <v>PESSOA JURÍDICA</v>
          </cell>
          <cell r="K3456" t="str">
            <v>10.764.533/0001-01</v>
          </cell>
          <cell r="L3456" t="str">
            <v>CS</v>
          </cell>
          <cell r="M3456" t="str">
            <v>SAMUEL ALVES FERREIRA</v>
          </cell>
          <cell r="N3456" t="str">
            <v>EEJ1210</v>
          </cell>
          <cell r="O3456" t="str">
            <v>2009</v>
          </cell>
          <cell r="P3456" t="str">
            <v>29</v>
          </cell>
          <cell r="Q3456" t="str">
            <v>27</v>
          </cell>
        </row>
        <row r="3457">
          <cell r="B3457" t="str">
            <v>5092/16</v>
          </cell>
          <cell r="C3457" t="str">
            <v>2016-0.056.032-2</v>
          </cell>
          <cell r="D3457" t="str">
            <v>21/03/2016</v>
          </cell>
          <cell r="E3457" t="str">
            <v>18 de abril de 2016</v>
          </cell>
          <cell r="F3457" t="str">
            <v>AZUL TRANSPORTES E TURISMO LTDA - EPP</v>
          </cell>
          <cell r="G3457" t="str">
            <v>18/04/2016</v>
          </cell>
          <cell r="H3457" t="str">
            <v>21/04/2016</v>
          </cell>
          <cell r="I3457" t="str">
            <v>96</v>
          </cell>
          <cell r="J3457" t="str">
            <v>PESSOA JURÍDICA</v>
          </cell>
          <cell r="K3457" t="str">
            <v>10.764.533/0001-01</v>
          </cell>
          <cell r="L3457" t="str">
            <v>CS</v>
          </cell>
          <cell r="M3457" t="str">
            <v>ELISANGELA PAULA COSTA ZILLIG BARBOSA</v>
          </cell>
          <cell r="N3457" t="str">
            <v>DTD4020</v>
          </cell>
          <cell r="O3457" t="str">
            <v>2007</v>
          </cell>
          <cell r="P3457" t="str">
            <v>29</v>
          </cell>
          <cell r="Q3457" t="str">
            <v>27</v>
          </cell>
        </row>
        <row r="3458">
          <cell r="B3458" t="str">
            <v>5093/16</v>
          </cell>
          <cell r="C3458" t="str">
            <v>2016-0.056.035-7</v>
          </cell>
          <cell r="D3458" t="str">
            <v/>
          </cell>
          <cell r="E3458" t="str">
            <v>14 de março de 2016</v>
          </cell>
          <cell r="F3458" t="str">
            <v>DELTA TRANSPORTE ESCOLAR LTDA - ME</v>
          </cell>
          <cell r="G3458" t="str">
            <v>14/03/2016</v>
          </cell>
          <cell r="H3458" t="str">
            <v>31/03/2016</v>
          </cell>
          <cell r="I3458" t="str">
            <v>37</v>
          </cell>
          <cell r="J3458" t="str">
            <v>PESSOA JURÍDICA</v>
          </cell>
          <cell r="K3458" t="str">
            <v>13.778.599/0001-30</v>
          </cell>
          <cell r="L3458" t="str">
            <v>MP</v>
          </cell>
          <cell r="M3458" t="str">
            <v>JOSE ROBERTO VIRGINIO DE ANDRADE</v>
          </cell>
          <cell r="N3458" t="str">
            <v>FCB3887</v>
          </cell>
          <cell r="O3458" t="str">
            <v>2013</v>
          </cell>
          <cell r="P3458" t="str">
            <v>19</v>
          </cell>
          <cell r="Q3458" t="str">
            <v>18</v>
          </cell>
        </row>
        <row r="3459">
          <cell r="B3459" t="str">
            <v>5093/16</v>
          </cell>
          <cell r="C3459" t="str">
            <v>2016-0.056.035-7</v>
          </cell>
          <cell r="D3459" t="str">
            <v/>
          </cell>
          <cell r="E3459" t="str">
            <v>21 de março de 2016</v>
          </cell>
          <cell r="F3459" t="str">
            <v>DELTA TRANSPORTE ESCOLAR LTDA - ME</v>
          </cell>
          <cell r="G3459" t="str">
            <v>14/03/2016</v>
          </cell>
          <cell r="H3459" t="str">
            <v>31/03/2016</v>
          </cell>
          <cell r="I3459" t="str">
            <v>37</v>
          </cell>
          <cell r="J3459" t="str">
            <v>PESSOA JURÍDICA</v>
          </cell>
          <cell r="K3459" t="str">
            <v>13.778.599/0001-30</v>
          </cell>
          <cell r="L3459" t="str">
            <v>MP</v>
          </cell>
          <cell r="M3459" t="str">
            <v>PAULA CRISTINA BESERRA MARQUES DE BARROS</v>
          </cell>
          <cell r="N3459" t="str">
            <v>DSI6689</v>
          </cell>
          <cell r="O3459" t="str">
            <v>2007</v>
          </cell>
          <cell r="P3459" t="str">
            <v>29</v>
          </cell>
          <cell r="Q3459" t="str">
            <v>27</v>
          </cell>
        </row>
        <row r="3460">
          <cell r="B3460" t="str">
            <v>5093/16</v>
          </cell>
          <cell r="C3460" t="str">
            <v>2016-0.056.035-7</v>
          </cell>
          <cell r="D3460" t="str">
            <v/>
          </cell>
          <cell r="E3460" t="str">
            <v>21 de março de 2016</v>
          </cell>
          <cell r="F3460" t="str">
            <v>DELTA TRANSPORTE ESCOLAR LTDA - ME</v>
          </cell>
          <cell r="G3460" t="str">
            <v>14/03/2016</v>
          </cell>
          <cell r="H3460" t="str">
            <v>31/03/2016</v>
          </cell>
          <cell r="I3460" t="str">
            <v>37</v>
          </cell>
          <cell r="J3460" t="str">
            <v>PESSOA JURÍDICA</v>
          </cell>
          <cell r="K3460" t="str">
            <v>13.778.599/0001-30</v>
          </cell>
          <cell r="L3460" t="str">
            <v>MP</v>
          </cell>
          <cell r="M3460" t="str">
            <v>RICARDO JOVINO DOS SANTOS</v>
          </cell>
          <cell r="N3460" t="str">
            <v>DTA7840</v>
          </cell>
          <cell r="O3460" t="str">
            <v>2007</v>
          </cell>
          <cell r="P3460" t="str">
            <v>29</v>
          </cell>
          <cell r="Q3460" t="str">
            <v>27</v>
          </cell>
        </row>
        <row r="3461">
          <cell r="B3461" t="str">
            <v>5094/16</v>
          </cell>
          <cell r="C3461" t="str">
            <v>2016-0.056.037-3</v>
          </cell>
          <cell r="D3461" t="str">
            <v>21/03/2016</v>
          </cell>
          <cell r="E3461" t="str">
            <v>12 de abril de 2016</v>
          </cell>
          <cell r="F3461" t="str">
            <v>PACMAN TRANSPORTE LTDA - ME</v>
          </cell>
          <cell r="G3461" t="str">
            <v>12/04/2016</v>
          </cell>
          <cell r="H3461" t="str">
            <v>13/04/2016</v>
          </cell>
          <cell r="I3461" t="str">
            <v>52</v>
          </cell>
          <cell r="J3461" t="str">
            <v>PESSOA JURÍDICA</v>
          </cell>
          <cell r="K3461" t="str">
            <v>13.259.856/0001-28</v>
          </cell>
          <cell r="L3461" t="str">
            <v>SM</v>
          </cell>
          <cell r="M3461" t="str">
            <v>CATIA LEMOS DE BARROS ANDRADE</v>
          </cell>
          <cell r="N3461" t="str">
            <v>CYB9497</v>
          </cell>
          <cell r="O3461" t="str">
            <v>2001</v>
          </cell>
          <cell r="P3461" t="str">
            <v>25</v>
          </cell>
          <cell r="Q3461" t="str">
            <v>23</v>
          </cell>
        </row>
        <row r="3462">
          <cell r="B3462" t="str">
            <v>5094/16</v>
          </cell>
          <cell r="C3462" t="str">
            <v>2016-0.056.037-3</v>
          </cell>
          <cell r="D3462" t="str">
            <v>14/03/2016</v>
          </cell>
          <cell r="E3462" t="str">
            <v>12 de abril de 2016</v>
          </cell>
          <cell r="F3462" t="str">
            <v>PACMAN TRANSPORTE LTDA - ME</v>
          </cell>
          <cell r="G3462" t="str">
            <v>12/04/2016</v>
          </cell>
          <cell r="H3462" t="str">
            <v>13/04/2016</v>
          </cell>
          <cell r="I3462" t="str">
            <v>52</v>
          </cell>
          <cell r="J3462" t="str">
            <v>PESSOA JURÍDICA</v>
          </cell>
          <cell r="K3462" t="str">
            <v>13.259.856/0001-28</v>
          </cell>
          <cell r="L3462" t="str">
            <v>SM</v>
          </cell>
          <cell r="M3462" t="str">
            <v>GLAUCIA SANTOS DA SILVA</v>
          </cell>
          <cell r="N3462" t="str">
            <v>EZL7170</v>
          </cell>
          <cell r="O3462" t="str">
            <v>2012</v>
          </cell>
          <cell r="P3462" t="str">
            <v>19</v>
          </cell>
          <cell r="Q3462" t="str">
            <v>18</v>
          </cell>
        </row>
        <row r="3463">
          <cell r="B3463" t="str">
            <v>5094/16</v>
          </cell>
          <cell r="C3463" t="str">
            <v>2016-0.056.037-3</v>
          </cell>
          <cell r="D3463" t="str">
            <v>21/03/2016</v>
          </cell>
          <cell r="E3463" t="str">
            <v>13 de abril de 2016</v>
          </cell>
          <cell r="F3463" t="str">
            <v>PACMAN TRANSPORTE LTDA - ME</v>
          </cell>
          <cell r="G3463" t="str">
            <v>12/04/2016</v>
          </cell>
          <cell r="H3463" t="str">
            <v>13/04/2016</v>
          </cell>
          <cell r="I3463" t="str">
            <v>52</v>
          </cell>
          <cell r="J3463" t="str">
            <v>PESSOA JURÍDICA</v>
          </cell>
          <cell r="K3463" t="str">
            <v>13.259.856/0001-28</v>
          </cell>
          <cell r="L3463" t="str">
            <v>SM</v>
          </cell>
          <cell r="M3463" t="str">
            <v>JENIFFER CARDOSO RODOVALHO</v>
          </cell>
          <cell r="N3463" t="str">
            <v>DTA6103</v>
          </cell>
          <cell r="O3463" t="str">
            <v>2007</v>
          </cell>
          <cell r="P3463" t="str">
            <v>29</v>
          </cell>
          <cell r="Q3463" t="str">
            <v>27</v>
          </cell>
        </row>
        <row r="3464">
          <cell r="B3464" t="str">
            <v>5094/16</v>
          </cell>
          <cell r="C3464" t="str">
            <v>2016-0.056.037-3</v>
          </cell>
          <cell r="D3464" t="str">
            <v>21/03/2016</v>
          </cell>
          <cell r="E3464" t="str">
            <v>13 de abril de 2016</v>
          </cell>
          <cell r="F3464" t="str">
            <v>PACMAN TRANSPORTE LTDA - ME</v>
          </cell>
          <cell r="G3464" t="str">
            <v>12/04/2016</v>
          </cell>
          <cell r="H3464" t="str">
            <v>13/04/2016</v>
          </cell>
          <cell r="I3464" t="str">
            <v>52</v>
          </cell>
          <cell r="J3464" t="str">
            <v>PESSOA JURÍDICA</v>
          </cell>
          <cell r="K3464" t="str">
            <v>13.259.856/0001-28</v>
          </cell>
          <cell r="L3464" t="str">
            <v>SM</v>
          </cell>
          <cell r="M3464" t="str">
            <v>ALEX SANDRO ANDRADE SILVA</v>
          </cell>
          <cell r="N3464" t="str">
            <v>DTE1105</v>
          </cell>
          <cell r="O3464" t="str">
            <v>2010</v>
          </cell>
          <cell r="P3464" t="str">
            <v>27</v>
          </cell>
          <cell r="Q3464" t="str">
            <v>26</v>
          </cell>
        </row>
        <row r="3465">
          <cell r="B3465" t="str">
            <v>5095/16</v>
          </cell>
          <cell r="C3465" t="str">
            <v>2016-0.058.841-3</v>
          </cell>
          <cell r="D3465" t="str">
            <v/>
          </cell>
          <cell r="E3465" t="str">
            <v>07 de março de 2016</v>
          </cell>
          <cell r="F3465" t="str">
            <v>DN TRANSPORTES E LOCADORA DE VEICULOS LTDA - ME</v>
          </cell>
          <cell r="G3465" t="str">
            <v>07/03/2016</v>
          </cell>
          <cell r="H3465" t="str">
            <v>18/03/2016</v>
          </cell>
          <cell r="I3465" t="str">
            <v>26</v>
          </cell>
          <cell r="J3465" t="str">
            <v>PESSOA JURÍDICA</v>
          </cell>
          <cell r="K3465" t="str">
            <v>17.541.646/0001-89</v>
          </cell>
          <cell r="L3465" t="str">
            <v>SA</v>
          </cell>
          <cell r="M3465" t="str">
            <v>DOUGLAS SOUZA VILELA</v>
          </cell>
          <cell r="N3465" t="str">
            <v>FTG5029</v>
          </cell>
          <cell r="O3465" t="str">
            <v>2014</v>
          </cell>
          <cell r="P3465" t="str">
            <v>19</v>
          </cell>
          <cell r="Q3465" t="str">
            <v>18</v>
          </cell>
        </row>
        <row r="3466">
          <cell r="B3466" t="str">
            <v>5095/16</v>
          </cell>
          <cell r="C3466" t="str">
            <v>2016-0.058.841-3</v>
          </cell>
          <cell r="D3466" t="str">
            <v/>
          </cell>
          <cell r="E3466" t="str">
            <v>07 de março de 2016</v>
          </cell>
          <cell r="F3466" t="str">
            <v>DN TRANSPORTES E LOCADORA DE VEICULOS LTDA - ME</v>
          </cell>
          <cell r="G3466" t="str">
            <v>07/03/2016</v>
          </cell>
          <cell r="H3466" t="str">
            <v>18/03/2016</v>
          </cell>
          <cell r="I3466" t="str">
            <v>26</v>
          </cell>
          <cell r="J3466" t="str">
            <v>PESSOA JURÍDICA</v>
          </cell>
          <cell r="K3466" t="str">
            <v>17.541.646/0001-89</v>
          </cell>
          <cell r="L3466" t="str">
            <v>CS</v>
          </cell>
          <cell r="M3466" t="str">
            <v>NEILON DO CARMO REIS</v>
          </cell>
          <cell r="N3466" t="str">
            <v>EJW0307</v>
          </cell>
          <cell r="O3466" t="str">
            <v>2010</v>
          </cell>
          <cell r="P3466" t="str">
            <v>19</v>
          </cell>
          <cell r="Q3466" t="str">
            <v>18</v>
          </cell>
        </row>
        <row r="3467">
          <cell r="B3467" t="str">
            <v>5095/16</v>
          </cell>
          <cell r="C3467" t="str">
            <v>2016-0.058.841-3</v>
          </cell>
          <cell r="D3467" t="str">
            <v/>
          </cell>
          <cell r="E3467" t="str">
            <v>07 de março de 2016</v>
          </cell>
          <cell r="F3467" t="str">
            <v>DN TRANSPORTES E LOCADORA DE VEICULOS LTDA - ME</v>
          </cell>
          <cell r="G3467" t="str">
            <v>07/03/2016</v>
          </cell>
          <cell r="H3467" t="str">
            <v>18/03/2016</v>
          </cell>
          <cell r="I3467" t="str">
            <v>26</v>
          </cell>
          <cell r="J3467" t="str">
            <v>PESSOA JURÍDICA</v>
          </cell>
          <cell r="K3467" t="str">
            <v>17.541.646/0001-89</v>
          </cell>
          <cell r="L3467" t="str">
            <v>SA</v>
          </cell>
          <cell r="M3467" t="str">
            <v>DENISE SANTOS BRAITT</v>
          </cell>
          <cell r="N3467" t="str">
            <v>FJO6559</v>
          </cell>
          <cell r="O3467" t="str">
            <v>2013</v>
          </cell>
          <cell r="P3467" t="str">
            <v>19</v>
          </cell>
          <cell r="Q3467" t="str">
            <v>18</v>
          </cell>
        </row>
        <row r="3468">
          <cell r="B3468" t="str">
            <v>5096/16</v>
          </cell>
          <cell r="C3468" t="str">
            <v>2016-0.058.845-6</v>
          </cell>
          <cell r="D3468" t="str">
            <v/>
          </cell>
          <cell r="E3468" t="str">
            <v>17 de março de 2016</v>
          </cell>
          <cell r="F3468" t="str">
            <v>ELOCAR TRANSPORTES LTDA - ME</v>
          </cell>
          <cell r="G3468" t="str">
            <v>17/03/2016</v>
          </cell>
          <cell r="H3468" t="str">
            <v>18/03/2016</v>
          </cell>
          <cell r="I3468" t="str">
            <v>26</v>
          </cell>
          <cell r="J3468" t="str">
            <v>PESSOA JURÍDICA</v>
          </cell>
          <cell r="K3468" t="str">
            <v>17.570.794/0001-21</v>
          </cell>
          <cell r="L3468" t="str">
            <v>SM</v>
          </cell>
          <cell r="M3468" t="str">
            <v>CRISTIANE SANTIAGO DA SILVA</v>
          </cell>
          <cell r="N3468" t="str">
            <v>ECT4980</v>
          </cell>
          <cell r="O3468" t="str">
            <v>2008</v>
          </cell>
          <cell r="P3468" t="str">
            <v>29</v>
          </cell>
          <cell r="Q3468" t="str">
            <v>28</v>
          </cell>
        </row>
        <row r="3469">
          <cell r="B3469" t="str">
            <v>5097/16</v>
          </cell>
          <cell r="C3469" t="str">
            <v>2016-0.058.851-0</v>
          </cell>
          <cell r="D3469" t="str">
            <v/>
          </cell>
          <cell r="E3469" t="str">
            <v>18 de março de 2016</v>
          </cell>
          <cell r="F3469" t="str">
            <v>GR TRANSPORTE ESCOLAR LTDA - ME</v>
          </cell>
          <cell r="G3469" t="str">
            <v>18/03/2016</v>
          </cell>
          <cell r="H3469" t="str">
            <v>19/03/2016</v>
          </cell>
          <cell r="I3469" t="str">
            <v>35</v>
          </cell>
          <cell r="J3469" t="str">
            <v>PESSOA JURÍDICA</v>
          </cell>
          <cell r="K3469" t="str">
            <v>14.447.145/0001-40</v>
          </cell>
          <cell r="L3469" t="str">
            <v>IQ</v>
          </cell>
          <cell r="M3469" t="str">
            <v>ROSILENE PAES GUEDES QUEIROZ</v>
          </cell>
          <cell r="N3469" t="str">
            <v>DTB2600</v>
          </cell>
          <cell r="O3469" t="str">
            <v>2006</v>
          </cell>
          <cell r="P3469" t="str">
            <v>25</v>
          </cell>
          <cell r="Q3469" t="str">
            <v>23</v>
          </cell>
        </row>
        <row r="3470">
          <cell r="B3470" t="str">
            <v>5097/16</v>
          </cell>
          <cell r="C3470" t="str">
            <v>2016-0.058.851-0</v>
          </cell>
          <cell r="D3470" t="str">
            <v/>
          </cell>
          <cell r="E3470" t="str">
            <v>18 de março de 2016</v>
          </cell>
          <cell r="F3470" t="str">
            <v>GR TRANSPORTE ESCOLAR LTDA - ME</v>
          </cell>
          <cell r="G3470" t="str">
            <v>18/03/2016</v>
          </cell>
          <cell r="H3470" t="str">
            <v>19/03/2016</v>
          </cell>
          <cell r="I3470" t="str">
            <v>35</v>
          </cell>
          <cell r="J3470" t="str">
            <v>PESSOA JURÍDICA</v>
          </cell>
          <cell r="K3470" t="str">
            <v>14.447.145/0001-40</v>
          </cell>
          <cell r="L3470" t="str">
            <v>IQ</v>
          </cell>
          <cell r="M3470" t="str">
            <v>GISELE BORGES DE QUEIROZ</v>
          </cell>
          <cell r="N3470" t="str">
            <v>DTB7967</v>
          </cell>
          <cell r="O3470" t="str">
            <v>2006</v>
          </cell>
          <cell r="P3470" t="str">
            <v>25</v>
          </cell>
          <cell r="Q3470" t="str">
            <v>23</v>
          </cell>
        </row>
        <row r="3471">
          <cell r="B3471" t="str">
            <v>5098/16</v>
          </cell>
          <cell r="C3471" t="str">
            <v>2016-0.058.854-5</v>
          </cell>
          <cell r="D3471" t="str">
            <v/>
          </cell>
          <cell r="E3471" t="str">
            <v>16 de março de 2016</v>
          </cell>
          <cell r="F3471" t="str">
            <v>TRANSOLIVEIRA TRANSPORTE ESCOLAR LTDA - ME</v>
          </cell>
          <cell r="G3471" t="str">
            <v>16/03/2016</v>
          </cell>
          <cell r="H3471" t="str">
            <v>18/03/2016</v>
          </cell>
          <cell r="I3471" t="str">
            <v>26</v>
          </cell>
          <cell r="J3471" t="str">
            <v>PESSOA JURÍDICA</v>
          </cell>
          <cell r="K3471" t="str">
            <v>05.651.368/0001-33</v>
          </cell>
          <cell r="L3471" t="str">
            <v>SM</v>
          </cell>
          <cell r="M3471" t="str">
            <v>MARIA JOSE DOS SANTOS FERREIRA</v>
          </cell>
          <cell r="N3471" t="str">
            <v>DTC1795</v>
          </cell>
          <cell r="O3471" t="str">
            <v>2007</v>
          </cell>
          <cell r="P3471" t="str">
            <v>30</v>
          </cell>
          <cell r="Q3471" t="str">
            <v>28</v>
          </cell>
        </row>
        <row r="3472">
          <cell r="B3472" t="str">
            <v>5098/16</v>
          </cell>
          <cell r="C3472" t="str">
            <v>2016-0.058.854-5</v>
          </cell>
          <cell r="D3472" t="str">
            <v/>
          </cell>
          <cell r="E3472" t="str">
            <v>16 de março de 2016</v>
          </cell>
          <cell r="F3472" t="str">
            <v>TRANSOLIVEIRA TRANSPORTE ESCOLAR LTDA - ME</v>
          </cell>
          <cell r="G3472" t="str">
            <v>16/03/2016</v>
          </cell>
          <cell r="H3472" t="str">
            <v>18/03/2016</v>
          </cell>
          <cell r="I3472" t="str">
            <v>26</v>
          </cell>
          <cell r="J3472" t="str">
            <v>PESSOA JURÍDICA</v>
          </cell>
          <cell r="K3472" t="str">
            <v>05.651.368/0001-33</v>
          </cell>
          <cell r="L3472" t="str">
            <v>IQ</v>
          </cell>
          <cell r="M3472" t="str">
            <v>FLAVIO SAKAMOTO</v>
          </cell>
          <cell r="N3472" t="str">
            <v>EMU8169</v>
          </cell>
          <cell r="O3472" t="str">
            <v>2011</v>
          </cell>
          <cell r="P3472" t="str">
            <v>29</v>
          </cell>
          <cell r="Q3472" t="str">
            <v>28</v>
          </cell>
        </row>
        <row r="3473">
          <cell r="B3473" t="str">
            <v>5099/16</v>
          </cell>
          <cell r="C3473" t="str">
            <v>2016-0.058.861-8</v>
          </cell>
          <cell r="D3473" t="str">
            <v/>
          </cell>
          <cell r="E3473" t="str">
            <v/>
          </cell>
          <cell r="F3473" t="str">
            <v>TRANSPORTES TIOS RO LTDA - ME</v>
          </cell>
          <cell r="G3473" t="str">
            <v>16/03/2016</v>
          </cell>
          <cell r="H3473" t="str">
            <v>18/03/2016</v>
          </cell>
          <cell r="I3473" t="str">
            <v>26</v>
          </cell>
          <cell r="J3473" t="str">
            <v>PESSOA JURÍDICA</v>
          </cell>
          <cell r="K3473" t="str">
            <v>07.090.812/0001-14</v>
          </cell>
          <cell r="L3473" t="str">
            <v/>
          </cell>
          <cell r="M3473" t="str">
            <v/>
          </cell>
          <cell r="N3473" t="str">
            <v/>
          </cell>
          <cell r="O3473" t="str">
            <v/>
          </cell>
          <cell r="P3473" t="str">
            <v/>
          </cell>
          <cell r="Q3473" t="str">
            <v/>
          </cell>
        </row>
        <row r="3474">
          <cell r="B3474" t="str">
            <v>5099/16</v>
          </cell>
          <cell r="C3474" t="str">
            <v>2016-0.058.861-8</v>
          </cell>
          <cell r="D3474" t="str">
            <v>01/03/2016</v>
          </cell>
          <cell r="E3474" t="str">
            <v>16 de março de 2016</v>
          </cell>
          <cell r="F3474" t="str">
            <v>TRANSPORTES TIOS RO LTDA - ME</v>
          </cell>
          <cell r="G3474" t="str">
            <v>16/03/2016</v>
          </cell>
          <cell r="H3474" t="str">
            <v>18/03/2016</v>
          </cell>
          <cell r="I3474" t="str">
            <v>26</v>
          </cell>
          <cell r="J3474" t="str">
            <v>PESSOA JURÍDICA</v>
          </cell>
          <cell r="K3474" t="str">
            <v>07.090.812/0001-14</v>
          </cell>
          <cell r="L3474" t="str">
            <v>IQ</v>
          </cell>
          <cell r="M3474" t="str">
            <v>ROSANGELA DE CASTRO ALVES MARISCAL</v>
          </cell>
          <cell r="N3474" t="str">
            <v>DTB0859</v>
          </cell>
          <cell r="O3474" t="str">
            <v>2006</v>
          </cell>
          <cell r="P3474" t="str">
            <v>29</v>
          </cell>
          <cell r="Q3474" t="str">
            <v>27</v>
          </cell>
        </row>
        <row r="3475">
          <cell r="B3475" t="str">
            <v>5100/16</v>
          </cell>
          <cell r="C3475" t="str">
            <v>2016-0.058.863-4</v>
          </cell>
          <cell r="D3475" t="str">
            <v/>
          </cell>
          <cell r="E3475" t="str">
            <v>03 de março de 2016</v>
          </cell>
          <cell r="F3475" t="str">
            <v>VINI TRANSPORTES LTDA - ME</v>
          </cell>
          <cell r="G3475" t="str">
            <v>03/03/2016</v>
          </cell>
          <cell r="H3475" t="str">
            <v>18/03/2016</v>
          </cell>
          <cell r="I3475" t="str">
            <v>26</v>
          </cell>
          <cell r="J3475" t="str">
            <v>PESSOA JURÍDICA</v>
          </cell>
          <cell r="K3475" t="str">
            <v>13.981.012/0001-96</v>
          </cell>
          <cell r="L3475" t="str">
            <v>IQ</v>
          </cell>
          <cell r="M3475" t="str">
            <v>VERONICA SOARES DE SOUZA</v>
          </cell>
          <cell r="N3475" t="str">
            <v>FLA5957</v>
          </cell>
          <cell r="O3475" t="str">
            <v>2014</v>
          </cell>
          <cell r="P3475" t="str">
            <v>19</v>
          </cell>
          <cell r="Q3475" t="str">
            <v>18</v>
          </cell>
        </row>
        <row r="3476">
          <cell r="B3476" t="str">
            <v>5101/16</v>
          </cell>
          <cell r="C3476" t="str">
            <v>2016-0.058.866-9</v>
          </cell>
          <cell r="D3476" t="str">
            <v/>
          </cell>
          <cell r="E3476" t="str">
            <v>14 de março de 2016</v>
          </cell>
          <cell r="F3476" t="str">
            <v>WELL TRANSPORTES LTDA - ME</v>
          </cell>
          <cell r="G3476" t="str">
            <v>14/03/2016</v>
          </cell>
          <cell r="H3476" t="str">
            <v>18/03/2016</v>
          </cell>
          <cell r="I3476" t="str">
            <v>26</v>
          </cell>
          <cell r="J3476" t="str">
            <v>PESSOA JURÍDICA</v>
          </cell>
          <cell r="K3476" t="str">
            <v>18.030.492/0001-23</v>
          </cell>
          <cell r="L3476" t="str">
            <v>IQ</v>
          </cell>
          <cell r="M3476" t="str">
            <v>LAELSON BARROS DA SILVA</v>
          </cell>
          <cell r="N3476" t="str">
            <v>DTC1025</v>
          </cell>
          <cell r="O3476" t="str">
            <v>2007</v>
          </cell>
          <cell r="P3476" t="str">
            <v>29</v>
          </cell>
          <cell r="Q3476" t="str">
            <v>27</v>
          </cell>
        </row>
        <row r="3477">
          <cell r="B3477" t="str">
            <v>5102/16</v>
          </cell>
          <cell r="C3477" t="str">
            <v>2016-0.058.869-3</v>
          </cell>
          <cell r="D3477" t="str">
            <v/>
          </cell>
          <cell r="E3477" t="str">
            <v/>
          </cell>
          <cell r="F3477" t="str">
            <v>WILSON MINHARRO FILHO TRANSPORTES - ME</v>
          </cell>
          <cell r="G3477" t="str">
            <v/>
          </cell>
          <cell r="H3477" t="str">
            <v/>
          </cell>
          <cell r="I3477" t="str">
            <v/>
          </cell>
          <cell r="J3477" t="str">
            <v>PESSOA JURÍDICA</v>
          </cell>
          <cell r="K3477" t="str">
            <v>03.096.810/0001-81</v>
          </cell>
          <cell r="L3477" t="str">
            <v>IQ</v>
          </cell>
          <cell r="M3477" t="str">
            <v>ADILTON MOREIRA</v>
          </cell>
          <cell r="N3477" t="str">
            <v>DTC0315</v>
          </cell>
          <cell r="O3477" t="str">
            <v>2007</v>
          </cell>
          <cell r="P3477" t="str">
            <v>29</v>
          </cell>
          <cell r="Q3477" t="str">
            <v>27</v>
          </cell>
        </row>
        <row r="3478">
          <cell r="B3478" t="str">
            <v>5102/16</v>
          </cell>
          <cell r="C3478" t="str">
            <v>2016-0.058.869-3</v>
          </cell>
          <cell r="D3478" t="str">
            <v/>
          </cell>
          <cell r="E3478" t="str">
            <v/>
          </cell>
          <cell r="F3478" t="str">
            <v>WILSON MINHARRO FILHO TRANSPORTES - ME</v>
          </cell>
          <cell r="G3478" t="str">
            <v/>
          </cell>
          <cell r="H3478" t="str">
            <v/>
          </cell>
          <cell r="I3478" t="str">
            <v/>
          </cell>
          <cell r="J3478" t="str">
            <v>PESSOA JURÍDICA</v>
          </cell>
          <cell r="K3478" t="str">
            <v>03.096.810/0001-81</v>
          </cell>
          <cell r="L3478" t="str">
            <v>IQ</v>
          </cell>
          <cell r="M3478" t="str">
            <v>ISMAEL FERREIRA DA SILVA</v>
          </cell>
          <cell r="N3478" t="str">
            <v>DJC7320</v>
          </cell>
          <cell r="O3478" t="str">
            <v>2004</v>
          </cell>
          <cell r="P3478" t="str">
            <v>25</v>
          </cell>
          <cell r="Q3478" t="str">
            <v>23</v>
          </cell>
        </row>
        <row r="3479">
          <cell r="B3479" t="str">
            <v>5102/16</v>
          </cell>
          <cell r="C3479" t="str">
            <v>2016-0.058.869-3</v>
          </cell>
          <cell r="D3479" t="str">
            <v/>
          </cell>
          <cell r="E3479" t="str">
            <v/>
          </cell>
          <cell r="F3479" t="str">
            <v>WILSON MINHARRO FILHO TRANSPORTES - ME</v>
          </cell>
          <cell r="G3479" t="str">
            <v/>
          </cell>
          <cell r="H3479" t="str">
            <v/>
          </cell>
          <cell r="I3479" t="str">
            <v/>
          </cell>
          <cell r="J3479" t="str">
            <v>PESSOA JURÍDICA</v>
          </cell>
          <cell r="K3479" t="str">
            <v>03.096.810/0001-81</v>
          </cell>
          <cell r="L3479" t="str">
            <v>IQ</v>
          </cell>
          <cell r="M3479" t="str">
            <v>GILMAR ROBERTO TONINHO</v>
          </cell>
          <cell r="N3479" t="str">
            <v>EBF4680</v>
          </cell>
          <cell r="O3479" t="str">
            <v>2007</v>
          </cell>
          <cell r="P3479" t="str">
            <v>29</v>
          </cell>
          <cell r="Q3479" t="str">
            <v>27</v>
          </cell>
        </row>
        <row r="3480">
          <cell r="B3480" t="str">
            <v>5103/16</v>
          </cell>
          <cell r="C3480" t="str">
            <v>2016-0.060.030-8</v>
          </cell>
          <cell r="D3480" t="str">
            <v>08/03/2016</v>
          </cell>
          <cell r="E3480" t="str">
            <v>21 de março de 2016</v>
          </cell>
          <cell r="F3480" t="str">
            <v>HOREBE TRANSPORTE E TURISMO LTDA - ME</v>
          </cell>
          <cell r="G3480" t="str">
            <v>21/03/2016</v>
          </cell>
          <cell r="H3480" t="str">
            <v>23/03/2016</v>
          </cell>
          <cell r="I3480" t="str">
            <v>60</v>
          </cell>
          <cell r="J3480" t="str">
            <v>PESSOA JURÍDICA</v>
          </cell>
          <cell r="K3480" t="str">
            <v>10.798.060/0001-55</v>
          </cell>
          <cell r="L3480" t="str">
            <v>BT</v>
          </cell>
          <cell r="M3480" t="str">
            <v>MADALENA BENFICA PEREIRA AGUIAR</v>
          </cell>
          <cell r="N3480" t="str">
            <v>ASJ5328</v>
          </cell>
          <cell r="O3480" t="str">
            <v>2008</v>
          </cell>
          <cell r="P3480" t="str">
            <v>18</v>
          </cell>
          <cell r="Q3480" t="str">
            <v>17</v>
          </cell>
        </row>
        <row r="3481">
          <cell r="B3481" t="str">
            <v>5103/16</v>
          </cell>
          <cell r="C3481" t="str">
            <v>2016-0.060.030-8</v>
          </cell>
          <cell r="D3481" t="str">
            <v/>
          </cell>
          <cell r="E3481" t="str">
            <v>21 de março de 2016</v>
          </cell>
          <cell r="F3481" t="str">
            <v>HOREBE TRANSPORTE E TURISMO LTDA - ME</v>
          </cell>
          <cell r="G3481" t="str">
            <v>21/03/2016</v>
          </cell>
          <cell r="H3481" t="str">
            <v>23/03/2016</v>
          </cell>
          <cell r="I3481" t="str">
            <v>60</v>
          </cell>
          <cell r="J3481" t="str">
            <v>PESSOA JURÍDICA</v>
          </cell>
          <cell r="K3481" t="str">
            <v>10.798.060/0001-55</v>
          </cell>
          <cell r="L3481" t="str">
            <v>BT</v>
          </cell>
          <cell r="M3481" t="str">
            <v>CLAUDEMIR DE OLIVEIRA</v>
          </cell>
          <cell r="N3481" t="str">
            <v>FJP6459</v>
          </cell>
          <cell r="O3481" t="str">
            <v>2013</v>
          </cell>
          <cell r="P3481" t="str">
            <v>19</v>
          </cell>
          <cell r="Q3481" t="str">
            <v>18</v>
          </cell>
        </row>
        <row r="3482">
          <cell r="B3482" t="str">
            <v>5104/16</v>
          </cell>
          <cell r="C3482" t="str">
            <v>2016-0.060.033-2</v>
          </cell>
          <cell r="D3482" t="str">
            <v>25/02/2016</v>
          </cell>
          <cell r="E3482" t="str">
            <v/>
          </cell>
          <cell r="F3482" t="str">
            <v>J.E.A. SIMOES TRANSPORTES - EPP</v>
          </cell>
          <cell r="G3482" t="str">
            <v/>
          </cell>
          <cell r="H3482" t="str">
            <v/>
          </cell>
          <cell r="I3482" t="str">
            <v/>
          </cell>
          <cell r="J3482" t="str">
            <v>PESSOA JURÍDICA</v>
          </cell>
          <cell r="K3482" t="str">
            <v>16.657.451/0001-36</v>
          </cell>
          <cell r="L3482" t="str">
            <v>PJ</v>
          </cell>
          <cell r="M3482" t="str">
            <v>JOSE EDVALDO ARRUDA SIMOES</v>
          </cell>
          <cell r="N3482" t="str">
            <v>EJC2700</v>
          </cell>
          <cell r="O3482" t="str">
            <v>2009</v>
          </cell>
          <cell r="P3482" t="str">
            <v>29</v>
          </cell>
          <cell r="Q3482" t="str">
            <v>27</v>
          </cell>
        </row>
        <row r="3483">
          <cell r="B3483" t="str">
            <v>5104/16</v>
          </cell>
          <cell r="C3483" t="str">
            <v>2016-0.060.033-2</v>
          </cell>
          <cell r="D3483" t="str">
            <v>19/02/2016</v>
          </cell>
          <cell r="E3483" t="str">
            <v/>
          </cell>
          <cell r="F3483" t="str">
            <v>J.E.A. SIMOES TRANSPORTES - EPP</v>
          </cell>
          <cell r="G3483" t="str">
            <v/>
          </cell>
          <cell r="H3483" t="str">
            <v/>
          </cell>
          <cell r="I3483" t="str">
            <v/>
          </cell>
          <cell r="J3483" t="str">
            <v>PESSOA JURÍDICA</v>
          </cell>
          <cell r="K3483" t="str">
            <v>16.657.451/0001-36</v>
          </cell>
          <cell r="L3483" t="str">
            <v>PJ</v>
          </cell>
          <cell r="M3483" t="str">
            <v>EDGAR RODRIGUES SIMOES</v>
          </cell>
          <cell r="N3483" t="str">
            <v>CNI4118</v>
          </cell>
          <cell r="O3483" t="str">
            <v>2007</v>
          </cell>
          <cell r="P3483" t="str">
            <v>19</v>
          </cell>
          <cell r="Q3483" t="str">
            <v>17</v>
          </cell>
        </row>
        <row r="3484">
          <cell r="B3484" t="str">
            <v>5105/16</v>
          </cell>
          <cell r="C3484" t="str">
            <v>2016-0.060.041-3</v>
          </cell>
          <cell r="D3484" t="str">
            <v/>
          </cell>
          <cell r="E3484" t="str">
            <v>08 de março de 2016</v>
          </cell>
          <cell r="F3484" t="str">
            <v>YAMANAKA TRANSPORTES LTDA - ME</v>
          </cell>
          <cell r="G3484" t="str">
            <v>08/03/2016</v>
          </cell>
          <cell r="H3484" t="str">
            <v>22/03/2016</v>
          </cell>
          <cell r="I3484" t="str">
            <v>31</v>
          </cell>
          <cell r="J3484" t="str">
            <v>PESSOA JURÍDICA</v>
          </cell>
          <cell r="K3484" t="str">
            <v>16.731.558/0001-87</v>
          </cell>
          <cell r="L3484" t="str">
            <v>FO</v>
          </cell>
          <cell r="M3484" t="str">
            <v>RODRIGO DIOGENES SIMAO</v>
          </cell>
          <cell r="N3484" t="str">
            <v>FHL5155</v>
          </cell>
          <cell r="O3484" t="str">
            <v>2012</v>
          </cell>
          <cell r="P3484" t="str">
            <v>10</v>
          </cell>
          <cell r="Q3484" t="str">
            <v>09</v>
          </cell>
        </row>
        <row r="3485">
          <cell r="B3485" t="str">
            <v>5105/16</v>
          </cell>
          <cell r="C3485" t="str">
            <v>2016-0.060.041-3</v>
          </cell>
          <cell r="D3485" t="str">
            <v/>
          </cell>
          <cell r="E3485" t="str">
            <v/>
          </cell>
          <cell r="F3485" t="str">
            <v>YAMANAKA TRANSPORTES LTDA - ME</v>
          </cell>
          <cell r="G3485" t="str">
            <v>08/03/2016</v>
          </cell>
          <cell r="H3485" t="str">
            <v>22/03/2016</v>
          </cell>
          <cell r="I3485" t="str">
            <v>31</v>
          </cell>
          <cell r="J3485" t="str">
            <v>PESSOA JURÍDICA</v>
          </cell>
          <cell r="K3485" t="str">
            <v>16.731.558/0001-87</v>
          </cell>
          <cell r="L3485" t="str">
            <v>JT</v>
          </cell>
          <cell r="M3485" t="str">
            <v>ANTONIO RODRIGUES DA SILVA NETO</v>
          </cell>
          <cell r="N3485" t="str">
            <v>ELQ1109</v>
          </cell>
          <cell r="O3485" t="str">
            <v>2010</v>
          </cell>
          <cell r="P3485" t="str">
            <v>10</v>
          </cell>
          <cell r="Q3485" t="str">
            <v>09</v>
          </cell>
        </row>
        <row r="3486">
          <cell r="B3486" t="str">
            <v>5105/16</v>
          </cell>
          <cell r="C3486" t="str">
            <v>2016-0.060.041-3</v>
          </cell>
          <cell r="D3486" t="str">
            <v/>
          </cell>
          <cell r="E3486" t="str">
            <v>08 de março de 2016</v>
          </cell>
          <cell r="F3486" t="str">
            <v>YAMANAKA TRANSPORTES LTDA - ME</v>
          </cell>
          <cell r="G3486" t="str">
            <v>08/03/2016</v>
          </cell>
          <cell r="H3486" t="str">
            <v>22/03/2016</v>
          </cell>
          <cell r="I3486" t="str">
            <v>31</v>
          </cell>
          <cell r="J3486" t="str">
            <v>PESSOA JURÍDICA</v>
          </cell>
          <cell r="K3486" t="str">
            <v>16.731.558/0001-87</v>
          </cell>
          <cell r="L3486" t="str">
            <v>FO</v>
          </cell>
          <cell r="M3486" t="str">
            <v>CLAUDIA SAYURI YAMAYA</v>
          </cell>
          <cell r="N3486" t="str">
            <v>EFV9402</v>
          </cell>
          <cell r="O3486" t="str">
            <v>2011</v>
          </cell>
          <cell r="P3486" t="str">
            <v>10</v>
          </cell>
          <cell r="Q3486" t="str">
            <v>09</v>
          </cell>
        </row>
        <row r="3487">
          <cell r="B3487" t="str">
            <v>5106/16</v>
          </cell>
          <cell r="C3487" t="str">
            <v>2016-0.060.046-4</v>
          </cell>
          <cell r="D3487" t="str">
            <v/>
          </cell>
          <cell r="E3487" t="str">
            <v>14 de março de 2016</v>
          </cell>
          <cell r="F3487" t="str">
            <v>MARIA DA PENHA CARVALHO LLONA TRANSPORTES - ME</v>
          </cell>
          <cell r="G3487" t="str">
            <v>14/03/2016</v>
          </cell>
          <cell r="H3487" t="str">
            <v>19/03/2016</v>
          </cell>
          <cell r="I3487" t="str">
            <v>35</v>
          </cell>
          <cell r="J3487" t="str">
            <v>PESSOA JURÍDICA</v>
          </cell>
          <cell r="K3487" t="str">
            <v>17.368.631/0001-60</v>
          </cell>
          <cell r="L3487" t="str">
            <v>SM</v>
          </cell>
          <cell r="M3487" t="str">
            <v>MARIA DA PENHA CARVALHO LLONA</v>
          </cell>
          <cell r="N3487" t="str">
            <v>DTD2968</v>
          </cell>
          <cell r="O3487" t="str">
            <v>2007</v>
          </cell>
          <cell r="P3487" t="str">
            <v>29</v>
          </cell>
          <cell r="Q3487" t="str">
            <v>28</v>
          </cell>
        </row>
        <row r="3488">
          <cell r="B3488" t="str">
            <v>5107/16</v>
          </cell>
          <cell r="C3488" t="str">
            <v>2016-0.060.109-6</v>
          </cell>
          <cell r="D3488" t="str">
            <v/>
          </cell>
          <cell r="E3488" t="str">
            <v/>
          </cell>
          <cell r="F3488" t="str">
            <v>WLFM TRANSPORTE ESCOLAR LTDA - ME</v>
          </cell>
          <cell r="G3488" t="str">
            <v>28/03/2016</v>
          </cell>
          <cell r="H3488" t="str">
            <v>31/03/2016</v>
          </cell>
          <cell r="I3488" t="str">
            <v>38</v>
          </cell>
          <cell r="J3488" t="str">
            <v>PESSOA JURÍDICA</v>
          </cell>
          <cell r="K3488" t="str">
            <v>16.612.829/0001-85</v>
          </cell>
          <cell r="L3488" t="str">
            <v/>
          </cell>
          <cell r="M3488" t="str">
            <v/>
          </cell>
          <cell r="N3488" t="str">
            <v/>
          </cell>
          <cell r="O3488" t="str">
            <v/>
          </cell>
          <cell r="P3488" t="str">
            <v/>
          </cell>
          <cell r="Q3488" t="str">
            <v/>
          </cell>
        </row>
        <row r="3489">
          <cell r="B3489" t="str">
            <v>5107/16</v>
          </cell>
          <cell r="C3489" t="str">
            <v>2016-0.060.109-6</v>
          </cell>
          <cell r="D3489" t="str">
            <v/>
          </cell>
          <cell r="E3489" t="str">
            <v>28 de março de 2016</v>
          </cell>
          <cell r="F3489" t="str">
            <v>WLFM TRANSPORTE ESCOLAR LTDA - ME</v>
          </cell>
          <cell r="G3489" t="str">
            <v>28/03/2016</v>
          </cell>
          <cell r="H3489" t="str">
            <v>31/03/2016</v>
          </cell>
          <cell r="I3489" t="str">
            <v>38</v>
          </cell>
          <cell r="J3489" t="str">
            <v>PESSOA JURÍDICA</v>
          </cell>
          <cell r="K3489" t="str">
            <v>16.612.829/0001-85</v>
          </cell>
          <cell r="L3489" t="str">
            <v>PE</v>
          </cell>
          <cell r="M3489" t="str">
            <v>FATIMA MARLISE DOMANN DE MELO</v>
          </cell>
          <cell r="N3489" t="str">
            <v>EZT6750</v>
          </cell>
          <cell r="O3489" t="str">
            <v>2011</v>
          </cell>
          <cell r="P3489" t="str">
            <v>27</v>
          </cell>
          <cell r="Q3489" t="str">
            <v>26</v>
          </cell>
        </row>
        <row r="3490">
          <cell r="B3490" t="str">
            <v>5107/16</v>
          </cell>
          <cell r="C3490" t="str">
            <v>2016-0.060.109-6</v>
          </cell>
          <cell r="D3490" t="str">
            <v>04/03/2016</v>
          </cell>
          <cell r="E3490" t="str">
            <v>28 de março de 2016</v>
          </cell>
          <cell r="F3490" t="str">
            <v>WLFM TRANSPORTE ESCOLAR LTDA - ME</v>
          </cell>
          <cell r="G3490" t="str">
            <v>28/03/2016</v>
          </cell>
          <cell r="H3490" t="str">
            <v>31/03/2016</v>
          </cell>
          <cell r="I3490" t="str">
            <v>38</v>
          </cell>
          <cell r="J3490" t="str">
            <v>PESSOA JURÍDICA</v>
          </cell>
          <cell r="K3490" t="str">
            <v>16.612.829/0001-85</v>
          </cell>
          <cell r="L3490" t="str">
            <v>JT</v>
          </cell>
          <cell r="M3490" t="str">
            <v>VALTER SHIGUEMI HIRATA</v>
          </cell>
          <cell r="N3490" t="str">
            <v>FGD5710</v>
          </cell>
          <cell r="O3490" t="str">
            <v>2014</v>
          </cell>
          <cell r="P3490" t="str">
            <v>10</v>
          </cell>
          <cell r="Q3490" t="str">
            <v>9</v>
          </cell>
        </row>
        <row r="3491">
          <cell r="B3491" t="str">
            <v>5107/16</v>
          </cell>
          <cell r="C3491" t="str">
            <v>2016-0.060.109-6</v>
          </cell>
          <cell r="D3491" t="str">
            <v/>
          </cell>
          <cell r="E3491" t="str">
            <v>30 de março de 2016</v>
          </cell>
          <cell r="F3491" t="str">
            <v>WLFM TRANSPORTE ESCOLAR LTDA - ME</v>
          </cell>
          <cell r="G3491" t="str">
            <v>28/03/2016</v>
          </cell>
          <cell r="H3491" t="str">
            <v>31/03/2016</v>
          </cell>
          <cell r="I3491" t="str">
            <v>38</v>
          </cell>
          <cell r="J3491" t="str">
            <v>PESSOA JURÍDICA</v>
          </cell>
          <cell r="K3491" t="str">
            <v>16.612.829/0001-85</v>
          </cell>
          <cell r="L3491" t="str">
            <v>JT</v>
          </cell>
          <cell r="M3491" t="str">
            <v>BEATRIZ OLIVEIRA DA SILVA</v>
          </cell>
          <cell r="N3491" t="str">
            <v>EWJ3088</v>
          </cell>
          <cell r="O3491" t="str">
            <v>2011</v>
          </cell>
          <cell r="P3491" t="str">
            <v>25</v>
          </cell>
          <cell r="Q3491" t="str">
            <v>23</v>
          </cell>
        </row>
        <row r="3492">
          <cell r="B3492" t="str">
            <v>5109/16</v>
          </cell>
          <cell r="C3492" t="str">
            <v>2016-0.060.111-8</v>
          </cell>
          <cell r="D3492" t="str">
            <v>22/02/2016</v>
          </cell>
          <cell r="E3492" t="str">
            <v>29 de fevereiro de 2016</v>
          </cell>
          <cell r="F3492" t="str">
            <v>J DO E S DUARTE - TRANSPORTE - ME</v>
          </cell>
          <cell r="G3492" t="str">
            <v>29/02/2016</v>
          </cell>
          <cell r="H3492" t="str">
            <v>19/03/2016</v>
          </cell>
          <cell r="I3492" t="str">
            <v>35</v>
          </cell>
          <cell r="J3492" t="str">
            <v>PESSOA JURÍDICA</v>
          </cell>
          <cell r="K3492" t="str">
            <v>15.408.356/0001-36</v>
          </cell>
          <cell r="L3492" t="str">
            <v>CL</v>
          </cell>
          <cell r="M3492" t="str">
            <v>PAMELA ALESSANDRA DUARTE COSTA</v>
          </cell>
          <cell r="N3492" t="str">
            <v>EMU5178</v>
          </cell>
          <cell r="O3492" t="str">
            <v>2011</v>
          </cell>
          <cell r="P3492" t="str">
            <v>19</v>
          </cell>
          <cell r="Q3492" t="str">
            <v>18</v>
          </cell>
        </row>
        <row r="3493">
          <cell r="B3493" t="str">
            <v>5110/16</v>
          </cell>
          <cell r="C3493" t="str">
            <v>2016-0.060.112-6</v>
          </cell>
          <cell r="D3493" t="str">
            <v>22/02/2016</v>
          </cell>
          <cell r="E3493" t="str">
            <v>30 de março de 2016</v>
          </cell>
          <cell r="F3493" t="str">
            <v>MISAM TRANSPORTES LTDA - ME</v>
          </cell>
          <cell r="G3493" t="str">
            <v>30/03/2016</v>
          </cell>
          <cell r="H3493" t="str">
            <v>31/03/2016</v>
          </cell>
          <cell r="I3493" t="str">
            <v>38</v>
          </cell>
          <cell r="J3493" t="str">
            <v>PESSOA JURÍDICA</v>
          </cell>
          <cell r="K3493" t="str">
            <v>17.893.846/0001-09</v>
          </cell>
          <cell r="L3493" t="str">
            <v>CL</v>
          </cell>
          <cell r="M3493" t="str">
            <v>ROSALINA RODRIGUES LEITE</v>
          </cell>
          <cell r="N3493" t="str">
            <v>EUB6808</v>
          </cell>
          <cell r="O3493" t="str">
            <v>2010</v>
          </cell>
          <cell r="P3493" t="str">
            <v>19</v>
          </cell>
          <cell r="Q3493" t="str">
            <v>18</v>
          </cell>
        </row>
        <row r="3494">
          <cell r="B3494" t="str">
            <v>5111/16</v>
          </cell>
          <cell r="C3494" t="str">
            <v>2016-0.060.113-4</v>
          </cell>
          <cell r="D3494" t="str">
            <v/>
          </cell>
          <cell r="E3494" t="str">
            <v>08 de abril de 2016</v>
          </cell>
          <cell r="F3494" t="str">
            <v>ARCA ENCANTADA TRANSPORTES LTDA - ME</v>
          </cell>
          <cell r="G3494" t="str">
            <v>08/04/2016</v>
          </cell>
          <cell r="H3494" t="str">
            <v>09/04/2016</v>
          </cell>
          <cell r="I3494" t="str">
            <v>33</v>
          </cell>
          <cell r="J3494" t="str">
            <v>PESSOA JURÍDICA</v>
          </cell>
          <cell r="K3494" t="str">
            <v>14.287.748/0001-21</v>
          </cell>
          <cell r="L3494" t="str">
            <v>BT</v>
          </cell>
          <cell r="M3494" t="str">
            <v>JOADI SOARES DE LIMA</v>
          </cell>
          <cell r="N3494" t="str">
            <v>FCB7380</v>
          </cell>
          <cell r="O3494" t="str">
            <v>2011</v>
          </cell>
          <cell r="P3494" t="str">
            <v>14</v>
          </cell>
          <cell r="Q3494" t="str">
            <v>13</v>
          </cell>
        </row>
        <row r="3495">
          <cell r="B3495" t="str">
            <v>5112/16</v>
          </cell>
          <cell r="C3495" t="str">
            <v>2016-0.060.114-2</v>
          </cell>
          <cell r="D3495" t="str">
            <v/>
          </cell>
          <cell r="E3495" t="str">
            <v/>
          </cell>
          <cell r="F3495" t="str">
            <v>TRANSPORTES ESCOLAR TRANS MERCES LTDA - ME</v>
          </cell>
          <cell r="G3495" t="str">
            <v/>
          </cell>
          <cell r="H3495" t="str">
            <v/>
          </cell>
          <cell r="I3495" t="str">
            <v/>
          </cell>
          <cell r="J3495" t="str">
            <v>PESSOA JURÍDICA</v>
          </cell>
          <cell r="K3495" t="str">
            <v>15.046.866/0001-00</v>
          </cell>
          <cell r="L3495" t="str">
            <v>CL</v>
          </cell>
          <cell r="M3495" t="str">
            <v>ROMULO FELICIANO DA SILVA</v>
          </cell>
          <cell r="N3495" t="str">
            <v>DTA6820</v>
          </cell>
          <cell r="O3495" t="str">
            <v>2007</v>
          </cell>
          <cell r="P3495" t="str">
            <v>25</v>
          </cell>
          <cell r="Q3495" t="str">
            <v>23</v>
          </cell>
        </row>
        <row r="3496">
          <cell r="B3496" t="str">
            <v>5113/16</v>
          </cell>
          <cell r="C3496" t="str">
            <v>2016-0.060.118-5</v>
          </cell>
          <cell r="D3496" t="str">
            <v>15/02/2016</v>
          </cell>
          <cell r="E3496" t="str">
            <v>29 de fevereiro de 2016</v>
          </cell>
          <cell r="F3496" t="str">
            <v>TRANSPORTES NORMANDIA LTDA - ME</v>
          </cell>
          <cell r="G3496" t="str">
            <v>29/02/2016</v>
          </cell>
          <cell r="H3496" t="str">
            <v>19/03/2016</v>
          </cell>
          <cell r="I3496" t="str">
            <v>35</v>
          </cell>
          <cell r="J3496" t="str">
            <v>PESSOA JURÍDICA</v>
          </cell>
          <cell r="K3496" t="str">
            <v>08.103.773/0001-05</v>
          </cell>
          <cell r="L3496" t="str">
            <v>CL</v>
          </cell>
          <cell r="M3496" t="str">
            <v>FERNANDO LELY NORMANDIA ALVES</v>
          </cell>
          <cell r="N3496" t="str">
            <v>EMU7468</v>
          </cell>
          <cell r="O3496" t="str">
            <v>2012</v>
          </cell>
          <cell r="P3496" t="str">
            <v>10</v>
          </cell>
          <cell r="Q3496" t="str">
            <v>9</v>
          </cell>
        </row>
        <row r="3497">
          <cell r="B3497" t="str">
            <v>5114/16</v>
          </cell>
          <cell r="C3497" t="str">
            <v>2016-0.060.120-7</v>
          </cell>
          <cell r="D3497" t="str">
            <v/>
          </cell>
          <cell r="E3497" t="str">
            <v/>
          </cell>
          <cell r="F3497" t="str">
            <v>HERON PELEGRINI FELICIANO DA SILVA - ME</v>
          </cell>
          <cell r="G3497" t="str">
            <v/>
          </cell>
          <cell r="H3497" t="str">
            <v/>
          </cell>
          <cell r="I3497" t="str">
            <v/>
          </cell>
          <cell r="J3497" t="str">
            <v>PESSOA JURÍDICA</v>
          </cell>
          <cell r="K3497" t="str">
            <v>13.727.915/0001-45</v>
          </cell>
          <cell r="L3497" t="str">
            <v>CL</v>
          </cell>
          <cell r="M3497" t="str">
            <v/>
          </cell>
          <cell r="N3497" t="str">
            <v>ETQ7168</v>
          </cell>
          <cell r="O3497" t="str">
            <v>2010</v>
          </cell>
          <cell r="P3497" t="str">
            <v>15</v>
          </cell>
          <cell r="Q3497" t="str">
            <v>14</v>
          </cell>
        </row>
        <row r="3498">
          <cell r="B3498" t="str">
            <v>5114/16</v>
          </cell>
          <cell r="C3498" t="str">
            <v>2016-0.060.120-7</v>
          </cell>
          <cell r="D3498" t="str">
            <v/>
          </cell>
          <cell r="E3498" t="str">
            <v/>
          </cell>
          <cell r="F3498" t="str">
            <v>HERON PELEGRINI FELICIANO DA SILVA - ME</v>
          </cell>
          <cell r="G3498" t="str">
            <v/>
          </cell>
          <cell r="H3498" t="str">
            <v/>
          </cell>
          <cell r="I3498" t="str">
            <v/>
          </cell>
          <cell r="J3498" t="str">
            <v>PESSOA JURÍDICA</v>
          </cell>
          <cell r="K3498" t="str">
            <v>13.727.915/0001-45</v>
          </cell>
          <cell r="L3498" t="str">
            <v>CL</v>
          </cell>
          <cell r="M3498" t="str">
            <v>JAILSON VIEIRA DE SOUSA</v>
          </cell>
          <cell r="N3498" t="str">
            <v>DPF7395</v>
          </cell>
          <cell r="O3498" t="str">
            <v>2009</v>
          </cell>
          <cell r="P3498" t="str">
            <v>25</v>
          </cell>
          <cell r="Q3498" t="str">
            <v>23</v>
          </cell>
        </row>
        <row r="3499">
          <cell r="B3499" t="str">
            <v>5115/16</v>
          </cell>
          <cell r="C3499" t="str">
            <v>2016-0.060.122-3</v>
          </cell>
          <cell r="D3499" t="str">
            <v>19/02/2016</v>
          </cell>
          <cell r="E3499" t="str">
            <v>29 de fevereiro de 2016</v>
          </cell>
          <cell r="F3499" t="str">
            <v>SPEEDBUS TUR LTDA - ME</v>
          </cell>
          <cell r="G3499" t="str">
            <v>29/02/2016</v>
          </cell>
          <cell r="H3499" t="str">
            <v>19/03/2016</v>
          </cell>
          <cell r="I3499" t="str">
            <v>35</v>
          </cell>
          <cell r="J3499" t="str">
            <v>PESSOA JURÍDICA</v>
          </cell>
          <cell r="K3499" t="str">
            <v>14.167.655/0001-63</v>
          </cell>
          <cell r="L3499" t="str">
            <v>CL</v>
          </cell>
          <cell r="M3499" t="str">
            <v>CARLOS EDUARDO  MONEZI</v>
          </cell>
          <cell r="N3499" t="str">
            <v>DRP9562</v>
          </cell>
          <cell r="O3499" t="str">
            <v>2010</v>
          </cell>
          <cell r="P3499" t="str">
            <v>19</v>
          </cell>
          <cell r="Q3499" t="str">
            <v>18</v>
          </cell>
        </row>
        <row r="3500">
          <cell r="B3500" t="str">
            <v>5116/16</v>
          </cell>
          <cell r="C3500" t="str">
            <v>2016-0.060.124-0</v>
          </cell>
          <cell r="D3500" t="str">
            <v/>
          </cell>
          <cell r="E3500" t="str">
            <v>14 de março de 2016</v>
          </cell>
          <cell r="F3500" t="str">
            <v>FELIPE TRANSPORTES LTDA - ME</v>
          </cell>
          <cell r="G3500" t="str">
            <v>14/03/2016</v>
          </cell>
          <cell r="H3500" t="str">
            <v>19/03/2016</v>
          </cell>
          <cell r="I3500" t="str">
            <v>35</v>
          </cell>
          <cell r="J3500" t="str">
            <v>PESSOA JURÍDICA</v>
          </cell>
          <cell r="K3500" t="str">
            <v>15.588.881/0001-80</v>
          </cell>
          <cell r="L3500" t="str">
            <v>CL</v>
          </cell>
          <cell r="M3500" t="str">
            <v>SILVIA SALES BRASIL</v>
          </cell>
          <cell r="N3500" t="str">
            <v>EMU5229</v>
          </cell>
          <cell r="O3500" t="str">
            <v>2013</v>
          </cell>
          <cell r="P3500" t="str">
            <v>19</v>
          </cell>
          <cell r="Q3500" t="str">
            <v>18</v>
          </cell>
        </row>
        <row r="3501">
          <cell r="B3501" t="str">
            <v>5116/16</v>
          </cell>
          <cell r="C3501" t="str">
            <v>2016-0.060.124-0</v>
          </cell>
          <cell r="D3501" t="str">
            <v>10/03/2016</v>
          </cell>
          <cell r="E3501" t="str">
            <v/>
          </cell>
          <cell r="F3501" t="str">
            <v>FELIPE TRANSPORTES LTDA - ME</v>
          </cell>
          <cell r="G3501" t="str">
            <v>14/03/2016</v>
          </cell>
          <cell r="H3501" t="str">
            <v>19/03/2016</v>
          </cell>
          <cell r="I3501" t="str">
            <v>35</v>
          </cell>
          <cell r="J3501" t="str">
            <v>PESSOA JURÍDICA</v>
          </cell>
          <cell r="K3501" t="str">
            <v>15.588.881/0001-80</v>
          </cell>
          <cell r="L3501" t="str">
            <v>CL</v>
          </cell>
          <cell r="M3501" t="str">
            <v>MARIA IZABEL SALES BRASIL</v>
          </cell>
          <cell r="N3501" t="str">
            <v>FVQ8470</v>
          </cell>
          <cell r="O3501" t="str">
            <v>2015</v>
          </cell>
          <cell r="P3501" t="str">
            <v>10</v>
          </cell>
          <cell r="Q3501" t="str">
            <v>09</v>
          </cell>
        </row>
        <row r="3502">
          <cell r="B3502" t="str">
            <v>5117/16</v>
          </cell>
          <cell r="C3502" t="str">
            <v>2016-0.060.125-8</v>
          </cell>
          <cell r="D3502" t="str">
            <v>24/02/2016</v>
          </cell>
          <cell r="E3502" t="str">
            <v>05 de abril de 2016</v>
          </cell>
          <cell r="F3502" t="str">
            <v>JAKLA TRANSPORTES E TURISMO LTDA - ME</v>
          </cell>
          <cell r="G3502" t="str">
            <v>14/03/2016</v>
          </cell>
          <cell r="H3502" t="str">
            <v>22/03/2016</v>
          </cell>
          <cell r="I3502" t="str">
            <v>31</v>
          </cell>
          <cell r="J3502" t="str">
            <v>PESSOA JURÍDICA</v>
          </cell>
          <cell r="K3502" t="str">
            <v>16.843.428/0001-36</v>
          </cell>
          <cell r="L3502" t="str">
            <v>CS</v>
          </cell>
          <cell r="M3502" t="str">
            <v>JOSIANE AGRA DA SILVA FIGUEIREDO</v>
          </cell>
          <cell r="N3502" t="str">
            <v>DAJ9748</v>
          </cell>
          <cell r="O3502" t="str">
            <v>2008</v>
          </cell>
          <cell r="P3502" t="str">
            <v>29</v>
          </cell>
          <cell r="Q3502" t="str">
            <v>27</v>
          </cell>
        </row>
        <row r="3503">
          <cell r="B3503" t="str">
            <v>5117/16</v>
          </cell>
          <cell r="C3503" t="str">
            <v>2016-0.060.125-8</v>
          </cell>
          <cell r="D3503" t="str">
            <v/>
          </cell>
          <cell r="E3503" t="str">
            <v>05 de abril de 2016</v>
          </cell>
          <cell r="F3503" t="str">
            <v>JAKLA TRANSPORTES E TURISMO LTDA - ME</v>
          </cell>
          <cell r="G3503" t="str">
            <v>14/03/2016</v>
          </cell>
          <cell r="H3503" t="str">
            <v>22/03/2016</v>
          </cell>
          <cell r="I3503" t="str">
            <v>31</v>
          </cell>
          <cell r="J3503" t="str">
            <v>PESSOA JURÍDICA</v>
          </cell>
          <cell r="K3503" t="str">
            <v>16.843.428/0001-36</v>
          </cell>
          <cell r="L3503" t="str">
            <v>CS</v>
          </cell>
          <cell r="M3503" t="str">
            <v>ALEX LUCIO DE FIGUEIREDO</v>
          </cell>
          <cell r="N3503" t="str">
            <v>DTB2459</v>
          </cell>
          <cell r="O3503" t="str">
            <v>2006</v>
          </cell>
          <cell r="P3503" t="str">
            <v>44</v>
          </cell>
          <cell r="Q3503" t="str">
            <v>43</v>
          </cell>
        </row>
        <row r="3504">
          <cell r="B3504" t="str">
            <v>5117/16</v>
          </cell>
          <cell r="C3504" t="str">
            <v>2016-0.060.125-8</v>
          </cell>
          <cell r="D3504" t="str">
            <v/>
          </cell>
          <cell r="E3504" t="str">
            <v>14 de março de 2016</v>
          </cell>
          <cell r="F3504" t="str">
            <v>JAKLA TRANSPORTES E TURISMO LTDA - ME</v>
          </cell>
          <cell r="G3504" t="str">
            <v>14/03/2016</v>
          </cell>
          <cell r="H3504" t="str">
            <v>22/03/2016</v>
          </cell>
          <cell r="I3504" t="str">
            <v>31</v>
          </cell>
          <cell r="J3504" t="str">
            <v>PESSOA JURÍDICA</v>
          </cell>
          <cell r="K3504" t="str">
            <v>16.843.428/0001-36</v>
          </cell>
          <cell r="L3504" t="str">
            <v>CS</v>
          </cell>
          <cell r="M3504" t="str">
            <v>DANIELA SANTOS COSTA DA SILVA</v>
          </cell>
          <cell r="N3504" t="str">
            <v>CZX6428</v>
          </cell>
          <cell r="O3504" t="str">
            <v>2002</v>
          </cell>
          <cell r="P3504" t="str">
            <v>25</v>
          </cell>
          <cell r="Q3504" t="str">
            <v>23</v>
          </cell>
        </row>
        <row r="3505">
          <cell r="B3505" t="str">
            <v>5118/16</v>
          </cell>
          <cell r="C3505" t="str">
            <v>2016-0.060.126-6</v>
          </cell>
          <cell r="D3505" t="str">
            <v/>
          </cell>
          <cell r="E3505" t="str">
            <v>14 de março de 2016</v>
          </cell>
          <cell r="F3505" t="str">
            <v>SAYONARA MARIA DA SILVA SANTOS RIBEIRO TRANSPORTE - ME</v>
          </cell>
          <cell r="G3505" t="str">
            <v>14/03/2016</v>
          </cell>
          <cell r="H3505" t="str">
            <v>19/03/2016</v>
          </cell>
          <cell r="I3505" t="str">
            <v>35</v>
          </cell>
          <cell r="J3505" t="str">
            <v>PESSOA JURÍDICA</v>
          </cell>
          <cell r="K3505" t="str">
            <v>17.278.213/0001-82</v>
          </cell>
          <cell r="L3505" t="str">
            <v>SA</v>
          </cell>
          <cell r="M3505" t="str">
            <v>SAYONARA MARIA DA SILVA SANTOS RIBEIRO</v>
          </cell>
          <cell r="N3505" t="str">
            <v>CYR2307</v>
          </cell>
          <cell r="O3505" t="str">
            <v>2001</v>
          </cell>
          <cell r="P3505" t="str">
            <v>23</v>
          </cell>
          <cell r="Q3505" t="str">
            <v>22</v>
          </cell>
        </row>
        <row r="3506">
          <cell r="B3506" t="str">
            <v>5119/16</v>
          </cell>
          <cell r="C3506" t="str">
            <v>2016-0.060.128-2</v>
          </cell>
          <cell r="D3506" t="str">
            <v/>
          </cell>
          <cell r="E3506" t="str">
            <v>30 de março de 2016</v>
          </cell>
          <cell r="F3506" t="str">
            <v>JOSE &amp; CELIA AUTO PECAS LTDA - ME</v>
          </cell>
          <cell r="G3506" t="str">
            <v>30/03/2016</v>
          </cell>
          <cell r="H3506" t="str">
            <v>31/03/2016</v>
          </cell>
          <cell r="I3506" t="str">
            <v>38</v>
          </cell>
          <cell r="J3506" t="str">
            <v>PESSOA JURÍDICA</v>
          </cell>
          <cell r="K3506" t="str">
            <v>12.715.111/0001-63</v>
          </cell>
          <cell r="L3506" t="str">
            <v>SA</v>
          </cell>
          <cell r="M3506" t="str">
            <v>CELIA MARIA DE OLIVEIRA</v>
          </cell>
          <cell r="N3506" t="str">
            <v>FDR2320</v>
          </cell>
          <cell r="O3506" t="str">
            <v>2013</v>
          </cell>
          <cell r="P3506" t="str">
            <v>19</v>
          </cell>
          <cell r="Q3506" t="str">
            <v>18</v>
          </cell>
        </row>
        <row r="3507">
          <cell r="B3507" t="str">
            <v>5119/16</v>
          </cell>
          <cell r="C3507" t="str">
            <v>2016-0.060.128-2</v>
          </cell>
          <cell r="D3507" t="str">
            <v/>
          </cell>
          <cell r="E3507" t="str">
            <v/>
          </cell>
          <cell r="F3507" t="str">
            <v>JOSE &amp; CELIA AUTO PECAS LTDA - ME</v>
          </cell>
          <cell r="G3507" t="str">
            <v>30/03/2016</v>
          </cell>
          <cell r="H3507" t="str">
            <v>31/03/2016</v>
          </cell>
          <cell r="I3507" t="str">
            <v>38</v>
          </cell>
          <cell r="J3507" t="str">
            <v>PESSOA JURÍDICA</v>
          </cell>
          <cell r="K3507" t="str">
            <v>12.715.111/0001-63</v>
          </cell>
          <cell r="L3507" t="str">
            <v>SA</v>
          </cell>
          <cell r="M3507" t="str">
            <v>JOSE PEREIRA FILHO</v>
          </cell>
          <cell r="N3507" t="str">
            <v>ECT1519</v>
          </cell>
          <cell r="O3507" t="str">
            <v>2008</v>
          </cell>
          <cell r="P3507" t="str">
            <v>29</v>
          </cell>
          <cell r="Q3507" t="str">
            <v>27</v>
          </cell>
        </row>
        <row r="3508">
          <cell r="B3508" t="str">
            <v>5120/16</v>
          </cell>
          <cell r="C3508" t="str">
            <v>2016-0.060.129-0</v>
          </cell>
          <cell r="D3508" t="str">
            <v>01/03/2016</v>
          </cell>
          <cell r="E3508" t="str">
            <v/>
          </cell>
          <cell r="F3508" t="str">
            <v>CREMASCO TRANSPORTES E TERCEIRIZACAO LTDA - ME</v>
          </cell>
          <cell r="G3508" t="str">
            <v/>
          </cell>
          <cell r="H3508" t="str">
            <v/>
          </cell>
          <cell r="I3508" t="str">
            <v/>
          </cell>
          <cell r="J3508" t="str">
            <v>PESSOA JURÍDICA</v>
          </cell>
          <cell r="K3508" t="str">
            <v>13.238.834/0001-81</v>
          </cell>
          <cell r="L3508" t="str">
            <v>IP</v>
          </cell>
          <cell r="M3508" t="str">
            <v>CARLOS AMERICO DE ANDRADE</v>
          </cell>
          <cell r="N3508" t="str">
            <v>FRR2429</v>
          </cell>
          <cell r="O3508" t="str">
            <v>2015</v>
          </cell>
          <cell r="P3508" t="str">
            <v>10</v>
          </cell>
          <cell r="Q3508" t="str">
            <v>9</v>
          </cell>
        </row>
        <row r="3509">
          <cell r="B3509" t="str">
            <v>5120/16</v>
          </cell>
          <cell r="C3509" t="str">
            <v>2016-0.060.129-0</v>
          </cell>
          <cell r="D3509" t="str">
            <v/>
          </cell>
          <cell r="E3509" t="str">
            <v/>
          </cell>
          <cell r="F3509" t="str">
            <v>CREMASCO TRANSPORTES E TERCEIRIZACAO LTDA - ME</v>
          </cell>
          <cell r="G3509" t="str">
            <v/>
          </cell>
          <cell r="H3509" t="str">
            <v/>
          </cell>
          <cell r="I3509" t="str">
            <v/>
          </cell>
          <cell r="J3509" t="str">
            <v>PESSOA JURÍDICA</v>
          </cell>
          <cell r="K3509" t="str">
            <v>13.238.834/0001-81</v>
          </cell>
          <cell r="L3509" t="str">
            <v/>
          </cell>
          <cell r="M3509" t="str">
            <v/>
          </cell>
          <cell r="N3509" t="str">
            <v/>
          </cell>
          <cell r="O3509" t="str">
            <v/>
          </cell>
          <cell r="P3509" t="str">
            <v/>
          </cell>
          <cell r="Q3509" t="str">
            <v/>
          </cell>
        </row>
        <row r="3510">
          <cell r="B3510" t="str">
            <v>5120/16</v>
          </cell>
          <cell r="C3510" t="str">
            <v>2016-0.060.129-0</v>
          </cell>
          <cell r="D3510" t="str">
            <v/>
          </cell>
          <cell r="E3510" t="str">
            <v/>
          </cell>
          <cell r="F3510" t="str">
            <v>CREMASCO TRANSPORTES E TERCEIRIZACAO LTDA - ME</v>
          </cell>
          <cell r="G3510" t="str">
            <v/>
          </cell>
          <cell r="H3510" t="str">
            <v/>
          </cell>
          <cell r="I3510" t="str">
            <v/>
          </cell>
          <cell r="J3510" t="str">
            <v>PESSOA JURÍDICA</v>
          </cell>
          <cell r="K3510" t="str">
            <v>13.238.834/0001-81</v>
          </cell>
          <cell r="L3510" t="str">
            <v>JT</v>
          </cell>
          <cell r="M3510" t="str">
            <v>CLEITON APARECIDO DA SILVA</v>
          </cell>
          <cell r="N3510" t="str">
            <v>FXD9047</v>
          </cell>
          <cell r="O3510" t="str">
            <v>2014</v>
          </cell>
          <cell r="P3510" t="str">
            <v>10</v>
          </cell>
          <cell r="Q3510" t="str">
            <v>9</v>
          </cell>
        </row>
        <row r="3511">
          <cell r="B3511" t="str">
            <v>5120/16</v>
          </cell>
          <cell r="C3511" t="str">
            <v>2016-0.060.129-0</v>
          </cell>
          <cell r="D3511" t="str">
            <v/>
          </cell>
          <cell r="E3511" t="str">
            <v/>
          </cell>
          <cell r="F3511" t="str">
            <v>CREMASCO TRANSPORTES E TERCEIRIZACAO LTDA - ME</v>
          </cell>
          <cell r="G3511" t="str">
            <v/>
          </cell>
          <cell r="H3511" t="str">
            <v/>
          </cell>
          <cell r="I3511" t="str">
            <v/>
          </cell>
          <cell r="J3511" t="str">
            <v>PESSOA JURÍDICA</v>
          </cell>
          <cell r="K3511" t="str">
            <v>13.238.834/0001-81</v>
          </cell>
          <cell r="L3511" t="str">
            <v/>
          </cell>
          <cell r="M3511" t="str">
            <v/>
          </cell>
          <cell r="N3511" t="str">
            <v/>
          </cell>
          <cell r="O3511" t="str">
            <v/>
          </cell>
          <cell r="P3511" t="str">
            <v/>
          </cell>
          <cell r="Q3511" t="str">
            <v/>
          </cell>
        </row>
        <row r="3512">
          <cell r="B3512" t="str">
            <v>5121/16</v>
          </cell>
          <cell r="C3512" t="str">
            <v>2016-0.060.130-4</v>
          </cell>
          <cell r="D3512" t="str">
            <v>25/02/2016</v>
          </cell>
          <cell r="E3512" t="str">
            <v>05 de abril de 2016</v>
          </cell>
          <cell r="F3512" t="str">
            <v>FRANCISCO VALCI DA SILVA - ME</v>
          </cell>
          <cell r="G3512" t="str">
            <v>01/04/2016</v>
          </cell>
          <cell r="H3512" t="str">
            <v>02/04/2016</v>
          </cell>
          <cell r="I3512" t="str">
            <v>44</v>
          </cell>
          <cell r="J3512" t="str">
            <v>PESSOA JURÍDICA</v>
          </cell>
          <cell r="K3512" t="str">
            <v>96.656.848/0001-42</v>
          </cell>
          <cell r="L3512" t="str">
            <v>G</v>
          </cell>
          <cell r="M3512" t="str">
            <v>IVANDERLEI FERREIRA SILVA</v>
          </cell>
          <cell r="N3512" t="str">
            <v>ELW1416</v>
          </cell>
          <cell r="O3512" t="str">
            <v>2011</v>
          </cell>
          <cell r="P3512" t="str">
            <v>19</v>
          </cell>
          <cell r="Q3512" t="str">
            <v>18</v>
          </cell>
        </row>
        <row r="3513">
          <cell r="B3513" t="str">
            <v>5121/16</v>
          </cell>
          <cell r="C3513" t="str">
            <v>2016-0.060.130-4</v>
          </cell>
          <cell r="D3513" t="str">
            <v>15/02/2016</v>
          </cell>
          <cell r="E3513" t="str">
            <v>01 de abril de 2016</v>
          </cell>
          <cell r="F3513" t="str">
            <v>FRANCISCO VALCI DA SILVA - ME</v>
          </cell>
          <cell r="G3513" t="str">
            <v>01/04/2016</v>
          </cell>
          <cell r="H3513" t="str">
            <v>02/04/2016</v>
          </cell>
          <cell r="I3513" t="str">
            <v>44</v>
          </cell>
          <cell r="J3513" t="str">
            <v>PESSOA JURÍDICA</v>
          </cell>
          <cell r="K3513" t="str">
            <v>96.656.848/0001-42</v>
          </cell>
          <cell r="L3513" t="str">
            <v>G</v>
          </cell>
          <cell r="M3513" t="str">
            <v>FRANCISCO VALCI DA SILVA</v>
          </cell>
          <cell r="N3513" t="str">
            <v>FCG5860</v>
          </cell>
          <cell r="O3513" t="str">
            <v>2015</v>
          </cell>
          <cell r="P3513" t="str">
            <v>19</v>
          </cell>
          <cell r="Q3513" t="str">
            <v>18</v>
          </cell>
        </row>
        <row r="3514">
          <cell r="B3514" t="str">
            <v>5121/16</v>
          </cell>
          <cell r="C3514" t="str">
            <v>2016-0.060.130-4</v>
          </cell>
          <cell r="D3514" t="str">
            <v/>
          </cell>
          <cell r="E3514" t="str">
            <v>11 de abril de 2016</v>
          </cell>
          <cell r="F3514" t="str">
            <v>FRANCISCO VALCI DA SILVA - ME</v>
          </cell>
          <cell r="G3514" t="str">
            <v>01/04/2016</v>
          </cell>
          <cell r="H3514" t="str">
            <v>02/04/2016</v>
          </cell>
          <cell r="I3514" t="str">
            <v>44</v>
          </cell>
          <cell r="J3514" t="str">
            <v>PESSOA JURÍDICA</v>
          </cell>
          <cell r="K3514" t="str">
            <v>96.656.848/0001-42</v>
          </cell>
          <cell r="L3514" t="str">
            <v>G</v>
          </cell>
          <cell r="M3514" t="str">
            <v>JOAO SILVA</v>
          </cell>
          <cell r="N3514" t="str">
            <v>EUV2210</v>
          </cell>
          <cell r="O3514" t="str">
            <v>2011</v>
          </cell>
          <cell r="P3514" t="str">
            <v>19</v>
          </cell>
          <cell r="Q3514" t="str">
            <v>18</v>
          </cell>
        </row>
        <row r="3515">
          <cell r="B3515" t="str">
            <v>5121/16</v>
          </cell>
          <cell r="C3515" t="str">
            <v>2016-0.060.130-4</v>
          </cell>
          <cell r="D3515" t="str">
            <v>09/03/2016</v>
          </cell>
          <cell r="E3515" t="str">
            <v>14 de abril de 2016</v>
          </cell>
          <cell r="F3515" t="str">
            <v>FRANCISCO VALCI DA SILVA - ME</v>
          </cell>
          <cell r="G3515" t="str">
            <v>01/04/2016</v>
          </cell>
          <cell r="H3515" t="str">
            <v>02/04/2016</v>
          </cell>
          <cell r="I3515" t="str">
            <v>44</v>
          </cell>
          <cell r="J3515" t="str">
            <v>PESSOA JURÍDICA</v>
          </cell>
          <cell r="K3515" t="str">
            <v>96.656.848/0001-42</v>
          </cell>
          <cell r="L3515" t="str">
            <v>G</v>
          </cell>
          <cell r="M3515" t="str">
            <v>SEVERINO JOSE RAMOS MARTINS</v>
          </cell>
          <cell r="N3515" t="str">
            <v>CUC0276</v>
          </cell>
          <cell r="O3515" t="str">
            <v>2011</v>
          </cell>
          <cell r="P3515" t="str">
            <v>15</v>
          </cell>
          <cell r="Q3515" t="str">
            <v>14</v>
          </cell>
        </row>
        <row r="3516">
          <cell r="B3516" t="str">
            <v>5121/16</v>
          </cell>
          <cell r="C3516" t="str">
            <v>2016-0.060.130-4</v>
          </cell>
          <cell r="D3516" t="str">
            <v>29/02/2016</v>
          </cell>
          <cell r="E3516" t="str">
            <v>14 de abril de 2016</v>
          </cell>
          <cell r="F3516" t="str">
            <v>FRANCISCO VALCI DA SILVA - ME</v>
          </cell>
          <cell r="G3516" t="str">
            <v>01/04/2016</v>
          </cell>
          <cell r="H3516" t="str">
            <v>02/04/2016</v>
          </cell>
          <cell r="I3516" t="str">
            <v>44</v>
          </cell>
          <cell r="J3516" t="str">
            <v>PESSOA JURÍDICA</v>
          </cell>
          <cell r="K3516" t="str">
            <v>96.656.848/0001-42</v>
          </cell>
          <cell r="L3516" t="str">
            <v>G</v>
          </cell>
          <cell r="M3516" t="str">
            <v>MAURICIO ANTONIO DE SOUSA</v>
          </cell>
          <cell r="N3516" t="str">
            <v>EZL6211</v>
          </cell>
          <cell r="O3516" t="str">
            <v>2011</v>
          </cell>
          <cell r="P3516" t="str">
            <v>15</v>
          </cell>
          <cell r="Q3516" t="str">
            <v>14</v>
          </cell>
        </row>
        <row r="3517">
          <cell r="B3517" t="str">
            <v>5121/16</v>
          </cell>
          <cell r="C3517" t="str">
            <v>2016-0.060.130-4</v>
          </cell>
          <cell r="D3517" t="str">
            <v/>
          </cell>
          <cell r="E3517" t="str">
            <v>01 de abril de 2016</v>
          </cell>
          <cell r="F3517" t="str">
            <v>FRANCISCO VALCI DA SILVA - ME</v>
          </cell>
          <cell r="G3517" t="str">
            <v>01/04/2016</v>
          </cell>
          <cell r="H3517" t="str">
            <v>02/04/2016</v>
          </cell>
          <cell r="I3517" t="str">
            <v>44</v>
          </cell>
          <cell r="J3517" t="str">
            <v>PESSOA JURÍDICA</v>
          </cell>
          <cell r="K3517" t="str">
            <v>96.656.848/0001-42</v>
          </cell>
          <cell r="L3517" t="str">
            <v>G</v>
          </cell>
          <cell r="M3517" t="str">
            <v>JOSE RODRIGUES DA SILVA</v>
          </cell>
          <cell r="N3517" t="str">
            <v>EKR3782</v>
          </cell>
          <cell r="O3517" t="str">
            <v>2009</v>
          </cell>
          <cell r="P3517" t="str">
            <v>19</v>
          </cell>
          <cell r="Q3517" t="str">
            <v>17</v>
          </cell>
        </row>
        <row r="3518">
          <cell r="B3518" t="str">
            <v>5121/16</v>
          </cell>
          <cell r="C3518" t="str">
            <v>2016-0.060.130-4</v>
          </cell>
          <cell r="D3518" t="str">
            <v>22/02/2016</v>
          </cell>
          <cell r="E3518" t="str">
            <v>14 de abril de 2016</v>
          </cell>
          <cell r="F3518" t="str">
            <v>FRANCISCO VALCI DA SILVA - ME</v>
          </cell>
          <cell r="G3518" t="str">
            <v>01/04/2016</v>
          </cell>
          <cell r="H3518" t="str">
            <v>02/04/2016</v>
          </cell>
          <cell r="I3518" t="str">
            <v>44</v>
          </cell>
          <cell r="J3518" t="str">
            <v>PESSOA JURÍDICA</v>
          </cell>
          <cell r="K3518" t="str">
            <v>96.656.848/0001-42</v>
          </cell>
          <cell r="L3518" t="str">
            <v>G</v>
          </cell>
          <cell r="M3518" t="str">
            <v>GEORGE MARTINS ALVES</v>
          </cell>
          <cell r="N3518" t="str">
            <v>DTE9411</v>
          </cell>
          <cell r="O3518" t="str">
            <v>2009</v>
          </cell>
          <cell r="P3518" t="str">
            <v>19</v>
          </cell>
          <cell r="Q3518" t="str">
            <v>18</v>
          </cell>
        </row>
        <row r="3519">
          <cell r="B3519" t="str">
            <v>5122/16</v>
          </cell>
          <cell r="C3519" t="str">
            <v>2016-0.060.132-0</v>
          </cell>
          <cell r="D3519" t="str">
            <v/>
          </cell>
          <cell r="E3519" t="str">
            <v>18 de março de 2016</v>
          </cell>
          <cell r="F3519" t="str">
            <v>EDSON DA SILVA CRUZ TRANSPORTES - ME</v>
          </cell>
          <cell r="G3519" t="str">
            <v>18/03/2016</v>
          </cell>
          <cell r="H3519" t="str">
            <v>19/03/2016</v>
          </cell>
          <cell r="I3519" t="str">
            <v>35</v>
          </cell>
          <cell r="J3519" t="str">
            <v>PESSOA JURÍDICA</v>
          </cell>
          <cell r="K3519" t="str">
            <v>04.783.044/0001-96</v>
          </cell>
          <cell r="L3519" t="str">
            <v>SA</v>
          </cell>
          <cell r="M3519" t="str">
            <v>EDUARDO DA SILVA CRUZ</v>
          </cell>
          <cell r="N3519" t="str">
            <v>DAO9690</v>
          </cell>
          <cell r="O3519" t="str">
            <v>2005</v>
          </cell>
          <cell r="P3519" t="str">
            <v>15</v>
          </cell>
          <cell r="Q3519" t="str">
            <v>13</v>
          </cell>
        </row>
        <row r="3520">
          <cell r="B3520" t="str">
            <v>5123/16</v>
          </cell>
          <cell r="C3520" t="str">
            <v>2016-0.060.133-9</v>
          </cell>
          <cell r="D3520" t="str">
            <v/>
          </cell>
          <cell r="E3520" t="str">
            <v>18 de abril de 2016</v>
          </cell>
          <cell r="F3520" t="str">
            <v>TRANSGIS TRANSPORTES LTDA - ME</v>
          </cell>
          <cell r="G3520" t="str">
            <v>04/04/2016</v>
          </cell>
          <cell r="H3520" t="str">
            <v>21/04/2016</v>
          </cell>
          <cell r="I3520" t="str">
            <v>96</v>
          </cell>
          <cell r="J3520" t="str">
            <v>PESSOA JURÍDICA</v>
          </cell>
          <cell r="K3520" t="str">
            <v>16.866.099/0001-49</v>
          </cell>
          <cell r="L3520" t="str">
            <v>SA</v>
          </cell>
          <cell r="M3520" t="str">
            <v>DOUGLAS ALVARENGA</v>
          </cell>
          <cell r="N3520" t="str">
            <v>DTA8168</v>
          </cell>
          <cell r="O3520" t="str">
            <v>2007</v>
          </cell>
          <cell r="P3520" t="str">
            <v>30</v>
          </cell>
          <cell r="Q3520" t="str">
            <v>28</v>
          </cell>
        </row>
        <row r="3521">
          <cell r="B3521" t="str">
            <v>5123/16</v>
          </cell>
          <cell r="C3521" t="str">
            <v>2016-0.060.133-9</v>
          </cell>
          <cell r="D3521" t="str">
            <v/>
          </cell>
          <cell r="E3521" t="str">
            <v>20 de abril de 2016</v>
          </cell>
          <cell r="F3521" t="str">
            <v>TRANSGIS TRANSPORTES LTDA - ME</v>
          </cell>
          <cell r="G3521" t="str">
            <v>04/04/2016</v>
          </cell>
          <cell r="H3521" t="str">
            <v>21/04/2016</v>
          </cell>
          <cell r="I3521" t="str">
            <v>96</v>
          </cell>
          <cell r="J3521" t="str">
            <v>PESSOA JURÍDICA</v>
          </cell>
          <cell r="K3521" t="str">
            <v>16.866.099/0001-49</v>
          </cell>
          <cell r="L3521" t="str">
            <v>SA</v>
          </cell>
          <cell r="M3521" t="str">
            <v>CARLOS ALBERTO DE OLIVEIRA</v>
          </cell>
          <cell r="N3521" t="str">
            <v>FRB9444</v>
          </cell>
          <cell r="O3521" t="str">
            <v>2013</v>
          </cell>
          <cell r="P3521" t="str">
            <v>19</v>
          </cell>
          <cell r="Q3521" t="str">
            <v>18</v>
          </cell>
        </row>
        <row r="3522">
          <cell r="B3522" t="str">
            <v>5123/16</v>
          </cell>
          <cell r="C3522" t="str">
            <v>2016-0.060.133-9</v>
          </cell>
          <cell r="D3522" t="str">
            <v/>
          </cell>
          <cell r="E3522" t="str">
            <v>04 de abril de 2016</v>
          </cell>
          <cell r="F3522" t="str">
            <v>TRANSGIS TRANSPORTES LTDA - ME</v>
          </cell>
          <cell r="G3522" t="str">
            <v>04/04/2016</v>
          </cell>
          <cell r="H3522" t="str">
            <v>21/04/2016</v>
          </cell>
          <cell r="I3522" t="str">
            <v>96</v>
          </cell>
          <cell r="J3522" t="str">
            <v>PESSOA JURÍDICA</v>
          </cell>
          <cell r="K3522" t="str">
            <v>16.866.099/0001-49</v>
          </cell>
          <cell r="L3522" t="str">
            <v>SA</v>
          </cell>
          <cell r="M3522" t="str">
            <v>SILVINO JOSE DE CARVALHO</v>
          </cell>
          <cell r="N3522" t="str">
            <v>ELW7982</v>
          </cell>
          <cell r="O3522" t="str">
            <v>2011</v>
          </cell>
          <cell r="P3522" t="str">
            <v>18</v>
          </cell>
          <cell r="Q3522" t="str">
            <v>17</v>
          </cell>
        </row>
        <row r="3523">
          <cell r="B3523" t="str">
            <v>5124/16</v>
          </cell>
          <cell r="C3523" t="str">
            <v>2016-0.061.788-0</v>
          </cell>
          <cell r="D3523" t="str">
            <v>10/03/2016</v>
          </cell>
          <cell r="E3523" t="str">
            <v>01 de abril de 2016</v>
          </cell>
          <cell r="F3523" t="str">
            <v>TRANSVIVO TRANSPORTE E TURISMO LTDA - ME</v>
          </cell>
          <cell r="G3523" t="str">
            <v>18/03/2016</v>
          </cell>
          <cell r="H3523" t="str">
            <v>19/03/2016</v>
          </cell>
          <cell r="I3523" t="str">
            <v>35</v>
          </cell>
          <cell r="J3523" t="str">
            <v>PESSOA JURÍDICA</v>
          </cell>
          <cell r="K3523" t="str">
            <v>05.876.006/0001-40</v>
          </cell>
          <cell r="L3523" t="str">
            <v>MP</v>
          </cell>
          <cell r="M3523" t="str">
            <v>SIDNEY ANTONIO CAPELUPO</v>
          </cell>
          <cell r="N3523" t="str">
            <v>FAO1192</v>
          </cell>
          <cell r="O3523" t="str">
            <v>2012</v>
          </cell>
          <cell r="P3523" t="str">
            <v>19</v>
          </cell>
          <cell r="Q3523" t="str">
            <v>18</v>
          </cell>
        </row>
        <row r="3524">
          <cell r="B3524" t="str">
            <v>5124/16</v>
          </cell>
          <cell r="C3524" t="str">
            <v>2016-0.061.788-0</v>
          </cell>
          <cell r="D3524" t="str">
            <v/>
          </cell>
          <cell r="E3524" t="str">
            <v>18 de março de 2016</v>
          </cell>
          <cell r="F3524" t="str">
            <v>TRANSVIVO TRANSPORTE E TURISMO LTDA - ME</v>
          </cell>
          <cell r="G3524" t="str">
            <v>18/03/2016</v>
          </cell>
          <cell r="H3524" t="str">
            <v>19/03/2016</v>
          </cell>
          <cell r="I3524" t="str">
            <v>35</v>
          </cell>
          <cell r="J3524" t="str">
            <v>PESSOA JURÍDICA</v>
          </cell>
          <cell r="K3524" t="str">
            <v>05.876.006/0001-40</v>
          </cell>
          <cell r="L3524" t="str">
            <v>MP</v>
          </cell>
          <cell r="M3524" t="str">
            <v>SERGIO PASCUINELI</v>
          </cell>
          <cell r="N3524" t="str">
            <v>EFV4016</v>
          </cell>
          <cell r="O3524" t="str">
            <v>2010</v>
          </cell>
          <cell r="P3524" t="str">
            <v>19</v>
          </cell>
          <cell r="Q3524" t="str">
            <v>18</v>
          </cell>
        </row>
        <row r="3525">
          <cell r="B3525" t="str">
            <v>5124/16</v>
          </cell>
          <cell r="C3525" t="str">
            <v>2016-0.061.788-0</v>
          </cell>
          <cell r="D3525" t="str">
            <v/>
          </cell>
          <cell r="E3525" t="str">
            <v>18 de março de 2016</v>
          </cell>
          <cell r="F3525" t="str">
            <v>TRANSVIVO TRANSPORTE E TURISMO LTDA - ME</v>
          </cell>
          <cell r="G3525" t="str">
            <v>18/03/2016</v>
          </cell>
          <cell r="H3525" t="str">
            <v>19/03/2016</v>
          </cell>
          <cell r="I3525" t="str">
            <v>35</v>
          </cell>
          <cell r="J3525" t="str">
            <v>PESSOA JURÍDICA</v>
          </cell>
          <cell r="K3525" t="str">
            <v>05.876.006/0001-40</v>
          </cell>
          <cell r="L3525" t="str">
            <v>MP</v>
          </cell>
          <cell r="M3525" t="str">
            <v>DAVID HIRAOKA MARQUES</v>
          </cell>
          <cell r="N3525" t="str">
            <v>DTC2110</v>
          </cell>
          <cell r="O3525" t="str">
            <v>2007</v>
          </cell>
          <cell r="P3525" t="str">
            <v>29</v>
          </cell>
          <cell r="Q3525" t="str">
            <v>27</v>
          </cell>
        </row>
        <row r="3526">
          <cell r="B3526" t="str">
            <v>5125/16</v>
          </cell>
          <cell r="C3526" t="str">
            <v>2016-0.061.790-1</v>
          </cell>
          <cell r="D3526" t="str">
            <v/>
          </cell>
          <cell r="E3526" t="str">
            <v>18 de março de 2016</v>
          </cell>
          <cell r="F3526" t="str">
            <v>HIRAMAR TRANSPORTES LTDA - ME</v>
          </cell>
          <cell r="G3526" t="str">
            <v>18/03/2016</v>
          </cell>
          <cell r="H3526" t="str">
            <v>19/03/2016</v>
          </cell>
          <cell r="I3526" t="str">
            <v>35</v>
          </cell>
          <cell r="J3526" t="str">
            <v>PESSOA JURÍDICA</v>
          </cell>
          <cell r="K3526" t="str">
            <v>15.174.308/0001-20</v>
          </cell>
          <cell r="L3526" t="str">
            <v>MP</v>
          </cell>
          <cell r="M3526" t="str">
            <v>MARIA DE FATIMA HIRAOKA SANTOS CAMPOS</v>
          </cell>
          <cell r="N3526" t="str">
            <v>EGS2675</v>
          </cell>
          <cell r="O3526" t="str">
            <v>2008</v>
          </cell>
          <cell r="P3526" t="str">
            <v>19</v>
          </cell>
          <cell r="Q3526" t="str">
            <v>18</v>
          </cell>
        </row>
        <row r="3527">
          <cell r="B3527" t="str">
            <v>5126/16</v>
          </cell>
          <cell r="C3527" t="str">
            <v>2016-0.061.791-0</v>
          </cell>
          <cell r="D3527" t="str">
            <v/>
          </cell>
          <cell r="E3527" t="str">
            <v>18 de março de 2016</v>
          </cell>
          <cell r="F3527" t="str">
            <v>JOSUE NUNES DA SILVA TRANSPORTES  EIRELI - ME</v>
          </cell>
          <cell r="G3527" t="str">
            <v>18/03/2016</v>
          </cell>
          <cell r="H3527" t="str">
            <v>19/03/2016</v>
          </cell>
          <cell r="I3527" t="str">
            <v>35</v>
          </cell>
          <cell r="J3527" t="str">
            <v>PESSOA JURÍDICA</v>
          </cell>
          <cell r="K3527" t="str">
            <v>15.555.149/0001-04</v>
          </cell>
          <cell r="L3527" t="str">
            <v>MP</v>
          </cell>
          <cell r="M3527" t="str">
            <v>JOSUE NUNES DA SILVA</v>
          </cell>
          <cell r="N3527" t="str">
            <v>DTD9015</v>
          </cell>
          <cell r="O3527" t="str">
            <v>2009</v>
          </cell>
          <cell r="P3527" t="str">
            <v>11</v>
          </cell>
          <cell r="Q3527" t="str">
            <v>10</v>
          </cell>
        </row>
        <row r="3528">
          <cell r="B3528" t="str">
            <v>5127/16</v>
          </cell>
          <cell r="C3528" t="str">
            <v>2016-0.061.793-6</v>
          </cell>
          <cell r="D3528" t="str">
            <v/>
          </cell>
          <cell r="E3528" t="str">
            <v>18 de março de 2016</v>
          </cell>
          <cell r="F3528" t="str">
            <v>G &amp; C TRANSPORTES LTDA - ME</v>
          </cell>
          <cell r="G3528" t="str">
            <v>18/03/2016</v>
          </cell>
          <cell r="H3528" t="str">
            <v>19/03/2016</v>
          </cell>
          <cell r="I3528" t="str">
            <v>35</v>
          </cell>
          <cell r="J3528" t="str">
            <v>PESSOA JURÍDICA</v>
          </cell>
          <cell r="K3528" t="str">
            <v>14.443.883/0001-19</v>
          </cell>
          <cell r="L3528" t="str">
            <v>MP</v>
          </cell>
          <cell r="M3528" t="str">
            <v>GERSON FREITAS FILHO</v>
          </cell>
          <cell r="N3528" t="str">
            <v>FNU3927</v>
          </cell>
          <cell r="O3528" t="str">
            <v>2013</v>
          </cell>
          <cell r="P3528" t="str">
            <v>36</v>
          </cell>
          <cell r="Q3528" t="str">
            <v>35</v>
          </cell>
        </row>
        <row r="3529">
          <cell r="B3529" t="str">
            <v>5128/16</v>
          </cell>
          <cell r="C3529" t="str">
            <v>2016-0.061.795-2</v>
          </cell>
          <cell r="D3529" t="str">
            <v>01/02/2016</v>
          </cell>
          <cell r="E3529" t="str">
            <v>28 de março de 2016</v>
          </cell>
          <cell r="F3529" t="str">
            <v>USE VANS LOCADORA DE VEICULOS LTDA - ME</v>
          </cell>
          <cell r="G3529" t="str">
            <v>28/03/2016</v>
          </cell>
          <cell r="H3529" t="str">
            <v>31/03/2016</v>
          </cell>
          <cell r="I3529" t="str">
            <v>38</v>
          </cell>
          <cell r="J3529" t="str">
            <v>PESSOA JURÍDICA</v>
          </cell>
          <cell r="K3529" t="str">
            <v>04.607.137/0001-60</v>
          </cell>
          <cell r="L3529" t="str">
            <v>CS</v>
          </cell>
          <cell r="M3529" t="str">
            <v>JOSE JOSIMERO DE OLIVEIRA</v>
          </cell>
          <cell r="N3529" t="str">
            <v>DTA4899</v>
          </cell>
          <cell r="O3529" t="str">
            <v>2007</v>
          </cell>
          <cell r="P3529" t="str">
            <v>25</v>
          </cell>
          <cell r="Q3529" t="str">
            <v>23</v>
          </cell>
        </row>
        <row r="3530">
          <cell r="B3530" t="str">
            <v>5128/16</v>
          </cell>
          <cell r="C3530" t="str">
            <v>2016-0.061.795-2</v>
          </cell>
          <cell r="D3530" t="str">
            <v/>
          </cell>
          <cell r="E3530" t="str">
            <v>31 de março de 2016</v>
          </cell>
          <cell r="F3530" t="str">
            <v>USE VANS LOCADORA DE VEICULOS LTDA - ME</v>
          </cell>
          <cell r="G3530" t="str">
            <v>28/03/2016</v>
          </cell>
          <cell r="H3530" t="str">
            <v>31/03/2016</v>
          </cell>
          <cell r="I3530" t="str">
            <v>38</v>
          </cell>
          <cell r="J3530" t="str">
            <v>PESSOA JURÍDICA</v>
          </cell>
          <cell r="K3530" t="str">
            <v>04.607.137/0001-60</v>
          </cell>
          <cell r="L3530" t="str">
            <v>CS</v>
          </cell>
          <cell r="M3530" t="str">
            <v>ALEXSANDRO DOS SANTOS</v>
          </cell>
          <cell r="N3530" t="str">
            <v>DTB5749</v>
          </cell>
          <cell r="O3530" t="str">
            <v>2007</v>
          </cell>
          <cell r="P3530" t="str">
            <v>29</v>
          </cell>
          <cell r="Q3530" t="str">
            <v>27</v>
          </cell>
        </row>
        <row r="3531">
          <cell r="B3531" t="str">
            <v>5128/16</v>
          </cell>
          <cell r="C3531" t="str">
            <v>2016-0.061.795-2</v>
          </cell>
          <cell r="D3531" t="str">
            <v>14/03/2016</v>
          </cell>
          <cell r="E3531" t="str">
            <v>28 de março de 2016</v>
          </cell>
          <cell r="F3531" t="str">
            <v>USE VANS LOCADORA DE VEICULOS LTDA - ME</v>
          </cell>
          <cell r="G3531" t="str">
            <v>28/03/2016</v>
          </cell>
          <cell r="H3531" t="str">
            <v>31/03/2016</v>
          </cell>
          <cell r="I3531" t="str">
            <v>38</v>
          </cell>
          <cell r="J3531" t="str">
            <v>PESSOA JURÍDICA</v>
          </cell>
          <cell r="K3531" t="str">
            <v>04.607.137/0001-60</v>
          </cell>
          <cell r="L3531" t="str">
            <v>CS</v>
          </cell>
          <cell r="M3531" t="str">
            <v>JOSIVAM JOSE DE OLIVEIRA</v>
          </cell>
          <cell r="N3531" t="str">
            <v>ECT5550</v>
          </cell>
          <cell r="O3531" t="str">
            <v>2008</v>
          </cell>
          <cell r="P3531" t="str">
            <v>29</v>
          </cell>
          <cell r="Q3531" t="str">
            <v>27</v>
          </cell>
        </row>
        <row r="3532">
          <cell r="B3532" t="str">
            <v>5129/16</v>
          </cell>
          <cell r="C3532" t="str">
            <v>2016-0.061.814-2</v>
          </cell>
          <cell r="D3532" t="str">
            <v>14/03/2016</v>
          </cell>
          <cell r="E3532" t="str">
            <v>15 de abril de 2016</v>
          </cell>
          <cell r="F3532" t="str">
            <v>FREDERICO E SILVA TRANSPORTES LTDA - ME</v>
          </cell>
          <cell r="G3532" t="str">
            <v>15/04/2016</v>
          </cell>
          <cell r="H3532" t="str">
            <v>19/04/2016</v>
          </cell>
          <cell r="I3532" t="str">
            <v>30</v>
          </cell>
          <cell r="J3532" t="str">
            <v>PESSOA JURÍDICA</v>
          </cell>
          <cell r="K3532" t="str">
            <v>14.172.755/0001-88</v>
          </cell>
          <cell r="L3532" t="str">
            <v>CS</v>
          </cell>
          <cell r="M3532" t="str">
            <v>EDILSON RODRIGUES DA SILVA</v>
          </cell>
          <cell r="N3532" t="str">
            <v>DTE3390</v>
          </cell>
          <cell r="O3532" t="str">
            <v>2009</v>
          </cell>
          <cell r="P3532" t="str">
            <v>19</v>
          </cell>
          <cell r="Q3532" t="str">
            <v>17</v>
          </cell>
        </row>
        <row r="3533">
          <cell r="B3533" t="str">
            <v>5129/16</v>
          </cell>
          <cell r="C3533" t="str">
            <v>2016-0.061.814-2</v>
          </cell>
          <cell r="D3533" t="str">
            <v>14/03/2016</v>
          </cell>
          <cell r="E3533" t="str">
            <v>15 de abril de 2016</v>
          </cell>
          <cell r="F3533" t="str">
            <v>FREDERICO E SILVA TRANSPORTES LTDA - ME</v>
          </cell>
          <cell r="G3533" t="str">
            <v>15/04/2016</v>
          </cell>
          <cell r="H3533" t="str">
            <v>19/04/2016</v>
          </cell>
          <cell r="I3533" t="str">
            <v>30</v>
          </cell>
          <cell r="J3533" t="str">
            <v>PESSOA JURÍDICA</v>
          </cell>
          <cell r="K3533" t="str">
            <v>14.172.755/0001-88</v>
          </cell>
          <cell r="L3533" t="str">
            <v>PJ</v>
          </cell>
          <cell r="M3533" t="str">
            <v>ANDRE FREDERICO</v>
          </cell>
          <cell r="N3533" t="str">
            <v>DTC5180</v>
          </cell>
          <cell r="O3533" t="str">
            <v>2008</v>
          </cell>
          <cell r="P3533" t="str">
            <v>29</v>
          </cell>
          <cell r="Q3533" t="str">
            <v>27</v>
          </cell>
        </row>
        <row r="3534">
          <cell r="B3534" t="str">
            <v>5130/16</v>
          </cell>
          <cell r="C3534" t="str">
            <v>2016-0.061.818-5</v>
          </cell>
          <cell r="D3534" t="str">
            <v/>
          </cell>
          <cell r="E3534" t="str">
            <v>14 de março de 2016</v>
          </cell>
          <cell r="F3534" t="str">
            <v>JOSE ALVES DO CARMO TRANSPORTES - ME</v>
          </cell>
          <cell r="G3534" t="str">
            <v>14/03/2016</v>
          </cell>
          <cell r="H3534" t="str">
            <v>22/03/2016</v>
          </cell>
          <cell r="I3534" t="str">
            <v>31</v>
          </cell>
          <cell r="J3534" t="str">
            <v>PESSOA JURÍDICA</v>
          </cell>
          <cell r="K3534" t="str">
            <v>17.101.996/0001-24</v>
          </cell>
          <cell r="L3534" t="str">
            <v>IQ</v>
          </cell>
          <cell r="M3534" t="str">
            <v>JOSE ALVES DO CARMO</v>
          </cell>
          <cell r="N3534" t="str">
            <v>FQO5170</v>
          </cell>
          <cell r="O3534" t="str">
            <v>2014</v>
          </cell>
          <cell r="P3534" t="str">
            <v>10</v>
          </cell>
          <cell r="Q3534" t="str">
            <v>09</v>
          </cell>
        </row>
        <row r="3535">
          <cell r="B3535" t="str">
            <v>5131/16</v>
          </cell>
          <cell r="C3535" t="str">
            <v>2016-0.061.822-3</v>
          </cell>
          <cell r="D3535" t="str">
            <v>14/03/2016</v>
          </cell>
          <cell r="E3535" t="str">
            <v>14 de abril de 2016</v>
          </cell>
          <cell r="F3535" t="str">
            <v>ANDS TRANSPORTES ESCOLARES LTDA - ME</v>
          </cell>
          <cell r="G3535" t="str">
            <v>14/03/2016</v>
          </cell>
          <cell r="H3535" t="str">
            <v>19/03/2016</v>
          </cell>
          <cell r="I3535" t="str">
            <v>35</v>
          </cell>
          <cell r="J3535" t="str">
            <v>PESSOA JURÍDICA</v>
          </cell>
          <cell r="K3535" t="str">
            <v>20.815.787/0001-57</v>
          </cell>
          <cell r="L3535" t="str">
            <v>SM</v>
          </cell>
          <cell r="M3535" t="str">
            <v>MILENA REGINA DA SILVA</v>
          </cell>
          <cell r="N3535" t="str">
            <v>DTC3938</v>
          </cell>
          <cell r="O3535" t="str">
            <v>2007</v>
          </cell>
          <cell r="P3535" t="str">
            <v>29</v>
          </cell>
          <cell r="Q3535" t="str">
            <v>27</v>
          </cell>
        </row>
        <row r="3536">
          <cell r="B3536" t="str">
            <v>5131/16</v>
          </cell>
          <cell r="C3536" t="str">
            <v>2016-0.061.822-3</v>
          </cell>
          <cell r="D3536" t="str">
            <v>15/02/2016</v>
          </cell>
          <cell r="E3536" t="str">
            <v>14 de março de 2016</v>
          </cell>
          <cell r="F3536" t="str">
            <v>ANDS TRANSPORTES ESCOLARES LTDA - ME</v>
          </cell>
          <cell r="G3536" t="str">
            <v>14/03/2016</v>
          </cell>
          <cell r="H3536" t="str">
            <v>19/03/2016</v>
          </cell>
          <cell r="I3536" t="str">
            <v>35</v>
          </cell>
          <cell r="J3536" t="str">
            <v>PESSOA JURÍDICA</v>
          </cell>
          <cell r="K3536" t="str">
            <v>20.815.787/0001-57</v>
          </cell>
          <cell r="L3536" t="str">
            <v>SM</v>
          </cell>
          <cell r="M3536" t="str">
            <v>SILVANA TOBIAS VIEIRA ROCHA</v>
          </cell>
          <cell r="N3536" t="str">
            <v>DTD6869</v>
          </cell>
          <cell r="O3536" t="str">
            <v>2008</v>
          </cell>
          <cell r="P3536" t="str">
            <v>19</v>
          </cell>
          <cell r="Q3536" t="str">
            <v>18</v>
          </cell>
        </row>
        <row r="3537">
          <cell r="B3537" t="str">
            <v>5132/16</v>
          </cell>
          <cell r="C3537" t="str">
            <v>2016-0.061.827-4</v>
          </cell>
          <cell r="D3537" t="str">
            <v>19/02/2016</v>
          </cell>
          <cell r="E3537" t="str">
            <v/>
          </cell>
          <cell r="F3537" t="str">
            <v>GENA TRANSPORTE ESCOLAR LTDA - ME</v>
          </cell>
          <cell r="G3537" t="str">
            <v/>
          </cell>
          <cell r="H3537" t="str">
            <v/>
          </cell>
          <cell r="I3537" t="str">
            <v/>
          </cell>
          <cell r="J3537" t="str">
            <v>PESSOA JURÍDICA</v>
          </cell>
          <cell r="K3537" t="str">
            <v>05.280.558/0001-91</v>
          </cell>
          <cell r="L3537" t="str">
            <v>PJ</v>
          </cell>
          <cell r="M3537" t="str">
            <v>ALCIDES ALVES BEZERRA FILHO</v>
          </cell>
          <cell r="N3537" t="str">
            <v>CZX8911</v>
          </cell>
          <cell r="O3537" t="str">
            <v>2003</v>
          </cell>
          <cell r="P3537" t="str">
            <v>25</v>
          </cell>
          <cell r="Q3537" t="str">
            <v>23</v>
          </cell>
        </row>
        <row r="3538">
          <cell r="B3538" t="str">
            <v>5132/16</v>
          </cell>
          <cell r="C3538" t="str">
            <v>2016-0.061.827-4</v>
          </cell>
          <cell r="D3538" t="str">
            <v>19/02/2016</v>
          </cell>
          <cell r="E3538" t="str">
            <v/>
          </cell>
          <cell r="F3538" t="str">
            <v>GENA TRANSPORTE ESCOLAR LTDA - ME</v>
          </cell>
          <cell r="G3538" t="str">
            <v/>
          </cell>
          <cell r="H3538" t="str">
            <v/>
          </cell>
          <cell r="I3538" t="str">
            <v/>
          </cell>
          <cell r="J3538" t="str">
            <v>PESSOA JURÍDICA</v>
          </cell>
          <cell r="K3538" t="str">
            <v>05.280.558/0001-91</v>
          </cell>
          <cell r="L3538" t="str">
            <v>PJ</v>
          </cell>
          <cell r="M3538" t="str">
            <v>RENATO JUBA DE CAMARGO</v>
          </cell>
          <cell r="N3538" t="str">
            <v>CZX8979</v>
          </cell>
          <cell r="O3538" t="str">
            <v>2003</v>
          </cell>
          <cell r="P3538" t="str">
            <v>25</v>
          </cell>
          <cell r="Q3538" t="str">
            <v>23</v>
          </cell>
        </row>
        <row r="3539">
          <cell r="B3539" t="str">
            <v>5132/16</v>
          </cell>
          <cell r="C3539" t="str">
            <v>2016-0.061.827-4</v>
          </cell>
          <cell r="D3539" t="str">
            <v>17/02/2016</v>
          </cell>
          <cell r="E3539" t="str">
            <v/>
          </cell>
          <cell r="F3539" t="str">
            <v>GENA TRANSPORTE ESCOLAR LTDA - ME</v>
          </cell>
          <cell r="G3539" t="str">
            <v/>
          </cell>
          <cell r="H3539" t="str">
            <v/>
          </cell>
          <cell r="I3539" t="str">
            <v/>
          </cell>
          <cell r="J3539" t="str">
            <v>PESSOA JURÍDICA</v>
          </cell>
          <cell r="K3539" t="str">
            <v>05.280.558/0001-91</v>
          </cell>
          <cell r="L3539" t="str">
            <v>PJ</v>
          </cell>
          <cell r="M3539" t="str">
            <v>DIJAIME CINOBELINO</v>
          </cell>
          <cell r="N3539" t="str">
            <v>EZT9227</v>
          </cell>
          <cell r="O3539" t="str">
            <v>2011</v>
          </cell>
          <cell r="P3539" t="str">
            <v>27</v>
          </cell>
          <cell r="Q3539" t="str">
            <v>26</v>
          </cell>
        </row>
        <row r="3540">
          <cell r="B3540" t="str">
            <v>5132/16</v>
          </cell>
          <cell r="C3540" t="str">
            <v>2016-0.061.827-4</v>
          </cell>
          <cell r="D3540" t="str">
            <v/>
          </cell>
          <cell r="E3540" t="str">
            <v/>
          </cell>
          <cell r="F3540" t="str">
            <v>GENA TRANSPORTE ESCOLAR LTDA - ME</v>
          </cell>
          <cell r="G3540" t="str">
            <v/>
          </cell>
          <cell r="H3540" t="str">
            <v/>
          </cell>
          <cell r="I3540" t="str">
            <v/>
          </cell>
          <cell r="J3540" t="str">
            <v>PESSOA JURÍDICA</v>
          </cell>
          <cell r="K3540" t="str">
            <v>05.280.558/0001-91</v>
          </cell>
          <cell r="L3540" t="str">
            <v>BT</v>
          </cell>
          <cell r="M3540" t="str">
            <v>GENOVEFA JUBA DE CAMARGO</v>
          </cell>
          <cell r="N3540" t="str">
            <v>FAI8529</v>
          </cell>
          <cell r="O3540" t="str">
            <v>2011</v>
          </cell>
          <cell r="P3540" t="str">
            <v>10</v>
          </cell>
          <cell r="Q3540" t="str">
            <v>9</v>
          </cell>
        </row>
        <row r="3541">
          <cell r="B3541" t="str">
            <v>5133/16</v>
          </cell>
          <cell r="C3541" t="str">
            <v>2016-0.061.831-2</v>
          </cell>
          <cell r="D3541" t="str">
            <v>22/02/2016</v>
          </cell>
          <cell r="E3541" t="str">
            <v>21 de março de 2016</v>
          </cell>
          <cell r="F3541" t="str">
            <v>S.I.M. TRANSPORTES LTDA - ME</v>
          </cell>
          <cell r="G3541" t="str">
            <v>21/03/2016</v>
          </cell>
          <cell r="H3541" t="str">
            <v>22/03/2016</v>
          </cell>
          <cell r="I3541" t="str">
            <v>31</v>
          </cell>
          <cell r="J3541" t="str">
            <v>PESSOA JURÍDICA</v>
          </cell>
          <cell r="K3541" t="str">
            <v>10.864.864/0001-05</v>
          </cell>
          <cell r="L3541" t="str">
            <v>BT</v>
          </cell>
          <cell r="M3541" t="str">
            <v>GIVANILDO FERREIRA SANTOS</v>
          </cell>
          <cell r="N3541" t="str">
            <v>CYR9195</v>
          </cell>
          <cell r="O3541" t="str">
            <v>2002</v>
          </cell>
          <cell r="P3541" t="str">
            <v>25</v>
          </cell>
          <cell r="Q3541" t="str">
            <v>24</v>
          </cell>
        </row>
        <row r="3542">
          <cell r="B3542" t="str">
            <v>5134/16</v>
          </cell>
          <cell r="C3542" t="str">
            <v>2016-0.061.835-5</v>
          </cell>
          <cell r="D3542" t="str">
            <v>21/03/2016</v>
          </cell>
          <cell r="E3542" t="str">
            <v>20 de abril de 2016</v>
          </cell>
          <cell r="F3542" t="str">
            <v>JAIME VITORIO DOS SANTOS NETO - ME</v>
          </cell>
          <cell r="G3542" t="str">
            <v>20/04/2016</v>
          </cell>
          <cell r="H3542" t="str">
            <v>21/04/2016</v>
          </cell>
          <cell r="I3542" t="str">
            <v>96</v>
          </cell>
          <cell r="J3542" t="str">
            <v>PESSOA JURÍDICA</v>
          </cell>
          <cell r="K3542" t="str">
            <v>09.128.040/0001-98</v>
          </cell>
          <cell r="L3542" t="str">
            <v>BT</v>
          </cell>
          <cell r="M3542" t="str">
            <v>MARIA LUCIA FELIX BRAZ</v>
          </cell>
          <cell r="N3542" t="str">
            <v>FGC2470</v>
          </cell>
          <cell r="O3542" t="str">
            <v>2012</v>
          </cell>
          <cell r="P3542" t="str">
            <v>19</v>
          </cell>
          <cell r="Q3542" t="str">
            <v>18</v>
          </cell>
        </row>
        <row r="3543">
          <cell r="B3543" t="str">
            <v>5134/16</v>
          </cell>
          <cell r="C3543" t="str">
            <v>2016-0.061.835-5</v>
          </cell>
          <cell r="D3543" t="str">
            <v/>
          </cell>
          <cell r="E3543" t="str">
            <v/>
          </cell>
          <cell r="F3543" t="str">
            <v>JAIME VITORIO DOS SANTOS NETO - ME</v>
          </cell>
          <cell r="G3543" t="str">
            <v>20/04/2016</v>
          </cell>
          <cell r="H3543" t="str">
            <v>21/04/2016</v>
          </cell>
          <cell r="I3543" t="str">
            <v>96</v>
          </cell>
          <cell r="J3543" t="str">
            <v>PESSOA JURÍDICA</v>
          </cell>
          <cell r="K3543" t="str">
            <v>09.128.040/0001-98</v>
          </cell>
          <cell r="L3543" t="str">
            <v>BT</v>
          </cell>
          <cell r="M3543" t="str">
            <v xml:space="preserve">JAIME VITORIO DOS SANTOS NETO </v>
          </cell>
          <cell r="N3543" t="str">
            <v>DFR8350</v>
          </cell>
          <cell r="O3543" t="str">
            <v>2002</v>
          </cell>
          <cell r="P3543" t="str">
            <v>19</v>
          </cell>
          <cell r="Q3543" t="str">
            <v>18</v>
          </cell>
        </row>
        <row r="3544">
          <cell r="B3544" t="str">
            <v>5135/16</v>
          </cell>
          <cell r="C3544" t="str">
            <v>2016-0.061.852-5</v>
          </cell>
          <cell r="D3544" t="str">
            <v>03/03/2016</v>
          </cell>
          <cell r="E3544" t="str">
            <v>19 de abril de 2016</v>
          </cell>
          <cell r="F3544" t="str">
            <v>KATHIA HELENA SILVA - ME</v>
          </cell>
          <cell r="G3544" t="str">
            <v>19/04/2016</v>
          </cell>
          <cell r="H3544" t="str">
            <v>21/04/2016</v>
          </cell>
          <cell r="I3544" t="str">
            <v>96</v>
          </cell>
          <cell r="J3544" t="str">
            <v>PESSOA JURÍDICA</v>
          </cell>
          <cell r="K3544" t="str">
            <v>17.932.662/0001-00</v>
          </cell>
          <cell r="L3544" t="str">
            <v>BT</v>
          </cell>
          <cell r="M3544" t="str">
            <v>KATHIA HELENA SILVA VIANNA</v>
          </cell>
          <cell r="N3544" t="str">
            <v>FCL1175</v>
          </cell>
          <cell r="O3544" t="str">
            <v>2014</v>
          </cell>
          <cell r="P3544" t="str">
            <v>19</v>
          </cell>
          <cell r="Q3544" t="str">
            <v>18</v>
          </cell>
        </row>
        <row r="3545">
          <cell r="B3545" t="str">
            <v>5136/16</v>
          </cell>
          <cell r="C3545" t="str">
            <v>2016-0.061.855-0</v>
          </cell>
          <cell r="D3545" t="str">
            <v/>
          </cell>
          <cell r="E3545" t="str">
            <v>18 de março de 2016</v>
          </cell>
          <cell r="F3545" t="str">
            <v>ACESSA TRANSPORTES LTDA - ME</v>
          </cell>
          <cell r="G3545" t="str">
            <v>18/03/2016</v>
          </cell>
          <cell r="H3545" t="str">
            <v>19/03/2016</v>
          </cell>
          <cell r="I3545" t="str">
            <v>35</v>
          </cell>
          <cell r="J3545" t="str">
            <v>PESSOA JURÍDICA</v>
          </cell>
          <cell r="K3545" t="str">
            <v>16.991.253/0001-04</v>
          </cell>
          <cell r="L3545" t="str">
            <v>SM</v>
          </cell>
          <cell r="M3545" t="str">
            <v>KAREN RIBEIRO DE SOUZA</v>
          </cell>
          <cell r="N3545" t="str">
            <v>FEG1571</v>
          </cell>
          <cell r="O3545" t="str">
            <v>2012</v>
          </cell>
          <cell r="P3545" t="str">
            <v>10</v>
          </cell>
          <cell r="Q3545" t="str">
            <v>9</v>
          </cell>
        </row>
        <row r="3546">
          <cell r="B3546" t="str">
            <v>5137/16</v>
          </cell>
          <cell r="C3546" t="str">
            <v>2016-0.061.857-6</v>
          </cell>
          <cell r="D3546" t="str">
            <v/>
          </cell>
          <cell r="E3546" t="str">
            <v>29 de fevereiro de 2016</v>
          </cell>
          <cell r="F3546" t="str">
            <v>JS VICTORIA COMERCIO E SERVICOS LTDA - ME</v>
          </cell>
          <cell r="G3546" t="str">
            <v>29/02/2016</v>
          </cell>
          <cell r="H3546" t="str">
            <v>19/03/2016</v>
          </cell>
          <cell r="I3546" t="str">
            <v>35</v>
          </cell>
          <cell r="J3546" t="str">
            <v>PESSOA JURÍDICA</v>
          </cell>
          <cell r="K3546" t="str">
            <v>10.382.390/0001-65</v>
          </cell>
          <cell r="L3546" t="str">
            <v>CS</v>
          </cell>
          <cell r="M3546" t="str">
            <v>SIMONE RIBEIRO DE MELO</v>
          </cell>
          <cell r="N3546" t="str">
            <v>DTD3097</v>
          </cell>
          <cell r="O3546" t="str">
            <v>2007</v>
          </cell>
          <cell r="P3546" t="str">
            <v>29</v>
          </cell>
          <cell r="Q3546" t="str">
            <v>27</v>
          </cell>
        </row>
        <row r="3547">
          <cell r="B3547" t="str">
            <v>5138/16</v>
          </cell>
          <cell r="C3547" t="str">
            <v>2016-0.061.858-4</v>
          </cell>
          <cell r="D3547" t="str">
            <v/>
          </cell>
          <cell r="E3547" t="str">
            <v>17 de março de 2016</v>
          </cell>
          <cell r="F3547" t="str">
            <v>DIRERE TRANSPORTE ESCOLAR LTDA - ME</v>
          </cell>
          <cell r="G3547" t="str">
            <v>17/03/2016</v>
          </cell>
          <cell r="H3547" t="str">
            <v>19/03/2016</v>
          </cell>
          <cell r="I3547" t="str">
            <v>35</v>
          </cell>
          <cell r="J3547" t="str">
            <v>PESSOA JURÍDICA</v>
          </cell>
          <cell r="K3547" t="str">
            <v>16.587.043/0001-55</v>
          </cell>
          <cell r="L3547" t="str">
            <v>PJ</v>
          </cell>
          <cell r="M3547" t="str">
            <v>WASHINGTON COSTA DE OLIVEIRA</v>
          </cell>
          <cell r="N3547" t="str">
            <v>EYN7679</v>
          </cell>
          <cell r="O3547" t="str">
            <v>2011</v>
          </cell>
          <cell r="P3547" t="str">
            <v>27</v>
          </cell>
          <cell r="Q3547" t="str">
            <v>26</v>
          </cell>
        </row>
        <row r="3548">
          <cell r="B3548" t="str">
            <v>5138/16</v>
          </cell>
          <cell r="C3548" t="str">
            <v>2016-0.061.858-4</v>
          </cell>
          <cell r="D3548" t="str">
            <v/>
          </cell>
          <cell r="E3548" t="str">
            <v>17 de março de 2016</v>
          </cell>
          <cell r="F3548" t="str">
            <v>DIRERE TRANSPORTE ESCOLAR LTDA - ME</v>
          </cell>
          <cell r="G3548" t="str">
            <v>17/03/2016</v>
          </cell>
          <cell r="H3548" t="str">
            <v>19/03/2016</v>
          </cell>
          <cell r="I3548" t="str">
            <v>35</v>
          </cell>
          <cell r="J3548" t="str">
            <v>PESSOA JURÍDICA</v>
          </cell>
          <cell r="K3548" t="str">
            <v>16.587.043/0001-55</v>
          </cell>
          <cell r="L3548" t="str">
            <v>PJ</v>
          </cell>
          <cell r="M3548" t="str">
            <v>IONICE ALVES DE OLIVEIRA</v>
          </cell>
          <cell r="N3548" t="str">
            <v>DTE9316</v>
          </cell>
          <cell r="O3548" t="str">
            <v>2009</v>
          </cell>
          <cell r="P3548" t="str">
            <v>19</v>
          </cell>
          <cell r="Q3548" t="str">
            <v>17</v>
          </cell>
        </row>
        <row r="3549">
          <cell r="B3549" t="str">
            <v>5138/16</v>
          </cell>
          <cell r="C3549" t="str">
            <v>2016-0.061.858-4</v>
          </cell>
          <cell r="D3549" t="str">
            <v/>
          </cell>
          <cell r="E3549" t="str">
            <v>17 de março de 2016</v>
          </cell>
          <cell r="F3549" t="str">
            <v>DIRERE TRANSPORTE ESCOLAR LTDA - ME</v>
          </cell>
          <cell r="G3549" t="str">
            <v>17/03/2016</v>
          </cell>
          <cell r="H3549" t="str">
            <v>19/03/2016</v>
          </cell>
          <cell r="I3549" t="str">
            <v>35</v>
          </cell>
          <cell r="J3549" t="str">
            <v>PESSOA JURÍDICA</v>
          </cell>
          <cell r="K3549" t="str">
            <v>16.587.043/0001-55</v>
          </cell>
          <cell r="L3549" t="str">
            <v>PJ</v>
          </cell>
          <cell r="M3549" t="str">
            <v>RENAN ALVES DA FONSECA</v>
          </cell>
          <cell r="N3549" t="str">
            <v>DJC8691</v>
          </cell>
          <cell r="O3549" t="str">
            <v>2005</v>
          </cell>
          <cell r="P3549" t="str">
            <v>25</v>
          </cell>
          <cell r="Q3549" t="str">
            <v>23</v>
          </cell>
        </row>
        <row r="3550">
          <cell r="B3550" t="str">
            <v>5139/16</v>
          </cell>
          <cell r="C3550" t="str">
            <v>2016-0.061.859-2</v>
          </cell>
          <cell r="D3550" t="str">
            <v/>
          </cell>
          <cell r="E3550" t="str">
            <v>18 de março de 2016</v>
          </cell>
          <cell r="F3550" t="str">
            <v>ANDERSON LUIZ DE MORAES - ME</v>
          </cell>
          <cell r="G3550" t="str">
            <v>18/03/2016</v>
          </cell>
          <cell r="H3550" t="str">
            <v>19/03/2016</v>
          </cell>
          <cell r="I3550" t="str">
            <v>35</v>
          </cell>
          <cell r="J3550" t="str">
            <v>PESSOA JURÍDICA</v>
          </cell>
          <cell r="K3550" t="str">
            <v>18.624.553/0001-80</v>
          </cell>
          <cell r="L3550" t="str">
            <v>SA</v>
          </cell>
          <cell r="M3550" t="str">
            <v>MARCOS ANTONIO VALVERDE</v>
          </cell>
          <cell r="N3550" t="str">
            <v>ELW1225</v>
          </cell>
          <cell r="O3550" t="str">
            <v>2011</v>
          </cell>
          <cell r="P3550" t="str">
            <v>18</v>
          </cell>
          <cell r="Q3550" t="str">
            <v>17</v>
          </cell>
        </row>
        <row r="3551">
          <cell r="B3551" t="str">
            <v>5140/16</v>
          </cell>
          <cell r="C3551" t="str">
            <v>2016-0.061.862-2</v>
          </cell>
          <cell r="D3551" t="str">
            <v/>
          </cell>
          <cell r="E3551" t="str">
            <v>18 de março de 2016</v>
          </cell>
          <cell r="F3551" t="str">
            <v>VALEDUTRA TRANSPORTES LTDA - ME</v>
          </cell>
          <cell r="G3551" t="str">
            <v>18/03/2016</v>
          </cell>
          <cell r="H3551" t="str">
            <v>19/03/2016</v>
          </cell>
          <cell r="I3551" t="str">
            <v>36</v>
          </cell>
          <cell r="J3551" t="str">
            <v>PESSOA JURÍDICA</v>
          </cell>
          <cell r="K3551" t="str">
            <v>15.243.104/0001-02</v>
          </cell>
          <cell r="L3551" t="str">
            <v>CS</v>
          </cell>
          <cell r="M3551" t="str">
            <v>VERA LUCIA VALE DUTRA</v>
          </cell>
          <cell r="N3551" t="str">
            <v>ELW8969</v>
          </cell>
          <cell r="O3551" t="str">
            <v>2011</v>
          </cell>
          <cell r="P3551" t="str">
            <v>19</v>
          </cell>
          <cell r="Q3551" t="str">
            <v>18</v>
          </cell>
        </row>
        <row r="3552">
          <cell r="B3552" t="str">
            <v>5141/16</v>
          </cell>
          <cell r="C3552" t="str">
            <v>2016-0.061.869-0</v>
          </cell>
          <cell r="D3552" t="str">
            <v/>
          </cell>
          <cell r="E3552" t="str">
            <v>18 de março de 2016</v>
          </cell>
          <cell r="F3552" t="str">
            <v>LMP DE SOUZA TRANSPORTES - ME</v>
          </cell>
          <cell r="G3552" t="str">
            <v>18/03/2016</v>
          </cell>
          <cell r="H3552" t="str">
            <v>19/03/2016</v>
          </cell>
          <cell r="I3552" t="str">
            <v>36</v>
          </cell>
          <cell r="J3552" t="str">
            <v>PESSOA JURÍDICA</v>
          </cell>
          <cell r="K3552" t="str">
            <v>14.025.950/0001-85</v>
          </cell>
          <cell r="L3552" t="str">
            <v xml:space="preserve">CL </v>
          </cell>
          <cell r="M3552" t="str">
            <v>EDSON FRANCISCO DE SOUZA</v>
          </cell>
          <cell r="N3552" t="str">
            <v>DTC0900</v>
          </cell>
          <cell r="O3552" t="str">
            <v>2007</v>
          </cell>
          <cell r="P3552" t="str">
            <v>29</v>
          </cell>
          <cell r="Q3552" t="str">
            <v>27</v>
          </cell>
        </row>
        <row r="3553">
          <cell r="B3553" t="str">
            <v>5142/16</v>
          </cell>
          <cell r="C3553" t="str">
            <v>2016-0.061.870-3</v>
          </cell>
          <cell r="D3553" t="str">
            <v/>
          </cell>
          <cell r="E3553" t="str">
            <v>18 de março de 2016</v>
          </cell>
          <cell r="F3553" t="str">
            <v>IVONE TRANSPORTE ESCOLAR LTDA - ME</v>
          </cell>
          <cell r="G3553" t="str">
            <v>18/03/2016</v>
          </cell>
          <cell r="H3553" t="str">
            <v>19/03/2016</v>
          </cell>
          <cell r="I3553" t="str">
            <v>36</v>
          </cell>
          <cell r="J3553" t="str">
            <v>PESSOA JURÍDICA</v>
          </cell>
          <cell r="K3553" t="str">
            <v>62.541.537/0001-16</v>
          </cell>
          <cell r="L3553" t="str">
            <v>FO</v>
          </cell>
          <cell r="M3553" t="str">
            <v>IVONE DO PRADO</v>
          </cell>
          <cell r="N3553" t="str">
            <v>DTA6426</v>
          </cell>
          <cell r="O3553" t="str">
            <v>2008</v>
          </cell>
          <cell r="P3553" t="str">
            <v>29</v>
          </cell>
          <cell r="Q3553" t="str">
            <v>27</v>
          </cell>
        </row>
        <row r="3554">
          <cell r="B3554" t="str">
            <v>5143/16</v>
          </cell>
          <cell r="C3554" t="str">
            <v>2016-0.061.872-0</v>
          </cell>
          <cell r="D3554" t="str">
            <v>21/03/2016</v>
          </cell>
          <cell r="E3554" t="str">
            <v>11 de abril de 2016</v>
          </cell>
          <cell r="F3554" t="str">
            <v>SISTEMA BRASILEIRO DE TAQUARAL LTDA - ME</v>
          </cell>
          <cell r="G3554" t="str">
            <v>11/04/2016</v>
          </cell>
          <cell r="H3554" t="str">
            <v>13/04/2016</v>
          </cell>
          <cell r="I3554" t="str">
            <v>52</v>
          </cell>
          <cell r="J3554" t="str">
            <v>PESSOA JURÍDICA</v>
          </cell>
          <cell r="K3554" t="str">
            <v>18.762.215/0001-05</v>
          </cell>
          <cell r="L3554" t="str">
            <v>CS</v>
          </cell>
          <cell r="M3554" t="str">
            <v>GILBERTO FIRMINO DOS SANTOS</v>
          </cell>
          <cell r="N3554" t="str">
            <v>DPC6589</v>
          </cell>
          <cell r="O3554" t="str">
            <v>2006</v>
          </cell>
          <cell r="P3554" t="str">
            <v>25</v>
          </cell>
          <cell r="Q3554" t="str">
            <v>23</v>
          </cell>
        </row>
        <row r="3555">
          <cell r="B3555" t="str">
            <v>5143/16</v>
          </cell>
          <cell r="C3555" t="str">
            <v>2016-0.061.872-0</v>
          </cell>
          <cell r="D3555" t="str">
            <v>21/03/2016</v>
          </cell>
          <cell r="E3555" t="str">
            <v>11 de abril de 2016</v>
          </cell>
          <cell r="F3555" t="str">
            <v>SISTEMA BRASILEIRO DE TAQUARAL LTDA - ME</v>
          </cell>
          <cell r="G3555" t="str">
            <v>11/04/2016</v>
          </cell>
          <cell r="H3555" t="str">
            <v>13/04/2016</v>
          </cell>
          <cell r="I3555" t="str">
            <v>52</v>
          </cell>
          <cell r="J3555" t="str">
            <v>PESSOA JURÍDICA</v>
          </cell>
          <cell r="K3555" t="str">
            <v>18.762.215/0001-05</v>
          </cell>
          <cell r="L3555" t="str">
            <v>CS</v>
          </cell>
          <cell r="M3555" t="str">
            <v>RODRIGO DUTRA FAGUNDES</v>
          </cell>
          <cell r="N3555" t="str">
            <v>LBB9575</v>
          </cell>
          <cell r="O3555" t="str">
            <v>2004</v>
          </cell>
          <cell r="P3555" t="str">
            <v>25</v>
          </cell>
          <cell r="Q3555" t="str">
            <v>23</v>
          </cell>
        </row>
        <row r="3556">
          <cell r="B3556" t="str">
            <v>5143/16</v>
          </cell>
          <cell r="C3556" t="str">
            <v>2016-0.061.872-0</v>
          </cell>
          <cell r="D3556" t="str">
            <v/>
          </cell>
          <cell r="E3556" t="str">
            <v>11 de abril de 2016</v>
          </cell>
          <cell r="F3556" t="str">
            <v>SISTEMA BRASILEIRO DE TAQUARAL LTDA - ME</v>
          </cell>
          <cell r="G3556" t="str">
            <v>11/04/2016</v>
          </cell>
          <cell r="H3556" t="str">
            <v>13/04/2016</v>
          </cell>
          <cell r="I3556" t="str">
            <v>52</v>
          </cell>
          <cell r="J3556" t="str">
            <v>PESSOA JURÍDICA</v>
          </cell>
          <cell r="K3556" t="str">
            <v>18.762.215/0001-05</v>
          </cell>
          <cell r="L3556" t="str">
            <v>CS</v>
          </cell>
          <cell r="M3556" t="str">
            <v>JOAO APARECIDO DOS SANTOS</v>
          </cell>
          <cell r="N3556" t="str">
            <v>EBE7089</v>
          </cell>
          <cell r="O3556" t="str">
            <v>2007</v>
          </cell>
          <cell r="P3556" t="str">
            <v>29</v>
          </cell>
          <cell r="Q3556" t="str">
            <v>27</v>
          </cell>
        </row>
        <row r="3557">
          <cell r="B3557" t="str">
            <v>5143/16</v>
          </cell>
          <cell r="C3557" t="str">
            <v>2016-0.061.872-0</v>
          </cell>
          <cell r="D3557" t="str">
            <v/>
          </cell>
          <cell r="E3557" t="str">
            <v>11 de abril de 2016</v>
          </cell>
          <cell r="F3557" t="str">
            <v>SISTEMA BRASILEIRO DE TAQUARAL LTDA - ME</v>
          </cell>
          <cell r="G3557" t="str">
            <v>11/04/2016</v>
          </cell>
          <cell r="H3557" t="str">
            <v>13/04/2016</v>
          </cell>
          <cell r="I3557" t="str">
            <v>52</v>
          </cell>
          <cell r="J3557" t="str">
            <v>PESSOA JURÍDICA</v>
          </cell>
          <cell r="K3557" t="str">
            <v>18.762.215/0001-05</v>
          </cell>
          <cell r="L3557" t="str">
            <v>CS</v>
          </cell>
          <cell r="M3557" t="str">
            <v>BERNARDO ANTONIO DA SILVA</v>
          </cell>
          <cell r="N3557" t="str">
            <v>DTA2360</v>
          </cell>
          <cell r="O3557" t="str">
            <v>2007</v>
          </cell>
          <cell r="P3557" t="str">
            <v>25</v>
          </cell>
          <cell r="Q3557" t="str">
            <v>23</v>
          </cell>
        </row>
        <row r="3558">
          <cell r="B3558" t="str">
            <v>5143/16</v>
          </cell>
          <cell r="C3558" t="str">
            <v>2016-0.061.872-0</v>
          </cell>
          <cell r="D3558" t="str">
            <v>24/02/2016</v>
          </cell>
          <cell r="E3558" t="str">
            <v>11 de abril de 2016</v>
          </cell>
          <cell r="F3558" t="str">
            <v>SISTEMA BRASILEIRO DE TAQUARAL LTDA - ME</v>
          </cell>
          <cell r="G3558" t="str">
            <v>11/04/2016</v>
          </cell>
          <cell r="H3558" t="str">
            <v>13/04/2016</v>
          </cell>
          <cell r="I3558" t="str">
            <v>52</v>
          </cell>
          <cell r="J3558" t="str">
            <v>PESSOA JURÍDICA</v>
          </cell>
          <cell r="K3558" t="str">
            <v>18.762.215/0001-05</v>
          </cell>
          <cell r="L3558" t="str">
            <v>CS</v>
          </cell>
          <cell r="M3558" t="str">
            <v>ANTONIO DUTRA FAGUNDES FILHO</v>
          </cell>
          <cell r="N3558" t="str">
            <v>DTA2853</v>
          </cell>
          <cell r="O3558" t="str">
            <v>2007</v>
          </cell>
          <cell r="P3558" t="str">
            <v>53</v>
          </cell>
          <cell r="Q3558" t="str">
            <v>52</v>
          </cell>
        </row>
        <row r="3559">
          <cell r="B3559" t="str">
            <v>5143/16</v>
          </cell>
          <cell r="C3559" t="str">
            <v>2016-0.061.872-0</v>
          </cell>
          <cell r="D3559" t="str">
            <v/>
          </cell>
          <cell r="E3559" t="str">
            <v>11 de abril de 2016</v>
          </cell>
          <cell r="F3559" t="str">
            <v>SISTEMA BRASILEIRO DE TAQUARAL LTDA - ME</v>
          </cell>
          <cell r="G3559" t="str">
            <v>11/04/2016</v>
          </cell>
          <cell r="H3559" t="str">
            <v>13/04/2016</v>
          </cell>
          <cell r="I3559" t="str">
            <v>52</v>
          </cell>
          <cell r="J3559" t="str">
            <v>PESSOA JURÍDICA</v>
          </cell>
          <cell r="K3559" t="str">
            <v>18.762.215/0001-05</v>
          </cell>
          <cell r="L3559" t="str">
            <v>CS</v>
          </cell>
          <cell r="M3559" t="str">
            <v>LUIZ ALFREDO MAQUERINI</v>
          </cell>
          <cell r="N3559" t="str">
            <v>DTA9014</v>
          </cell>
          <cell r="O3559" t="str">
            <v>2007</v>
          </cell>
          <cell r="P3559" t="str">
            <v>32</v>
          </cell>
          <cell r="Q3559" t="str">
            <v>31</v>
          </cell>
        </row>
        <row r="3560">
          <cell r="B3560" t="str">
            <v>5143/16</v>
          </cell>
          <cell r="C3560" t="str">
            <v>2016-0.061.872-0</v>
          </cell>
          <cell r="D3560" t="str">
            <v/>
          </cell>
          <cell r="E3560" t="str">
            <v/>
          </cell>
          <cell r="F3560" t="str">
            <v>SISTEMA BRASILEIRO DE TAQUARAL LTDA - ME</v>
          </cell>
          <cell r="G3560" t="str">
            <v>11/04/2016</v>
          </cell>
          <cell r="H3560" t="str">
            <v>13/04/2016</v>
          </cell>
          <cell r="I3560" t="str">
            <v>52</v>
          </cell>
          <cell r="J3560" t="str">
            <v>PESSOA JURÍDICA</v>
          </cell>
          <cell r="K3560" t="str">
            <v>18.762.215/0001-05</v>
          </cell>
          <cell r="L3560" t="str">
            <v>CS</v>
          </cell>
          <cell r="M3560" t="str">
            <v>VANESSA ROSCHEL SILVA OLIVEIRA</v>
          </cell>
          <cell r="N3560" t="str">
            <v>ELQ3499</v>
          </cell>
          <cell r="O3560" t="str">
            <v>2010</v>
          </cell>
          <cell r="P3560" t="str">
            <v>19</v>
          </cell>
          <cell r="Q3560" t="str">
            <v>18</v>
          </cell>
        </row>
        <row r="3561">
          <cell r="B3561" t="str">
            <v>5144/16</v>
          </cell>
          <cell r="C3561" t="str">
            <v>2016-0.061.875-4</v>
          </cell>
          <cell r="D3561" t="str">
            <v/>
          </cell>
          <cell r="E3561" t="str">
            <v>04 de abril de 2016</v>
          </cell>
          <cell r="F3561" t="str">
            <v>PIERRE &amp; ARAUJO TRANSPORTES LTDA - ME</v>
          </cell>
          <cell r="G3561" t="str">
            <v>04/04/2016</v>
          </cell>
          <cell r="H3561" t="str">
            <v>21/04/2016</v>
          </cell>
          <cell r="I3561" t="str">
            <v>96</v>
          </cell>
          <cell r="J3561" t="str">
            <v>PESSOA JURÍDICA</v>
          </cell>
          <cell r="K3561" t="str">
            <v>17.524.716/0001-90</v>
          </cell>
          <cell r="L3561" t="str">
            <v>G</v>
          </cell>
          <cell r="M3561" t="str">
            <v>EMANUEL CLARO DE SOUSA</v>
          </cell>
          <cell r="N3561" t="str">
            <v>CZX9013</v>
          </cell>
          <cell r="O3561" t="str">
            <v>2003</v>
          </cell>
          <cell r="P3561" t="str">
            <v>25</v>
          </cell>
          <cell r="Q3561" t="str">
            <v>23</v>
          </cell>
        </row>
        <row r="3562">
          <cell r="B3562" t="str">
            <v>5144/16</v>
          </cell>
          <cell r="C3562" t="str">
            <v>2016-0.061.875-4</v>
          </cell>
          <cell r="D3562" t="str">
            <v/>
          </cell>
          <cell r="E3562" t="str">
            <v>04 de abril de 2016</v>
          </cell>
          <cell r="F3562" t="str">
            <v>PIERRE &amp; ARAUJO TRANSPORTES LTDA - ME</v>
          </cell>
          <cell r="G3562" t="str">
            <v>04/04/2016</v>
          </cell>
          <cell r="H3562" t="str">
            <v>21/04/2016</v>
          </cell>
          <cell r="I3562" t="str">
            <v>96</v>
          </cell>
          <cell r="J3562" t="str">
            <v>PESSOA JURÍDICA</v>
          </cell>
          <cell r="K3562" t="str">
            <v>17.524.716/0001-90</v>
          </cell>
          <cell r="L3562" t="str">
            <v>G</v>
          </cell>
          <cell r="M3562" t="str">
            <v>JOSE ADELMO DE BRITO ARAUJO</v>
          </cell>
          <cell r="N3562" t="str">
            <v>FNA6508</v>
          </cell>
          <cell r="O3562" t="str">
            <v>2015</v>
          </cell>
          <cell r="P3562" t="str">
            <v>27</v>
          </cell>
          <cell r="Q3562" t="str">
            <v>26</v>
          </cell>
        </row>
        <row r="3563">
          <cell r="B3563" t="str">
            <v>5145/16</v>
          </cell>
          <cell r="C3563" t="str">
            <v>2016-0.061.878-9</v>
          </cell>
          <cell r="D3563" t="str">
            <v>25/02/2016</v>
          </cell>
          <cell r="E3563" t="str">
            <v>08 de abril de 2016</v>
          </cell>
          <cell r="F3563" t="str">
            <v>Q &amp; J TRANSPORTES LTDA - ME</v>
          </cell>
          <cell r="G3563" t="str">
            <v>08/04/2016</v>
          </cell>
          <cell r="H3563" t="str">
            <v>09/04/2016</v>
          </cell>
          <cell r="I3563" t="str">
            <v>33</v>
          </cell>
          <cell r="J3563" t="str">
            <v>PESSOA JURÍDICA</v>
          </cell>
          <cell r="K3563" t="str">
            <v>17.489.546/0001-50</v>
          </cell>
          <cell r="L3563" t="str">
            <v>SM</v>
          </cell>
          <cell r="M3563" t="str">
            <v>ERIC DE LIMA LOURENCO</v>
          </cell>
          <cell r="N3563" t="str">
            <v>ECT4978</v>
          </cell>
          <cell r="O3563" t="str">
            <v>2008</v>
          </cell>
          <cell r="P3563" t="str">
            <v>19</v>
          </cell>
          <cell r="Q3563" t="str">
            <v>17</v>
          </cell>
        </row>
        <row r="3564">
          <cell r="B3564" t="str">
            <v>5145/16</v>
          </cell>
          <cell r="C3564" t="str">
            <v>2016-0.061.878-9</v>
          </cell>
          <cell r="D3564" t="str">
            <v/>
          </cell>
          <cell r="E3564" t="str">
            <v>08 de abril de 2016</v>
          </cell>
          <cell r="F3564" t="str">
            <v>Q &amp; J TRANSPORTES LTDA - ME</v>
          </cell>
          <cell r="G3564" t="str">
            <v>08/04/2016</v>
          </cell>
          <cell r="H3564" t="str">
            <v>09/04/2016</v>
          </cell>
          <cell r="I3564" t="str">
            <v>33</v>
          </cell>
          <cell r="J3564" t="str">
            <v>PESSOA JURÍDICA</v>
          </cell>
          <cell r="K3564" t="str">
            <v>17.489.546/0001-50</v>
          </cell>
          <cell r="L3564" t="str">
            <v>SM</v>
          </cell>
          <cell r="M3564" t="str">
            <v>QUITERIA LIMA DO NASCIMENTO</v>
          </cell>
          <cell r="N3564" t="str">
            <v>EFV4320</v>
          </cell>
          <cell r="O3564" t="str">
            <v>2010</v>
          </cell>
          <cell r="P3564" t="str">
            <v>10</v>
          </cell>
          <cell r="Q3564" t="str">
            <v>9</v>
          </cell>
        </row>
        <row r="3565">
          <cell r="B3565" t="str">
            <v>5145/16</v>
          </cell>
          <cell r="C3565" t="str">
            <v>2016-0.061.878-9</v>
          </cell>
          <cell r="D3565" t="str">
            <v/>
          </cell>
          <cell r="E3565" t="str">
            <v>08 de abril de 2016</v>
          </cell>
          <cell r="F3565" t="str">
            <v>Q &amp; J TRANSPORTES LTDA - ME</v>
          </cell>
          <cell r="G3565" t="str">
            <v>08/04/2016</v>
          </cell>
          <cell r="H3565" t="str">
            <v>09/04/2016</v>
          </cell>
          <cell r="I3565" t="str">
            <v>33</v>
          </cell>
          <cell r="J3565" t="str">
            <v>PESSOA JURÍDICA</v>
          </cell>
          <cell r="K3565" t="str">
            <v>17.489.546/0001-50</v>
          </cell>
          <cell r="L3565" t="str">
            <v>SM</v>
          </cell>
          <cell r="M3565" t="str">
            <v>JOAO PEREIRA DOS SANTOS</v>
          </cell>
          <cell r="N3565" t="str">
            <v>DAJ8785</v>
          </cell>
          <cell r="O3565" t="str">
            <v>2007</v>
          </cell>
          <cell r="P3565" t="str">
            <v>29</v>
          </cell>
          <cell r="Q3565" t="str">
            <v>27</v>
          </cell>
        </row>
        <row r="3566">
          <cell r="B3566" t="str">
            <v>5146/16</v>
          </cell>
          <cell r="C3566" t="str">
            <v>2016-0.061.879-7</v>
          </cell>
          <cell r="D3566" t="str">
            <v>22/02/2016</v>
          </cell>
          <cell r="E3566" t="str">
            <v>08 de abril de 2016</v>
          </cell>
          <cell r="F3566" t="str">
            <v>NEVR TRANSPORTES LTDA - ME</v>
          </cell>
          <cell r="G3566" t="str">
            <v>08/04/2016</v>
          </cell>
          <cell r="H3566" t="str">
            <v>09/04/2016</v>
          </cell>
          <cell r="I3566" t="str">
            <v>35</v>
          </cell>
          <cell r="J3566" t="str">
            <v>PESSOA JURÍDICA</v>
          </cell>
          <cell r="K3566" t="str">
            <v>15.198.944/0001-92</v>
          </cell>
          <cell r="L3566" t="str">
            <v>SM</v>
          </cell>
          <cell r="M3566" t="str">
            <v>ROGERIO FOLTRAN CESARIO</v>
          </cell>
          <cell r="N3566" t="str">
            <v>EMU7475</v>
          </cell>
          <cell r="O3566" t="str">
            <v>2011</v>
          </cell>
          <cell r="P3566" t="str">
            <v>19</v>
          </cell>
          <cell r="Q3566" t="str">
            <v>18</v>
          </cell>
        </row>
        <row r="3567">
          <cell r="B3567" t="str">
            <v>5146/16</v>
          </cell>
          <cell r="C3567" t="str">
            <v>2016-0.061.879-7</v>
          </cell>
          <cell r="D3567" t="str">
            <v/>
          </cell>
          <cell r="E3567" t="str">
            <v>12 de abril de 2016</v>
          </cell>
          <cell r="F3567" t="str">
            <v>NEVR TRANSPORTES LTDA - ME</v>
          </cell>
          <cell r="G3567" t="str">
            <v>08/04/2016</v>
          </cell>
          <cell r="H3567" t="str">
            <v>09/04/2016</v>
          </cell>
          <cell r="I3567" t="str">
            <v>35</v>
          </cell>
          <cell r="J3567" t="str">
            <v>PESSOA JURÍDICA</v>
          </cell>
          <cell r="K3567" t="str">
            <v>15.198.944/0001-92</v>
          </cell>
          <cell r="L3567" t="str">
            <v>G</v>
          </cell>
          <cell r="M3567" t="str">
            <v>VANESSA APARECIDA DOS PASSOS RODRIGUES</v>
          </cell>
          <cell r="N3567" t="str">
            <v>DTC6606</v>
          </cell>
          <cell r="O3567" t="str">
            <v>2009</v>
          </cell>
          <cell r="P3567" t="str">
            <v>10</v>
          </cell>
          <cell r="Q3567" t="str">
            <v>9</v>
          </cell>
        </row>
        <row r="3568">
          <cell r="B3568" t="str">
            <v>5146/16</v>
          </cell>
          <cell r="C3568" t="str">
            <v>2016-0.061.879-7</v>
          </cell>
          <cell r="D3568" t="str">
            <v>21/03/2016</v>
          </cell>
          <cell r="E3568" t="str">
            <v>08 de abril de 2016</v>
          </cell>
          <cell r="F3568" t="str">
            <v>NEVR TRANSPORTES LTDA - ME</v>
          </cell>
          <cell r="G3568" t="str">
            <v>08/04/2016</v>
          </cell>
          <cell r="H3568" t="str">
            <v>09/04/2016</v>
          </cell>
          <cell r="I3568" t="str">
            <v>35</v>
          </cell>
          <cell r="J3568" t="str">
            <v>PESSOA JURÍDICA</v>
          </cell>
          <cell r="K3568" t="str">
            <v>15.198.944/0001-92</v>
          </cell>
          <cell r="L3568" t="str">
            <v>SM</v>
          </cell>
          <cell r="M3568" t="str">
            <v>EDNALDO DA SILVA RODRIGUES</v>
          </cell>
          <cell r="N3568" t="str">
            <v>DYA1231</v>
          </cell>
          <cell r="O3568" t="str">
            <v>2007</v>
          </cell>
          <cell r="P3568" t="str">
            <v>29</v>
          </cell>
          <cell r="Q3568" t="str">
            <v>27</v>
          </cell>
        </row>
        <row r="3569">
          <cell r="B3569" t="str">
            <v>5147/16</v>
          </cell>
          <cell r="C3569" t="str">
            <v>2016-0.061.882-7</v>
          </cell>
          <cell r="D3569" t="str">
            <v>21/03/2016</v>
          </cell>
          <cell r="E3569" t="str">
            <v>20 de abril de 2016</v>
          </cell>
          <cell r="F3569" t="str">
            <v>FOLHA DE PRATA SERVICOS DE TRANSPORTE LTDA - ME</v>
          </cell>
          <cell r="G3569" t="str">
            <v>20/04/2016</v>
          </cell>
          <cell r="H3569" t="str">
            <v>21/04/2016</v>
          </cell>
          <cell r="I3569" t="str">
            <v>96</v>
          </cell>
          <cell r="J3569" t="str">
            <v>PESSOA JURÍDICA</v>
          </cell>
          <cell r="K3569" t="str">
            <v>17.305.735/0001-26</v>
          </cell>
          <cell r="L3569" t="str">
            <v>PE</v>
          </cell>
          <cell r="M3569" t="str">
            <v>FATIMA OLIVEIRA DA SILVA</v>
          </cell>
          <cell r="N3569" t="str">
            <v>DZE0688</v>
          </cell>
          <cell r="O3569" t="str">
            <v>2007</v>
          </cell>
          <cell r="P3569" t="str">
            <v>25</v>
          </cell>
          <cell r="Q3569" t="str">
            <v>23</v>
          </cell>
        </row>
        <row r="3570">
          <cell r="B3570" t="str">
            <v>5147/16</v>
          </cell>
          <cell r="C3570" t="str">
            <v>2016-0.061.882-7</v>
          </cell>
          <cell r="D3570" t="str">
            <v/>
          </cell>
          <cell r="E3570" t="str">
            <v/>
          </cell>
          <cell r="F3570" t="str">
            <v>FOLHA DE PRATA SERVICOS DE TRANSPORTE LTDA - ME</v>
          </cell>
          <cell r="G3570" t="str">
            <v>20/04/2016</v>
          </cell>
          <cell r="H3570" t="str">
            <v>21/04/2016</v>
          </cell>
          <cell r="I3570" t="str">
            <v>96</v>
          </cell>
          <cell r="J3570" t="str">
            <v>PESSOA JURÍDICA</v>
          </cell>
          <cell r="K3570" t="str">
            <v>17.305.735/0001-26</v>
          </cell>
          <cell r="L3570" t="str">
            <v>PE</v>
          </cell>
          <cell r="M3570" t="str">
            <v>PATRICIA AMARAL DE OLIVEIRA</v>
          </cell>
          <cell r="N3570" t="str">
            <v>EBY4036</v>
          </cell>
          <cell r="O3570" t="str">
            <v>2008</v>
          </cell>
          <cell r="P3570" t="str">
            <v>19</v>
          </cell>
          <cell r="Q3570" t="str">
            <v>18</v>
          </cell>
        </row>
        <row r="3571">
          <cell r="B3571" t="str">
            <v>5147/16</v>
          </cell>
          <cell r="C3571" t="str">
            <v>2016-0.061.882-7</v>
          </cell>
          <cell r="D3571" t="str">
            <v/>
          </cell>
          <cell r="E3571" t="str">
            <v>20 de abril de 2016</v>
          </cell>
          <cell r="F3571" t="str">
            <v>FOLHA DE PRATA SERVICOS DE TRANSPORTE LTDA - ME</v>
          </cell>
          <cell r="G3571" t="str">
            <v>20/04/2016</v>
          </cell>
          <cell r="H3571" t="str">
            <v>21/04/2016</v>
          </cell>
          <cell r="I3571" t="str">
            <v>96</v>
          </cell>
          <cell r="J3571" t="str">
            <v>PESSOA JURÍDICA</v>
          </cell>
          <cell r="K3571" t="str">
            <v>17.305.735/0001-26</v>
          </cell>
          <cell r="L3571" t="str">
            <v>PE</v>
          </cell>
          <cell r="M3571" t="str">
            <v>DOUGLAS LEITE DA SILVA</v>
          </cell>
          <cell r="N3571" t="str">
            <v>EFV4904</v>
          </cell>
          <cell r="O3571" t="str">
            <v>2011</v>
          </cell>
          <cell r="P3571" t="str">
            <v>19</v>
          </cell>
          <cell r="Q3571" t="str">
            <v>18</v>
          </cell>
        </row>
        <row r="3572">
          <cell r="B3572" t="str">
            <v>5148/16</v>
          </cell>
          <cell r="C3572" t="str">
            <v>2016-0.061.887-8</v>
          </cell>
          <cell r="D3572" t="str">
            <v/>
          </cell>
          <cell r="E3572" t="str">
            <v>16 de março de 2016</v>
          </cell>
          <cell r="F3572" t="str">
            <v>M.T.D. TRANSPORTE ESCOLAR LTDA - ME</v>
          </cell>
          <cell r="G3572" t="str">
            <v>16/03/2016</v>
          </cell>
          <cell r="H3572" t="str">
            <v>18/03/2016</v>
          </cell>
          <cell r="I3572" t="str">
            <v>26</v>
          </cell>
          <cell r="J3572" t="str">
            <v>PESSOA JURÍDICA</v>
          </cell>
          <cell r="K3572" t="str">
            <v>13.529.970/0001-20</v>
          </cell>
          <cell r="L3572" t="str">
            <v>FO</v>
          </cell>
          <cell r="M3572" t="str">
            <v>JULIANA DOS SANTOS VENSE</v>
          </cell>
          <cell r="N3572" t="str">
            <v>EJW0258</v>
          </cell>
          <cell r="O3572" t="str">
            <v>2010</v>
          </cell>
          <cell r="P3572" t="str">
            <v>15</v>
          </cell>
          <cell r="Q3572" t="str">
            <v>14</v>
          </cell>
        </row>
        <row r="3573">
          <cell r="B3573" t="str">
            <v>5149/16</v>
          </cell>
          <cell r="C3573" t="str">
            <v>2016-0.061.893-2</v>
          </cell>
          <cell r="D3573" t="str">
            <v/>
          </cell>
          <cell r="E3573" t="str">
            <v>18 de março de 2016</v>
          </cell>
          <cell r="F3573" t="str">
            <v>SAMEKY TRANSPORTE ESCOLAR LTDA - ME</v>
          </cell>
          <cell r="G3573" t="str">
            <v>18/03/2016</v>
          </cell>
          <cell r="H3573" t="str">
            <v>19/03/2016</v>
          </cell>
          <cell r="I3573" t="str">
            <v>36</v>
          </cell>
          <cell r="J3573" t="str">
            <v>PESSOA JURÍDICA</v>
          </cell>
          <cell r="K3573" t="str">
            <v>16.616.570/0001-40</v>
          </cell>
          <cell r="L3573" t="str">
            <v>PE</v>
          </cell>
          <cell r="M3573" t="str">
            <v>SAMUEL MARTINS DE SOUZA</v>
          </cell>
          <cell r="N3573" t="str">
            <v>DZB0668</v>
          </cell>
          <cell r="O3573" t="str">
            <v>2007</v>
          </cell>
          <cell r="P3573" t="str">
            <v>11</v>
          </cell>
          <cell r="Q3573" t="str">
            <v>10</v>
          </cell>
        </row>
        <row r="3574">
          <cell r="B3574" t="str">
            <v>5150/16</v>
          </cell>
          <cell r="C3574" t="str">
            <v>2016-0.061.894-0</v>
          </cell>
          <cell r="D3574" t="str">
            <v/>
          </cell>
          <cell r="E3574" t="str">
            <v>06 de abril de 2016</v>
          </cell>
          <cell r="F3574" t="str">
            <v>MARIANA ROCIGNO BARBOSA - ME</v>
          </cell>
          <cell r="G3574" t="str">
            <v>06/04/2016</v>
          </cell>
          <cell r="H3574" t="str">
            <v>07/04/2016</v>
          </cell>
          <cell r="I3574" t="str">
            <v>20</v>
          </cell>
          <cell r="J3574" t="str">
            <v>PESSOA JURÍDICA</v>
          </cell>
          <cell r="K3574" t="str">
            <v>19.783.731/0001-89</v>
          </cell>
          <cell r="L3574" t="str">
            <v>PE</v>
          </cell>
          <cell r="M3574" t="str">
            <v>PATRICIA AMARAL DE OLIVEIRA</v>
          </cell>
          <cell r="N3574" t="str">
            <v>DTB1380</v>
          </cell>
          <cell r="O3574" t="str">
            <v>2006</v>
          </cell>
          <cell r="P3574" t="str">
            <v>25</v>
          </cell>
          <cell r="Q3574" t="str">
            <v>23</v>
          </cell>
        </row>
        <row r="3575">
          <cell r="B3575" t="str">
            <v>5151/16</v>
          </cell>
          <cell r="C3575" t="str">
            <v>2016-0.061.896-7</v>
          </cell>
          <cell r="D3575" t="str">
            <v/>
          </cell>
          <cell r="E3575" t="str">
            <v>18 de março de 2016</v>
          </cell>
          <cell r="F3575" t="str">
            <v>CRISTIANO ALVES LIMA TRANSPORTES - ME</v>
          </cell>
          <cell r="G3575" t="str">
            <v>18/03/2016</v>
          </cell>
          <cell r="H3575" t="str">
            <v>19/03/2016</v>
          </cell>
          <cell r="I3575" t="str">
            <v>36</v>
          </cell>
          <cell r="J3575" t="str">
            <v>PESSOA JURÍDICA</v>
          </cell>
          <cell r="K3575" t="str">
            <v>13.489.239/0001-19</v>
          </cell>
          <cell r="L3575" t="str">
            <v>SM</v>
          </cell>
          <cell r="M3575" t="str">
            <v>CRISTIANO ALVES LIMA</v>
          </cell>
          <cell r="N3575" t="str">
            <v>DTC3847</v>
          </cell>
          <cell r="O3575" t="str">
            <v>2008</v>
          </cell>
          <cell r="P3575" t="str">
            <v>29</v>
          </cell>
          <cell r="Q3575" t="str">
            <v>27</v>
          </cell>
        </row>
        <row r="3576">
          <cell r="B3576" t="str">
            <v>5152/16</v>
          </cell>
          <cell r="C3576" t="str">
            <v>2016-0.061.900-9</v>
          </cell>
          <cell r="D3576" t="str">
            <v>21/03/2016</v>
          </cell>
          <cell r="E3576" t="str">
            <v>15 de abril de 2016</v>
          </cell>
          <cell r="F3576" t="str">
            <v>QUALI SERVICE TRANSPORTES LTDA - ME</v>
          </cell>
          <cell r="G3576" t="str">
            <v>15/04/2016</v>
          </cell>
          <cell r="H3576" t="str">
            <v>19/04/2016</v>
          </cell>
          <cell r="I3576" t="str">
            <v>30</v>
          </cell>
          <cell r="J3576" t="str">
            <v>PESSOA JURÍDICA</v>
          </cell>
          <cell r="K3576" t="str">
            <v>04.763.933/0001-91</v>
          </cell>
          <cell r="L3576" t="str">
            <v>JT</v>
          </cell>
          <cell r="M3576" t="str">
            <v>MANOEL MESSIAS MELO DOS SANTOS</v>
          </cell>
          <cell r="N3576" t="str">
            <v>DTC3392</v>
          </cell>
          <cell r="O3576" t="str">
            <v>2009</v>
          </cell>
          <cell r="P3576" t="str">
            <v>11</v>
          </cell>
          <cell r="Q3576" t="str">
            <v>10</v>
          </cell>
        </row>
        <row r="3577">
          <cell r="B3577" t="str">
            <v>5152/16</v>
          </cell>
          <cell r="C3577" t="str">
            <v>2016-0.061.900-9</v>
          </cell>
          <cell r="D3577" t="str">
            <v>04/04/2016</v>
          </cell>
          <cell r="E3577" t="str">
            <v>15 de abril de 2016</v>
          </cell>
          <cell r="F3577" t="str">
            <v>QUALI SERVICE TRANSPORTES LTDA - ME</v>
          </cell>
          <cell r="G3577" t="str">
            <v>15/04/2016</v>
          </cell>
          <cell r="H3577" t="str">
            <v>19/04/2016</v>
          </cell>
          <cell r="I3577" t="str">
            <v>30</v>
          </cell>
          <cell r="J3577" t="str">
            <v>PESSOA JURÍDICA</v>
          </cell>
          <cell r="K3577" t="str">
            <v>04.763.933/0001-91</v>
          </cell>
          <cell r="L3577" t="str">
            <v>PE</v>
          </cell>
          <cell r="M3577" t="str">
            <v>JOSE GERALDO DE OLIVEIRA</v>
          </cell>
          <cell r="N3577" t="str">
            <v>DTA6113</v>
          </cell>
          <cell r="O3577" t="str">
            <v>2007</v>
          </cell>
          <cell r="P3577" t="str">
            <v>29</v>
          </cell>
          <cell r="Q3577" t="str">
            <v>27</v>
          </cell>
        </row>
        <row r="3578">
          <cell r="B3578" t="str">
            <v>5152/16</v>
          </cell>
          <cell r="C3578" t="str">
            <v>2016-0.061.900-9</v>
          </cell>
          <cell r="D3578" t="str">
            <v/>
          </cell>
          <cell r="E3578" t="str">
            <v>15 de abril de 2016</v>
          </cell>
          <cell r="F3578" t="str">
            <v>QUALI SERVICE TRANSPORTES LTDA - ME</v>
          </cell>
          <cell r="G3578" t="str">
            <v>15/04/2016</v>
          </cell>
          <cell r="H3578" t="str">
            <v>19/04/2016</v>
          </cell>
          <cell r="I3578" t="str">
            <v>30</v>
          </cell>
          <cell r="J3578" t="str">
            <v>PESSOA JURÍDICA</v>
          </cell>
          <cell r="K3578" t="str">
            <v>04.763.933/0001-91</v>
          </cell>
          <cell r="L3578" t="str">
            <v>JT</v>
          </cell>
          <cell r="M3578" t="str">
            <v>LUCIANO RODRIGUES DA SILVA</v>
          </cell>
          <cell r="N3578" t="str">
            <v>DJC4667</v>
          </cell>
          <cell r="O3578" t="str">
            <v>2004</v>
          </cell>
          <cell r="P3578" t="str">
            <v>25</v>
          </cell>
          <cell r="Q3578" t="str">
            <v>23</v>
          </cell>
        </row>
        <row r="3579">
          <cell r="B3579" t="str">
            <v>5152/16</v>
          </cell>
          <cell r="C3579" t="str">
            <v>2016-0.061.900-9</v>
          </cell>
          <cell r="D3579" t="str">
            <v/>
          </cell>
          <cell r="E3579" t="str">
            <v>15 de abril de 2016</v>
          </cell>
          <cell r="F3579" t="str">
            <v>QUALI SERVICE TRANSPORTES LTDA - ME</v>
          </cell>
          <cell r="G3579" t="str">
            <v>15/04/2016</v>
          </cell>
          <cell r="H3579" t="str">
            <v>19/04/2016</v>
          </cell>
          <cell r="I3579" t="str">
            <v>30</v>
          </cell>
          <cell r="J3579" t="str">
            <v>PESSOA JURÍDICA</v>
          </cell>
          <cell r="K3579" t="str">
            <v>04.763.933/0001-91</v>
          </cell>
          <cell r="L3579" t="str">
            <v>IP</v>
          </cell>
          <cell r="M3579" t="str">
            <v>GIOVANI DOS SANTOS</v>
          </cell>
          <cell r="N3579" t="str">
            <v>ECT3545</v>
          </cell>
          <cell r="O3579" t="str">
            <v>2009</v>
          </cell>
          <cell r="P3579" t="str">
            <v>11</v>
          </cell>
          <cell r="Q3579" t="str">
            <v>10</v>
          </cell>
        </row>
        <row r="3580">
          <cell r="B3580" t="str">
            <v>5153/16</v>
          </cell>
          <cell r="C3580" t="str">
            <v>2016-0.061.907-6</v>
          </cell>
          <cell r="D3580" t="str">
            <v/>
          </cell>
          <cell r="E3580" t="str">
            <v>21 de março de 2016</v>
          </cell>
          <cell r="F3580" t="str">
            <v>BRYANTUR TRANSPORTES LTDA - ME</v>
          </cell>
          <cell r="G3580" t="str">
            <v>21/03/2016</v>
          </cell>
          <cell r="H3580" t="str">
            <v>23/03/2016</v>
          </cell>
          <cell r="I3580" t="str">
            <v>60</v>
          </cell>
          <cell r="J3580" t="str">
            <v>PESSOA JURÍDICA</v>
          </cell>
          <cell r="K3580" t="str">
            <v>15.452.892/0001-39</v>
          </cell>
          <cell r="L3580" t="str">
            <v>SM</v>
          </cell>
          <cell r="M3580" t="str">
            <v>MIRALDO PEREIRA LIMA FILHO</v>
          </cell>
          <cell r="N3580" t="str">
            <v>DTA6397</v>
          </cell>
          <cell r="O3580" t="str">
            <v>2007</v>
          </cell>
          <cell r="P3580" t="str">
            <v>29</v>
          </cell>
          <cell r="Q3580" t="str">
            <v>27</v>
          </cell>
        </row>
        <row r="3581">
          <cell r="B3581" t="str">
            <v>5153/16</v>
          </cell>
          <cell r="C3581" t="str">
            <v>2016-0.061.907-6</v>
          </cell>
          <cell r="D3581" t="str">
            <v>21/03/2016</v>
          </cell>
          <cell r="E3581" t="str">
            <v>25 de abril de 2016</v>
          </cell>
          <cell r="F3581" t="str">
            <v>BRYANTUR TRANSPORTES LTDA - ME</v>
          </cell>
          <cell r="G3581" t="str">
            <v>21/03/2016</v>
          </cell>
          <cell r="H3581" t="str">
            <v>23/03/2016</v>
          </cell>
          <cell r="I3581" t="str">
            <v>60</v>
          </cell>
          <cell r="J3581" t="str">
            <v>PESSOA JURÍDICA</v>
          </cell>
          <cell r="K3581" t="str">
            <v>15.452.892/0001-39</v>
          </cell>
          <cell r="L3581" t="str">
            <v>SM</v>
          </cell>
          <cell r="M3581" t="str">
            <v>ADRIANA DA SILVA FERRO</v>
          </cell>
          <cell r="N3581" t="str">
            <v>CZC7878</v>
          </cell>
          <cell r="O3581" t="str">
            <v>2001</v>
          </cell>
          <cell r="P3581" t="str">
            <v>29</v>
          </cell>
          <cell r="Q3581" t="str">
            <v>27</v>
          </cell>
        </row>
        <row r="3582">
          <cell r="B3582" t="str">
            <v>5154/16</v>
          </cell>
          <cell r="C3582" t="str">
            <v>2016-0.061.911-4</v>
          </cell>
          <cell r="D3582" t="str">
            <v/>
          </cell>
          <cell r="E3582" t="str">
            <v>14 de março de 2016</v>
          </cell>
          <cell r="F3582" t="str">
            <v>CELEBRA TRANSPORTES LTDA - ME</v>
          </cell>
          <cell r="G3582" t="str">
            <v>14/03/2016</v>
          </cell>
          <cell r="H3582" t="str">
            <v>18/03/2016</v>
          </cell>
          <cell r="I3582" t="str">
            <v>26</v>
          </cell>
          <cell r="J3582" t="str">
            <v>PESSOA JURÍDICA</v>
          </cell>
          <cell r="K3582" t="str">
            <v>14.287.489/0001-39</v>
          </cell>
          <cell r="L3582" t="str">
            <v>SM</v>
          </cell>
          <cell r="M3582" t="str">
            <v>BRUNO CESAR PAGANI SOCIO</v>
          </cell>
          <cell r="N3582" t="str">
            <v>DTD2848</v>
          </cell>
          <cell r="O3582" t="str">
            <v>2007</v>
          </cell>
          <cell r="P3582" t="str">
            <v>29</v>
          </cell>
          <cell r="Q3582" t="str">
            <v>27</v>
          </cell>
        </row>
        <row r="3583">
          <cell r="B3583" t="str">
            <v>5155/16</v>
          </cell>
          <cell r="C3583" t="str">
            <v>2016-0.061.912-2</v>
          </cell>
          <cell r="D3583" t="str">
            <v/>
          </cell>
          <cell r="E3583" t="str">
            <v>04 de abril de 2016</v>
          </cell>
          <cell r="F3583" t="str">
            <v>TRANSREIS TUR TRANSPORTES LTDA - ME</v>
          </cell>
          <cell r="G3583" t="str">
            <v>04/04/2016</v>
          </cell>
          <cell r="H3583" t="str">
            <v>09/04/2016</v>
          </cell>
          <cell r="I3583" t="str">
            <v>35</v>
          </cell>
          <cell r="J3583" t="str">
            <v>PESSOA JURÍDICA</v>
          </cell>
          <cell r="K3583" t="str">
            <v>16.707.933/0001-53</v>
          </cell>
          <cell r="L3583" t="str">
            <v>SA</v>
          </cell>
          <cell r="M3583" t="str">
            <v>MAURICIO DOS REIS COSTA</v>
          </cell>
          <cell r="N3583" t="str">
            <v>DTE9399</v>
          </cell>
          <cell r="O3583" t="str">
            <v>2009</v>
          </cell>
          <cell r="P3583" t="str">
            <v>19</v>
          </cell>
          <cell r="Q3583" t="str">
            <v>18</v>
          </cell>
        </row>
        <row r="3584">
          <cell r="B3584" t="str">
            <v>5156/16</v>
          </cell>
          <cell r="C3584" t="str">
            <v>2016-0.061.913-0</v>
          </cell>
          <cell r="D3584" t="str">
            <v/>
          </cell>
          <cell r="E3584" t="str">
            <v>05 de abril de 2016</v>
          </cell>
          <cell r="F3584" t="str">
            <v>REGINA DE FATIMA FAJAN PEREIRA - ME</v>
          </cell>
          <cell r="G3584" t="str">
            <v>18/03/2016</v>
          </cell>
          <cell r="H3584" t="str">
            <v>19/03/2016</v>
          </cell>
          <cell r="I3584" t="str">
            <v>36</v>
          </cell>
          <cell r="J3584" t="str">
            <v>PESSOA JURÍDICA</v>
          </cell>
          <cell r="K3584" t="str">
            <v>16.552.756/0001-83</v>
          </cell>
          <cell r="L3584" t="str">
            <v>JT</v>
          </cell>
          <cell r="M3584" t="str">
            <v>FERNANDO FAJAN PEREIRA</v>
          </cell>
          <cell r="N3584" t="str">
            <v>DJF0870</v>
          </cell>
          <cell r="O3584" t="str">
            <v>2005</v>
          </cell>
          <cell r="P3584" t="str">
            <v>19</v>
          </cell>
          <cell r="Q3584" t="str">
            <v>17</v>
          </cell>
        </row>
        <row r="3585">
          <cell r="B3585" t="str">
            <v>5156/16</v>
          </cell>
          <cell r="C3585" t="str">
            <v>2016-0.061.913-0</v>
          </cell>
          <cell r="D3585" t="str">
            <v/>
          </cell>
          <cell r="E3585" t="str">
            <v>18 de março de 2016</v>
          </cell>
          <cell r="F3585" t="str">
            <v>REGINA DE FATIMA FAJAN PEREIRA - ME</v>
          </cell>
          <cell r="G3585" t="str">
            <v>18/03/2016</v>
          </cell>
          <cell r="H3585" t="str">
            <v>19/03/2016</v>
          </cell>
          <cell r="I3585" t="str">
            <v>36</v>
          </cell>
          <cell r="J3585" t="str">
            <v>PESSOA JURÍDICA</v>
          </cell>
          <cell r="K3585" t="str">
            <v>16.552.756/0001-83</v>
          </cell>
          <cell r="L3585" t="str">
            <v>JT</v>
          </cell>
          <cell r="M3585" t="str">
            <v>ALCIDES GOMES PEREIRA</v>
          </cell>
          <cell r="N3585" t="str">
            <v>DTA2349</v>
          </cell>
          <cell r="O3585" t="str">
            <v>2007</v>
          </cell>
          <cell r="P3585" t="str">
            <v>29</v>
          </cell>
          <cell r="Q3585" t="str">
            <v>27</v>
          </cell>
        </row>
        <row r="3586">
          <cell r="B3586" t="str">
            <v>5157/16</v>
          </cell>
          <cell r="C3586" t="str">
            <v>2016-0.061.916-5</v>
          </cell>
          <cell r="D3586" t="str">
            <v>26/02/2016</v>
          </cell>
          <cell r="E3586" t="str">
            <v>19 de abril de 2016</v>
          </cell>
          <cell r="F3586" t="str">
            <v>MARCIO DE SOUSA PINHEIRO - ME</v>
          </cell>
          <cell r="G3586" t="str">
            <v>18/03/2016</v>
          </cell>
          <cell r="H3586" t="str">
            <v>19/03/2016</v>
          </cell>
          <cell r="I3586" t="str">
            <v>36</v>
          </cell>
          <cell r="J3586" t="str">
            <v>PESSOA JURÍDICA</v>
          </cell>
          <cell r="K3586" t="str">
            <v>11.919.634/0001-69</v>
          </cell>
          <cell r="L3586" t="str">
            <v>SM</v>
          </cell>
          <cell r="M3586" t="str">
            <v>LUIZ FERNANDO GARRUCHO</v>
          </cell>
          <cell r="N3586" t="str">
            <v>FCX5240</v>
          </cell>
          <cell r="O3586" t="str">
            <v>2014</v>
          </cell>
          <cell r="P3586" t="str">
            <v>19</v>
          </cell>
          <cell r="Q3586" t="str">
            <v>18</v>
          </cell>
        </row>
        <row r="3587">
          <cell r="B3587" t="str">
            <v>5157/16</v>
          </cell>
          <cell r="C3587" t="str">
            <v>2016-0.061.916-5</v>
          </cell>
          <cell r="D3587" t="str">
            <v>04/03/2016</v>
          </cell>
          <cell r="E3587" t="str">
            <v>19 de abril de 2016</v>
          </cell>
          <cell r="F3587" t="str">
            <v>MARCIO DE SOUSA PINHEIRO - ME</v>
          </cell>
          <cell r="G3587" t="str">
            <v>18/03/2016</v>
          </cell>
          <cell r="H3587" t="str">
            <v>19/03/2016</v>
          </cell>
          <cell r="I3587" t="str">
            <v>36</v>
          </cell>
          <cell r="J3587" t="str">
            <v>PESSOA JURÍDICA</v>
          </cell>
          <cell r="K3587" t="str">
            <v>11.919.634/0001-69</v>
          </cell>
          <cell r="L3587" t="str">
            <v>SM</v>
          </cell>
          <cell r="M3587" t="str">
            <v>MARCIO DE SOUSA PINHEIRO</v>
          </cell>
          <cell r="N3587" t="str">
            <v>DTE4019</v>
          </cell>
          <cell r="O3587" t="str">
            <v>2008</v>
          </cell>
          <cell r="P3587" t="str">
            <v>29</v>
          </cell>
          <cell r="Q3587" t="str">
            <v>28</v>
          </cell>
        </row>
        <row r="3588">
          <cell r="B3588" t="str">
            <v>5157/16</v>
          </cell>
          <cell r="C3588" t="str">
            <v>2016-0.061.916-5</v>
          </cell>
          <cell r="D3588" t="str">
            <v/>
          </cell>
          <cell r="E3588" t="str">
            <v>18 de março de 2016</v>
          </cell>
          <cell r="F3588" t="str">
            <v>MARCIO DE SOUSA PINHEIRO - ME</v>
          </cell>
          <cell r="G3588" t="str">
            <v>18/03/2016</v>
          </cell>
          <cell r="H3588" t="str">
            <v>19/03/2016</v>
          </cell>
          <cell r="I3588" t="str">
            <v>36</v>
          </cell>
          <cell r="J3588" t="str">
            <v>PESSOA JURÍDICA</v>
          </cell>
          <cell r="K3588" t="str">
            <v>11.919.634/0001-69</v>
          </cell>
          <cell r="L3588" t="str">
            <v>SM</v>
          </cell>
          <cell r="M3588" t="str">
            <v>MARLUCI FERREIRA GONDIM</v>
          </cell>
          <cell r="N3588" t="str">
            <v>DDG6411</v>
          </cell>
          <cell r="O3588" t="str">
            <v>2001</v>
          </cell>
          <cell r="P3588" t="str">
            <v>15</v>
          </cell>
          <cell r="Q3588" t="str">
            <v>13</v>
          </cell>
        </row>
        <row r="3589">
          <cell r="B3589" t="str">
            <v>5158/16</v>
          </cell>
          <cell r="C3589" t="str">
            <v>2016-0.061.920-3</v>
          </cell>
          <cell r="D3589" t="str">
            <v/>
          </cell>
          <cell r="E3589" t="str">
            <v>18 de março de 2016</v>
          </cell>
          <cell r="F3589" t="str">
            <v>ROSEMEIRE TADEU PAGANI JORGE - ME</v>
          </cell>
          <cell r="G3589" t="str">
            <v>18/03/2016</v>
          </cell>
          <cell r="H3589" t="str">
            <v>19/03/2016</v>
          </cell>
          <cell r="I3589" t="str">
            <v>36</v>
          </cell>
          <cell r="J3589" t="str">
            <v>PESSOA JURÍDICA</v>
          </cell>
          <cell r="K3589" t="str">
            <v>14.309.977/0001-08</v>
          </cell>
          <cell r="L3589" t="str">
            <v>SM</v>
          </cell>
          <cell r="M3589" t="str">
            <v>ROSEMEIRE TADEU PAGANI JORGE</v>
          </cell>
          <cell r="N3589" t="str">
            <v>DTE0928</v>
          </cell>
          <cell r="O3589" t="str">
            <v>2012</v>
          </cell>
          <cell r="P3589" t="str">
            <v>10</v>
          </cell>
          <cell r="Q3589" t="str">
            <v>9</v>
          </cell>
        </row>
        <row r="3590">
          <cell r="B3590" t="str">
            <v>5159/16</v>
          </cell>
          <cell r="C3590" t="str">
            <v>2016-0.061.921-1</v>
          </cell>
          <cell r="D3590" t="str">
            <v/>
          </cell>
          <cell r="E3590" t="str">
            <v>21 de março de 2016</v>
          </cell>
          <cell r="F3590" t="str">
            <v>ROSILDA MARIA DA SILVA - ME</v>
          </cell>
          <cell r="G3590" t="str">
            <v>21/03/2016</v>
          </cell>
          <cell r="H3590" t="str">
            <v>25/03/2016</v>
          </cell>
          <cell r="I3590" t="str">
            <v>39</v>
          </cell>
          <cell r="J3590" t="str">
            <v>PESSOA JURÍDICA</v>
          </cell>
          <cell r="K3590" t="str">
            <v>15.058.685/0001-02</v>
          </cell>
          <cell r="L3590" t="str">
            <v>SM</v>
          </cell>
          <cell r="M3590" t="str">
            <v>ALEX JUNIOR SILVA LUNA</v>
          </cell>
          <cell r="N3590" t="str">
            <v>CZZ6028</v>
          </cell>
          <cell r="O3590" t="str">
            <v>2003</v>
          </cell>
          <cell r="P3590" t="str">
            <v>25</v>
          </cell>
          <cell r="Q3590" t="str">
            <v>23</v>
          </cell>
        </row>
        <row r="3591">
          <cell r="B3591" t="str">
            <v>5160/16</v>
          </cell>
          <cell r="C3591" t="str">
            <v>2016-0.061.924-6</v>
          </cell>
          <cell r="D3591" t="str">
            <v/>
          </cell>
          <cell r="E3591" t="str">
            <v>14 de março de 2016</v>
          </cell>
          <cell r="F3591" t="str">
            <v>TRANSLEVITA TRANSPORTE LTDA - EPP</v>
          </cell>
          <cell r="G3591" t="str">
            <v>14/03/2016</v>
          </cell>
          <cell r="H3591" t="str">
            <v>19/03/2016</v>
          </cell>
          <cell r="I3591" t="str">
            <v>36</v>
          </cell>
          <cell r="J3591" t="str">
            <v>PESSOA JURÍDICA</v>
          </cell>
          <cell r="K3591" t="str">
            <v>16.530.116/0001-72</v>
          </cell>
          <cell r="L3591" t="str">
            <v>SM</v>
          </cell>
          <cell r="M3591" t="str">
            <v>GENIVAL DE SOUZA PEREIRA</v>
          </cell>
          <cell r="N3591" t="str">
            <v>DTC4162</v>
          </cell>
          <cell r="O3591" t="str">
            <v>2008</v>
          </cell>
          <cell r="P3591" t="str">
            <v>29</v>
          </cell>
          <cell r="Q3591" t="str">
            <v>27</v>
          </cell>
        </row>
        <row r="3592">
          <cell r="B3592" t="str">
            <v>5160/16</v>
          </cell>
          <cell r="C3592" t="str">
            <v>2016-0.061.924-6</v>
          </cell>
          <cell r="D3592" t="str">
            <v>08/03/2016</v>
          </cell>
          <cell r="E3592" t="str">
            <v>26 de abril de 2016</v>
          </cell>
          <cell r="F3592" t="str">
            <v>TRANSLEVITA TRANSPORTE LTDA - EPP</v>
          </cell>
          <cell r="G3592" t="str">
            <v>14/03/2016</v>
          </cell>
          <cell r="H3592" t="str">
            <v>19/03/2016</v>
          </cell>
          <cell r="I3592" t="str">
            <v>36</v>
          </cell>
          <cell r="J3592" t="str">
            <v>PESSOA JURÍDICA</v>
          </cell>
          <cell r="K3592" t="str">
            <v>16.530.116/0001-72</v>
          </cell>
          <cell r="L3592" t="str">
            <v>SM</v>
          </cell>
          <cell r="M3592" t="str">
            <v>ROGERIO DA SILVA GUIMARAES</v>
          </cell>
          <cell r="N3592" t="str">
            <v>GHE8670</v>
          </cell>
          <cell r="O3592" t="str">
            <v>2015</v>
          </cell>
          <cell r="P3592" t="str">
            <v>27</v>
          </cell>
          <cell r="Q3592" t="str">
            <v>26</v>
          </cell>
        </row>
        <row r="3593">
          <cell r="B3593" t="str">
            <v>5161/16</v>
          </cell>
          <cell r="C3593" t="str">
            <v>2016-0.061.927-0</v>
          </cell>
          <cell r="D3593" t="str">
            <v>29/02/2016</v>
          </cell>
          <cell r="E3593" t="str">
            <v>17 de março de 2016</v>
          </cell>
          <cell r="F3593" t="str">
            <v>DRVB TRANSPORTES E LOCADORA LTDA - ME</v>
          </cell>
          <cell r="G3593" t="str">
            <v>17/03/2016</v>
          </cell>
          <cell r="H3593" t="str">
            <v>18/03/2016</v>
          </cell>
          <cell r="I3593" t="str">
            <v>26</v>
          </cell>
          <cell r="J3593" t="str">
            <v>PESSOA JURÍDICA</v>
          </cell>
          <cell r="K3593" t="str">
            <v>16.678.953/0001-43</v>
          </cell>
          <cell r="L3593" t="str">
            <v>G</v>
          </cell>
          <cell r="M3593" t="str">
            <v>DEISE PACHECO DA SILVA</v>
          </cell>
          <cell r="N3593" t="str">
            <v>GBI8449</v>
          </cell>
          <cell r="O3593" t="str">
            <v>2015</v>
          </cell>
          <cell r="P3593" t="str">
            <v>10</v>
          </cell>
          <cell r="Q3593" t="str">
            <v>09</v>
          </cell>
        </row>
        <row r="3594">
          <cell r="B3594" t="str">
            <v>5162/16</v>
          </cell>
          <cell r="C3594" t="str">
            <v>2016-0.061.931-9</v>
          </cell>
          <cell r="D3594" t="str">
            <v/>
          </cell>
          <cell r="E3594" t="str">
            <v>04 de abril de 2016</v>
          </cell>
          <cell r="F3594" t="str">
            <v>VISION DE AGUILA TRANSPORTES LTDA - ME</v>
          </cell>
          <cell r="G3594" t="str">
            <v>04/04/2016</v>
          </cell>
          <cell r="H3594" t="str">
            <v>09/04/2016</v>
          </cell>
          <cell r="I3594" t="str">
            <v>35</v>
          </cell>
          <cell r="J3594" t="str">
            <v>PESSOA JURÍDICA</v>
          </cell>
          <cell r="K3594" t="str">
            <v>17.707.995/0001-28</v>
          </cell>
          <cell r="L3594" t="str">
            <v>SM</v>
          </cell>
          <cell r="M3594" t="str">
            <v>RENILDA NERIS SOARES</v>
          </cell>
          <cell r="N3594" t="str">
            <v>EJY3210</v>
          </cell>
          <cell r="O3594" t="str">
            <v>2009</v>
          </cell>
          <cell r="P3594" t="str">
            <v>29</v>
          </cell>
          <cell r="Q3594" t="str">
            <v>28</v>
          </cell>
        </row>
        <row r="3595">
          <cell r="B3595" t="str">
            <v>5163/16</v>
          </cell>
          <cell r="C3595" t="str">
            <v>2016-0.063.291-9</v>
          </cell>
          <cell r="D3595" t="str">
            <v>11/02/2016</v>
          </cell>
          <cell r="E3595" t="str">
            <v>21 de março de 2016</v>
          </cell>
          <cell r="F3595" t="str">
            <v>DONALDO TRANSPORTES LTDA - ME</v>
          </cell>
          <cell r="G3595" t="str">
            <v>21/03/2016</v>
          </cell>
          <cell r="H3595" t="str">
            <v>22/03/2016</v>
          </cell>
          <cell r="I3595" t="str">
            <v>31</v>
          </cell>
          <cell r="J3595" t="str">
            <v>PESSOA JURÍDICA</v>
          </cell>
          <cell r="K3595" t="str">
            <v>14.397.019/0001-28</v>
          </cell>
          <cell r="L3595" t="str">
            <v>CS</v>
          </cell>
          <cell r="M3595" t="str">
            <v>INACIO VENANCIO SILVA</v>
          </cell>
          <cell r="N3595" t="str">
            <v>CYR2750</v>
          </cell>
          <cell r="O3595" t="str">
            <v>2002</v>
          </cell>
          <cell r="P3595" t="str">
            <v>25</v>
          </cell>
          <cell r="Q3595" t="str">
            <v>23</v>
          </cell>
        </row>
        <row r="3596">
          <cell r="B3596" t="str">
            <v>5164/16</v>
          </cell>
          <cell r="C3596" t="str">
            <v>2016-0.063.300-1</v>
          </cell>
          <cell r="D3596" t="str">
            <v/>
          </cell>
          <cell r="E3596" t="str">
            <v>04 de abril de 2016</v>
          </cell>
          <cell r="F3596" t="str">
            <v>RJC TRANSPORTES E LOCACAO DE VEICULOS LTDA - ME</v>
          </cell>
          <cell r="G3596" t="str">
            <v>04/04/2016</v>
          </cell>
          <cell r="H3596" t="str">
            <v>13/04/2016</v>
          </cell>
          <cell r="I3596" t="str">
            <v>52</v>
          </cell>
          <cell r="J3596" t="str">
            <v>PESSOA JURÍDICA</v>
          </cell>
          <cell r="K3596" t="str">
            <v>10.918.242/0001-12</v>
          </cell>
          <cell r="L3596" t="str">
            <v>SM</v>
          </cell>
          <cell r="M3596" t="str">
            <v>BENEDITO RUBENS PEREIRA SOBRINHO</v>
          </cell>
          <cell r="N3596" t="str">
            <v>CZZ1581</v>
          </cell>
          <cell r="O3596" t="str">
            <v>2003</v>
          </cell>
          <cell r="P3596" t="str">
            <v>25</v>
          </cell>
          <cell r="Q3596" t="str">
            <v>23</v>
          </cell>
        </row>
        <row r="3597">
          <cell r="B3597" t="str">
            <v>5164/16</v>
          </cell>
          <cell r="C3597" t="str">
            <v>2016-0.063.300-1</v>
          </cell>
          <cell r="D3597" t="str">
            <v/>
          </cell>
          <cell r="E3597" t="str">
            <v>04 de abril de 2016</v>
          </cell>
          <cell r="F3597" t="str">
            <v>RJC TRANSPORTES E LOCACAO DE VEICULOS LTDA - ME</v>
          </cell>
          <cell r="G3597" t="str">
            <v>04/04/2016</v>
          </cell>
          <cell r="H3597" t="str">
            <v>13/04/2016</v>
          </cell>
          <cell r="I3597" t="str">
            <v>52</v>
          </cell>
          <cell r="J3597" t="str">
            <v>PESSOA JURÍDICA</v>
          </cell>
          <cell r="K3597" t="str">
            <v>10.918.242/0001-12</v>
          </cell>
          <cell r="L3597" t="str">
            <v>SM</v>
          </cell>
          <cell r="M3597" t="str">
            <v>JOSE IVAN CURY</v>
          </cell>
          <cell r="N3597" t="str">
            <v>ELR2642</v>
          </cell>
          <cell r="O3597" t="str">
            <v>2009</v>
          </cell>
          <cell r="P3597" t="str">
            <v>19</v>
          </cell>
          <cell r="Q3597" t="str">
            <v>18</v>
          </cell>
        </row>
        <row r="3598">
          <cell r="B3598" t="str">
            <v>5165/16</v>
          </cell>
          <cell r="C3598" t="str">
            <v>2016-0.063.364-8</v>
          </cell>
          <cell r="D3598" t="str">
            <v>26/02/2016</v>
          </cell>
          <cell r="E3598" t="str">
            <v>05 de abril de 2016</v>
          </cell>
          <cell r="F3598" t="str">
            <v>GIMENEZ E LATERI TRANSPORTES DE ESCOLAR E DE PASSAGEIROS LTDA - EPP</v>
          </cell>
          <cell r="G3598" t="str">
            <v>05/04/2016</v>
          </cell>
          <cell r="H3598" t="str">
            <v>07/04/2016</v>
          </cell>
          <cell r="I3598" t="str">
            <v>20</v>
          </cell>
          <cell r="J3598" t="str">
            <v>PESSOA JURÍDICA</v>
          </cell>
          <cell r="K3598" t="str">
            <v>16.575.279/0001-71</v>
          </cell>
          <cell r="L3598" t="str">
            <v>SM</v>
          </cell>
          <cell r="M3598" t="str">
            <v>WAGNER DEIO LATERI</v>
          </cell>
          <cell r="N3598" t="str">
            <v>EXO0300</v>
          </cell>
          <cell r="O3598" t="str">
            <v>2012</v>
          </cell>
          <cell r="P3598" t="str">
            <v>19</v>
          </cell>
          <cell r="Q3598" t="str">
            <v>18</v>
          </cell>
        </row>
        <row r="3599">
          <cell r="B3599" t="str">
            <v>5165/16</v>
          </cell>
          <cell r="C3599" t="str">
            <v>2016-0.063.364-8</v>
          </cell>
          <cell r="D3599" t="str">
            <v>07/03/2016</v>
          </cell>
          <cell r="E3599" t="str">
            <v>05 de abril de 2016</v>
          </cell>
          <cell r="F3599" t="str">
            <v>GIMENEZ E LATERI TRANSPORTES DE ESCOLAR E DE PASSAGEIROS LTDA - EPP</v>
          </cell>
          <cell r="G3599" t="str">
            <v>05/04/2016</v>
          </cell>
          <cell r="H3599" t="str">
            <v>07/04/2016</v>
          </cell>
          <cell r="I3599" t="str">
            <v>20</v>
          </cell>
          <cell r="J3599" t="str">
            <v>PESSOA JURÍDICA</v>
          </cell>
          <cell r="K3599" t="str">
            <v>16.575.279/0001-71</v>
          </cell>
          <cell r="L3599" t="str">
            <v>SM</v>
          </cell>
          <cell r="M3599" t="str">
            <v>MAURICIO GIMENEZ MORETTO</v>
          </cell>
          <cell r="N3599" t="str">
            <v>FFE2599</v>
          </cell>
          <cell r="O3599" t="str">
            <v>2012</v>
          </cell>
          <cell r="P3599" t="str">
            <v>19</v>
          </cell>
          <cell r="Q3599" t="str">
            <v>18</v>
          </cell>
        </row>
        <row r="3600">
          <cell r="B3600" t="str">
            <v>5166/16</v>
          </cell>
          <cell r="C3600" t="str">
            <v>2016-0.063.387-7</v>
          </cell>
          <cell r="D3600" t="str">
            <v/>
          </cell>
          <cell r="E3600" t="str">
            <v>17 de março de 2016</v>
          </cell>
          <cell r="F3600" t="str">
            <v>JESSICA TUR TRANSPORTES LTDA - ME</v>
          </cell>
          <cell r="G3600" t="str">
            <v>17/03/2016</v>
          </cell>
          <cell r="H3600" t="str">
            <v>18/03/2016</v>
          </cell>
          <cell r="I3600" t="str">
            <v>26</v>
          </cell>
          <cell r="J3600" t="str">
            <v>PESSOA JURÍDICA</v>
          </cell>
          <cell r="K3600" t="str">
            <v>14.751.376/0001-42</v>
          </cell>
          <cell r="L3600" t="str">
            <v>CL</v>
          </cell>
          <cell r="M3600" t="str">
            <v>MICHEL DE SALES DO CARMOS</v>
          </cell>
          <cell r="N3600" t="str">
            <v>ELW9355</v>
          </cell>
          <cell r="O3600" t="str">
            <v>2011</v>
          </cell>
          <cell r="P3600" t="str">
            <v>18</v>
          </cell>
          <cell r="Q3600" t="str">
            <v>17</v>
          </cell>
        </row>
        <row r="3601">
          <cell r="B3601" t="str">
            <v>5167/16</v>
          </cell>
          <cell r="C3601" t="str">
            <v>2016-0.063.395-8</v>
          </cell>
          <cell r="D3601" t="str">
            <v/>
          </cell>
          <cell r="E3601" t="str">
            <v/>
          </cell>
          <cell r="F3601" t="str">
            <v>HEJUANTUR LOCADORA E TRANSPORTE LTDA - ME</v>
          </cell>
          <cell r="G3601" t="str">
            <v/>
          </cell>
          <cell r="H3601" t="str">
            <v/>
          </cell>
          <cell r="I3601" t="str">
            <v/>
          </cell>
          <cell r="J3601" t="str">
            <v>PESSOA JURÍDICA</v>
          </cell>
          <cell r="K3601" t="str">
            <v>23.359.090/0001-07</v>
          </cell>
          <cell r="L3601" t="str">
            <v>IQ</v>
          </cell>
          <cell r="M3601" t="str">
            <v>ANDERSON LUIS MIRANDA DOS SANTOS</v>
          </cell>
          <cell r="N3601" t="str">
            <v>DTE1096</v>
          </cell>
          <cell r="O3601" t="str">
            <v>2010</v>
          </cell>
          <cell r="P3601" t="str">
            <v>10</v>
          </cell>
          <cell r="Q3601" t="str">
            <v>09</v>
          </cell>
        </row>
        <row r="3602">
          <cell r="B3602" t="str">
            <v>5168/16</v>
          </cell>
          <cell r="C3602" t="str">
            <v>2016-0.063.406-7</v>
          </cell>
          <cell r="D3602" t="str">
            <v/>
          </cell>
          <cell r="E3602" t="str">
            <v>23 de março de 2016</v>
          </cell>
          <cell r="F3602" t="str">
            <v>ACER TRANSPORTES LTDA - ME</v>
          </cell>
          <cell r="G3602" t="str">
            <v>23/03/2016</v>
          </cell>
          <cell r="H3602" t="str">
            <v>25/03/2016</v>
          </cell>
          <cell r="I3602" t="str">
            <v>39</v>
          </cell>
          <cell r="J3602" t="str">
            <v>PESSOA JURÍDICA</v>
          </cell>
          <cell r="K3602" t="str">
            <v>18.616.495/0001-43</v>
          </cell>
          <cell r="L3602" t="str">
            <v>SM</v>
          </cell>
          <cell r="M3602" t="str">
            <v>ADALBERTO CARLOS FIGUEIRAL DOS SANTOS</v>
          </cell>
          <cell r="N3602" t="str">
            <v>FJP5789</v>
          </cell>
          <cell r="O3602" t="str">
            <v>2013</v>
          </cell>
          <cell r="P3602" t="str">
            <v>10</v>
          </cell>
          <cell r="Q3602" t="str">
            <v>9</v>
          </cell>
        </row>
        <row r="3603">
          <cell r="B3603" t="str">
            <v>5169/16</v>
          </cell>
          <cell r="C3603" t="str">
            <v>2016-0.063.411-3</v>
          </cell>
          <cell r="D3603" t="str">
            <v/>
          </cell>
          <cell r="E3603" t="str">
            <v>08 de abril de 2016</v>
          </cell>
          <cell r="F3603" t="str">
            <v>J &amp; Q MARTINS  TRANSPORTES LTDA - ME</v>
          </cell>
          <cell r="G3603" t="str">
            <v>08/04/2016</v>
          </cell>
          <cell r="H3603" t="str">
            <v>09/04/2016</v>
          </cell>
          <cell r="I3603" t="str">
            <v>35</v>
          </cell>
          <cell r="J3603" t="str">
            <v>PESSOA JURÍDICA</v>
          </cell>
          <cell r="K3603" t="str">
            <v>21.054.133/0001-10</v>
          </cell>
          <cell r="L3603" t="str">
            <v>MP</v>
          </cell>
          <cell r="M3603" t="str">
            <v>JOSE MARTINS</v>
          </cell>
          <cell r="N3603" t="str">
            <v>DTA5205</v>
          </cell>
          <cell r="O3603" t="str">
            <v>2007</v>
          </cell>
          <cell r="P3603" t="str">
            <v>29</v>
          </cell>
          <cell r="Q3603" t="str">
            <v>27</v>
          </cell>
        </row>
        <row r="3604">
          <cell r="B3604" t="str">
            <v>5170/16</v>
          </cell>
          <cell r="C3604" t="str">
            <v>2016-0.063.417-2</v>
          </cell>
          <cell r="D3604" t="str">
            <v>21/03/2016</v>
          </cell>
          <cell r="E3604" t="str">
            <v>15 de abril de 2016</v>
          </cell>
          <cell r="F3604" t="str">
            <v>A. V. SILVA TRANSPORTES LTDA - ME</v>
          </cell>
          <cell r="G3604" t="str">
            <v>15/04/2016</v>
          </cell>
          <cell r="H3604" t="str">
            <v>19/04/2016</v>
          </cell>
          <cell r="I3604" t="str">
            <v>30</v>
          </cell>
          <cell r="J3604" t="str">
            <v>PESSOA JURÍDICA</v>
          </cell>
          <cell r="K3604" t="str">
            <v>08.380.588/0001-68</v>
          </cell>
          <cell r="L3604" t="str">
            <v>SA</v>
          </cell>
          <cell r="M3604" t="str">
            <v>ANTONIO VIEIRA DA SILVA</v>
          </cell>
          <cell r="N3604" t="str">
            <v>DTC8510</v>
          </cell>
          <cell r="O3604" t="str">
            <v>2008</v>
          </cell>
          <cell r="P3604" t="str">
            <v>10</v>
          </cell>
          <cell r="Q3604" t="str">
            <v>9</v>
          </cell>
        </row>
        <row r="3605">
          <cell r="B3605" t="str">
            <v>5171/16</v>
          </cell>
          <cell r="C3605" t="str">
            <v>2016-0.063.423-7</v>
          </cell>
          <cell r="D3605" t="str">
            <v/>
          </cell>
          <cell r="E3605" t="str">
            <v>28 de março de 2016</v>
          </cell>
          <cell r="F3605" t="str">
            <v>JOSE DIVAL EVANGELISTA DE OLIVEIRA TRANSPORTE - ME</v>
          </cell>
          <cell r="G3605" t="str">
            <v>28/03/2016</v>
          </cell>
          <cell r="H3605" t="str">
            <v>31/03/2016</v>
          </cell>
          <cell r="I3605" t="str">
            <v>38</v>
          </cell>
          <cell r="J3605" t="str">
            <v>PESSOA JURÍDICA</v>
          </cell>
          <cell r="K3605" t="str">
            <v>03.620.544/0001-44</v>
          </cell>
          <cell r="L3605" t="str">
            <v>SM</v>
          </cell>
          <cell r="M3605" t="str">
            <v>ELISANGELA XAVIER DE OLIVEIRA FARIA</v>
          </cell>
          <cell r="N3605" t="str">
            <v>ECT2010</v>
          </cell>
          <cell r="O3605" t="str">
            <v>2008</v>
          </cell>
          <cell r="P3605" t="str">
            <v>30</v>
          </cell>
          <cell r="Q3605" t="str">
            <v>28</v>
          </cell>
        </row>
        <row r="3606">
          <cell r="B3606" t="str">
            <v>5172/16</v>
          </cell>
          <cell r="C3606" t="str">
            <v>2016-0.063.431-8</v>
          </cell>
          <cell r="D3606" t="str">
            <v/>
          </cell>
          <cell r="E3606" t="str">
            <v>04 de abril de 2016</v>
          </cell>
          <cell r="F3606" t="str">
            <v>TRANSPORTES STAMPACHIO LTDA - ME</v>
          </cell>
          <cell r="G3606" t="str">
            <v>14/03/2016</v>
          </cell>
          <cell r="H3606" t="str">
            <v>25/03/2016</v>
          </cell>
          <cell r="I3606" t="str">
            <v>39</v>
          </cell>
          <cell r="J3606" t="str">
            <v>PESSOA JURÍDICA</v>
          </cell>
          <cell r="K3606" t="str">
            <v>13.673.724/0001-48</v>
          </cell>
          <cell r="L3606" t="str">
            <v>G</v>
          </cell>
          <cell r="M3606" t="str">
            <v>WILSON ADEMIR STAMPACHIO</v>
          </cell>
          <cell r="N3606" t="str">
            <v>DTD4302</v>
          </cell>
          <cell r="O3606" t="str">
            <v>2008</v>
          </cell>
          <cell r="P3606" t="str">
            <v>29</v>
          </cell>
          <cell r="Q3606" t="str">
            <v>28</v>
          </cell>
        </row>
        <row r="3607">
          <cell r="B3607" t="str">
            <v>5172/16</v>
          </cell>
          <cell r="C3607" t="str">
            <v>2016-0.063.431-8</v>
          </cell>
          <cell r="D3607" t="str">
            <v/>
          </cell>
          <cell r="E3607" t="str">
            <v>14 de março de 2016</v>
          </cell>
          <cell r="F3607" t="str">
            <v>TRANSPORTES STAMPACHIO LTDA - ME</v>
          </cell>
          <cell r="G3607" t="str">
            <v>14/03/2016</v>
          </cell>
          <cell r="H3607" t="str">
            <v>25/03/2016</v>
          </cell>
          <cell r="I3607" t="str">
            <v>39</v>
          </cell>
          <cell r="J3607" t="str">
            <v>PESSOA JURÍDICA</v>
          </cell>
          <cell r="K3607" t="str">
            <v>13.673.724/0001-48</v>
          </cell>
          <cell r="L3607" t="str">
            <v>SM</v>
          </cell>
          <cell r="M3607" t="str">
            <v>JOSE APARECIDO DOS SANTOS</v>
          </cell>
          <cell r="N3607" t="str">
            <v>DTA2329</v>
          </cell>
          <cell r="O3607" t="str">
            <v>2008</v>
          </cell>
          <cell r="P3607" t="str">
            <v>29</v>
          </cell>
          <cell r="Q3607" t="str">
            <v>28</v>
          </cell>
        </row>
        <row r="3608">
          <cell r="B3608" t="str">
            <v>5173/16</v>
          </cell>
          <cell r="C3608" t="str">
            <v>2016-0.063.438-5</v>
          </cell>
          <cell r="D3608" t="str">
            <v>03/03/2016</v>
          </cell>
          <cell r="E3608" t="str">
            <v>27 de abril de 2016</v>
          </cell>
          <cell r="F3608" t="str">
            <v>JANAINA APARECIDA RIBEIRO DA CRUZ ROZENDO - ME</v>
          </cell>
          <cell r="G3608" t="str">
            <v>27/04/2016</v>
          </cell>
          <cell r="H3608" t="str">
            <v/>
          </cell>
          <cell r="I3608" t="str">
            <v/>
          </cell>
          <cell r="J3608" t="str">
            <v>PESSOA JURÍDICA</v>
          </cell>
          <cell r="K3608" t="str">
            <v>10.844.193/0001-10</v>
          </cell>
          <cell r="L3608" t="str">
            <v>G</v>
          </cell>
          <cell r="M3608" t="str">
            <v>JANAINA APARECIDA RIBEIRO DA CRUZ ROZENDO</v>
          </cell>
          <cell r="N3608" t="str">
            <v>DTD8040</v>
          </cell>
          <cell r="O3608" t="str">
            <v>2009</v>
          </cell>
          <cell r="P3608" t="str">
            <v>19</v>
          </cell>
          <cell r="Q3608" t="str">
            <v>18</v>
          </cell>
        </row>
        <row r="3609">
          <cell r="B3609" t="str">
            <v>5173/16</v>
          </cell>
          <cell r="C3609" t="str">
            <v>2016-0.063.438-5</v>
          </cell>
          <cell r="D3609" t="str">
            <v>11/04/2016</v>
          </cell>
          <cell r="E3609" t="str">
            <v>27 de abril de 2016</v>
          </cell>
          <cell r="F3609" t="str">
            <v>JANAINA APARECIDA RIBEIRO DA CRUZ ROZENDO - ME</v>
          </cell>
          <cell r="G3609" t="str">
            <v>27/04/2016</v>
          </cell>
          <cell r="H3609" t="str">
            <v/>
          </cell>
          <cell r="I3609" t="str">
            <v/>
          </cell>
          <cell r="J3609" t="str">
            <v>PESSOA JURÍDICA</v>
          </cell>
          <cell r="K3609" t="str">
            <v>10.844.193/0001-10</v>
          </cell>
          <cell r="L3609" t="str">
            <v>G</v>
          </cell>
          <cell r="M3609" t="str">
            <v>ANA PAULA DE SOUZA MAIA</v>
          </cell>
          <cell r="N3609" t="str">
            <v>ERP7831</v>
          </cell>
          <cell r="O3609" t="str">
            <v>2010</v>
          </cell>
          <cell r="P3609" t="str">
            <v>15</v>
          </cell>
          <cell r="Q3609" t="str">
            <v>14</v>
          </cell>
        </row>
        <row r="3610">
          <cell r="B3610" t="str">
            <v>5173/16</v>
          </cell>
          <cell r="C3610" t="str">
            <v>2016-0.063.438-5</v>
          </cell>
          <cell r="D3610" t="str">
            <v>28/03/2016</v>
          </cell>
          <cell r="E3610" t="str">
            <v>27 de abril de 2016</v>
          </cell>
          <cell r="F3610" t="str">
            <v>JANAINA APARECIDA RIBEIRO DA CRUZ ROZENDO - ME</v>
          </cell>
          <cell r="G3610" t="str">
            <v>27/04/2016</v>
          </cell>
          <cell r="H3610" t="str">
            <v/>
          </cell>
          <cell r="I3610" t="str">
            <v/>
          </cell>
          <cell r="J3610" t="str">
            <v>PESSOA JURÍDICA</v>
          </cell>
          <cell r="K3610" t="str">
            <v>10.844.193/0001-10</v>
          </cell>
          <cell r="L3610" t="str">
            <v>G</v>
          </cell>
          <cell r="M3610" t="str">
            <v>SAMUEL DOS SANTOS LOURENCO</v>
          </cell>
          <cell r="N3610" t="str">
            <v>DTC3840</v>
          </cell>
          <cell r="O3610" t="str">
            <v>2007</v>
          </cell>
          <cell r="P3610" t="str">
            <v>29</v>
          </cell>
          <cell r="Q3610" t="str">
            <v>27</v>
          </cell>
        </row>
        <row r="3611">
          <cell r="B3611" t="str">
            <v>5174/16</v>
          </cell>
          <cell r="C3611" t="str">
            <v>2016-0.063.449-0</v>
          </cell>
          <cell r="D3611" t="str">
            <v/>
          </cell>
          <cell r="E3611" t="str">
            <v/>
          </cell>
          <cell r="F3611" t="str">
            <v>TRANSPORTE ESCOLAR NOSSA SENHORA DE FATIMA S/S LTDA - ME</v>
          </cell>
          <cell r="G3611" t="str">
            <v/>
          </cell>
          <cell r="H3611" t="str">
            <v/>
          </cell>
          <cell r="I3611" t="str">
            <v/>
          </cell>
          <cell r="J3611" t="str">
            <v>PESSOA JURÍDICA</v>
          </cell>
          <cell r="K3611" t="str">
            <v>02.907.967/0001-87</v>
          </cell>
          <cell r="L3611" t="str">
            <v>CS</v>
          </cell>
          <cell r="M3611" t="str">
            <v>RAFAEL DO PRADO QUEIROZ</v>
          </cell>
          <cell r="N3611" t="str">
            <v>DSA5687</v>
          </cell>
          <cell r="O3611" t="str">
            <v>2007</v>
          </cell>
          <cell r="P3611" t="str">
            <v>25</v>
          </cell>
          <cell r="Q3611" t="str">
            <v>23</v>
          </cell>
        </row>
        <row r="3612">
          <cell r="B3612" t="str">
            <v>5174/16</v>
          </cell>
          <cell r="C3612" t="str">
            <v>2016-0.063.449-0</v>
          </cell>
          <cell r="D3612" t="str">
            <v>27/02/2016</v>
          </cell>
          <cell r="E3612" t="str">
            <v/>
          </cell>
          <cell r="F3612" t="str">
            <v>TRANSPORTE ESCOLAR NOSSA SENHORA DE FATIMA S/S LTDA - ME</v>
          </cell>
          <cell r="G3612" t="str">
            <v/>
          </cell>
          <cell r="H3612" t="str">
            <v/>
          </cell>
          <cell r="I3612" t="str">
            <v/>
          </cell>
          <cell r="J3612" t="str">
            <v>PESSOA JURÍDICA</v>
          </cell>
          <cell r="K3612" t="str">
            <v>02.907.967/0001-87</v>
          </cell>
          <cell r="L3612" t="str">
            <v>CS</v>
          </cell>
          <cell r="M3612" t="str">
            <v>WAGNER FRANCA DA SILVA</v>
          </cell>
          <cell r="N3612" t="str">
            <v>ELW4438</v>
          </cell>
          <cell r="O3612" t="str">
            <v>2011</v>
          </cell>
          <cell r="P3612" t="str">
            <v>18</v>
          </cell>
          <cell r="Q3612" t="str">
            <v>17</v>
          </cell>
        </row>
        <row r="3613">
          <cell r="B3613" t="str">
            <v>5174/16</v>
          </cell>
          <cell r="C3613" t="str">
            <v>2016-0.063.449-0</v>
          </cell>
          <cell r="D3613" t="str">
            <v/>
          </cell>
          <cell r="E3613" t="str">
            <v/>
          </cell>
          <cell r="F3613" t="str">
            <v>TRANSPORTE ESCOLAR NOSSA SENHORA DE FATIMA S/S LTDA - ME</v>
          </cell>
          <cell r="G3613" t="str">
            <v/>
          </cell>
          <cell r="H3613" t="str">
            <v/>
          </cell>
          <cell r="I3613" t="str">
            <v/>
          </cell>
          <cell r="J3613" t="str">
            <v>PESSOA JURÍDICA</v>
          </cell>
          <cell r="K3613" t="str">
            <v>02.907.967/0001-87</v>
          </cell>
          <cell r="L3613" t="str">
            <v>CS</v>
          </cell>
          <cell r="M3613" t="str">
            <v>JORGE DONIZETE DA SILVA</v>
          </cell>
          <cell r="N3613" t="str">
            <v>EFV5466</v>
          </cell>
          <cell r="O3613" t="str">
            <v>2010</v>
          </cell>
          <cell r="P3613" t="str">
            <v>19</v>
          </cell>
          <cell r="Q3613" t="str">
            <v>18</v>
          </cell>
        </row>
        <row r="3614">
          <cell r="B3614" t="str">
            <v>5175/16</v>
          </cell>
          <cell r="C3614" t="str">
            <v>2016-0.063.477-6</v>
          </cell>
          <cell r="D3614" t="str">
            <v/>
          </cell>
          <cell r="E3614" t="str">
            <v>14 de março de 2016</v>
          </cell>
          <cell r="F3614" t="str">
            <v>GRINGO TRANSPORTES LTDA - ME</v>
          </cell>
          <cell r="G3614" t="str">
            <v>14/03/2016</v>
          </cell>
          <cell r="H3614" t="str">
            <v>31/03/2016</v>
          </cell>
          <cell r="I3614" t="str">
            <v>38</v>
          </cell>
          <cell r="J3614" t="str">
            <v>PESSOA JURÍDICA</v>
          </cell>
          <cell r="K3614" t="str">
            <v>15.095.777/0001-54</v>
          </cell>
          <cell r="L3614" t="str">
            <v>CS</v>
          </cell>
          <cell r="M3614" t="str">
            <v>MAURICIO GOMES DA SILVA NETO</v>
          </cell>
          <cell r="N3614" t="str">
            <v>DTD3007</v>
          </cell>
          <cell r="O3614" t="str">
            <v>2007</v>
          </cell>
          <cell r="P3614" t="str">
            <v>29</v>
          </cell>
          <cell r="Q3614" t="str">
            <v>27</v>
          </cell>
        </row>
        <row r="3615">
          <cell r="B3615" t="str">
            <v>5176/16</v>
          </cell>
          <cell r="C3615" t="str">
            <v>2016-0.063.482-2</v>
          </cell>
          <cell r="D3615" t="str">
            <v>07/03/2016</v>
          </cell>
          <cell r="E3615" t="str">
            <v>07 de abril de 2016</v>
          </cell>
          <cell r="F3615" t="str">
            <v>PEPTUR TRANSPORTES E LOCADORA LTDA - ME</v>
          </cell>
          <cell r="G3615" t="str">
            <v>07/04/2016</v>
          </cell>
          <cell r="H3615" t="str">
            <v>09/04/2016</v>
          </cell>
          <cell r="I3615" t="str">
            <v>35</v>
          </cell>
          <cell r="J3615" t="str">
            <v>PESSOA JURÍDICA</v>
          </cell>
          <cell r="K3615" t="str">
            <v>13.274.003/0001-65</v>
          </cell>
          <cell r="L3615" t="str">
            <v>G</v>
          </cell>
          <cell r="M3615" t="str">
            <v>SEVERINA FERREIRA SANTOS</v>
          </cell>
          <cell r="N3615" t="str">
            <v>DTD3798</v>
          </cell>
          <cell r="O3615" t="str">
            <v>2007</v>
          </cell>
          <cell r="P3615" t="str">
            <v>29</v>
          </cell>
          <cell r="Q3615" t="str">
            <v>27</v>
          </cell>
        </row>
        <row r="3616">
          <cell r="B3616" t="str">
            <v>5177/16</v>
          </cell>
          <cell r="C3616" t="str">
            <v>2016-0.063.486-5</v>
          </cell>
          <cell r="D3616" t="str">
            <v/>
          </cell>
          <cell r="E3616" t="str">
            <v/>
          </cell>
          <cell r="F3616" t="str">
            <v>A.R. SOUZA TRANSPORTE LTDA - ME</v>
          </cell>
          <cell r="G3616" t="str">
            <v/>
          </cell>
          <cell r="H3616" t="str">
            <v/>
          </cell>
          <cell r="I3616" t="str">
            <v/>
          </cell>
          <cell r="J3616" t="str">
            <v>PESSOA JURÍDICA</v>
          </cell>
          <cell r="K3616" t="str">
            <v>97.544.092/0001-02</v>
          </cell>
          <cell r="L3616" t="str">
            <v>PJ</v>
          </cell>
          <cell r="M3616" t="str">
            <v>SHEILA ROBERTA DE MACEDO</v>
          </cell>
          <cell r="N3616" t="str">
            <v>ESU4021</v>
          </cell>
          <cell r="O3616" t="str">
            <v>2010</v>
          </cell>
          <cell r="P3616" t="str">
            <v>10</v>
          </cell>
          <cell r="Q3616" t="str">
            <v>9</v>
          </cell>
        </row>
        <row r="3617">
          <cell r="B3617" t="str">
            <v>5177/16</v>
          </cell>
          <cell r="C3617" t="str">
            <v>2016-0.063.486-5</v>
          </cell>
          <cell r="D3617" t="str">
            <v/>
          </cell>
          <cell r="E3617" t="str">
            <v/>
          </cell>
          <cell r="F3617" t="str">
            <v>A.R. SOUZA TRANSPORTE LTDA - ME</v>
          </cell>
          <cell r="G3617" t="str">
            <v/>
          </cell>
          <cell r="H3617" t="str">
            <v/>
          </cell>
          <cell r="I3617" t="str">
            <v/>
          </cell>
          <cell r="J3617" t="str">
            <v>PESSOA JURÍDICA</v>
          </cell>
          <cell r="K3617" t="str">
            <v>97.544.092/0001-02</v>
          </cell>
          <cell r="L3617" t="str">
            <v>IP</v>
          </cell>
          <cell r="M3617" t="str">
            <v>CLAUDIO DA SILVA FERNANDES</v>
          </cell>
          <cell r="N3617" t="str">
            <v>EFV8700</v>
          </cell>
          <cell r="O3617" t="str">
            <v>2010</v>
          </cell>
          <cell r="P3617" t="str">
            <v>19</v>
          </cell>
          <cell r="Q3617" t="str">
            <v>18</v>
          </cell>
        </row>
        <row r="3618">
          <cell r="B3618" t="str">
            <v>5178/16</v>
          </cell>
          <cell r="C3618" t="str">
            <v>2016-0.063.498-9</v>
          </cell>
          <cell r="D3618" t="str">
            <v/>
          </cell>
          <cell r="E3618" t="str">
            <v>14 de março de 2016</v>
          </cell>
          <cell r="F3618" t="str">
            <v>JOAO MARCOS LIMA CRUZ - TRANSPORTES - ME</v>
          </cell>
          <cell r="G3618" t="str">
            <v>14/03/2016</v>
          </cell>
          <cell r="H3618" t="str">
            <v>31/03/2016</v>
          </cell>
          <cell r="I3618" t="str">
            <v>38</v>
          </cell>
          <cell r="J3618" t="str">
            <v>PESSOA JURÍDICA</v>
          </cell>
          <cell r="K3618" t="str">
            <v>17.680.728/0001-04</v>
          </cell>
          <cell r="L3618" t="str">
            <v>CS</v>
          </cell>
          <cell r="M3618" t="str">
            <v>JOAO MARCOS LIMA CRUZ</v>
          </cell>
          <cell r="N3618" t="str">
            <v>CZZ1629</v>
          </cell>
          <cell r="O3618" t="str">
            <v>2002</v>
          </cell>
          <cell r="P3618" t="str">
            <v>25</v>
          </cell>
          <cell r="Q3618" t="str">
            <v>23</v>
          </cell>
        </row>
        <row r="3619">
          <cell r="B3619" t="str">
            <v>5179/16</v>
          </cell>
          <cell r="C3619" t="str">
            <v>2016-0.063.518-7</v>
          </cell>
          <cell r="D3619" t="str">
            <v/>
          </cell>
          <cell r="E3619" t="str">
            <v>14 de março de 2016</v>
          </cell>
          <cell r="F3619" t="str">
            <v>LOCATRANSELIAS LOCADORA DE TRANSPORTE ESCOLAR LTDA - ME</v>
          </cell>
          <cell r="G3619" t="str">
            <v>14/03/2016</v>
          </cell>
          <cell r="H3619" t="str">
            <v>25/03/2016</v>
          </cell>
          <cell r="I3619" t="str">
            <v>39</v>
          </cell>
          <cell r="J3619" t="str">
            <v>PESSOA JURÍDICA</v>
          </cell>
          <cell r="K3619" t="str">
            <v>16.537.386/0001-05</v>
          </cell>
          <cell r="L3619" t="str">
            <v>CS</v>
          </cell>
          <cell r="M3619" t="str">
            <v>GILSON ELIAS DOS SANTOS</v>
          </cell>
          <cell r="N3619" t="str">
            <v>EAP8068</v>
          </cell>
          <cell r="O3619" t="str">
            <v>2007</v>
          </cell>
          <cell r="P3619" t="str">
            <v>29</v>
          </cell>
          <cell r="Q3619" t="str">
            <v>27</v>
          </cell>
        </row>
        <row r="3620">
          <cell r="B3620" t="str">
            <v>5180/16</v>
          </cell>
          <cell r="C3620" t="str">
            <v>2016-0.063.525-0</v>
          </cell>
          <cell r="D3620" t="str">
            <v/>
          </cell>
          <cell r="E3620" t="str">
            <v/>
          </cell>
          <cell r="F3620" t="str">
            <v>AV CUNHA TRANSPORTES - ME</v>
          </cell>
          <cell r="G3620" t="str">
            <v/>
          </cell>
          <cell r="H3620" t="str">
            <v/>
          </cell>
          <cell r="I3620" t="str">
            <v/>
          </cell>
          <cell r="J3620" t="str">
            <v>PESSOA JURÍDICA</v>
          </cell>
          <cell r="K3620" t="str">
            <v>16.707.669/0001-58</v>
          </cell>
          <cell r="L3620" t="str">
            <v>CS</v>
          </cell>
          <cell r="M3620" t="str">
            <v>ALEXANDRE VASCONCELOS CUNHA</v>
          </cell>
          <cell r="N3620" t="str">
            <v>DTD0920</v>
          </cell>
          <cell r="O3620" t="str">
            <v>2007</v>
          </cell>
          <cell r="P3620" t="str">
            <v>29</v>
          </cell>
          <cell r="Q3620" t="str">
            <v>27</v>
          </cell>
        </row>
        <row r="3621">
          <cell r="B3621" t="str">
            <v>5181/16</v>
          </cell>
          <cell r="C3621" t="str">
            <v>2016-0.063.529-2</v>
          </cell>
          <cell r="D3621" t="str">
            <v/>
          </cell>
          <cell r="E3621" t="str">
            <v>21 de março de 2016</v>
          </cell>
          <cell r="F3621" t="str">
            <v>EDITRANS TRANSPORTES LTDA - ME</v>
          </cell>
          <cell r="G3621" t="str">
            <v>21/03/2016</v>
          </cell>
          <cell r="H3621" t="str">
            <v>23/03/2016</v>
          </cell>
          <cell r="I3621" t="str">
            <v>60</v>
          </cell>
          <cell r="J3621" t="str">
            <v>PESSOA JURÍDICA</v>
          </cell>
          <cell r="K3621" t="str">
            <v>17.844.997/0001-69</v>
          </cell>
          <cell r="L3621" t="str">
            <v>CS</v>
          </cell>
          <cell r="M3621" t="str">
            <v>EDNALDO SOUZA SANTOS</v>
          </cell>
          <cell r="N3621" t="str">
            <v>DTD3128</v>
          </cell>
          <cell r="O3621" t="str">
            <v>2007</v>
          </cell>
          <cell r="P3621" t="str">
            <v>29</v>
          </cell>
          <cell r="Q3621" t="str">
            <v>27</v>
          </cell>
        </row>
        <row r="3622">
          <cell r="B3622" t="str">
            <v>5182/16</v>
          </cell>
          <cell r="C3622" t="str">
            <v>2016-0.063.531-4</v>
          </cell>
          <cell r="D3622" t="str">
            <v>21/03/2016</v>
          </cell>
          <cell r="E3622" t="str">
            <v>14 de abril de 2016</v>
          </cell>
          <cell r="F3622" t="str">
            <v>M DE F F DA SILVA TRANSPORTES - ME</v>
          </cell>
          <cell r="G3622" t="str">
            <v>14/04/2016</v>
          </cell>
          <cell r="H3622" t="str">
            <v>19/04/2016</v>
          </cell>
          <cell r="I3622" t="str">
            <v>30</v>
          </cell>
          <cell r="J3622" t="str">
            <v>PESSOA JURÍDICA</v>
          </cell>
          <cell r="K3622" t="str">
            <v>19.811.870/0001-79</v>
          </cell>
          <cell r="L3622" t="str">
            <v>CS</v>
          </cell>
          <cell r="M3622" t="str">
            <v>MARIA DE FATIMA FERNANDES DA SILVA</v>
          </cell>
          <cell r="N3622" t="str">
            <v>DTC3455</v>
          </cell>
          <cell r="O3622" t="str">
            <v>2007</v>
          </cell>
          <cell r="P3622" t="str">
            <v>29</v>
          </cell>
          <cell r="Q3622" t="str">
            <v>28</v>
          </cell>
        </row>
        <row r="3623">
          <cell r="B3623" t="str">
            <v>5183/16</v>
          </cell>
          <cell r="C3623" t="str">
            <v>2016-0.063.535-7</v>
          </cell>
          <cell r="D3623" t="str">
            <v/>
          </cell>
          <cell r="E3623" t="str">
            <v>21 de março de 2016</v>
          </cell>
          <cell r="F3623" t="str">
            <v>NIHONJI TRANSPORTES LTDA - ME</v>
          </cell>
          <cell r="G3623" t="str">
            <v>21/03/2016</v>
          </cell>
          <cell r="H3623" t="str">
            <v>25/03/2016</v>
          </cell>
          <cell r="I3623" t="str">
            <v>39</v>
          </cell>
          <cell r="J3623" t="str">
            <v>PESSOA JURÍDICA</v>
          </cell>
          <cell r="K3623" t="str">
            <v>16.707.931/0001-64</v>
          </cell>
          <cell r="L3623" t="str">
            <v>CS</v>
          </cell>
          <cell r="M3623" t="str">
            <v>JANIO MATSUDA</v>
          </cell>
          <cell r="N3623" t="str">
            <v>DTA9450</v>
          </cell>
          <cell r="O3623" t="str">
            <v>2007</v>
          </cell>
          <cell r="P3623" t="str">
            <v>44</v>
          </cell>
          <cell r="Q3623" t="str">
            <v>43</v>
          </cell>
        </row>
        <row r="3624">
          <cell r="B3624" t="str">
            <v>5184/16</v>
          </cell>
          <cell r="C3624" t="str">
            <v>2016-0.063.539-0</v>
          </cell>
          <cell r="D3624" t="str">
            <v/>
          </cell>
          <cell r="E3624" t="str">
            <v>22 de março de 2016</v>
          </cell>
          <cell r="F3624" t="str">
            <v>AMERICOBIRO TRANSPORTE E TURISMO LTDA - ME</v>
          </cell>
          <cell r="G3624" t="str">
            <v>22/03/2016</v>
          </cell>
          <cell r="H3624" t="str">
            <v>25/03/2016</v>
          </cell>
          <cell r="I3624" t="str">
            <v>39</v>
          </cell>
          <cell r="J3624" t="str">
            <v>PESSOA JURÍDICA</v>
          </cell>
          <cell r="K3624" t="str">
            <v>20.676.931/0001-11</v>
          </cell>
          <cell r="L3624" t="str">
            <v>CS</v>
          </cell>
          <cell r="M3624" t="str">
            <v>ANDERSON MEDEIROS DA SILVA</v>
          </cell>
          <cell r="N3624" t="str">
            <v>DTD2720</v>
          </cell>
          <cell r="O3624" t="str">
            <v>2007</v>
          </cell>
          <cell r="P3624" t="str">
            <v>29</v>
          </cell>
          <cell r="Q3624" t="str">
            <v>27</v>
          </cell>
        </row>
        <row r="3625">
          <cell r="B3625" t="str">
            <v>5185/16</v>
          </cell>
          <cell r="C3625" t="str">
            <v>2016-0.063.540-3</v>
          </cell>
          <cell r="D3625" t="str">
            <v/>
          </cell>
          <cell r="E3625" t="str">
            <v>28 de março de 2016</v>
          </cell>
          <cell r="F3625" t="str">
            <v>BELA VISTA TURISMO LTDA - ME</v>
          </cell>
          <cell r="G3625" t="str">
            <v>28/03/2016</v>
          </cell>
          <cell r="H3625" t="str">
            <v>13/04/2016</v>
          </cell>
          <cell r="I3625" t="str">
            <v>52</v>
          </cell>
          <cell r="J3625" t="str">
            <v>PESSOA JURÍDICA</v>
          </cell>
          <cell r="K3625" t="str">
            <v>15.114.882/0001-93</v>
          </cell>
          <cell r="L3625" t="str">
            <v>CS</v>
          </cell>
          <cell r="M3625" t="str">
            <v>APARECIDO EUGENIO DA SILVA</v>
          </cell>
          <cell r="N3625" t="str">
            <v>ELQ9770</v>
          </cell>
          <cell r="O3625" t="str">
            <v>2011</v>
          </cell>
          <cell r="P3625" t="str">
            <v>19</v>
          </cell>
          <cell r="Q3625" t="str">
            <v>18</v>
          </cell>
        </row>
        <row r="3626">
          <cell r="B3626" t="str">
            <v>5186/16</v>
          </cell>
          <cell r="C3626" t="str">
            <v>2016-0.063.545-4</v>
          </cell>
          <cell r="D3626" t="str">
            <v/>
          </cell>
          <cell r="E3626" t="str">
            <v/>
          </cell>
          <cell r="F3626" t="str">
            <v>POLAKO E FEITOSA TRANSPORTES LTDA - ME</v>
          </cell>
          <cell r="G3626" t="str">
            <v/>
          </cell>
          <cell r="H3626" t="str">
            <v/>
          </cell>
          <cell r="I3626" t="str">
            <v/>
          </cell>
          <cell r="J3626" t="str">
            <v>PESSOA JURÍDICA</v>
          </cell>
          <cell r="K3626" t="str">
            <v>09.074.636/0001-52</v>
          </cell>
          <cell r="L3626" t="str">
            <v>CS</v>
          </cell>
          <cell r="M3626" t="str">
            <v>MARIA APARECIDA DE MORAIS</v>
          </cell>
          <cell r="N3626" t="str">
            <v>DTA0365</v>
          </cell>
          <cell r="O3626" t="str">
            <v>2007</v>
          </cell>
          <cell r="P3626" t="str">
            <v>29</v>
          </cell>
          <cell r="Q3626" t="str">
            <v>27</v>
          </cell>
        </row>
        <row r="3627">
          <cell r="B3627" t="str">
            <v>5186/16</v>
          </cell>
          <cell r="C3627" t="str">
            <v>2016-0.063.545-4</v>
          </cell>
          <cell r="D3627" t="str">
            <v/>
          </cell>
          <cell r="E3627" t="str">
            <v/>
          </cell>
          <cell r="F3627" t="str">
            <v>POLAKO E FEITOSA TRANSPORTES LTDA - ME</v>
          </cell>
          <cell r="G3627" t="str">
            <v/>
          </cell>
          <cell r="H3627" t="str">
            <v/>
          </cell>
          <cell r="I3627" t="str">
            <v/>
          </cell>
          <cell r="J3627" t="str">
            <v>PESSOA JURÍDICA</v>
          </cell>
          <cell r="K3627" t="str">
            <v>09.074.636/0001-52</v>
          </cell>
          <cell r="L3627" t="str">
            <v>CS</v>
          </cell>
          <cell r="M3627" t="str">
            <v>JORGE GABRIEL DA SILVA</v>
          </cell>
          <cell r="N3627" t="str">
            <v>DTA2765</v>
          </cell>
          <cell r="O3627" t="str">
            <v>2006</v>
          </cell>
          <cell r="P3627" t="str">
            <v>29</v>
          </cell>
          <cell r="Q3627" t="str">
            <v>27</v>
          </cell>
        </row>
        <row r="3628">
          <cell r="B3628" t="str">
            <v>5187/16</v>
          </cell>
          <cell r="C3628" t="str">
            <v>2016-0.063.546-2</v>
          </cell>
          <cell r="D3628" t="str">
            <v/>
          </cell>
          <cell r="E3628" t="str">
            <v/>
          </cell>
          <cell r="F3628" t="str">
            <v>BILL &amp; CIDA TRANSPORTES LTDA</v>
          </cell>
          <cell r="G3628" t="str">
            <v/>
          </cell>
          <cell r="H3628" t="str">
            <v/>
          </cell>
          <cell r="I3628" t="str">
            <v/>
          </cell>
          <cell r="J3628" t="str">
            <v>PESSOA JURÍDICA</v>
          </cell>
          <cell r="K3628" t="str">
            <v>11.392.345/0001-54</v>
          </cell>
          <cell r="L3628" t="str">
            <v>CS</v>
          </cell>
          <cell r="M3628" t="str">
            <v>MARIA APARECIDA BEZERRA DOS SANTOS</v>
          </cell>
          <cell r="N3628" t="str">
            <v>EFV1509</v>
          </cell>
          <cell r="O3628" t="str">
            <v>2009</v>
          </cell>
          <cell r="P3628" t="str">
            <v>19</v>
          </cell>
          <cell r="Q3628" t="str">
            <v>18</v>
          </cell>
        </row>
        <row r="3629">
          <cell r="B3629" t="str">
            <v>5188/16</v>
          </cell>
          <cell r="C3629" t="str">
            <v>2016-0.063.547-0</v>
          </cell>
          <cell r="D3629" t="str">
            <v/>
          </cell>
          <cell r="E3629" t="str">
            <v/>
          </cell>
          <cell r="F3629" t="str">
            <v>SUN COSTA TRANSPORTES LTDA - ME</v>
          </cell>
          <cell r="G3629" t="str">
            <v>21/03/2016</v>
          </cell>
          <cell r="H3629" t="str">
            <v>02/04/2016</v>
          </cell>
          <cell r="I3629" t="str">
            <v>44</v>
          </cell>
          <cell r="J3629" t="str">
            <v>PESSOA JURÍDICA</v>
          </cell>
          <cell r="K3629" t="str">
            <v>12.989.903/0001-26</v>
          </cell>
          <cell r="L3629" t="str">
            <v>CS</v>
          </cell>
          <cell r="M3629" t="str">
            <v>RICARDO JESUS DA SILVA</v>
          </cell>
          <cell r="N3629" t="str">
            <v>EZO7108</v>
          </cell>
          <cell r="O3629" t="str">
            <v>2012</v>
          </cell>
          <cell r="P3629" t="str">
            <v>15</v>
          </cell>
          <cell r="Q3629" t="str">
            <v>14</v>
          </cell>
        </row>
        <row r="3630">
          <cell r="B3630" t="str">
            <v>5188/16</v>
          </cell>
          <cell r="C3630" t="str">
            <v>2016-0.063.547-0</v>
          </cell>
          <cell r="D3630" t="str">
            <v/>
          </cell>
          <cell r="E3630" t="str">
            <v>21 de março de 2016</v>
          </cell>
          <cell r="F3630" t="str">
            <v>SUN COSTA TRANSPORTES LTDA - ME</v>
          </cell>
          <cell r="G3630" t="str">
            <v>21/03/2016</v>
          </cell>
          <cell r="H3630" t="str">
            <v>02/04/2016</v>
          </cell>
          <cell r="I3630" t="str">
            <v>44</v>
          </cell>
          <cell r="J3630" t="str">
            <v>PESSOA JURÍDICA</v>
          </cell>
          <cell r="K3630" t="str">
            <v>12.989.903/0001-26</v>
          </cell>
          <cell r="L3630" t="str">
            <v>CS</v>
          </cell>
          <cell r="M3630" t="str">
            <v>JOCIANE DOS SANTOS SOUZA</v>
          </cell>
          <cell r="N3630" t="str">
            <v>DJF6930</v>
          </cell>
          <cell r="O3630" t="str">
            <v>2006</v>
          </cell>
          <cell r="P3630" t="str">
            <v>25</v>
          </cell>
          <cell r="Q3630" t="str">
            <v>23</v>
          </cell>
        </row>
        <row r="3631">
          <cell r="B3631" t="str">
            <v>5189/16</v>
          </cell>
          <cell r="C3631" t="str">
            <v>2016-0.063.556-0</v>
          </cell>
          <cell r="D3631" t="str">
            <v>22/02/2016</v>
          </cell>
          <cell r="E3631" t="str">
            <v>21 de março de 2016</v>
          </cell>
          <cell r="F3631" t="str">
            <v>S C MIGLIORANZA TRANSPORTES - ME</v>
          </cell>
          <cell r="G3631" t="str">
            <v>21/03/2016</v>
          </cell>
          <cell r="H3631" t="str">
            <v>22/03/2016</v>
          </cell>
          <cell r="I3631" t="str">
            <v>31</v>
          </cell>
          <cell r="J3631" t="str">
            <v>PESSOA JURÍDICA</v>
          </cell>
          <cell r="K3631" t="str">
            <v>18.274.387/0001-30</v>
          </cell>
          <cell r="L3631" t="str">
            <v>PJ</v>
          </cell>
          <cell r="M3631" t="str">
            <v>SILENE CANOSSA MIGLIORANZA</v>
          </cell>
          <cell r="N3631" t="str">
            <v>CZZ1517</v>
          </cell>
          <cell r="O3631" t="str">
            <v>2002</v>
          </cell>
          <cell r="P3631" t="str">
            <v>25</v>
          </cell>
          <cell r="Q3631" t="str">
            <v>23</v>
          </cell>
        </row>
        <row r="3632">
          <cell r="B3632" t="str">
            <v>5190/16</v>
          </cell>
          <cell r="C3632" t="str">
            <v>2016-0.063.558-6</v>
          </cell>
          <cell r="D3632" t="str">
            <v/>
          </cell>
          <cell r="E3632" t="str">
            <v>24 de março de 2016</v>
          </cell>
          <cell r="F3632" t="str">
            <v>MARIA APARECIDA NUNES DE OLIVEIRA - TRANSPORTES - ME</v>
          </cell>
          <cell r="G3632" t="str">
            <v>24/03/2016</v>
          </cell>
          <cell r="H3632" t="str">
            <v>25/03/2016</v>
          </cell>
          <cell r="I3632" t="str">
            <v>40</v>
          </cell>
          <cell r="J3632" t="str">
            <v>PESSOA JURÍDICA</v>
          </cell>
          <cell r="K3632" t="str">
            <v>16.841.685/0001-39</v>
          </cell>
          <cell r="L3632" t="str">
            <v>JT</v>
          </cell>
          <cell r="M3632" t="str">
            <v>MARIA APARECIDA NUNES DE OLIVEIRA</v>
          </cell>
          <cell r="N3632" t="str">
            <v>CZZ1609</v>
          </cell>
          <cell r="O3632" t="str">
            <v>2003</v>
          </cell>
          <cell r="P3632" t="str">
            <v>25</v>
          </cell>
          <cell r="Q3632" t="str">
            <v>23</v>
          </cell>
        </row>
        <row r="3633">
          <cell r="B3633" t="str">
            <v>5191/16</v>
          </cell>
          <cell r="C3633" t="str">
            <v>2016-0.063.561-6</v>
          </cell>
          <cell r="D3633" t="str">
            <v/>
          </cell>
          <cell r="E3633" t="str">
            <v>08 de abril de 2016</v>
          </cell>
          <cell r="F3633" t="str">
            <v>HP - TRANS TRANSPORTE ESCOLAR LTDA - ME</v>
          </cell>
          <cell r="G3633" t="str">
            <v>08/04/2016</v>
          </cell>
          <cell r="H3633" t="str">
            <v>09/04/2016</v>
          </cell>
          <cell r="I3633" t="str">
            <v>35</v>
          </cell>
          <cell r="J3633" t="str">
            <v>PESSOA JURÍDICA</v>
          </cell>
          <cell r="K3633" t="str">
            <v>19.152.868/0001-35</v>
          </cell>
          <cell r="L3633" t="str">
            <v>JT</v>
          </cell>
          <cell r="M3633" t="str">
            <v>FRANCISCO GOMES PEREIRA</v>
          </cell>
          <cell r="N3633" t="str">
            <v>DJP3023</v>
          </cell>
          <cell r="O3633" t="str">
            <v>2005</v>
          </cell>
          <cell r="P3633" t="str">
            <v>28</v>
          </cell>
          <cell r="Q3633" t="str">
            <v>26</v>
          </cell>
        </row>
        <row r="3634">
          <cell r="B3634" t="str">
            <v>5192/16</v>
          </cell>
          <cell r="C3634" t="str">
            <v>2016-0.063.565-9</v>
          </cell>
          <cell r="D3634" t="str">
            <v/>
          </cell>
          <cell r="E3634" t="str">
            <v>24 de março de 2016</v>
          </cell>
          <cell r="F3634" t="str">
            <v>TECLE TRANSPORTE ESCOLAR LTDA - ME</v>
          </cell>
          <cell r="G3634" t="str">
            <v>24/03/2016</v>
          </cell>
          <cell r="H3634" t="str">
            <v>25/03/2016</v>
          </cell>
          <cell r="I3634" t="str">
            <v>40</v>
          </cell>
          <cell r="J3634" t="str">
            <v>PESSOA JURÍDICA</v>
          </cell>
          <cell r="K3634" t="str">
            <v>20.959.784/0001-97</v>
          </cell>
          <cell r="L3634" t="str">
            <v>JT</v>
          </cell>
          <cell r="M3634" t="str">
            <v>CLEIDE DA COSTA ARMOA</v>
          </cell>
          <cell r="N3634" t="str">
            <v>CZZ2510</v>
          </cell>
          <cell r="O3634" t="str">
            <v>2003</v>
          </cell>
          <cell r="P3634" t="str">
            <v>25</v>
          </cell>
          <cell r="Q3634" t="str">
            <v>23</v>
          </cell>
        </row>
        <row r="3635">
          <cell r="B3635" t="str">
            <v>5193/16</v>
          </cell>
          <cell r="C3635" t="str">
            <v>2016-0.063.567-5</v>
          </cell>
          <cell r="D3635" t="str">
            <v/>
          </cell>
          <cell r="E3635" t="str">
            <v/>
          </cell>
          <cell r="F3635" t="str">
            <v>FAUMIR TRANSPORTE E LOCACAO LTDA - ME</v>
          </cell>
          <cell r="G3635" t="str">
            <v/>
          </cell>
          <cell r="H3635" t="str">
            <v/>
          </cell>
          <cell r="I3635" t="str">
            <v/>
          </cell>
          <cell r="J3635" t="str">
            <v>PESSOA JURÍDICA</v>
          </cell>
          <cell r="K3635" t="str">
            <v>17.085.712/0001-53</v>
          </cell>
          <cell r="L3635" t="str">
            <v>JT</v>
          </cell>
          <cell r="M3635" t="str">
            <v>JONATHAS GOMES CARDOSO</v>
          </cell>
          <cell r="N3635" t="str">
            <v>DWK8876</v>
          </cell>
          <cell r="O3635" t="str">
            <v>2007</v>
          </cell>
          <cell r="P3635" t="str">
            <v>29</v>
          </cell>
          <cell r="Q3635" t="str">
            <v>27</v>
          </cell>
        </row>
        <row r="3636">
          <cell r="B3636" t="str">
            <v>5194/16</v>
          </cell>
          <cell r="C3636" t="str">
            <v>2016-0.063.574-8</v>
          </cell>
          <cell r="D3636" t="str">
            <v/>
          </cell>
          <cell r="E3636" t="str">
            <v>30 de março de 2016</v>
          </cell>
          <cell r="F3636" t="str">
            <v>NUNES E BAPTISTA TRANSPORTE ESCOLAR LTDA - ME</v>
          </cell>
          <cell r="G3636" t="str">
            <v>30/03/2016</v>
          </cell>
          <cell r="H3636" t="str">
            <v>31/03/2016</v>
          </cell>
          <cell r="I3636" t="str">
            <v>38</v>
          </cell>
          <cell r="J3636" t="str">
            <v>PESSOA JURÍDICA</v>
          </cell>
          <cell r="K3636" t="str">
            <v>23.150.450/0001-66</v>
          </cell>
          <cell r="L3636" t="str">
            <v>JT</v>
          </cell>
          <cell r="M3636" t="str">
            <v>CLAUDIO NUNES DE SOUZA</v>
          </cell>
          <cell r="N3636" t="str">
            <v>EGS2670</v>
          </cell>
          <cell r="O3636" t="str">
            <v>2008</v>
          </cell>
          <cell r="P3636" t="str">
            <v>19</v>
          </cell>
          <cell r="Q3636" t="str">
            <v>17</v>
          </cell>
        </row>
        <row r="3637">
          <cell r="B3637" t="str">
            <v>5194/16</v>
          </cell>
          <cell r="C3637" t="str">
            <v>2016-0.063.574-8</v>
          </cell>
          <cell r="D3637" t="str">
            <v/>
          </cell>
          <cell r="E3637" t="str">
            <v>30 de março de 2016</v>
          </cell>
          <cell r="F3637" t="str">
            <v>NUNES E BAPTISTA TRANSPORTE ESCOLAR LTDA - ME</v>
          </cell>
          <cell r="G3637" t="str">
            <v>30/03/2016</v>
          </cell>
          <cell r="H3637" t="str">
            <v>31/03/2016</v>
          </cell>
          <cell r="I3637" t="str">
            <v>38</v>
          </cell>
          <cell r="J3637" t="str">
            <v>PESSOA JURÍDICA</v>
          </cell>
          <cell r="K3637" t="str">
            <v>23.150.450/0001-66</v>
          </cell>
          <cell r="L3637" t="str">
            <v>JT</v>
          </cell>
          <cell r="M3637" t="str">
            <v>LUCIANA BAPTISTA DA SILVA</v>
          </cell>
          <cell r="N3637" t="str">
            <v>EWO7764</v>
          </cell>
          <cell r="O3637" t="str">
            <v>2011</v>
          </cell>
          <cell r="P3637" t="str">
            <v>25</v>
          </cell>
          <cell r="Q3637" t="str">
            <v>24</v>
          </cell>
        </row>
        <row r="3638">
          <cell r="B3638" t="str">
            <v>5195/16</v>
          </cell>
          <cell r="C3638" t="str">
            <v>2016-0.063.579-9</v>
          </cell>
          <cell r="D3638" t="str">
            <v/>
          </cell>
          <cell r="E3638" t="str">
            <v>11 de abril de 2016</v>
          </cell>
          <cell r="F3638" t="str">
            <v>LUIGI TRANSPORTES ESCOLARES LTDA - ME</v>
          </cell>
          <cell r="G3638" t="str">
            <v>11/04/2016</v>
          </cell>
          <cell r="H3638" t="str">
            <v/>
          </cell>
          <cell r="I3638" t="str">
            <v/>
          </cell>
          <cell r="J3638" t="str">
            <v>PESSOA JURÍDICA</v>
          </cell>
          <cell r="K3638" t="str">
            <v>05.261.701/0001-06</v>
          </cell>
          <cell r="L3638" t="str">
            <v>FO</v>
          </cell>
          <cell r="M3638" t="str">
            <v>LUCIENE TOMICIOLI SAVERINO</v>
          </cell>
          <cell r="N3638" t="str">
            <v>CZX8997</v>
          </cell>
          <cell r="O3638" t="str">
            <v>2003</v>
          </cell>
          <cell r="P3638" t="str">
            <v>25</v>
          </cell>
          <cell r="Q3638" t="str">
            <v>23</v>
          </cell>
        </row>
        <row r="3639">
          <cell r="B3639" t="str">
            <v>5195/16</v>
          </cell>
          <cell r="C3639" t="str">
            <v>2016-0.063.579-9</v>
          </cell>
          <cell r="D3639" t="str">
            <v/>
          </cell>
          <cell r="E3639" t="str">
            <v>11 de abril de 2016</v>
          </cell>
          <cell r="F3639" t="str">
            <v>LUIGI TRANSPORTES ESCOLARES LTDA - ME</v>
          </cell>
          <cell r="G3639" t="str">
            <v>11/04/2016</v>
          </cell>
          <cell r="H3639" t="str">
            <v/>
          </cell>
          <cell r="I3639" t="str">
            <v/>
          </cell>
          <cell r="J3639" t="str">
            <v>PESSOA JURÍDICA</v>
          </cell>
          <cell r="K3639" t="str">
            <v>05.261.701/0001-06</v>
          </cell>
          <cell r="L3639" t="str">
            <v>JT</v>
          </cell>
          <cell r="M3639" t="str">
            <v>ARLINDO RAMOS DE SOUZA</v>
          </cell>
          <cell r="N3639" t="str">
            <v>CZX8780</v>
          </cell>
          <cell r="O3639" t="str">
            <v>2003</v>
          </cell>
          <cell r="P3639" t="str">
            <v>25</v>
          </cell>
          <cell r="Q3639" t="str">
            <v>24</v>
          </cell>
        </row>
        <row r="3640">
          <cell r="B3640" t="str">
            <v>5196/16</v>
          </cell>
          <cell r="C3640" t="str">
            <v>2016-0.063.585-3</v>
          </cell>
          <cell r="D3640" t="str">
            <v/>
          </cell>
          <cell r="E3640" t="str">
            <v/>
          </cell>
          <cell r="F3640" t="str">
            <v>ERJ TRANSPORTES LTDA - ME</v>
          </cell>
          <cell r="G3640" t="str">
            <v/>
          </cell>
          <cell r="H3640" t="str">
            <v/>
          </cell>
          <cell r="I3640" t="str">
            <v/>
          </cell>
          <cell r="J3640" t="str">
            <v>PESSOA JURÍDICA</v>
          </cell>
          <cell r="K3640" t="str">
            <v>17.677.304/0001-90</v>
          </cell>
          <cell r="L3640" t="str">
            <v>JT</v>
          </cell>
          <cell r="M3640" t="str">
            <v>AGENOR CARMO SOARES</v>
          </cell>
          <cell r="N3640" t="str">
            <v>EKK0688</v>
          </cell>
          <cell r="O3640" t="str">
            <v>2009</v>
          </cell>
          <cell r="P3640" t="str">
            <v>19</v>
          </cell>
          <cell r="Q3640" t="str">
            <v>18</v>
          </cell>
        </row>
        <row r="3641">
          <cell r="B3641" t="str">
            <v>5197/16</v>
          </cell>
          <cell r="C3641" t="str">
            <v>2016-0.063.587-0</v>
          </cell>
          <cell r="D3641" t="str">
            <v/>
          </cell>
          <cell r="E3641" t="str">
            <v>11 de abril de 2016</v>
          </cell>
          <cell r="F3641" t="str">
            <v>JOSE VITORINO DA SILVA IRMAO TRANSPORTE - ME</v>
          </cell>
          <cell r="G3641" t="str">
            <v>11/04/2016</v>
          </cell>
          <cell r="H3641" t="str">
            <v>13/04/2016</v>
          </cell>
          <cell r="I3641" t="str">
            <v>52</v>
          </cell>
          <cell r="J3641" t="str">
            <v>PESSOA JURÍDICA</v>
          </cell>
          <cell r="K3641" t="str">
            <v>16.673.783/0001-04</v>
          </cell>
          <cell r="L3641" t="str">
            <v>JT</v>
          </cell>
          <cell r="M3641" t="str">
            <v>JOSE VITORINO DA SILVA IRMAO</v>
          </cell>
          <cell r="N3641" t="str">
            <v>CZZ1576</v>
          </cell>
          <cell r="O3641" t="str">
            <v>2002</v>
          </cell>
          <cell r="P3641" t="str">
            <v>25</v>
          </cell>
          <cell r="Q3641" t="str">
            <v>23</v>
          </cell>
        </row>
        <row r="3642">
          <cell r="B3642" t="str">
            <v>5198/16</v>
          </cell>
          <cell r="C3642" t="str">
            <v>2016-0.063.591-8</v>
          </cell>
          <cell r="D3642" t="str">
            <v>14/03/2016</v>
          </cell>
          <cell r="E3642" t="str">
            <v>15 de abril de 2016</v>
          </cell>
          <cell r="F3642" t="str">
            <v>S.S.J. TRANSPORTES LTDA - ME</v>
          </cell>
          <cell r="G3642" t="str">
            <v>15/04/2016</v>
          </cell>
          <cell r="H3642" t="str">
            <v>19/04/2016</v>
          </cell>
          <cell r="I3642" t="str">
            <v>30</v>
          </cell>
          <cell r="J3642" t="str">
            <v>PESSOA JURÍDICA</v>
          </cell>
          <cell r="K3642" t="str">
            <v>12.996.693/0001-01</v>
          </cell>
          <cell r="L3642" t="str">
            <v>G</v>
          </cell>
          <cell r="M3642" t="str">
            <v>SILVIO SANTANA DE JESUS</v>
          </cell>
          <cell r="N3642" t="str">
            <v>FBU0010</v>
          </cell>
          <cell r="O3642" t="str">
            <v>2009</v>
          </cell>
          <cell r="P3642" t="str">
            <v>24</v>
          </cell>
          <cell r="Q3642" t="str">
            <v>23</v>
          </cell>
        </row>
        <row r="3643">
          <cell r="B3643" t="str">
            <v>5199/16</v>
          </cell>
          <cell r="C3643" t="str">
            <v>2016-0.063.593-4</v>
          </cell>
          <cell r="D3643" t="str">
            <v/>
          </cell>
          <cell r="E3643" t="str">
            <v>04 de abril de 2016</v>
          </cell>
          <cell r="F3643" t="str">
            <v>J. &amp; CARVALHO TRANSPORTE ESCOLAR E TURISMO LTDA - ME</v>
          </cell>
          <cell r="G3643" t="str">
            <v>04/04/2016</v>
          </cell>
          <cell r="H3643" t="str">
            <v>19/04/2016</v>
          </cell>
          <cell r="I3643" t="str">
            <v>30</v>
          </cell>
          <cell r="J3643" t="str">
            <v>PESSOA JURÍDICA</v>
          </cell>
          <cell r="K3643" t="str">
            <v>18.153.977/0001-04</v>
          </cell>
          <cell r="L3643" t="str">
            <v>G</v>
          </cell>
          <cell r="M3643" t="str">
            <v>JACKSON DA SILVA</v>
          </cell>
          <cell r="N3643" t="str">
            <v>DTA5955</v>
          </cell>
          <cell r="O3643" t="str">
            <v>2007</v>
          </cell>
          <cell r="P3643" t="str">
            <v>25</v>
          </cell>
          <cell r="Q3643" t="str">
            <v>23</v>
          </cell>
        </row>
        <row r="3644">
          <cell r="B3644" t="str">
            <v>5200/16</v>
          </cell>
          <cell r="C3644" t="str">
            <v>2016-0.063.594-2</v>
          </cell>
          <cell r="D3644" t="str">
            <v/>
          </cell>
          <cell r="E3644" t="str">
            <v>24 de março de 2016</v>
          </cell>
          <cell r="F3644" t="str">
            <v>APARECIDO PEREIRA DIAS TRANSPORTES ESCOLARES - ME</v>
          </cell>
          <cell r="G3644" t="str">
            <v>24/03/2016</v>
          </cell>
          <cell r="H3644" t="str">
            <v>25/03/2016</v>
          </cell>
          <cell r="I3644" t="str">
            <v>40</v>
          </cell>
          <cell r="J3644" t="str">
            <v>PESSOA JURÍDICA</v>
          </cell>
          <cell r="K3644" t="str">
            <v>13.910.896/0001-98</v>
          </cell>
          <cell r="L3644" t="str">
            <v>JT</v>
          </cell>
          <cell r="M3644" t="str">
            <v>APARECIDO PEREIRA DIAS</v>
          </cell>
          <cell r="N3644" t="str">
            <v>EPT5651</v>
          </cell>
          <cell r="O3644" t="str">
            <v>2010</v>
          </cell>
          <cell r="P3644" t="str">
            <v>19</v>
          </cell>
          <cell r="Q3644" t="str">
            <v>18</v>
          </cell>
        </row>
        <row r="3645">
          <cell r="B3645" t="str">
            <v>5201/16</v>
          </cell>
          <cell r="C3645" t="str">
            <v>2016-0.063.599-3</v>
          </cell>
          <cell r="D3645" t="str">
            <v/>
          </cell>
          <cell r="E3645" t="str">
            <v/>
          </cell>
          <cell r="F3645" t="str">
            <v>EDSON &amp; SIMONE TRANSPORTES LTDA - ME</v>
          </cell>
          <cell r="G3645" t="str">
            <v/>
          </cell>
          <cell r="H3645" t="str">
            <v/>
          </cell>
          <cell r="I3645" t="str">
            <v/>
          </cell>
          <cell r="J3645" t="str">
            <v>PESSOA JURÍDICA</v>
          </cell>
          <cell r="K3645" t="str">
            <v>16.975.990/0001-13</v>
          </cell>
          <cell r="L3645" t="str">
            <v>JT</v>
          </cell>
          <cell r="M3645" t="str">
            <v>EDSON VITOR ROSA JUNIOR</v>
          </cell>
          <cell r="N3645" t="str">
            <v>EPT5649</v>
          </cell>
          <cell r="O3645" t="str">
            <v>2010</v>
          </cell>
          <cell r="P3645" t="str">
            <v>27</v>
          </cell>
          <cell r="Q3645" t="str">
            <v>26</v>
          </cell>
        </row>
        <row r="3646">
          <cell r="B3646" t="str">
            <v>5202/16</v>
          </cell>
          <cell r="C3646" t="str">
            <v>2016-0.063.603-5</v>
          </cell>
          <cell r="D3646" t="str">
            <v>22/02/2016</v>
          </cell>
          <cell r="E3646" t="str">
            <v>08 de abril de 2016</v>
          </cell>
          <cell r="F3646" t="str">
            <v>EDINA MARIA ARAUJO TRANSPORTES ESCOLARES - ME</v>
          </cell>
          <cell r="G3646" t="str">
            <v>08/04/2016</v>
          </cell>
          <cell r="H3646" t="str">
            <v>09/04/2016</v>
          </cell>
          <cell r="I3646" t="str">
            <v>35</v>
          </cell>
          <cell r="J3646" t="str">
            <v>PESSOA JURÍDICA</v>
          </cell>
          <cell r="K3646" t="str">
            <v>12.493.845/0001-45</v>
          </cell>
          <cell r="L3646" t="str">
            <v>JT</v>
          </cell>
          <cell r="M3646" t="str">
            <v>EDINA MARIA ARAUJO</v>
          </cell>
          <cell r="N3646" t="str">
            <v>EFW8600</v>
          </cell>
          <cell r="O3646" t="str">
            <v>2010</v>
          </cell>
          <cell r="P3646" t="str">
            <v>10</v>
          </cell>
          <cell r="Q3646" t="str">
            <v>9</v>
          </cell>
        </row>
        <row r="3647">
          <cell r="B3647" t="str">
            <v>5203/16</v>
          </cell>
          <cell r="C3647" t="str">
            <v>2016-0.063.605-1</v>
          </cell>
          <cell r="D3647" t="str">
            <v>07/03/2016</v>
          </cell>
          <cell r="E3647" t="str">
            <v>29 de março de 2016</v>
          </cell>
          <cell r="F3647" t="str">
            <v>PEDRO PINHAL TEIXEIRA - ME</v>
          </cell>
          <cell r="G3647" t="str">
            <v>29/03/2016</v>
          </cell>
          <cell r="H3647" t="str">
            <v>31/03/2016</v>
          </cell>
          <cell r="I3647" t="str">
            <v>38</v>
          </cell>
          <cell r="J3647" t="str">
            <v>PESSOA JURÍDICA</v>
          </cell>
          <cell r="K3647" t="str">
            <v>15.647.494/0001-78</v>
          </cell>
          <cell r="L3647" t="str">
            <v>JT</v>
          </cell>
          <cell r="M3647" t="str">
            <v>PEDRO PINHAL TEIXEIRA</v>
          </cell>
          <cell r="N3647" t="str">
            <v>EMU6929</v>
          </cell>
          <cell r="O3647" t="str">
            <v>2011</v>
          </cell>
          <cell r="P3647" t="str">
            <v>19</v>
          </cell>
          <cell r="Q3647" t="str">
            <v>18</v>
          </cell>
        </row>
        <row r="3648">
          <cell r="B3648" t="str">
            <v>5204/16</v>
          </cell>
          <cell r="C3648" t="str">
            <v>2016-0.070.988-1</v>
          </cell>
          <cell r="D3648" t="str">
            <v/>
          </cell>
          <cell r="E3648" t="str">
            <v>29 de março de 2016</v>
          </cell>
          <cell r="F3648" t="str">
            <v>WASDEIA TRANSPORTES LTDA - ME</v>
          </cell>
          <cell r="G3648" t="str">
            <v>29/03/2016</v>
          </cell>
          <cell r="H3648" t="str">
            <v>31/03/2016</v>
          </cell>
          <cell r="I3648" t="str">
            <v>38</v>
          </cell>
          <cell r="J3648" t="str">
            <v>PESSOA JURÍDICA</v>
          </cell>
          <cell r="K3648" t="str">
            <v>15.260.039/0001-15</v>
          </cell>
          <cell r="L3648" t="str">
            <v>SA</v>
          </cell>
          <cell r="M3648" t="str">
            <v>ADELIA CARLOS BOLZAN</v>
          </cell>
          <cell r="N3648" t="str">
            <v>EFV1517</v>
          </cell>
          <cell r="O3648" t="str">
            <v>2010</v>
          </cell>
          <cell r="P3648" t="str">
            <v>19</v>
          </cell>
          <cell r="Q3648" t="str">
            <v>18</v>
          </cell>
        </row>
        <row r="3649">
          <cell r="B3649" t="str">
            <v>5204/16</v>
          </cell>
          <cell r="C3649" t="str">
            <v>2016-0.070.988-1</v>
          </cell>
          <cell r="D3649" t="str">
            <v/>
          </cell>
          <cell r="E3649" t="str">
            <v>21 de março de 2016</v>
          </cell>
          <cell r="F3649" t="str">
            <v>WASDEIA TRANSPORTES LTDA - ME</v>
          </cell>
          <cell r="G3649" t="str">
            <v>29/03/2016</v>
          </cell>
          <cell r="H3649" t="str">
            <v>31/03/2016</v>
          </cell>
          <cell r="I3649" t="str">
            <v>38</v>
          </cell>
          <cell r="J3649" t="str">
            <v>PESSOA JURÍDICA</v>
          </cell>
          <cell r="K3649" t="str">
            <v>15.260.039/0001-15</v>
          </cell>
          <cell r="L3649" t="str">
            <v>SA</v>
          </cell>
          <cell r="M3649" t="str">
            <v>WASHINGTON LUIZ ROSA FILHO</v>
          </cell>
          <cell r="N3649" t="str">
            <v>CZX2227</v>
          </cell>
          <cell r="O3649" t="str">
            <v>2002</v>
          </cell>
          <cell r="P3649" t="str">
            <v>25</v>
          </cell>
          <cell r="Q3649" t="str">
            <v>23</v>
          </cell>
        </row>
        <row r="3650">
          <cell r="B3650" t="str">
            <v>5205/16</v>
          </cell>
          <cell r="C3650" t="str">
            <v>2016-0.070.989-0</v>
          </cell>
          <cell r="D3650" t="str">
            <v/>
          </cell>
          <cell r="E3650" t="str">
            <v/>
          </cell>
          <cell r="F3650" t="str">
            <v>TRANSGILO TRANSPORTES E LOCADORA LTDA - ME</v>
          </cell>
          <cell r="G3650" t="str">
            <v/>
          </cell>
          <cell r="H3650" t="str">
            <v/>
          </cell>
          <cell r="I3650" t="str">
            <v/>
          </cell>
          <cell r="J3650" t="str">
            <v>PESSOA JURÍDICA</v>
          </cell>
          <cell r="K3650" t="str">
            <v>17.538.659/0001-07</v>
          </cell>
          <cell r="L3650" t="str">
            <v>SA</v>
          </cell>
          <cell r="M3650" t="str">
            <v>GILMAR PEREIRA MEDINA</v>
          </cell>
          <cell r="N3650" t="str">
            <v>ELW1380</v>
          </cell>
          <cell r="O3650" t="str">
            <v>2010</v>
          </cell>
          <cell r="P3650" t="str">
            <v>10</v>
          </cell>
          <cell r="Q3650" t="str">
            <v>9</v>
          </cell>
        </row>
        <row r="3651">
          <cell r="B3651" t="str">
            <v>5206/16</v>
          </cell>
          <cell r="C3651" t="str">
            <v>2016-0.070.990-3</v>
          </cell>
          <cell r="D3651" t="str">
            <v/>
          </cell>
          <cell r="E3651" t="str">
            <v>21 de março de 2016</v>
          </cell>
          <cell r="F3651" t="str">
            <v>EP FRANCO TRANSPORTES - ME</v>
          </cell>
          <cell r="G3651" t="str">
            <v>21/03/2016</v>
          </cell>
          <cell r="H3651" t="str">
            <v>02/04/2016</v>
          </cell>
          <cell r="I3651" t="str">
            <v>44</v>
          </cell>
          <cell r="J3651" t="str">
            <v>PESSOA JURÍDICA</v>
          </cell>
          <cell r="K3651" t="str">
            <v>16.678.926/0001-70</v>
          </cell>
          <cell r="L3651" t="str">
            <v>SA</v>
          </cell>
          <cell r="M3651" t="str">
            <v>ELIZEU PEREIRA FRANCO</v>
          </cell>
          <cell r="N3651" t="str">
            <v>DTC2210</v>
          </cell>
          <cell r="O3651" t="str">
            <v>2007</v>
          </cell>
          <cell r="P3651" t="str">
            <v>29</v>
          </cell>
          <cell r="Q3651" t="str">
            <v>27</v>
          </cell>
        </row>
        <row r="3652">
          <cell r="B3652" t="str">
            <v>5207/16</v>
          </cell>
          <cell r="C3652" t="str">
            <v>2016-0.070.964-4</v>
          </cell>
          <cell r="D3652" t="str">
            <v/>
          </cell>
          <cell r="E3652" t="str">
            <v>23 de março de 2016</v>
          </cell>
          <cell r="F3652" t="str">
            <v>PJV JATOBA TRANSPORTES LTDA - ME</v>
          </cell>
          <cell r="G3652" t="str">
            <v>07/03/2016</v>
          </cell>
          <cell r="H3652" t="str">
            <v>25/03/2016</v>
          </cell>
          <cell r="I3652" t="str">
            <v>40</v>
          </cell>
          <cell r="J3652" t="str">
            <v>PESSOA JURÍDICA</v>
          </cell>
          <cell r="K3652" t="str">
            <v>16.843.725/0001-81</v>
          </cell>
          <cell r="L3652" t="str">
            <v xml:space="preserve">SA </v>
          </cell>
          <cell r="M3652" t="str">
            <v>WELLINGTON DA SILVA SANTOS</v>
          </cell>
          <cell r="N3652" t="str">
            <v>FSK3930</v>
          </cell>
          <cell r="O3652" t="str">
            <v>2014</v>
          </cell>
          <cell r="P3652" t="str">
            <v>19</v>
          </cell>
          <cell r="Q3652" t="str">
            <v>18</v>
          </cell>
        </row>
        <row r="3653">
          <cell r="B3653" t="str">
            <v>5207/16</v>
          </cell>
          <cell r="C3653" t="str">
            <v>2016-0.070.964-4</v>
          </cell>
          <cell r="D3653" t="str">
            <v/>
          </cell>
          <cell r="E3653" t="str">
            <v>07 de março de 2016</v>
          </cell>
          <cell r="F3653" t="str">
            <v>PJV JATOBA TRANSPORTES LTDA - ME</v>
          </cell>
          <cell r="G3653" t="str">
            <v>07/03/2016</v>
          </cell>
          <cell r="H3653" t="str">
            <v>25/03/2016</v>
          </cell>
          <cell r="I3653" t="str">
            <v>40</v>
          </cell>
          <cell r="J3653" t="str">
            <v>PESSOA JURÍDICA</v>
          </cell>
          <cell r="K3653" t="str">
            <v>16.843.725/0001-81</v>
          </cell>
          <cell r="L3653" t="str">
            <v>SA</v>
          </cell>
          <cell r="M3653" t="str">
            <v>GENILSON SILVA DE SANTANA</v>
          </cell>
          <cell r="N3653" t="str">
            <v>EXO0487</v>
          </cell>
          <cell r="O3653" t="str">
            <v>2012</v>
          </cell>
          <cell r="P3653" t="str">
            <v>19</v>
          </cell>
          <cell r="Q3653" t="str">
            <v>18</v>
          </cell>
        </row>
        <row r="3654">
          <cell r="B3654" t="str">
            <v>5207/16</v>
          </cell>
          <cell r="C3654" t="str">
            <v>2016-0.070.964-4</v>
          </cell>
          <cell r="D3654" t="str">
            <v/>
          </cell>
          <cell r="E3654" t="str">
            <v>23 de março de 2016</v>
          </cell>
          <cell r="F3654" t="str">
            <v>PJV JATOBA TRANSPORTES LTDA - ME</v>
          </cell>
          <cell r="G3654" t="str">
            <v>07/03/2016</v>
          </cell>
          <cell r="H3654" t="str">
            <v>25/03/2016</v>
          </cell>
          <cell r="I3654" t="str">
            <v>40</v>
          </cell>
          <cell r="J3654" t="str">
            <v>PESSOA JURÍDICA</v>
          </cell>
          <cell r="K3654" t="str">
            <v>16.843.725/0001-81</v>
          </cell>
          <cell r="L3654" t="str">
            <v>SA</v>
          </cell>
          <cell r="M3654" t="str">
            <v>JOSE GERALDO DA PENHA SOUZA</v>
          </cell>
          <cell r="N3654" t="str">
            <v>DTD4318</v>
          </cell>
          <cell r="O3654" t="str">
            <v>2007</v>
          </cell>
          <cell r="P3654" t="str">
            <v>29</v>
          </cell>
          <cell r="Q3654" t="str">
            <v>27</v>
          </cell>
        </row>
        <row r="3655">
          <cell r="B3655" t="str">
            <v>5207/16</v>
          </cell>
          <cell r="C3655" t="str">
            <v>2016-0.070.964-4</v>
          </cell>
          <cell r="D3655" t="str">
            <v/>
          </cell>
          <cell r="E3655" t="str">
            <v>23 de março de 2016</v>
          </cell>
          <cell r="F3655" t="str">
            <v>PJV JATOBA TRANSPORTES LTDA - ME</v>
          </cell>
          <cell r="G3655" t="str">
            <v>07/03/2016</v>
          </cell>
          <cell r="H3655" t="str">
            <v>25/03/2016</v>
          </cell>
          <cell r="I3655" t="str">
            <v>40</v>
          </cell>
          <cell r="J3655" t="str">
            <v>PESSOA JURÍDICA</v>
          </cell>
          <cell r="K3655" t="str">
            <v>16.843.725/0001-81</v>
          </cell>
          <cell r="L3655" t="str">
            <v>SA</v>
          </cell>
          <cell r="M3655" t="str">
            <v>PROSPERO JOSE VASCONCELOS JATOBA</v>
          </cell>
          <cell r="N3655" t="str">
            <v>FSH6829</v>
          </cell>
          <cell r="O3655" t="str">
            <v>2015</v>
          </cell>
          <cell r="P3655" t="str">
            <v>19</v>
          </cell>
          <cell r="Q3655" t="str">
            <v>18</v>
          </cell>
        </row>
        <row r="3656">
          <cell r="B3656" t="str">
            <v>5208/16</v>
          </cell>
          <cell r="C3656" t="str">
            <v>2016-0.070.991-1</v>
          </cell>
          <cell r="D3656" t="str">
            <v>14/03/2016</v>
          </cell>
          <cell r="E3656" t="str">
            <v>15 de abril de 2016</v>
          </cell>
          <cell r="F3656" t="str">
            <v>PANDATUR TRANSPORTES E LOCADORA LTDA - ME</v>
          </cell>
          <cell r="G3656" t="str">
            <v>12/04/2016</v>
          </cell>
          <cell r="H3656" t="str">
            <v>13/04/2016</v>
          </cell>
          <cell r="I3656" t="str">
            <v>52</v>
          </cell>
          <cell r="J3656" t="str">
            <v>PESSOA JURÍDICA</v>
          </cell>
          <cell r="K3656" t="str">
            <v>11.400.739/0001-07</v>
          </cell>
          <cell r="L3656" t="str">
            <v>SA</v>
          </cell>
          <cell r="M3656" t="str">
            <v>HELIO SOUZA DE MENEZES</v>
          </cell>
          <cell r="N3656" t="str">
            <v>DTC3934</v>
          </cell>
          <cell r="O3656" t="str">
            <v>2008</v>
          </cell>
          <cell r="P3656" t="str">
            <v>29</v>
          </cell>
          <cell r="Q3656" t="str">
            <v>27</v>
          </cell>
        </row>
        <row r="3657">
          <cell r="B3657" t="str">
            <v>5208/16</v>
          </cell>
          <cell r="C3657" t="str">
            <v>2016-0.070.991-1</v>
          </cell>
          <cell r="D3657" t="str">
            <v>21/03/2016</v>
          </cell>
          <cell r="E3657" t="str">
            <v>12 de abril de 2016</v>
          </cell>
          <cell r="F3657" t="str">
            <v>PANDATUR TRANSPORTES E LOCADORA LTDA - ME</v>
          </cell>
          <cell r="G3657" t="str">
            <v>12/04/2016</v>
          </cell>
          <cell r="H3657" t="str">
            <v>13/04/2016</v>
          </cell>
          <cell r="I3657" t="str">
            <v>52</v>
          </cell>
          <cell r="J3657" t="str">
            <v>PESSOA JURÍDICA</v>
          </cell>
          <cell r="K3657" t="str">
            <v>11.400.739/0001-07</v>
          </cell>
          <cell r="L3657" t="str">
            <v>SA</v>
          </cell>
          <cell r="M3657" t="str">
            <v>DJAIL AMARO DA SILVA</v>
          </cell>
          <cell r="N3657" t="str">
            <v>FCB6697</v>
          </cell>
          <cell r="O3657" t="str">
            <v>2013</v>
          </cell>
          <cell r="P3657" t="str">
            <v>19</v>
          </cell>
          <cell r="Q3657" t="str">
            <v>18</v>
          </cell>
        </row>
        <row r="3658">
          <cell r="B3658" t="str">
            <v>5208/16</v>
          </cell>
          <cell r="C3658" t="str">
            <v>2016-0.070.991-1</v>
          </cell>
          <cell r="D3658" t="str">
            <v>14/03/2016</v>
          </cell>
          <cell r="E3658" t="str">
            <v>12 de abril de 2016</v>
          </cell>
          <cell r="F3658" t="str">
            <v>PANDATUR TRANSPORTES E LOCADORA LTDA - ME</v>
          </cell>
          <cell r="G3658" t="str">
            <v>12/04/2016</v>
          </cell>
          <cell r="H3658" t="str">
            <v>13/04/2016</v>
          </cell>
          <cell r="I3658" t="str">
            <v>52</v>
          </cell>
          <cell r="J3658" t="str">
            <v>PESSOA JURÍDICA</v>
          </cell>
          <cell r="K3658" t="str">
            <v>11.400.739/0001-07</v>
          </cell>
          <cell r="L3658" t="str">
            <v>SA</v>
          </cell>
          <cell r="M3658" t="str">
            <v>AROLDO SOUZA DE MENEZES</v>
          </cell>
          <cell r="N3658" t="str">
            <v>FCB6698</v>
          </cell>
          <cell r="O3658" t="str">
            <v>2013</v>
          </cell>
          <cell r="P3658" t="str">
            <v>10</v>
          </cell>
          <cell r="Q3658" t="str">
            <v>9</v>
          </cell>
        </row>
        <row r="3659">
          <cell r="B3659" t="str">
            <v>5208/16</v>
          </cell>
          <cell r="C3659" t="str">
            <v>2016-0.070.991-1</v>
          </cell>
          <cell r="D3659" t="str">
            <v>22/02/2016</v>
          </cell>
          <cell r="E3659" t="str">
            <v>12 de abril de 2016</v>
          </cell>
          <cell r="F3659" t="str">
            <v>PANDATUR TRANSPORTES E LOCADORA LTDA - ME</v>
          </cell>
          <cell r="G3659" t="str">
            <v>12/04/2016</v>
          </cell>
          <cell r="H3659" t="str">
            <v>13/04/2016</v>
          </cell>
          <cell r="I3659" t="str">
            <v>52</v>
          </cell>
          <cell r="J3659" t="str">
            <v>PESSOA JURÍDICA</v>
          </cell>
          <cell r="K3659" t="str">
            <v>11.400.739/0001-07</v>
          </cell>
          <cell r="L3659" t="str">
            <v>SA</v>
          </cell>
          <cell r="M3659" t="str">
            <v>MARIA DO DESTERRO MONTEIRO LOPES</v>
          </cell>
          <cell r="N3659" t="str">
            <v>DTC3935</v>
          </cell>
          <cell r="O3659" t="str">
            <v>2008</v>
          </cell>
          <cell r="P3659" t="str">
            <v>29</v>
          </cell>
          <cell r="Q3659" t="str">
            <v>28</v>
          </cell>
        </row>
        <row r="3660">
          <cell r="B3660" t="str">
            <v>5209/16</v>
          </cell>
          <cell r="C3660" t="str">
            <v>2016-0.070.993-8</v>
          </cell>
          <cell r="D3660" t="str">
            <v>12/02/2016</v>
          </cell>
          <cell r="E3660" t="str">
            <v>29 de março de 2016</v>
          </cell>
          <cell r="F3660" t="str">
            <v>LAUTON TRANSPORTES LTDA - ME</v>
          </cell>
          <cell r="G3660" t="str">
            <v>29/03/2016</v>
          </cell>
          <cell r="H3660" t="str">
            <v>31/03/2016</v>
          </cell>
          <cell r="I3660" t="str">
            <v>38</v>
          </cell>
          <cell r="J3660" t="str">
            <v>PESSOA JURÍDICA</v>
          </cell>
          <cell r="K3660" t="str">
            <v>18.147.354/0001-29</v>
          </cell>
          <cell r="L3660" t="str">
            <v>SA</v>
          </cell>
          <cell r="M3660" t="str">
            <v>GENIVALDO LAUTON VENTURA</v>
          </cell>
          <cell r="N3660" t="str">
            <v>FKU1185</v>
          </cell>
          <cell r="O3660" t="str">
            <v>2013</v>
          </cell>
          <cell r="P3660" t="str">
            <v>19</v>
          </cell>
          <cell r="Q3660" t="str">
            <v>18</v>
          </cell>
        </row>
        <row r="3661">
          <cell r="B3661" t="str">
            <v>5210/16</v>
          </cell>
          <cell r="C3661" t="str">
            <v>2016-0.070.995-4</v>
          </cell>
          <cell r="D3661" t="str">
            <v>14/03/2016</v>
          </cell>
          <cell r="E3661" t="str">
            <v>06 de abril de 2016</v>
          </cell>
          <cell r="F3661" t="str">
            <v>DMM DOS SANTOS TRANSPORTES - ME</v>
          </cell>
          <cell r="G3661" t="str">
            <v>06/04/2016</v>
          </cell>
          <cell r="H3661" t="str">
            <v>07/04/2016</v>
          </cell>
          <cell r="I3661" t="str">
            <v>20</v>
          </cell>
          <cell r="J3661" t="str">
            <v>PESSOA JURÍDICA</v>
          </cell>
          <cell r="K3661" t="str">
            <v>16.707.934/0001-06</v>
          </cell>
          <cell r="L3661" t="str">
            <v>SA</v>
          </cell>
          <cell r="M3661" t="str">
            <v>DALVA MARIA MACHADO DOS SANTOS</v>
          </cell>
          <cell r="N3661" t="str">
            <v>DYD3670</v>
          </cell>
          <cell r="O3661" t="str">
            <v>2007</v>
          </cell>
          <cell r="P3661" t="str">
            <v>29</v>
          </cell>
          <cell r="Q3661" t="str">
            <v>27</v>
          </cell>
        </row>
        <row r="3662">
          <cell r="B3662" t="str">
            <v>5211/16</v>
          </cell>
          <cell r="C3662" t="str">
            <v>2016-0.070.997-0</v>
          </cell>
          <cell r="D3662" t="str">
            <v>21/02/2016</v>
          </cell>
          <cell r="E3662" t="str">
            <v/>
          </cell>
          <cell r="F3662" t="str">
            <v>TRANSPORTES FAMILIA ROSA LTDA - ME</v>
          </cell>
          <cell r="G3662" t="str">
            <v/>
          </cell>
          <cell r="H3662" t="str">
            <v/>
          </cell>
          <cell r="I3662" t="str">
            <v/>
          </cell>
          <cell r="J3662" t="str">
            <v>PESSOA JURÍDICA</v>
          </cell>
          <cell r="K3662" t="str">
            <v>13.537.685/0001-51</v>
          </cell>
          <cell r="L3662" t="str">
            <v>SA</v>
          </cell>
          <cell r="M3662" t="str">
            <v>NATALINA MARIA DOS SANTOS ROSA</v>
          </cell>
          <cell r="N3662" t="str">
            <v>CZZ2097</v>
          </cell>
          <cell r="O3662" t="str">
            <v>2003</v>
          </cell>
          <cell r="P3662" t="str">
            <v>25</v>
          </cell>
          <cell r="Q3662" t="str">
            <v>23</v>
          </cell>
        </row>
        <row r="3663">
          <cell r="B3663" t="str">
            <v>5212/16</v>
          </cell>
          <cell r="C3663" t="str">
            <v>2016-0.070.999-7</v>
          </cell>
          <cell r="D3663" t="str">
            <v/>
          </cell>
          <cell r="E3663" t="str">
            <v>14 de março de 2016</v>
          </cell>
          <cell r="F3663" t="str">
            <v>G L M - TRANSPORTES DE PASSAGEIROS LTDA - ME</v>
          </cell>
          <cell r="G3663" t="str">
            <v>14/03/2016</v>
          </cell>
          <cell r="H3663" t="str">
            <v>02/04/2016</v>
          </cell>
          <cell r="I3663" t="str">
            <v>44</v>
          </cell>
          <cell r="J3663" t="str">
            <v>PESSOA JURÍDICA</v>
          </cell>
          <cell r="K3663" t="str">
            <v>20.799.116/0001-40</v>
          </cell>
          <cell r="L3663" t="str">
            <v>SA</v>
          </cell>
          <cell r="M3663" t="str">
            <v>GERALDO VICENTE DE ANDRADE</v>
          </cell>
          <cell r="N3663" t="str">
            <v>CZZ1989</v>
          </cell>
          <cell r="O3663" t="str">
            <v>2002</v>
          </cell>
          <cell r="P3663" t="str">
            <v>25</v>
          </cell>
          <cell r="Q3663" t="str">
            <v>23</v>
          </cell>
        </row>
        <row r="3664">
          <cell r="B3664" t="str">
            <v>5213/16</v>
          </cell>
          <cell r="C3664" t="str">
            <v>2016-0.071.000-6</v>
          </cell>
          <cell r="D3664" t="str">
            <v/>
          </cell>
          <cell r="E3664" t="str">
            <v/>
          </cell>
          <cell r="F3664" t="str">
            <v>VIMAC TRANSPORTES LTDA - ME</v>
          </cell>
          <cell r="G3664" t="str">
            <v>14/03/2016</v>
          </cell>
          <cell r="H3664" t="str">
            <v>31/03/2016</v>
          </cell>
          <cell r="I3664" t="str">
            <v>38</v>
          </cell>
          <cell r="J3664" t="str">
            <v>PESSOA JURÍDICA</v>
          </cell>
          <cell r="K3664" t="str">
            <v>04.102.535/0001-24</v>
          </cell>
          <cell r="L3664" t="str">
            <v>PE</v>
          </cell>
          <cell r="M3664" t="str">
            <v>MAURINA DA CRUZ BARROS REBELO</v>
          </cell>
          <cell r="N3664" t="str">
            <v>EFU9041</v>
          </cell>
          <cell r="O3664" t="str">
            <v>2009</v>
          </cell>
          <cell r="P3664" t="str">
            <v>11</v>
          </cell>
          <cell r="Q3664" t="str">
            <v>10</v>
          </cell>
        </row>
        <row r="3665">
          <cell r="B3665" t="str">
            <v>5213/16</v>
          </cell>
          <cell r="C3665" t="str">
            <v>2016-0.071.000-6</v>
          </cell>
          <cell r="D3665" t="str">
            <v/>
          </cell>
          <cell r="E3665" t="str">
            <v>14 de março de 2016</v>
          </cell>
          <cell r="F3665" t="str">
            <v>VIMAC TRANSPORTES LTDA - ME</v>
          </cell>
          <cell r="G3665" t="str">
            <v>14/03/2016</v>
          </cell>
          <cell r="H3665" t="str">
            <v>31/03/2016</v>
          </cell>
          <cell r="I3665" t="str">
            <v>38</v>
          </cell>
          <cell r="J3665" t="str">
            <v>PESSOA JURÍDICA</v>
          </cell>
          <cell r="K3665" t="str">
            <v>04.102.535/0001-24</v>
          </cell>
          <cell r="L3665" t="str">
            <v>PJ</v>
          </cell>
          <cell r="M3665" t="str">
            <v>MAYNER SANTIAGO CRUZ DOS SANTOS</v>
          </cell>
          <cell r="N3665" t="str">
            <v>EPF5172</v>
          </cell>
          <cell r="O3665" t="str">
            <v>2010</v>
          </cell>
          <cell r="P3665" t="str">
            <v>10</v>
          </cell>
          <cell r="Q3665" t="str">
            <v>9</v>
          </cell>
        </row>
        <row r="3666">
          <cell r="B3666" t="str">
            <v>5214/16</v>
          </cell>
          <cell r="C3666" t="str">
            <v>2016-0.071.005-7</v>
          </cell>
          <cell r="D3666" t="str">
            <v/>
          </cell>
          <cell r="E3666" t="str">
            <v>28 de março de 2016</v>
          </cell>
          <cell r="F3666" t="str">
            <v>PEREIRA SILVA TRANSPORTES DE ESCOLARES LTDA - ME</v>
          </cell>
          <cell r="G3666" t="str">
            <v>28/03/2016</v>
          </cell>
          <cell r="H3666" t="str">
            <v>31/03/2016</v>
          </cell>
          <cell r="I3666" t="str">
            <v>38</v>
          </cell>
          <cell r="J3666" t="str">
            <v>PESSOA JURÍDICA</v>
          </cell>
          <cell r="K3666" t="str">
            <v>14.130.646/0001-06</v>
          </cell>
          <cell r="L3666" t="str">
            <v>G</v>
          </cell>
          <cell r="M3666" t="str">
            <v>WELLINGTON FERREIRA SILVA</v>
          </cell>
          <cell r="N3666" t="str">
            <v>DTC3993</v>
          </cell>
          <cell r="O3666" t="str">
            <v>2007</v>
          </cell>
          <cell r="P3666" t="str">
            <v>29</v>
          </cell>
          <cell r="Q3666" t="str">
            <v>27</v>
          </cell>
        </row>
        <row r="3667">
          <cell r="B3667" t="str">
            <v>5215/16</v>
          </cell>
          <cell r="C3667" t="str">
            <v>2016-0.071.015-4</v>
          </cell>
          <cell r="D3667" t="str">
            <v/>
          </cell>
          <cell r="E3667" t="str">
            <v>11 de abril de 2016</v>
          </cell>
          <cell r="F3667" t="str">
            <v>LUIZ CARLOS PINHEIRO TRANSPORTE ESCOLAR - ME</v>
          </cell>
          <cell r="G3667" t="str">
            <v>11/04/2016</v>
          </cell>
          <cell r="H3667" t="str">
            <v>21/04/2016</v>
          </cell>
          <cell r="I3667" t="str">
            <v>97</v>
          </cell>
          <cell r="J3667" t="str">
            <v>PESSOA JURÍDICA</v>
          </cell>
          <cell r="K3667" t="str">
            <v>20.350.621/0001-02</v>
          </cell>
          <cell r="L3667" t="str">
            <v>PE</v>
          </cell>
          <cell r="M3667" t="str">
            <v>LUIZ CARLOS PINHEIRO</v>
          </cell>
          <cell r="N3667" t="str">
            <v>DTC4179</v>
          </cell>
          <cell r="O3667" t="str">
            <v>2008</v>
          </cell>
          <cell r="P3667" t="str">
            <v>11</v>
          </cell>
          <cell r="Q3667" t="str">
            <v>10</v>
          </cell>
        </row>
        <row r="3668">
          <cell r="B3668" t="str">
            <v>5216/16</v>
          </cell>
          <cell r="C3668" t="str">
            <v>2016-0.071.016-2</v>
          </cell>
          <cell r="D3668" t="str">
            <v/>
          </cell>
          <cell r="E3668" t="str">
            <v>31 de março de 2016</v>
          </cell>
          <cell r="F3668" t="str">
            <v>MR TRANSPORTES ESCOLARES LTDA - ME</v>
          </cell>
          <cell r="G3668" t="str">
            <v>31/03/2016</v>
          </cell>
          <cell r="H3668" t="str">
            <v>02/04/2016</v>
          </cell>
          <cell r="I3668" t="str">
            <v>44</v>
          </cell>
          <cell r="J3668" t="str">
            <v>PESSOA JURÍDICA</v>
          </cell>
          <cell r="K3668" t="str">
            <v>13.763.394/0001-81</v>
          </cell>
          <cell r="L3668" t="str">
            <v>PE</v>
          </cell>
          <cell r="M3668" t="str">
            <v>EDILSON BATISTA DE LIMA</v>
          </cell>
          <cell r="N3668" t="str">
            <v>DTE4489</v>
          </cell>
          <cell r="O3668" t="str">
            <v>2008</v>
          </cell>
          <cell r="P3668" t="str">
            <v>10</v>
          </cell>
          <cell r="Q3668" t="str">
            <v>9</v>
          </cell>
        </row>
        <row r="3669">
          <cell r="B3669" t="str">
            <v>5217/16</v>
          </cell>
          <cell r="C3669" t="str">
            <v>2016-0.071.017-0</v>
          </cell>
          <cell r="D3669" t="str">
            <v/>
          </cell>
          <cell r="E3669" t="str">
            <v>14 de março de 2016</v>
          </cell>
          <cell r="F3669" t="str">
            <v>C A PEREIRA VENDAS E SERVICOS DE EQUIPAMENTOS DE INFORMATICA - ME</v>
          </cell>
          <cell r="G3669" t="str">
            <v>14/03/2016</v>
          </cell>
          <cell r="H3669" t="str">
            <v>31/03/2016</v>
          </cell>
          <cell r="I3669" t="str">
            <v>38</v>
          </cell>
          <cell r="J3669" t="str">
            <v>PESSOA JURÍDICA</v>
          </cell>
          <cell r="K3669" t="str">
            <v>10.825.912/0001-56</v>
          </cell>
          <cell r="L3669" t="str">
            <v>SA</v>
          </cell>
          <cell r="M3669" t="str">
            <v>CARLOS ALBERTO PEREIRA</v>
          </cell>
          <cell r="N3669" t="str">
            <v>EMU0194</v>
          </cell>
          <cell r="O3669" t="str">
            <v>2011</v>
          </cell>
          <cell r="P3669" t="str">
            <v>19</v>
          </cell>
          <cell r="Q3669" t="str">
            <v>18</v>
          </cell>
        </row>
        <row r="3670">
          <cell r="B3670" t="str">
            <v>5218/16</v>
          </cell>
          <cell r="C3670" t="str">
            <v>2016-0.071.018-9</v>
          </cell>
          <cell r="D3670" t="str">
            <v/>
          </cell>
          <cell r="E3670" t="str">
            <v/>
          </cell>
          <cell r="F3670" t="str">
            <v>EVT TUR - SERVICOS DE TRANSPORTE LTDA - ME</v>
          </cell>
          <cell r="G3670" t="str">
            <v/>
          </cell>
          <cell r="H3670" t="str">
            <v/>
          </cell>
          <cell r="I3670" t="str">
            <v/>
          </cell>
          <cell r="J3670" t="str">
            <v>PESSOA JURÍDICA</v>
          </cell>
          <cell r="K3670" t="str">
            <v>17.479.979/0001-25</v>
          </cell>
          <cell r="L3670" t="str">
            <v>SA</v>
          </cell>
          <cell r="M3670" t="str">
            <v>VANESSA PRISCILA SILVA</v>
          </cell>
          <cell r="N3670" t="str">
            <v>DUO1362</v>
          </cell>
          <cell r="O3670" t="str">
            <v>2007</v>
          </cell>
          <cell r="P3670" t="str">
            <v>25</v>
          </cell>
          <cell r="Q3670" t="str">
            <v>23</v>
          </cell>
        </row>
        <row r="3671">
          <cell r="B3671" t="str">
            <v>5219/16</v>
          </cell>
          <cell r="C3671" t="str">
            <v>2016-0.071.020-0</v>
          </cell>
          <cell r="D3671" t="str">
            <v>28/03/2016</v>
          </cell>
          <cell r="E3671" t="str">
            <v>27 de abril de 2016</v>
          </cell>
          <cell r="F3671" t="str">
            <v>GRAHN TOUR TRANSPORTES LTDA - ME</v>
          </cell>
          <cell r="G3671" t="str">
            <v>27/04/2016</v>
          </cell>
          <cell r="H3671" t="str">
            <v/>
          </cell>
          <cell r="I3671" t="str">
            <v/>
          </cell>
          <cell r="J3671" t="str">
            <v>PESSOA JURÍDICA</v>
          </cell>
          <cell r="K3671" t="str">
            <v>14.826.661/0001-85</v>
          </cell>
          <cell r="L3671" t="str">
            <v>SA</v>
          </cell>
          <cell r="M3671" t="str">
            <v>RAFAEL BISPO DOS SANTOS</v>
          </cell>
          <cell r="N3671" t="str">
            <v>DTD4564</v>
          </cell>
          <cell r="O3671" t="str">
            <v>2008</v>
          </cell>
          <cell r="P3671" t="str">
            <v>19</v>
          </cell>
          <cell r="Q3671" t="str">
            <v>18</v>
          </cell>
        </row>
        <row r="3672">
          <cell r="B3672" t="str">
            <v>5220/16</v>
          </cell>
          <cell r="C3672" t="str">
            <v>2016-0.071.021-9</v>
          </cell>
          <cell r="D3672" t="str">
            <v/>
          </cell>
          <cell r="E3672" t="str">
            <v/>
          </cell>
          <cell r="F3672" t="str">
            <v>IMMENSE BRINDES COMERCIO E SERVICOS LTDA - ME</v>
          </cell>
          <cell r="G3672" t="str">
            <v/>
          </cell>
          <cell r="H3672" t="str">
            <v/>
          </cell>
          <cell r="I3672" t="str">
            <v/>
          </cell>
          <cell r="J3672" t="str">
            <v>PESSOA JURÍDICA</v>
          </cell>
          <cell r="K3672" t="str">
            <v>16.707.662/0001-36</v>
          </cell>
          <cell r="L3672" t="str">
            <v>SA</v>
          </cell>
          <cell r="M3672" t="str">
            <v>LUIZ CARLOS PEREIRA</v>
          </cell>
          <cell r="N3672" t="str">
            <v>EFV8550</v>
          </cell>
          <cell r="O3672" t="str">
            <v>2010</v>
          </cell>
          <cell r="P3672" t="str">
            <v>10</v>
          </cell>
          <cell r="Q3672" t="str">
            <v>9</v>
          </cell>
        </row>
        <row r="3673">
          <cell r="B3673" t="str">
            <v>5221/16</v>
          </cell>
          <cell r="C3673" t="str">
            <v>2016-0.071.022-7</v>
          </cell>
          <cell r="D3673" t="str">
            <v/>
          </cell>
          <cell r="E3673" t="str">
            <v>31 de março de 2016</v>
          </cell>
          <cell r="F3673" t="str">
            <v>VTEC TRANSPORTADORA ESCOLAR LTDA - ME</v>
          </cell>
          <cell r="G3673" t="str">
            <v>31/03/2016</v>
          </cell>
          <cell r="H3673" t="str">
            <v>02/04/2016</v>
          </cell>
          <cell r="I3673" t="str">
            <v>44</v>
          </cell>
          <cell r="J3673" t="str">
            <v>PESSOA JURÍDICA</v>
          </cell>
          <cell r="K3673" t="str">
            <v>17.886.939/0001-06</v>
          </cell>
          <cell r="L3673" t="str">
            <v xml:space="preserve">SA </v>
          </cell>
          <cell r="M3673" t="str">
            <v>VALMIR MOREIRA DOS SANTOS</v>
          </cell>
          <cell r="N3673" t="str">
            <v>DVL0830</v>
          </cell>
          <cell r="O3673" t="str">
            <v>2011</v>
          </cell>
          <cell r="P3673" t="str">
            <v>27</v>
          </cell>
          <cell r="Q3673" t="str">
            <v>26</v>
          </cell>
        </row>
        <row r="3674">
          <cell r="B3674" t="str">
            <v>5222/16</v>
          </cell>
          <cell r="C3674" t="str">
            <v>2016-0.071.023-5</v>
          </cell>
          <cell r="D3674" t="str">
            <v/>
          </cell>
          <cell r="E3674" t="str">
            <v>14 de março de 2016</v>
          </cell>
          <cell r="F3674" t="str">
            <v>PL DE OLIVEIRA TRANSPORTES - ME</v>
          </cell>
          <cell r="G3674" t="str">
            <v>14/03/2016</v>
          </cell>
          <cell r="H3674" t="str">
            <v>02/04/2016</v>
          </cell>
          <cell r="I3674" t="str">
            <v>44</v>
          </cell>
          <cell r="J3674" t="str">
            <v>PESSOA JURÍDICA</v>
          </cell>
          <cell r="K3674" t="str">
            <v>16.866.101/0001-80</v>
          </cell>
          <cell r="L3674" t="str">
            <v>SA</v>
          </cell>
          <cell r="M3674" t="str">
            <v>MANOEL FRANCISCO VIANA</v>
          </cell>
          <cell r="N3674" t="str">
            <v>CZX6627</v>
          </cell>
          <cell r="O3674" t="str">
            <v>2002</v>
          </cell>
          <cell r="P3674" t="str">
            <v>25</v>
          </cell>
          <cell r="Q3674" t="str">
            <v>23</v>
          </cell>
        </row>
        <row r="3675">
          <cell r="B3675" t="str">
            <v>5223/16</v>
          </cell>
          <cell r="C3675" t="str">
            <v>2016-0.071.024-3</v>
          </cell>
          <cell r="D3675" t="str">
            <v/>
          </cell>
          <cell r="E3675" t="str">
            <v>01 de abril de 2016</v>
          </cell>
          <cell r="F3675" t="str">
            <v>STYLLUS CAR SERVICOS AUTOMOTIVOS E TRANSPORTES LTDA - ME</v>
          </cell>
          <cell r="G3675" t="str">
            <v>01/04/2016</v>
          </cell>
          <cell r="H3675" t="str">
            <v>02/04/2016</v>
          </cell>
          <cell r="I3675" t="str">
            <v>44</v>
          </cell>
          <cell r="J3675" t="str">
            <v>PESSOA JURÍDICA</v>
          </cell>
          <cell r="K3675" t="str">
            <v>14.799.569/0001-73</v>
          </cell>
          <cell r="L3675" t="str">
            <v>SA</v>
          </cell>
          <cell r="M3675" t="str">
            <v>CLEMILDA ELIAS SAMPAIO</v>
          </cell>
          <cell r="N3675" t="str">
            <v>EMU7158</v>
          </cell>
          <cell r="O3675" t="str">
            <v>2013</v>
          </cell>
          <cell r="P3675" t="str">
            <v>19</v>
          </cell>
          <cell r="Q3675" t="str">
            <v>18</v>
          </cell>
        </row>
        <row r="3676">
          <cell r="B3676" t="str">
            <v>5224/16</v>
          </cell>
          <cell r="C3676" t="str">
            <v>2016-0.071.025-1</v>
          </cell>
          <cell r="D3676" t="str">
            <v>15/02/2016</v>
          </cell>
          <cell r="E3676" t="str">
            <v/>
          </cell>
          <cell r="F3676" t="str">
            <v>TIA MARIA &amp; TIA BETE TRANSPORTES LTDA - ME</v>
          </cell>
          <cell r="G3676" t="str">
            <v/>
          </cell>
          <cell r="H3676" t="str">
            <v/>
          </cell>
          <cell r="I3676" t="str">
            <v/>
          </cell>
          <cell r="J3676" t="str">
            <v>PESSOA JURÍDICA</v>
          </cell>
          <cell r="K3676" t="str">
            <v>07.826.121/0001-36</v>
          </cell>
          <cell r="L3676" t="str">
            <v>SA</v>
          </cell>
          <cell r="M3676" t="str">
            <v>MARIA APARECIDA LEAL PINHEIRO</v>
          </cell>
          <cell r="N3676" t="str">
            <v>FCB9408</v>
          </cell>
          <cell r="O3676" t="str">
            <v>2012</v>
          </cell>
          <cell r="P3676" t="str">
            <v>19</v>
          </cell>
          <cell r="Q3676" t="str">
            <v>18</v>
          </cell>
        </row>
        <row r="3677">
          <cell r="B3677" t="str">
            <v>5224/16</v>
          </cell>
          <cell r="C3677" t="str">
            <v>2016-0.071.025-1</v>
          </cell>
          <cell r="D3677" t="str">
            <v/>
          </cell>
          <cell r="E3677" t="str">
            <v/>
          </cell>
          <cell r="F3677" t="str">
            <v>TIA MARIA &amp; TIA BETE TRANSPORTES LTDA - ME</v>
          </cell>
          <cell r="G3677" t="str">
            <v/>
          </cell>
          <cell r="H3677" t="str">
            <v/>
          </cell>
          <cell r="I3677" t="str">
            <v/>
          </cell>
          <cell r="J3677" t="str">
            <v>PESSOA JURÍDICA</v>
          </cell>
          <cell r="K3677" t="str">
            <v>07.826.121/0001-36</v>
          </cell>
          <cell r="L3677" t="str">
            <v xml:space="preserve">SA </v>
          </cell>
          <cell r="M3677" t="str">
            <v>VALDIR ELOI DA SILVA</v>
          </cell>
          <cell r="N3677" t="str">
            <v>FDR0248</v>
          </cell>
          <cell r="O3677" t="str">
            <v>2013</v>
          </cell>
          <cell r="P3677" t="str">
            <v>19</v>
          </cell>
          <cell r="Q3677" t="str">
            <v>18</v>
          </cell>
        </row>
        <row r="3678">
          <cell r="B3678" t="str">
            <v>5225/16</v>
          </cell>
          <cell r="C3678" t="str">
            <v>2016-0.071.026-0</v>
          </cell>
          <cell r="D3678" t="str">
            <v/>
          </cell>
          <cell r="E3678" t="str">
            <v>21 de março de 2016</v>
          </cell>
          <cell r="F3678" t="str">
            <v>SODRE TRANSPORTES LTDA - ME</v>
          </cell>
          <cell r="G3678" t="str">
            <v>21/03/2016</v>
          </cell>
          <cell r="H3678" t="str">
            <v>02/04/2016</v>
          </cell>
          <cell r="I3678" t="str">
            <v>44</v>
          </cell>
          <cell r="J3678" t="str">
            <v>PESSOA JURÍDICA</v>
          </cell>
          <cell r="K3678" t="str">
            <v>16.707.679/0001-93</v>
          </cell>
          <cell r="L3678" t="str">
            <v>SA</v>
          </cell>
          <cell r="M3678" t="str">
            <v>SERGIO FERREIRA SODRE</v>
          </cell>
          <cell r="N3678" t="str">
            <v>ECT2360</v>
          </cell>
          <cell r="O3678" t="str">
            <v>2008</v>
          </cell>
          <cell r="P3678" t="str">
            <v>29</v>
          </cell>
          <cell r="Q3678" t="str">
            <v>27</v>
          </cell>
        </row>
        <row r="3679">
          <cell r="B3679" t="str">
            <v>5226/16</v>
          </cell>
          <cell r="C3679" t="str">
            <v>2016-0.071.027-8</v>
          </cell>
          <cell r="D3679" t="str">
            <v/>
          </cell>
          <cell r="E3679" t="str">
            <v>21 de março de 2016</v>
          </cell>
          <cell r="F3679" t="str">
            <v>LOCAL SUL TRANSPORTES FEITOSA LTDA - EPP</v>
          </cell>
          <cell r="G3679" t="str">
            <v>21/03/2016</v>
          </cell>
          <cell r="H3679" t="str">
            <v>02/04/2016</v>
          </cell>
          <cell r="I3679" t="str">
            <v>44</v>
          </cell>
          <cell r="J3679" t="str">
            <v>PESSOA JURÍDICA</v>
          </cell>
          <cell r="K3679" t="str">
            <v>11.536.541/0001-55</v>
          </cell>
          <cell r="L3679" t="str">
            <v>CS</v>
          </cell>
          <cell r="M3679" t="str">
            <v>JOAO BATISTA PEREIRA FEITOSA</v>
          </cell>
          <cell r="N3679" t="str">
            <v>FZO4620</v>
          </cell>
          <cell r="O3679" t="str">
            <v>2015</v>
          </cell>
          <cell r="P3679" t="str">
            <v>15</v>
          </cell>
          <cell r="Q3679" t="str">
            <v>14</v>
          </cell>
        </row>
        <row r="3680">
          <cell r="B3680" t="str">
            <v>5227/16</v>
          </cell>
          <cell r="C3680" t="str">
            <v>2016-0.071.028-6</v>
          </cell>
          <cell r="D3680" t="str">
            <v/>
          </cell>
          <cell r="E3680" t="str">
            <v>21 de março de 2016</v>
          </cell>
          <cell r="F3680" t="str">
            <v>CASSIANO BRAS DE OLIVEIRA FILHO TRANSPORTES - ME</v>
          </cell>
          <cell r="G3680" t="str">
            <v>21/03/2016</v>
          </cell>
          <cell r="H3680" t="str">
            <v>31/03/2016</v>
          </cell>
          <cell r="I3680" t="str">
            <v>38</v>
          </cell>
          <cell r="J3680" t="str">
            <v>PESSOA JURÍDICA</v>
          </cell>
          <cell r="K3680" t="str">
            <v>15.838.081/0001-70</v>
          </cell>
          <cell r="L3680" t="str">
            <v>IP</v>
          </cell>
          <cell r="M3680" t="str">
            <v>ABDIAS PEREIRA DE ARAUJO</v>
          </cell>
          <cell r="N3680" t="str">
            <v>FAG5689</v>
          </cell>
          <cell r="O3680" t="str">
            <v>2013</v>
          </cell>
          <cell r="P3680" t="str">
            <v>19</v>
          </cell>
          <cell r="Q3680" t="str">
            <v>18</v>
          </cell>
        </row>
        <row r="3681">
          <cell r="B3681" t="str">
            <v>5227/16</v>
          </cell>
          <cell r="C3681" t="str">
            <v>2016-0.071.028-6</v>
          </cell>
          <cell r="D3681" t="str">
            <v/>
          </cell>
          <cell r="E3681" t="str">
            <v>30 de março de 2016</v>
          </cell>
          <cell r="F3681" t="str">
            <v>CASSIANO BRAS DE OLIVEIRA FILHO TRANSPORTES - ME</v>
          </cell>
          <cell r="G3681" t="str">
            <v>21/03/2016</v>
          </cell>
          <cell r="H3681" t="str">
            <v>31/03/2016</v>
          </cell>
          <cell r="I3681" t="str">
            <v>38</v>
          </cell>
          <cell r="J3681" t="str">
            <v>PESSOA JURÍDICA</v>
          </cell>
          <cell r="K3681" t="str">
            <v>15.838.081/0001-70</v>
          </cell>
          <cell r="L3681" t="str">
            <v>IP</v>
          </cell>
          <cell r="M3681" t="str">
            <v>CASSIANO BRAS DE OLIVEIRA FILHO</v>
          </cell>
          <cell r="N3681" t="str">
            <v>FGD3141</v>
          </cell>
          <cell r="O3681" t="str">
            <v>2012</v>
          </cell>
          <cell r="P3681" t="str">
            <v>19</v>
          </cell>
          <cell r="Q3681" t="str">
            <v>18</v>
          </cell>
        </row>
        <row r="3682">
          <cell r="B3682" t="str">
            <v>5228/16</v>
          </cell>
          <cell r="C3682" t="str">
            <v>2016-0.071.029-4</v>
          </cell>
          <cell r="D3682" t="str">
            <v>08/03/2016</v>
          </cell>
          <cell r="E3682" t="str">
            <v/>
          </cell>
          <cell r="F3682" t="str">
            <v>AQUARELA TRANSPORTES ESCOLARES - ME</v>
          </cell>
          <cell r="G3682" t="str">
            <v/>
          </cell>
          <cell r="H3682" t="str">
            <v/>
          </cell>
          <cell r="I3682" t="str">
            <v/>
          </cell>
          <cell r="J3682" t="str">
            <v>PESSOA JURÍDICA</v>
          </cell>
          <cell r="K3682" t="str">
            <v>13.183.580/0001-41</v>
          </cell>
          <cell r="L3682" t="str">
            <v>IP</v>
          </cell>
          <cell r="M3682" t="str">
            <v>RENATO MENDES DA SILVA</v>
          </cell>
          <cell r="N3682" t="str">
            <v>DTC3479</v>
          </cell>
          <cell r="O3682" t="str">
            <v>2007</v>
          </cell>
          <cell r="P3682" t="str">
            <v>29</v>
          </cell>
          <cell r="Q3682" t="str">
            <v>27</v>
          </cell>
        </row>
        <row r="3683">
          <cell r="B3683" t="str">
            <v>5228/16</v>
          </cell>
          <cell r="C3683" t="str">
            <v>2016-0.071.029-4</v>
          </cell>
          <cell r="D3683" t="str">
            <v>03/03/2016</v>
          </cell>
          <cell r="E3683" t="str">
            <v/>
          </cell>
          <cell r="F3683" t="str">
            <v>AQUARELA TRANSPORTES ESCOLARES - ME</v>
          </cell>
          <cell r="G3683" t="str">
            <v/>
          </cell>
          <cell r="H3683" t="str">
            <v/>
          </cell>
          <cell r="I3683" t="str">
            <v/>
          </cell>
          <cell r="J3683" t="str">
            <v>PESSOA JURÍDICA</v>
          </cell>
          <cell r="K3683" t="str">
            <v>13.183.580/0001-41</v>
          </cell>
          <cell r="L3683" t="str">
            <v>IP</v>
          </cell>
          <cell r="M3683" t="str">
            <v>MARCUS VINICIUS RODRIGUES MENDES</v>
          </cell>
          <cell r="N3683" t="str">
            <v>LVA4758</v>
          </cell>
          <cell r="O3683" t="str">
            <v>2005</v>
          </cell>
          <cell r="P3683" t="str">
            <v>15</v>
          </cell>
          <cell r="Q3683" t="str">
            <v>13</v>
          </cell>
        </row>
        <row r="3684">
          <cell r="B3684" t="str">
            <v>5229/16</v>
          </cell>
          <cell r="C3684" t="str">
            <v>2016-0.071.030-8</v>
          </cell>
          <cell r="D3684" t="str">
            <v/>
          </cell>
          <cell r="E3684" t="str">
            <v>21 de março de 2016</v>
          </cell>
          <cell r="F3684" t="str">
            <v>EL DE SANTANA TRANSPORTES - ME</v>
          </cell>
          <cell r="G3684" t="str">
            <v>21/03/2016</v>
          </cell>
          <cell r="H3684" t="str">
            <v>02/04/2016</v>
          </cell>
          <cell r="I3684" t="str">
            <v>44</v>
          </cell>
          <cell r="J3684" t="str">
            <v>PESSOA JURÍDICA</v>
          </cell>
          <cell r="K3684" t="str">
            <v>16.673.756/0001-31</v>
          </cell>
          <cell r="L3684" t="str">
            <v>IP</v>
          </cell>
          <cell r="M3684" t="str">
            <v>RAFAEL MOREIRA DA SILVA</v>
          </cell>
          <cell r="N3684" t="str">
            <v>EZL4965</v>
          </cell>
          <cell r="O3684" t="str">
            <v>2012</v>
          </cell>
          <cell r="P3684" t="str">
            <v>10</v>
          </cell>
          <cell r="Q3684" t="str">
            <v>9</v>
          </cell>
        </row>
        <row r="3685">
          <cell r="B3685" t="str">
            <v>5230/16</v>
          </cell>
          <cell r="C3685" t="str">
            <v>2016-0.071.031-6</v>
          </cell>
          <cell r="D3685" t="str">
            <v>01/03/2016</v>
          </cell>
          <cell r="E3685" t="str">
            <v>01 de abril de 2016</v>
          </cell>
          <cell r="F3685" t="str">
            <v>ARAUJO'S TRANSPORTE ESCOLARES E FRETAMENTO LTDA - ME</v>
          </cell>
          <cell r="G3685" t="str">
            <v>01/04/2016</v>
          </cell>
          <cell r="H3685" t="str">
            <v>02/04/2016</v>
          </cell>
          <cell r="I3685" t="str">
            <v>44</v>
          </cell>
          <cell r="J3685" t="str">
            <v>PESSOA JURÍDICA</v>
          </cell>
          <cell r="K3685" t="str">
            <v>13.039.990/0001-13</v>
          </cell>
          <cell r="L3685" t="str">
            <v>IP</v>
          </cell>
          <cell r="M3685" t="str">
            <v>ALBERTO PEREIRA DE ARAUJO</v>
          </cell>
          <cell r="N3685" t="str">
            <v>EFU3534</v>
          </cell>
          <cell r="O3685" t="str">
            <v>2010</v>
          </cell>
          <cell r="P3685" t="str">
            <v>19</v>
          </cell>
          <cell r="Q3685" t="str">
            <v>18</v>
          </cell>
        </row>
        <row r="3686">
          <cell r="B3686" t="str">
            <v>5231/16</v>
          </cell>
          <cell r="C3686" t="str">
            <v>2016-0.071.032-4</v>
          </cell>
          <cell r="D3686" t="str">
            <v>26/02/2016</v>
          </cell>
          <cell r="E3686" t="str">
            <v>29 de março de 2016</v>
          </cell>
          <cell r="F3686" t="str">
            <v>LUIZ LIMA FLOR TRANSPORTES - ME</v>
          </cell>
          <cell r="G3686" t="str">
            <v>29/03/2016</v>
          </cell>
          <cell r="H3686" t="str">
            <v>31/03/2016</v>
          </cell>
          <cell r="I3686" t="str">
            <v>38</v>
          </cell>
          <cell r="J3686" t="str">
            <v>PESSOA JURÍDICA</v>
          </cell>
          <cell r="K3686" t="str">
            <v>17.542.589/0001-52</v>
          </cell>
          <cell r="L3686" t="str">
            <v>IP</v>
          </cell>
          <cell r="M3686" t="str">
            <v>LUIZ LIMA FLOR</v>
          </cell>
          <cell r="N3686" t="str">
            <v>EFW3558</v>
          </cell>
          <cell r="O3686" t="str">
            <v>2010</v>
          </cell>
          <cell r="P3686" t="str">
            <v>10</v>
          </cell>
          <cell r="Q3686" t="str">
            <v>9</v>
          </cell>
        </row>
        <row r="3687">
          <cell r="B3687" t="str">
            <v>5232/16</v>
          </cell>
          <cell r="C3687" t="str">
            <v>2016-0.071.033-2</v>
          </cell>
          <cell r="D3687" t="str">
            <v>26/02/2016</v>
          </cell>
          <cell r="E3687" t="str">
            <v>07 de março de 2016</v>
          </cell>
          <cell r="F3687" t="str">
            <v>IBN TRANSPORTES LTDA - ME</v>
          </cell>
          <cell r="G3687" t="str">
            <v>07/03/2016</v>
          </cell>
          <cell r="H3687" t="str">
            <v>25/03/2016</v>
          </cell>
          <cell r="I3687" t="str">
            <v>40</v>
          </cell>
          <cell r="J3687" t="str">
            <v>PESSOA JURÍDICA</v>
          </cell>
          <cell r="K3687" t="str">
            <v>17.095.315/0001-62</v>
          </cell>
          <cell r="L3687" t="str">
            <v>IP</v>
          </cell>
          <cell r="M3687" t="str">
            <v>ILSON BORGES DE NOVAES</v>
          </cell>
          <cell r="N3687" t="str">
            <v>EFU2807</v>
          </cell>
          <cell r="O3687" t="str">
            <v>2010</v>
          </cell>
          <cell r="P3687" t="str">
            <v>10</v>
          </cell>
          <cell r="Q3687" t="str">
            <v>9</v>
          </cell>
        </row>
        <row r="3688">
          <cell r="B3688" t="str">
            <v>5233/16</v>
          </cell>
          <cell r="C3688" t="str">
            <v>2016-0.071.034-0</v>
          </cell>
          <cell r="D3688" t="str">
            <v>29/02/2016</v>
          </cell>
          <cell r="E3688" t="str">
            <v>29 de março de 2016</v>
          </cell>
          <cell r="F3688" t="str">
            <v>AMC TRANSPORTES ESCOLARES LTDA - ME</v>
          </cell>
          <cell r="G3688" t="str">
            <v>29/03/2016</v>
          </cell>
          <cell r="H3688" t="str">
            <v>31/03/2016</v>
          </cell>
          <cell r="I3688" t="str">
            <v>38</v>
          </cell>
          <cell r="J3688" t="str">
            <v>PESSOA JURÍDICA</v>
          </cell>
          <cell r="K3688" t="str">
            <v>10.879.094/0001-74</v>
          </cell>
          <cell r="L3688" t="str">
            <v>JT</v>
          </cell>
          <cell r="M3688" t="str">
            <v>CLEBER MANSO DA CONCEICAO</v>
          </cell>
          <cell r="N3688" t="str">
            <v>DTC5507</v>
          </cell>
          <cell r="O3688" t="str">
            <v>2008</v>
          </cell>
          <cell r="P3688" t="str">
            <v>30</v>
          </cell>
          <cell r="Q3688" t="str">
            <v>28</v>
          </cell>
        </row>
        <row r="3689">
          <cell r="B3689" t="str">
            <v>5234/16</v>
          </cell>
          <cell r="C3689" t="str">
            <v>2016-0.073.028-7</v>
          </cell>
          <cell r="D3689" t="str">
            <v/>
          </cell>
          <cell r="E3689" t="str">
            <v>21 de março de 2016</v>
          </cell>
          <cell r="F3689" t="str">
            <v>MARIZETE SANTOS DIAS - ME</v>
          </cell>
          <cell r="G3689" t="str">
            <v>21/03/2016</v>
          </cell>
          <cell r="H3689" t="str">
            <v>02/04/2016</v>
          </cell>
          <cell r="I3689" t="str">
            <v>44</v>
          </cell>
          <cell r="J3689" t="str">
            <v>PESSOA JURÍDICA</v>
          </cell>
          <cell r="K3689" t="str">
            <v>20.809.855/0001-75</v>
          </cell>
          <cell r="L3689" t="str">
            <v>PJ</v>
          </cell>
          <cell r="M3689" t="str">
            <v>MARIZETE SANTOS DIAS</v>
          </cell>
          <cell r="N3689" t="str">
            <v>CZZ0432</v>
          </cell>
          <cell r="O3689" t="str">
            <v>2002</v>
          </cell>
          <cell r="P3689" t="str">
            <v>25</v>
          </cell>
          <cell r="Q3689" t="str">
            <v>23</v>
          </cell>
        </row>
        <row r="3690">
          <cell r="B3690" t="str">
            <v>5236/16</v>
          </cell>
          <cell r="C3690" t="str">
            <v>2016-0.073.031-7</v>
          </cell>
          <cell r="D3690" t="str">
            <v>03/03/2016</v>
          </cell>
          <cell r="E3690" t="str">
            <v>19 de abril de 2016</v>
          </cell>
          <cell r="F3690" t="str">
            <v>VICENTE GOMES DA SILVA NETO TRANSPORTE - ME</v>
          </cell>
          <cell r="G3690" t="str">
            <v>19/04/2016</v>
          </cell>
          <cell r="H3690" t="str">
            <v>21/04/2016</v>
          </cell>
          <cell r="I3690" t="str">
            <v>97</v>
          </cell>
          <cell r="J3690" t="str">
            <v>PESSOA JURÍDICA</v>
          </cell>
          <cell r="K3690" t="str">
            <v>16.668.511/0001-16</v>
          </cell>
          <cell r="L3690" t="str">
            <v>PJ</v>
          </cell>
          <cell r="M3690" t="str">
            <v>VIVIANE DA SILVA</v>
          </cell>
          <cell r="N3690" t="str">
            <v>FPH2509</v>
          </cell>
          <cell r="O3690" t="str">
            <v>2014</v>
          </cell>
          <cell r="P3690" t="str">
            <v>19</v>
          </cell>
          <cell r="Q3690" t="str">
            <v>18</v>
          </cell>
        </row>
        <row r="3691">
          <cell r="B3691" t="str">
            <v>5236/16</v>
          </cell>
          <cell r="C3691" t="str">
            <v>2016-0.073.031-7</v>
          </cell>
          <cell r="D3691" t="str">
            <v>14/03/2016</v>
          </cell>
          <cell r="E3691" t="str">
            <v>19 de abril de 2016</v>
          </cell>
          <cell r="F3691" t="str">
            <v>VICENTE GOMES DA SILVA NETO TRANSPORTE - ME</v>
          </cell>
          <cell r="G3691" t="str">
            <v>19/04/2016</v>
          </cell>
          <cell r="H3691" t="str">
            <v>21/04/2016</v>
          </cell>
          <cell r="I3691" t="str">
            <v>97</v>
          </cell>
          <cell r="J3691" t="str">
            <v>PESSOA JURÍDICA</v>
          </cell>
          <cell r="K3691" t="str">
            <v>16.668.511/0001-16</v>
          </cell>
          <cell r="L3691" t="str">
            <v>PJ</v>
          </cell>
          <cell r="M3691" t="str">
            <v>ADRIANA MARTINS DEL RE</v>
          </cell>
          <cell r="N3691" t="str">
            <v>FFN7708</v>
          </cell>
          <cell r="O3691" t="str">
            <v>2012</v>
          </cell>
          <cell r="P3691" t="str">
            <v>19</v>
          </cell>
          <cell r="Q3691" t="str">
            <v>18</v>
          </cell>
        </row>
        <row r="3692">
          <cell r="B3692" t="str">
            <v>5237/16</v>
          </cell>
          <cell r="C3692" t="str">
            <v>2016-0.073.032-5</v>
          </cell>
          <cell r="D3692" t="str">
            <v>28/03/2016</v>
          </cell>
          <cell r="E3692" t="str">
            <v>20 de abril de 2016</v>
          </cell>
          <cell r="F3692" t="str">
            <v>SONIA MARIA DE GOUVEIA BONTEMPO - ME</v>
          </cell>
          <cell r="G3692" t="str">
            <v>20/04/2016</v>
          </cell>
          <cell r="H3692" t="str">
            <v>21/04/2016</v>
          </cell>
          <cell r="I3692" t="str">
            <v>97</v>
          </cell>
          <cell r="J3692" t="str">
            <v>PESSOA JURÍDICA</v>
          </cell>
          <cell r="K3692" t="str">
            <v>14.675.470/0001/60</v>
          </cell>
          <cell r="L3692" t="str">
            <v>PJ</v>
          </cell>
          <cell r="M3692" t="str">
            <v>SONIA MARIA DE GOUVEIA BONTEMPO</v>
          </cell>
          <cell r="N3692" t="str">
            <v>EUI4800</v>
          </cell>
          <cell r="O3692" t="str">
            <v>2010</v>
          </cell>
          <cell r="P3692" t="str">
            <v>19</v>
          </cell>
          <cell r="Q3692" t="str">
            <v>18</v>
          </cell>
        </row>
        <row r="3693">
          <cell r="B3693" t="str">
            <v>5239/16</v>
          </cell>
          <cell r="C3693" t="str">
            <v>2016-0.073.034-1</v>
          </cell>
          <cell r="D3693" t="str">
            <v>24/02/2016</v>
          </cell>
          <cell r="E3693" t="str">
            <v>31 de março de 2016</v>
          </cell>
          <cell r="F3693" t="str">
            <v>PIERRE TRANSPORTE ESCOLAR LTDA - ME</v>
          </cell>
          <cell r="G3693" t="str">
            <v>31/03/2016</v>
          </cell>
          <cell r="H3693" t="str">
            <v>02/04/2016</v>
          </cell>
          <cell r="I3693" t="str">
            <v>45</v>
          </cell>
          <cell r="J3693" t="str">
            <v>PESSOA JURÍDICA</v>
          </cell>
          <cell r="K3693" t="str">
            <v>17.416.044/0001-08</v>
          </cell>
          <cell r="L3693" t="str">
            <v>CS</v>
          </cell>
          <cell r="M3693" t="str">
            <v>DANILO MARIANO PIERRE</v>
          </cell>
          <cell r="N3693" t="str">
            <v>DTC3756</v>
          </cell>
          <cell r="O3693" t="str">
            <v>2008</v>
          </cell>
          <cell r="P3693" t="str">
            <v>44</v>
          </cell>
          <cell r="Q3693" t="str">
            <v>43</v>
          </cell>
        </row>
        <row r="3694">
          <cell r="B3694" t="str">
            <v>5239/16</v>
          </cell>
          <cell r="C3694" t="str">
            <v>2016-0.073.034-1</v>
          </cell>
          <cell r="D3694" t="str">
            <v>24/02/2016</v>
          </cell>
          <cell r="E3694" t="str">
            <v>31 de março de 2016</v>
          </cell>
          <cell r="F3694" t="str">
            <v>PIERRE TRANSPORTE ESCOLAR LTDA - ME</v>
          </cell>
          <cell r="G3694" t="str">
            <v>31/03/2016</v>
          </cell>
          <cell r="H3694" t="str">
            <v>02/04/2016</v>
          </cell>
          <cell r="I3694" t="str">
            <v>45</v>
          </cell>
          <cell r="J3694" t="str">
            <v>PESSOA JURÍDICA</v>
          </cell>
          <cell r="K3694" t="str">
            <v>17.416.044/0001-08</v>
          </cell>
          <cell r="L3694" t="str">
            <v>CS</v>
          </cell>
          <cell r="M3694" t="str">
            <v>DOUGLAS SABINO DE ANDRADE</v>
          </cell>
          <cell r="N3694" t="str">
            <v>JJB3546</v>
          </cell>
          <cell r="O3694" t="str">
            <v>2003</v>
          </cell>
          <cell r="P3694" t="str">
            <v>15</v>
          </cell>
          <cell r="Q3694" t="str">
            <v>13</v>
          </cell>
        </row>
        <row r="3695">
          <cell r="B3695" t="str">
            <v>5239/16</v>
          </cell>
          <cell r="C3695" t="str">
            <v>2016-0.073.034-1</v>
          </cell>
          <cell r="D3695" t="str">
            <v>24/02/2016</v>
          </cell>
          <cell r="E3695" t="str">
            <v>31 de março de 2016</v>
          </cell>
          <cell r="F3695" t="str">
            <v>PIERRE TRANSPORTE ESCOLAR LTDA - ME</v>
          </cell>
          <cell r="G3695" t="str">
            <v>31/03/2016</v>
          </cell>
          <cell r="H3695" t="str">
            <v>02/04/2016</v>
          </cell>
          <cell r="I3695" t="str">
            <v>45</v>
          </cell>
          <cell r="J3695" t="str">
            <v>PESSOA JURÍDICA</v>
          </cell>
          <cell r="K3695" t="str">
            <v>17.416.044/0001-08</v>
          </cell>
          <cell r="L3695" t="str">
            <v>CS</v>
          </cell>
          <cell r="M3695" t="str">
            <v>MICHAEL ROBERTO PIERRE</v>
          </cell>
          <cell r="N3695" t="str">
            <v>DJF8539</v>
          </cell>
          <cell r="O3695" t="str">
            <v>2006</v>
          </cell>
          <cell r="P3695" t="str">
            <v>44</v>
          </cell>
          <cell r="Q3695" t="str">
            <v>43</v>
          </cell>
        </row>
        <row r="3696">
          <cell r="B3696" t="str">
            <v>5240/16</v>
          </cell>
          <cell r="C3696" t="str">
            <v>2016-0.073.052-0</v>
          </cell>
          <cell r="D3696" t="str">
            <v>24/02/2016</v>
          </cell>
          <cell r="E3696" t="str">
            <v>11 de abril de 2016</v>
          </cell>
          <cell r="F3696" t="str">
            <v>M DA S BRAGA LOCACAO E TRANSPORTES - ME</v>
          </cell>
          <cell r="G3696" t="str">
            <v>11/04/2016</v>
          </cell>
          <cell r="H3696" t="str">
            <v>13/04/2016</v>
          </cell>
          <cell r="I3696" t="str">
            <v>52</v>
          </cell>
          <cell r="J3696" t="str">
            <v>PESSOA JURÍDICA</v>
          </cell>
          <cell r="K3696" t="str">
            <v>18.144.825/0001-45</v>
          </cell>
          <cell r="L3696" t="str">
            <v>CS</v>
          </cell>
          <cell r="M3696" t="str">
            <v>MARCELO SILVA BRAGA</v>
          </cell>
          <cell r="N3696" t="str">
            <v>FOU8930</v>
          </cell>
          <cell r="O3696" t="str">
            <v>2015</v>
          </cell>
          <cell r="P3696" t="str">
            <v>15</v>
          </cell>
          <cell r="Q3696" t="str">
            <v>14</v>
          </cell>
        </row>
        <row r="3697">
          <cell r="B3697" t="str">
            <v>5241/16</v>
          </cell>
          <cell r="C3697" t="str">
            <v>2016-0.073.053-8</v>
          </cell>
          <cell r="D3697" t="str">
            <v>25/02/2016</v>
          </cell>
          <cell r="E3697" t="str">
            <v>25 de abril de 2016</v>
          </cell>
          <cell r="F3697" t="str">
            <v>RUSH FAST TOUR LTDA - ME</v>
          </cell>
          <cell r="G3697" t="str">
            <v>25/04/2016</v>
          </cell>
          <cell r="H3697" t="str">
            <v>27/04/2016</v>
          </cell>
          <cell r="I3697" t="str">
            <v>55</v>
          </cell>
          <cell r="J3697" t="str">
            <v>PESSOA JURÍDICA</v>
          </cell>
          <cell r="K3697" t="str">
            <v>21.075.381/0001-48</v>
          </cell>
          <cell r="L3697" t="str">
            <v>CS</v>
          </cell>
          <cell r="M3697" t="str">
            <v>JOSE CARLOS FIGUEIREDO DE SOUZA</v>
          </cell>
          <cell r="N3697" t="str">
            <v>NNL5139</v>
          </cell>
          <cell r="O3697" t="str">
            <v>2008</v>
          </cell>
          <cell r="P3697" t="str">
            <v>15</v>
          </cell>
          <cell r="Q3697" t="str">
            <v>13</v>
          </cell>
        </row>
        <row r="3698">
          <cell r="B3698" t="str">
            <v>5241/16</v>
          </cell>
          <cell r="C3698" t="str">
            <v>2016-0.073.053-8</v>
          </cell>
          <cell r="D3698" t="str">
            <v>04/03/2016</v>
          </cell>
          <cell r="E3698" t="str">
            <v>25 de abril de 2016</v>
          </cell>
          <cell r="F3698" t="str">
            <v>RUSH FAST TOUR LTDA - ME</v>
          </cell>
          <cell r="G3698" t="str">
            <v>25/04/2016</v>
          </cell>
          <cell r="H3698" t="str">
            <v>27/04/2016</v>
          </cell>
          <cell r="I3698" t="str">
            <v>55</v>
          </cell>
          <cell r="J3698" t="str">
            <v>PESSOA JURÍDICA</v>
          </cell>
          <cell r="K3698" t="str">
            <v>21.075.381/0001-48</v>
          </cell>
          <cell r="L3698" t="str">
            <v>CS</v>
          </cell>
          <cell r="M3698" t="str">
            <v>JULIANA DE PAULA SILVA</v>
          </cell>
          <cell r="N3698" t="str">
            <v>CPN9803</v>
          </cell>
          <cell r="O3698" t="str">
            <v>2002</v>
          </cell>
          <cell r="P3698" t="str">
            <v>30</v>
          </cell>
          <cell r="Q3698" t="str">
            <v>28</v>
          </cell>
        </row>
        <row r="3699">
          <cell r="B3699" t="str">
            <v>5242/16</v>
          </cell>
          <cell r="C3699" t="str">
            <v>2016-0.073.054-6</v>
          </cell>
          <cell r="D3699" t="str">
            <v/>
          </cell>
          <cell r="E3699" t="str">
            <v/>
          </cell>
          <cell r="F3699" t="str">
            <v>MARCELO AMARO DA SILVA TRANSPORTES - ME</v>
          </cell>
          <cell r="G3699" t="str">
            <v/>
          </cell>
          <cell r="H3699" t="str">
            <v/>
          </cell>
          <cell r="I3699" t="str">
            <v/>
          </cell>
          <cell r="J3699" t="str">
            <v>PESSOA JURÍDICA</v>
          </cell>
          <cell r="K3699" t="str">
            <v>17.650.563/0001-28</v>
          </cell>
          <cell r="L3699" t="str">
            <v>PJ</v>
          </cell>
          <cell r="M3699" t="str">
            <v>MARCELO AMARO DA SILVA</v>
          </cell>
          <cell r="N3699" t="str">
            <v>CZZ1786</v>
          </cell>
          <cell r="O3699" t="str">
            <v>2002</v>
          </cell>
          <cell r="P3699" t="str">
            <v>25</v>
          </cell>
          <cell r="Q3699" t="str">
            <v>23</v>
          </cell>
        </row>
        <row r="3700">
          <cell r="B3700" t="str">
            <v>5243/16</v>
          </cell>
          <cell r="C3700" t="str">
            <v>2016-0.073.055-4</v>
          </cell>
          <cell r="D3700" t="str">
            <v/>
          </cell>
          <cell r="E3700" t="str">
            <v>31 de março de 2016</v>
          </cell>
          <cell r="F3700" t="str">
            <v>TRANSBEJA LOCADORA E TRANSPORTE ESCOLAR E RODOVIARIO LTDA - ME</v>
          </cell>
          <cell r="G3700" t="str">
            <v>31/03/2016</v>
          </cell>
          <cell r="H3700" t="str">
            <v>02/04/2016</v>
          </cell>
          <cell r="I3700" t="str">
            <v>45</v>
          </cell>
          <cell r="J3700" t="str">
            <v>PESSOA JURÍDICA</v>
          </cell>
          <cell r="K3700" t="str">
            <v>16.927.610/0001-75</v>
          </cell>
          <cell r="L3700" t="str">
            <v>PJ</v>
          </cell>
          <cell r="M3700" t="str">
            <v>RUBENS BEJA</v>
          </cell>
          <cell r="N3700" t="str">
            <v>ELQ5400</v>
          </cell>
          <cell r="O3700" t="str">
            <v>2011</v>
          </cell>
          <cell r="P3700" t="str">
            <v>19</v>
          </cell>
          <cell r="Q3700" t="str">
            <v>18</v>
          </cell>
        </row>
        <row r="3701">
          <cell r="B3701" t="str">
            <v>5244/16</v>
          </cell>
          <cell r="C3701" t="str">
            <v>2016-0.073.056-2</v>
          </cell>
          <cell r="D3701" t="str">
            <v/>
          </cell>
          <cell r="E3701" t="str">
            <v/>
          </cell>
          <cell r="F3701" t="str">
            <v>RESGATE TRANSPORTES MC LTDA - ME</v>
          </cell>
          <cell r="G3701" t="str">
            <v>21/03/2016</v>
          </cell>
          <cell r="H3701" t="str">
            <v>09/04/2016</v>
          </cell>
          <cell r="I3701" t="str">
            <v>35</v>
          </cell>
          <cell r="J3701" t="str">
            <v>PESSOA JURÍDICA</v>
          </cell>
          <cell r="K3701" t="str">
            <v>12.594.109/0001-83</v>
          </cell>
          <cell r="L3701" t="str">
            <v>PJ</v>
          </cell>
          <cell r="M3701" t="str">
            <v>PAULO JOAO DA SILVA</v>
          </cell>
          <cell r="N3701" t="str">
            <v>DJF8321</v>
          </cell>
          <cell r="O3701" t="str">
            <v>2009</v>
          </cell>
          <cell r="P3701" t="str">
            <v>19</v>
          </cell>
          <cell r="Q3701" t="str">
            <v>18</v>
          </cell>
        </row>
        <row r="3702">
          <cell r="B3702" t="str">
            <v>5244/16</v>
          </cell>
          <cell r="C3702" t="str">
            <v>2016-0.073.056-2</v>
          </cell>
          <cell r="D3702" t="str">
            <v/>
          </cell>
          <cell r="E3702" t="str">
            <v>21 de março de 2016</v>
          </cell>
          <cell r="F3702" t="str">
            <v>RESGATE TRANSPORTES MC LTDA - ME</v>
          </cell>
          <cell r="G3702" t="str">
            <v>21/03/2016</v>
          </cell>
          <cell r="H3702" t="str">
            <v>09/04/2016</v>
          </cell>
          <cell r="I3702" t="str">
            <v>35</v>
          </cell>
          <cell r="J3702" t="str">
            <v>PESSOA JURÍDICA</v>
          </cell>
          <cell r="K3702" t="str">
            <v>12.594.109/0001-83</v>
          </cell>
          <cell r="L3702" t="str">
            <v>PJ</v>
          </cell>
          <cell r="M3702" t="str">
            <v>MARIA DO SOCORRO NUNES FIM</v>
          </cell>
          <cell r="N3702" t="str">
            <v>DTC0588</v>
          </cell>
          <cell r="O3702" t="str">
            <v>2007</v>
          </cell>
          <cell r="P3702" t="str">
            <v>29</v>
          </cell>
          <cell r="Q3702" t="str">
            <v>27</v>
          </cell>
        </row>
        <row r="3703">
          <cell r="B3703" t="str">
            <v>5244/16</v>
          </cell>
          <cell r="C3703" t="str">
            <v>2016-0.073.056-2</v>
          </cell>
          <cell r="D3703" t="str">
            <v/>
          </cell>
          <cell r="E3703" t="str">
            <v>07 de abril de 2016</v>
          </cell>
          <cell r="F3703" t="str">
            <v>RESGATE TRANSPORTES MC LTDA - ME</v>
          </cell>
          <cell r="G3703" t="str">
            <v>21/03/2016</v>
          </cell>
          <cell r="H3703" t="str">
            <v>09/04/2016</v>
          </cell>
          <cell r="I3703" t="str">
            <v>35</v>
          </cell>
          <cell r="J3703" t="str">
            <v>PESSOA JURÍDICA</v>
          </cell>
          <cell r="K3703" t="str">
            <v>12.594.109/0001-83</v>
          </cell>
          <cell r="L3703" t="str">
            <v>PJ</v>
          </cell>
          <cell r="M3703" t="str">
            <v>ANDREY SANTANA VARGAS</v>
          </cell>
          <cell r="N3703" t="str">
            <v>FCB4675</v>
          </cell>
          <cell r="O3703" t="str">
            <v>2012</v>
          </cell>
          <cell r="P3703" t="str">
            <v>19</v>
          </cell>
          <cell r="Q3703" t="str">
            <v>18</v>
          </cell>
        </row>
        <row r="3704">
          <cell r="B3704" t="str">
            <v>5245/16</v>
          </cell>
          <cell r="C3704" t="str">
            <v>2016-0.073.057-0</v>
          </cell>
          <cell r="D3704" t="str">
            <v>18/02/2016</v>
          </cell>
          <cell r="E3704" t="str">
            <v>31 de março de 2016</v>
          </cell>
          <cell r="F3704" t="str">
            <v>COOPERUNIDAS - COOPERATIVA DE TRANSPORTES ALTERNATIVOS</v>
          </cell>
          <cell r="G3704" t="str">
            <v>31/03/2016</v>
          </cell>
          <cell r="H3704" t="str">
            <v>02/04/2016</v>
          </cell>
          <cell r="I3704" t="str">
            <v>45</v>
          </cell>
          <cell r="J3704" t="str">
            <v>PESSOA JURÍDICA</v>
          </cell>
          <cell r="K3704" t="str">
            <v>10.452.932/0001-29</v>
          </cell>
          <cell r="L3704" t="str">
            <v>PJ</v>
          </cell>
          <cell r="M3704" t="str">
            <v>GERALDO JOSE DA SILVA</v>
          </cell>
          <cell r="N3704" t="str">
            <v>DYC4952</v>
          </cell>
          <cell r="O3704" t="str">
            <v>2009</v>
          </cell>
          <cell r="P3704" t="str">
            <v>29</v>
          </cell>
          <cell r="Q3704" t="str">
            <v>28</v>
          </cell>
        </row>
        <row r="3705">
          <cell r="B3705" t="str">
            <v>5246/16</v>
          </cell>
          <cell r="C3705" t="str">
            <v>2016-0.073.058-9</v>
          </cell>
          <cell r="D3705" t="str">
            <v>02/03/2016</v>
          </cell>
          <cell r="E3705" t="str">
            <v>02 de março de 2016</v>
          </cell>
          <cell r="F3705" t="str">
            <v>TRANS-CHILDREN TRANSPORTE ESCOLAR E TURISMO LTDA - ME</v>
          </cell>
          <cell r="G3705" t="str">
            <v>30/03/2016</v>
          </cell>
          <cell r="H3705" t="str">
            <v>31/03/2016</v>
          </cell>
          <cell r="I3705" t="str">
            <v>38</v>
          </cell>
          <cell r="J3705" t="str">
            <v>PESSOA JURÍDICA</v>
          </cell>
          <cell r="K3705" t="str">
            <v>00.280.324/0001-20</v>
          </cell>
          <cell r="L3705" t="str">
            <v>MP</v>
          </cell>
          <cell r="M3705" t="str">
            <v>SERGIO APARECIDO POLI</v>
          </cell>
          <cell r="N3705" t="str">
            <v>CZX7123</v>
          </cell>
          <cell r="O3705" t="str">
            <v>2003</v>
          </cell>
          <cell r="P3705" t="str">
            <v>23</v>
          </cell>
          <cell r="Q3705" t="str">
            <v>21</v>
          </cell>
        </row>
        <row r="3706">
          <cell r="B3706" t="str">
            <v>5246/16</v>
          </cell>
          <cell r="C3706" t="str">
            <v>2016-0.073.058-9</v>
          </cell>
          <cell r="D3706" t="str">
            <v>24/02/2016</v>
          </cell>
          <cell r="E3706" t="str">
            <v>24 de fevereiro de 2016</v>
          </cell>
          <cell r="F3706" t="str">
            <v>TRANS-CHILDREN TRANSPORTE ESCOLAR E TURISMO LTDA - ME</v>
          </cell>
          <cell r="G3706" t="str">
            <v>30/03/2016</v>
          </cell>
          <cell r="H3706" t="str">
            <v>31/03/2016</v>
          </cell>
          <cell r="I3706" t="str">
            <v>38</v>
          </cell>
          <cell r="J3706" t="str">
            <v>PESSOA JURÍDICA</v>
          </cell>
          <cell r="K3706" t="str">
            <v>00.280.324/0001-20</v>
          </cell>
          <cell r="L3706" t="str">
            <v>MP</v>
          </cell>
          <cell r="M3706" t="str">
            <v>ALEXANDRE DA CRUZ SANTOS</v>
          </cell>
          <cell r="N3706" t="str">
            <v>EZK4890</v>
          </cell>
          <cell r="O3706" t="str">
            <v>2011</v>
          </cell>
          <cell r="P3706" t="str">
            <v>24</v>
          </cell>
          <cell r="Q3706" t="str">
            <v>23</v>
          </cell>
        </row>
        <row r="3707">
          <cell r="B3707" t="str">
            <v>5247/16</v>
          </cell>
          <cell r="C3707" t="str">
            <v>2016-0.073.059-7</v>
          </cell>
          <cell r="D3707" t="str">
            <v>14/03/2016</v>
          </cell>
          <cell r="E3707" t="str">
            <v>15 de abril de 2016</v>
          </cell>
          <cell r="F3707" t="str">
            <v>RENATO BRASIL TRANSPORTES LTDA - ME</v>
          </cell>
          <cell r="G3707" t="str">
            <v>15/04/2016</v>
          </cell>
          <cell r="H3707" t="str">
            <v>19/04/2016</v>
          </cell>
          <cell r="I3707" t="str">
            <v>30</v>
          </cell>
          <cell r="J3707" t="str">
            <v>PESSOA JURÍDICA</v>
          </cell>
          <cell r="K3707" t="str">
            <v>16.986.357/0001-20</v>
          </cell>
          <cell r="L3707" t="str">
            <v>CS</v>
          </cell>
          <cell r="M3707" t="str">
            <v>RENATO JESUS DA SILVA</v>
          </cell>
          <cell r="N3707" t="str">
            <v>DJB8750</v>
          </cell>
          <cell r="O3707" t="str">
            <v>2004</v>
          </cell>
          <cell r="P3707" t="str">
            <v>30</v>
          </cell>
          <cell r="Q3707" t="str">
            <v>28</v>
          </cell>
        </row>
        <row r="3708">
          <cell r="B3708" t="str">
            <v>5248/16</v>
          </cell>
          <cell r="C3708" t="str">
            <v>2016-0.073.061-9</v>
          </cell>
          <cell r="D3708" t="str">
            <v/>
          </cell>
          <cell r="E3708" t="str">
            <v>11 de abril de 2016</v>
          </cell>
          <cell r="F3708" t="str">
            <v>BIKUDO TRANSPORTES LTDA - ME</v>
          </cell>
          <cell r="G3708" t="str">
            <v>11/04/2016</v>
          </cell>
          <cell r="H3708" t="str">
            <v>19/04/2016</v>
          </cell>
          <cell r="I3708" t="str">
            <v>31</v>
          </cell>
          <cell r="J3708" t="str">
            <v>PESSOA JURÍDICA</v>
          </cell>
          <cell r="K3708" t="str">
            <v>17.677.564/0001-66</v>
          </cell>
          <cell r="L3708" t="str">
            <v>CS</v>
          </cell>
          <cell r="M3708" t="str">
            <v>KATIA ROBERTA CARDOSO PEREIRA</v>
          </cell>
          <cell r="N3708" t="str">
            <v>FTA8677</v>
          </cell>
          <cell r="O3708" t="str">
            <v>2014</v>
          </cell>
          <cell r="P3708" t="str">
            <v>19</v>
          </cell>
          <cell r="Q3708" t="str">
            <v>18</v>
          </cell>
        </row>
        <row r="3709">
          <cell r="B3709" t="str">
            <v>5248/16</v>
          </cell>
          <cell r="C3709" t="str">
            <v>2016-0.073.061-9</v>
          </cell>
          <cell r="D3709" t="str">
            <v>24/03/2016</v>
          </cell>
          <cell r="E3709" t="str">
            <v>11 de abril de 2016</v>
          </cell>
          <cell r="F3709" t="str">
            <v>BIKUDO TRANSPORTES LTDA - ME</v>
          </cell>
          <cell r="G3709" t="str">
            <v>11/04/2016</v>
          </cell>
          <cell r="H3709" t="str">
            <v>19/04/2016</v>
          </cell>
          <cell r="I3709" t="str">
            <v>31</v>
          </cell>
          <cell r="J3709" t="str">
            <v>PESSOA JURÍDICA</v>
          </cell>
          <cell r="K3709" t="str">
            <v>17.677.564/0001-66</v>
          </cell>
          <cell r="L3709" t="str">
            <v>CS</v>
          </cell>
          <cell r="M3709" t="str">
            <v>MAURICIO RIBEIRO LEITE</v>
          </cell>
          <cell r="N3709" t="str">
            <v>FHL4235</v>
          </cell>
          <cell r="O3709" t="str">
            <v>2012</v>
          </cell>
          <cell r="P3709" t="str">
            <v>19</v>
          </cell>
          <cell r="Q3709" t="str">
            <v>18</v>
          </cell>
        </row>
        <row r="3710">
          <cell r="B3710" t="str">
            <v>5249/16</v>
          </cell>
          <cell r="C3710" t="str">
            <v>2016-0.077.897-2</v>
          </cell>
          <cell r="D3710" t="str">
            <v/>
          </cell>
          <cell r="E3710" t="str">
            <v>11 de abril de 2016</v>
          </cell>
          <cell r="F3710" t="str">
            <v>HERNANDES TRANSPORTES LTDA - ME</v>
          </cell>
          <cell r="G3710" t="str">
            <v>11/04/2016</v>
          </cell>
          <cell r="H3710" t="str">
            <v>19/04/2016</v>
          </cell>
          <cell r="I3710" t="str">
            <v>31</v>
          </cell>
          <cell r="J3710" t="str">
            <v>PESSOA JURÍDICA</v>
          </cell>
          <cell r="K3710" t="str">
            <v>17.582.035/0001-89</v>
          </cell>
          <cell r="L3710" t="str">
            <v>PJ</v>
          </cell>
          <cell r="M3710" t="str">
            <v>SERGIO RICARDO DIAS</v>
          </cell>
          <cell r="N3710" t="str">
            <v>DTB7980</v>
          </cell>
          <cell r="O3710" t="str">
            <v>2007</v>
          </cell>
          <cell r="P3710" t="str">
            <v>25</v>
          </cell>
          <cell r="Q3710" t="str">
            <v>23</v>
          </cell>
        </row>
        <row r="3711">
          <cell r="B3711" t="str">
            <v>5250/16</v>
          </cell>
          <cell r="C3711" t="str">
            <v>2016-0.077.898-0</v>
          </cell>
          <cell r="D3711" t="str">
            <v>02/03/2016</v>
          </cell>
          <cell r="E3711" t="str">
            <v>20 de abril de 2016</v>
          </cell>
          <cell r="F3711" t="str">
            <v>ANTONIO ROBERTO JORGE - EPP</v>
          </cell>
          <cell r="G3711" t="str">
            <v>20/04/2016</v>
          </cell>
          <cell r="H3711" t="str">
            <v>21/04/2016</v>
          </cell>
          <cell r="I3711" t="str">
            <v>97</v>
          </cell>
          <cell r="J3711" t="str">
            <v>PESSOA JURÍDICA</v>
          </cell>
          <cell r="K3711" t="str">
            <v>14.062.055/0001-30</v>
          </cell>
          <cell r="L3711" t="str">
            <v>MP</v>
          </cell>
          <cell r="M3711" t="str">
            <v>ANTONIO ROBERTO JORGE</v>
          </cell>
          <cell r="N3711" t="str">
            <v>EJH4980</v>
          </cell>
          <cell r="O3711" t="str">
            <v>2009</v>
          </cell>
          <cell r="P3711" t="str">
            <v>11</v>
          </cell>
          <cell r="Q3711" t="str">
            <v>10</v>
          </cell>
        </row>
        <row r="3712">
          <cell r="B3712" t="str">
            <v>5250/16</v>
          </cell>
          <cell r="C3712" t="str">
            <v>2016-0.077.898-0</v>
          </cell>
          <cell r="D3712" t="str">
            <v>25/02/2016</v>
          </cell>
          <cell r="E3712" t="str">
            <v>20 de abril de 2016</v>
          </cell>
          <cell r="F3712" t="str">
            <v>ANTONIO ROBERTO JORGE - EPP</v>
          </cell>
          <cell r="G3712" t="str">
            <v>20/04/2016</v>
          </cell>
          <cell r="H3712" t="str">
            <v>21/04/2016</v>
          </cell>
          <cell r="I3712" t="str">
            <v>97</v>
          </cell>
          <cell r="J3712" t="str">
            <v>PESSOA JURÍDICA</v>
          </cell>
          <cell r="K3712" t="str">
            <v>14.062.055/0001-30</v>
          </cell>
          <cell r="L3712" t="str">
            <v>MP</v>
          </cell>
          <cell r="M3712" t="str">
            <v>ROXANE GAMBERINI</v>
          </cell>
          <cell r="N3712" t="str">
            <v>DBM8081</v>
          </cell>
          <cell r="O3712" t="str">
            <v>2005</v>
          </cell>
          <cell r="P3712" t="str">
            <v>25</v>
          </cell>
          <cell r="Q3712" t="str">
            <v>23</v>
          </cell>
        </row>
        <row r="3713">
          <cell r="B3713" t="str">
            <v>5251/16</v>
          </cell>
          <cell r="C3713" t="str">
            <v>2016-0.077.899-9</v>
          </cell>
          <cell r="D3713" t="str">
            <v>01/03/2016</v>
          </cell>
          <cell r="E3713" t="str">
            <v>04 de abril de 2016</v>
          </cell>
          <cell r="F3713" t="str">
            <v>ROMILDA ARAUJO DE QUEIROZ TRANSPORTES - ME</v>
          </cell>
          <cell r="G3713" t="str">
            <v>04/04/2016</v>
          </cell>
          <cell r="H3713" t="str">
            <v>07/04/2016</v>
          </cell>
          <cell r="I3713" t="str">
            <v>20</v>
          </cell>
          <cell r="J3713" t="str">
            <v>PESSOA JURÍDICA</v>
          </cell>
          <cell r="K3713" t="str">
            <v>16.537.199/0001-21</v>
          </cell>
          <cell r="L3713" t="str">
            <v>MP</v>
          </cell>
          <cell r="M3713" t="str">
            <v>ROMILDA ARAUJO DE QUEIROZ</v>
          </cell>
          <cell r="N3713" t="str">
            <v>DTD7413</v>
          </cell>
          <cell r="O3713" t="str">
            <v>2009</v>
          </cell>
          <cell r="P3713" t="str">
            <v>11</v>
          </cell>
          <cell r="Q3713" t="str">
            <v>10</v>
          </cell>
        </row>
        <row r="3714">
          <cell r="B3714" t="str">
            <v>5252/16</v>
          </cell>
          <cell r="C3714" t="str">
            <v>2016-0.077.902-2</v>
          </cell>
          <cell r="D3714" t="str">
            <v>16/03/2016</v>
          </cell>
          <cell r="E3714" t="str">
            <v/>
          </cell>
          <cell r="F3714" t="str">
            <v>ERNESTO DA COSTA FILHO TRANSPORTE - ME</v>
          </cell>
          <cell r="G3714" t="str">
            <v/>
          </cell>
          <cell r="H3714" t="str">
            <v/>
          </cell>
          <cell r="I3714" t="str">
            <v/>
          </cell>
          <cell r="J3714" t="str">
            <v>PESSOA JURÍDICA</v>
          </cell>
          <cell r="K3714" t="str">
            <v>12.461.549/0001-62</v>
          </cell>
          <cell r="L3714" t="str">
            <v>MP</v>
          </cell>
          <cell r="M3714" t="str">
            <v>ALLAN PEREIRA SOARES</v>
          </cell>
          <cell r="N3714" t="str">
            <v>EMK1090</v>
          </cell>
          <cell r="O3714" t="str">
            <v>2010</v>
          </cell>
          <cell r="P3714" t="str">
            <v>19</v>
          </cell>
          <cell r="Q3714" t="str">
            <v>18</v>
          </cell>
        </row>
        <row r="3715">
          <cell r="B3715" t="str">
            <v>5253/16</v>
          </cell>
          <cell r="C3715" t="str">
            <v>2016-0.077.903-0</v>
          </cell>
          <cell r="D3715" t="str">
            <v>15/02/2016</v>
          </cell>
          <cell r="E3715" t="str">
            <v/>
          </cell>
          <cell r="F3715" t="str">
            <v>TRANSPORTES CRUZ &amp; MARQUES LTDA - ME</v>
          </cell>
          <cell r="G3715" t="str">
            <v/>
          </cell>
          <cell r="H3715" t="str">
            <v/>
          </cell>
          <cell r="I3715" t="str">
            <v/>
          </cell>
          <cell r="J3715" t="str">
            <v>PESSOA JURÍDICA</v>
          </cell>
          <cell r="K3715" t="str">
            <v>20.180.933/0001-15</v>
          </cell>
          <cell r="L3715" t="str">
            <v>S.A</v>
          </cell>
          <cell r="M3715" t="str">
            <v>EDSON DA SILVA CRUZ</v>
          </cell>
          <cell r="N3715" t="str">
            <v>EFW0629</v>
          </cell>
          <cell r="O3715" t="str">
            <v>2008</v>
          </cell>
          <cell r="P3715" t="str">
            <v>29</v>
          </cell>
          <cell r="Q3715" t="str">
            <v>27</v>
          </cell>
        </row>
        <row r="3716">
          <cell r="B3716" t="str">
            <v>5254/16</v>
          </cell>
          <cell r="C3716" t="str">
            <v>2016-0.077.905-7</v>
          </cell>
          <cell r="D3716" t="str">
            <v>24/02/2016</v>
          </cell>
          <cell r="E3716" t="str">
            <v/>
          </cell>
          <cell r="F3716" t="str">
            <v>A DE P MOREIRA TRANSPORTES - ME</v>
          </cell>
          <cell r="G3716" t="str">
            <v/>
          </cell>
          <cell r="H3716" t="str">
            <v/>
          </cell>
          <cell r="I3716" t="str">
            <v/>
          </cell>
          <cell r="J3716" t="str">
            <v>PESSOA JURÍDICA</v>
          </cell>
          <cell r="K3716" t="str">
            <v>11.671.974/0001-13</v>
          </cell>
          <cell r="L3716" t="str">
            <v>CS</v>
          </cell>
          <cell r="M3716" t="str">
            <v>MAURO ALVES DA SILVA</v>
          </cell>
          <cell r="N3716" t="str">
            <v>EFV0350</v>
          </cell>
          <cell r="O3716" t="str">
            <v>2009</v>
          </cell>
          <cell r="P3716" t="str">
            <v>19</v>
          </cell>
          <cell r="Q3716" t="str">
            <v>17</v>
          </cell>
        </row>
        <row r="3717">
          <cell r="B3717" t="str">
            <v>5254/16</v>
          </cell>
          <cell r="C3717" t="str">
            <v>2016-0.077.905-7</v>
          </cell>
          <cell r="D3717" t="str">
            <v/>
          </cell>
          <cell r="E3717" t="str">
            <v/>
          </cell>
          <cell r="F3717" t="str">
            <v>A DE P MOREIRA TRANSPORTES - ME</v>
          </cell>
          <cell r="G3717" t="str">
            <v/>
          </cell>
          <cell r="H3717" t="str">
            <v/>
          </cell>
          <cell r="I3717" t="str">
            <v/>
          </cell>
          <cell r="J3717" t="str">
            <v>PESSOA JURÍDICA</v>
          </cell>
          <cell r="K3717" t="str">
            <v>11.671.974/0001-13</v>
          </cell>
          <cell r="L3717" t="str">
            <v>CS</v>
          </cell>
          <cell r="M3717" t="str">
            <v>ALCIDES DE PAULA MOREIRA</v>
          </cell>
          <cell r="N3717" t="str">
            <v>DBC1869</v>
          </cell>
          <cell r="O3717" t="str">
            <v>2009</v>
          </cell>
          <cell r="P3717" t="str">
            <v>29</v>
          </cell>
          <cell r="Q3717" t="str">
            <v>27</v>
          </cell>
        </row>
        <row r="3718">
          <cell r="B3718" t="str">
            <v>5255/16</v>
          </cell>
          <cell r="C3718" t="str">
            <v>2016-0.077.906-5</v>
          </cell>
          <cell r="D3718" t="str">
            <v/>
          </cell>
          <cell r="E3718" t="str">
            <v>20 de abril de 2016</v>
          </cell>
          <cell r="F3718" t="str">
            <v>RAGAFARO TRANSPORTES &amp; TURISMO LTDA - ME</v>
          </cell>
          <cell r="G3718" t="str">
            <v>20/04/2016</v>
          </cell>
          <cell r="H3718" t="str">
            <v>21/04/2016</v>
          </cell>
          <cell r="I3718" t="str">
            <v>97</v>
          </cell>
          <cell r="J3718" t="str">
            <v>PESSOA JURÍDICA</v>
          </cell>
          <cell r="K3718" t="str">
            <v>18.243.572/0001-67</v>
          </cell>
          <cell r="L3718" t="str">
            <v>PJ</v>
          </cell>
          <cell r="M3718" t="str">
            <v>RODNEI MIGUEL AURICHI</v>
          </cell>
          <cell r="N3718" t="str">
            <v>ENL3703</v>
          </cell>
          <cell r="O3718" t="str">
            <v>2010</v>
          </cell>
          <cell r="P3718" t="str">
            <v>19</v>
          </cell>
          <cell r="Q3718" t="str">
            <v>18</v>
          </cell>
        </row>
        <row r="3719">
          <cell r="B3719" t="str">
            <v>5255/16</v>
          </cell>
          <cell r="C3719" t="str">
            <v>2016-0.077.906-5</v>
          </cell>
          <cell r="D3719" t="str">
            <v>25/02/2016</v>
          </cell>
          <cell r="E3719" t="str">
            <v>20 de abril de 2016</v>
          </cell>
          <cell r="F3719" t="str">
            <v>RAGAFARO TRANSPORTES &amp; TURISMO LTDA - ME</v>
          </cell>
          <cell r="G3719" t="str">
            <v>20/04/2016</v>
          </cell>
          <cell r="H3719" t="str">
            <v>21/04/2016</v>
          </cell>
          <cell r="I3719" t="str">
            <v>97</v>
          </cell>
          <cell r="J3719" t="str">
            <v>PESSOA JURÍDICA</v>
          </cell>
          <cell r="K3719" t="str">
            <v>18.243.572/0001-67</v>
          </cell>
          <cell r="L3719" t="str">
            <v>PJ</v>
          </cell>
          <cell r="M3719" t="str">
            <v>FABIO LUIZ GONCALVES</v>
          </cell>
          <cell r="N3719" t="str">
            <v>EGS2699</v>
          </cell>
          <cell r="O3719" t="str">
            <v>2008</v>
          </cell>
          <cell r="P3719" t="str">
            <v>19</v>
          </cell>
          <cell r="Q3719" t="str">
            <v>17</v>
          </cell>
        </row>
        <row r="3720">
          <cell r="B3720" t="str">
            <v>5256/16</v>
          </cell>
          <cell r="C3720" t="str">
            <v>2016-0.077.907-3</v>
          </cell>
          <cell r="D3720" t="str">
            <v>23/02/2016</v>
          </cell>
          <cell r="E3720" t="str">
            <v>04 de abril de 2016</v>
          </cell>
          <cell r="F3720" t="str">
            <v>ALEXSANDRA MARIA DE ASSIS TRANSPORTES - ME</v>
          </cell>
          <cell r="G3720" t="str">
            <v>04/04/2016</v>
          </cell>
          <cell r="H3720" t="str">
            <v>07/04/2016</v>
          </cell>
          <cell r="I3720" t="str">
            <v>20</v>
          </cell>
          <cell r="J3720" t="str">
            <v>PESSOA JURÍDICA</v>
          </cell>
          <cell r="K3720" t="str">
            <v>11.230.751/0001-10</v>
          </cell>
          <cell r="L3720" t="str">
            <v>PJ</v>
          </cell>
          <cell r="M3720" t="str">
            <v>ADAILTON BEZERRA DE ASSIS JUNIOR</v>
          </cell>
          <cell r="N3720" t="str">
            <v>FPR1934</v>
          </cell>
          <cell r="O3720" t="str">
            <v>2014</v>
          </cell>
          <cell r="P3720" t="str">
            <v>10</v>
          </cell>
          <cell r="Q3720" t="str">
            <v>9</v>
          </cell>
        </row>
        <row r="3721">
          <cell r="B3721" t="str">
            <v>5257/16</v>
          </cell>
          <cell r="C3721" t="str">
            <v>2016-0.077.908-1</v>
          </cell>
          <cell r="D3721" t="str">
            <v>19/02/2016</v>
          </cell>
          <cell r="E3721" t="str">
            <v/>
          </cell>
          <cell r="F3721" t="str">
            <v>SANTIAGO &amp; ALTEMAR TRANSPORTES LTDA - ME</v>
          </cell>
          <cell r="G3721" t="str">
            <v/>
          </cell>
          <cell r="H3721" t="str">
            <v/>
          </cell>
          <cell r="I3721" t="str">
            <v/>
          </cell>
          <cell r="J3721" t="str">
            <v>PESSOA JURÍDICA</v>
          </cell>
          <cell r="K3721" t="str">
            <v>12.684.713/0001-09</v>
          </cell>
          <cell r="L3721" t="str">
            <v>PJ</v>
          </cell>
          <cell r="M3721" t="str">
            <v>DINA TEIXEIRA DA CUNHA BASTOS</v>
          </cell>
          <cell r="N3721" t="str">
            <v>FLT1730</v>
          </cell>
          <cell r="O3721" t="str">
            <v>2013</v>
          </cell>
          <cell r="P3721" t="str">
            <v>19</v>
          </cell>
          <cell r="Q3721" t="str">
            <v>18</v>
          </cell>
        </row>
        <row r="3722">
          <cell r="B3722" t="str">
            <v>5258/16</v>
          </cell>
          <cell r="C3722" t="str">
            <v>2016-0.077.909-0</v>
          </cell>
          <cell r="D3722" t="str">
            <v>28/03/2016</v>
          </cell>
          <cell r="E3722" t="str">
            <v>15 de abril de 2016</v>
          </cell>
          <cell r="F3722" t="str">
            <v>IVONE RODRIGUES FREDERICO TRANSPORTES - ME</v>
          </cell>
          <cell r="G3722" t="str">
            <v>15/04/2016</v>
          </cell>
          <cell r="H3722" t="str">
            <v>19/04/2016</v>
          </cell>
          <cell r="I3722" t="str">
            <v>31</v>
          </cell>
          <cell r="J3722" t="str">
            <v>PESSOA JURÍDICA</v>
          </cell>
          <cell r="K3722" t="str">
            <v>10.980.499/0001-02</v>
          </cell>
          <cell r="L3722" t="str">
            <v>PJ</v>
          </cell>
          <cell r="M3722" t="str">
            <v>RICARDO HOLMO CONTREIRA</v>
          </cell>
          <cell r="N3722" t="str">
            <v>CZX8628</v>
          </cell>
          <cell r="O3722" t="str">
            <v>2003</v>
          </cell>
          <cell r="P3722" t="str">
            <v>25</v>
          </cell>
          <cell r="Q3722" t="str">
            <v>23</v>
          </cell>
        </row>
        <row r="3723">
          <cell r="B3723" t="str">
            <v>5258/16</v>
          </cell>
          <cell r="C3723" t="str">
            <v>2016-0.077.909-0</v>
          </cell>
          <cell r="D3723" t="str">
            <v/>
          </cell>
          <cell r="E3723" t="str">
            <v/>
          </cell>
          <cell r="F3723" t="str">
            <v>IVONE RODRIGUES FREDERICO TRANSPORTES - ME</v>
          </cell>
          <cell r="G3723" t="str">
            <v>15/04/2016</v>
          </cell>
          <cell r="H3723" t="str">
            <v>19/04/2016</v>
          </cell>
          <cell r="I3723" t="str">
            <v>31</v>
          </cell>
          <cell r="J3723" t="str">
            <v>PESSOA JURÍDICA</v>
          </cell>
          <cell r="K3723" t="str">
            <v>10.980.499/0001-02</v>
          </cell>
          <cell r="L3723" t="str">
            <v>PJ</v>
          </cell>
          <cell r="M3723" t="str">
            <v>MARCIA CRISTINA PEREIRA GOMES</v>
          </cell>
          <cell r="N3723" t="str">
            <v>FRD3600</v>
          </cell>
          <cell r="O3723" t="str">
            <v>2011</v>
          </cell>
          <cell r="P3723" t="str">
            <v>15</v>
          </cell>
          <cell r="Q3723" t="str">
            <v>14</v>
          </cell>
        </row>
        <row r="3724">
          <cell r="B3724" t="str">
            <v>5258/16</v>
          </cell>
          <cell r="C3724" t="str">
            <v>2016-0.077.909-0</v>
          </cell>
          <cell r="D3724" t="str">
            <v>21/03/2016</v>
          </cell>
          <cell r="E3724" t="str">
            <v>15 de abril de 2016</v>
          </cell>
          <cell r="F3724" t="str">
            <v>IVONE RODRIGUES FREDERICO TRANSPORTES - ME</v>
          </cell>
          <cell r="G3724" t="str">
            <v>15/04/2016</v>
          </cell>
          <cell r="H3724" t="str">
            <v>19/04/2016</v>
          </cell>
          <cell r="I3724" t="str">
            <v>31</v>
          </cell>
          <cell r="J3724" t="str">
            <v>PESSOA JURÍDICA</v>
          </cell>
          <cell r="K3724" t="str">
            <v>10.980.499/0001-02</v>
          </cell>
          <cell r="L3724" t="str">
            <v>PJ</v>
          </cell>
          <cell r="M3724" t="str">
            <v>IVONE RODRIGUES FREDERICO</v>
          </cell>
          <cell r="N3724" t="str">
            <v>FRL9620</v>
          </cell>
          <cell r="O3724" t="str">
            <v>2013</v>
          </cell>
          <cell r="P3724" t="str">
            <v>31</v>
          </cell>
          <cell r="Q3724" t="str">
            <v>30</v>
          </cell>
        </row>
        <row r="3725">
          <cell r="B3725" t="str">
            <v>5259/16</v>
          </cell>
          <cell r="C3725" t="str">
            <v>2016-0.077.910-3</v>
          </cell>
          <cell r="D3725" t="str">
            <v>25/02/2016</v>
          </cell>
          <cell r="E3725" t="str">
            <v/>
          </cell>
          <cell r="F3725" t="str">
            <v>LUGUS TRANSPORTE ESCOLAR LTDA - ME</v>
          </cell>
          <cell r="G3725" t="str">
            <v/>
          </cell>
          <cell r="H3725" t="str">
            <v/>
          </cell>
          <cell r="I3725" t="str">
            <v/>
          </cell>
          <cell r="J3725" t="str">
            <v>PESSOA JURÍDICA</v>
          </cell>
          <cell r="K3725" t="str">
            <v>05.624.938/0001-04</v>
          </cell>
          <cell r="L3725" t="str">
            <v>PJ</v>
          </cell>
          <cell r="M3725" t="str">
            <v>DANIELLE GONCALVES MOTA</v>
          </cell>
          <cell r="N3725" t="str">
            <v>DJF5446</v>
          </cell>
          <cell r="O3725" t="str">
            <v>2010</v>
          </cell>
          <cell r="P3725" t="str">
            <v>19</v>
          </cell>
          <cell r="Q3725" t="str">
            <v>18</v>
          </cell>
        </row>
        <row r="3726">
          <cell r="B3726" t="str">
            <v>5260/16</v>
          </cell>
          <cell r="C3726" t="str">
            <v>2016-0.077.911-1</v>
          </cell>
          <cell r="D3726" t="str">
            <v>24/02/2016</v>
          </cell>
          <cell r="E3726" t="str">
            <v/>
          </cell>
          <cell r="F3726" t="str">
            <v>VIRTUDE LOCADORA DE VEICULOS LTDA - ME</v>
          </cell>
          <cell r="G3726" t="str">
            <v/>
          </cell>
          <cell r="H3726" t="str">
            <v/>
          </cell>
          <cell r="I3726" t="str">
            <v/>
          </cell>
          <cell r="J3726" t="str">
            <v>PESSOA JURÍDICA</v>
          </cell>
          <cell r="K3726" t="str">
            <v>03.651.754/0001-08</v>
          </cell>
          <cell r="L3726" t="str">
            <v>MP</v>
          </cell>
          <cell r="M3726" t="str">
            <v>DANIEL CARDOSO DAMASCENO</v>
          </cell>
          <cell r="N3726" t="str">
            <v>EMU6486</v>
          </cell>
          <cell r="O3726" t="str">
            <v>2012</v>
          </cell>
          <cell r="P3726" t="str">
            <v>10</v>
          </cell>
          <cell r="Q3726" t="str">
            <v>9</v>
          </cell>
        </row>
        <row r="3727">
          <cell r="B3727" t="str">
            <v>5260/16</v>
          </cell>
          <cell r="C3727" t="str">
            <v>2016-0.077.911-1</v>
          </cell>
          <cell r="D3727" t="str">
            <v/>
          </cell>
          <cell r="E3727" t="str">
            <v/>
          </cell>
          <cell r="F3727" t="str">
            <v>VIRTUDE LOCADORA DE VEICULOS LTDA - ME</v>
          </cell>
          <cell r="G3727" t="str">
            <v/>
          </cell>
          <cell r="H3727" t="str">
            <v/>
          </cell>
          <cell r="I3727" t="str">
            <v/>
          </cell>
          <cell r="J3727" t="str">
            <v>PESSOA JURÍDICA</v>
          </cell>
          <cell r="K3727" t="str">
            <v>03.651.754/0001-08</v>
          </cell>
          <cell r="L3727" t="str">
            <v>MP</v>
          </cell>
          <cell r="M3727" t="str">
            <v>JACKSON DIONISIO DE SOUZA</v>
          </cell>
          <cell r="N3727" t="str">
            <v>FOG5809</v>
          </cell>
          <cell r="O3727" t="str">
            <v>2015</v>
          </cell>
          <cell r="P3727" t="str">
            <v>10</v>
          </cell>
          <cell r="Q3727" t="str">
            <v>9</v>
          </cell>
        </row>
        <row r="3728">
          <cell r="B3728" t="str">
            <v>5260/16</v>
          </cell>
          <cell r="C3728" t="str">
            <v>2016-0.077.911-1</v>
          </cell>
          <cell r="D3728" t="str">
            <v>01/03/2016</v>
          </cell>
          <cell r="E3728" t="str">
            <v/>
          </cell>
          <cell r="F3728" t="str">
            <v>VIRTUDE LOCADORA DE VEICULOS LTDA - ME</v>
          </cell>
          <cell r="G3728" t="str">
            <v/>
          </cell>
          <cell r="H3728" t="str">
            <v/>
          </cell>
          <cell r="I3728" t="str">
            <v/>
          </cell>
          <cell r="J3728" t="str">
            <v>PESSOA JURÍDICA</v>
          </cell>
          <cell r="K3728" t="str">
            <v>03.651.754/0001-08</v>
          </cell>
          <cell r="L3728" t="str">
            <v>IP</v>
          </cell>
          <cell r="M3728" t="str">
            <v>ANTONIO CARLOS FERREIRA TORRES</v>
          </cell>
          <cell r="N3728" t="str">
            <v>EBB8069</v>
          </cell>
          <cell r="O3728" t="str">
            <v>2009</v>
          </cell>
          <cell r="P3728" t="str">
            <v>10</v>
          </cell>
          <cell r="Q3728" t="str">
            <v>9</v>
          </cell>
        </row>
        <row r="3729">
          <cell r="B3729" t="str">
            <v>5260/16</v>
          </cell>
          <cell r="C3729" t="str">
            <v>2016-0.077.911-1</v>
          </cell>
          <cell r="D3729" t="str">
            <v>15/02/2016</v>
          </cell>
          <cell r="E3729" t="str">
            <v/>
          </cell>
          <cell r="F3729" t="str">
            <v>VIRTUDE LOCADORA DE VEICULOS LTDA - ME</v>
          </cell>
          <cell r="G3729" t="str">
            <v/>
          </cell>
          <cell r="H3729" t="str">
            <v/>
          </cell>
          <cell r="I3729" t="str">
            <v/>
          </cell>
          <cell r="J3729" t="str">
            <v>PESSOA JURÍDICA</v>
          </cell>
          <cell r="K3729" t="str">
            <v>03.651.754/0001-08</v>
          </cell>
          <cell r="L3729" t="str">
            <v>SA</v>
          </cell>
          <cell r="M3729" t="str">
            <v>VANDO GOMES DA SILVA</v>
          </cell>
          <cell r="N3729" t="str">
            <v>DTE5714</v>
          </cell>
          <cell r="O3729" t="str">
            <v>2009</v>
          </cell>
          <cell r="P3729" t="str">
            <v>11</v>
          </cell>
          <cell r="Q3729" t="str">
            <v>10</v>
          </cell>
        </row>
        <row r="3730">
          <cell r="B3730" t="str">
            <v>5260/16</v>
          </cell>
          <cell r="C3730" t="str">
            <v>2016-0.077.911-1</v>
          </cell>
          <cell r="D3730" t="str">
            <v>24/02/2016</v>
          </cell>
          <cell r="E3730" t="str">
            <v/>
          </cell>
          <cell r="F3730" t="str">
            <v>VIRTUDE LOCADORA DE VEICULOS LTDA - ME</v>
          </cell>
          <cell r="G3730" t="str">
            <v/>
          </cell>
          <cell r="H3730" t="str">
            <v/>
          </cell>
          <cell r="I3730" t="str">
            <v/>
          </cell>
          <cell r="J3730" t="str">
            <v>PESSOA JURÍDICA</v>
          </cell>
          <cell r="K3730" t="str">
            <v>03.651.754/0001-08</v>
          </cell>
          <cell r="L3730" t="str">
            <v>IP</v>
          </cell>
          <cell r="M3730" t="str">
            <v>JAIR SOARES LIRA</v>
          </cell>
          <cell r="N3730" t="str">
            <v>EFU9935</v>
          </cell>
          <cell r="O3730" t="str">
            <v>2010</v>
          </cell>
          <cell r="P3730" t="str">
            <v>10</v>
          </cell>
          <cell r="Q3730" t="str">
            <v>9</v>
          </cell>
        </row>
        <row r="3731">
          <cell r="B3731" t="str">
            <v>5261/16</v>
          </cell>
          <cell r="C3731" t="str">
            <v>2016-0.079.915-5</v>
          </cell>
          <cell r="D3731" t="str">
            <v>04/03/2016</v>
          </cell>
          <cell r="E3731" t="str">
            <v>04 de abril de 2016</v>
          </cell>
          <cell r="F3731" t="str">
            <v>RONALDO BISPO DOS SANTOS 29287003823</v>
          </cell>
          <cell r="G3731" t="str">
            <v>04/04/2016</v>
          </cell>
          <cell r="H3731" t="str">
            <v>07/04/2016</v>
          </cell>
          <cell r="I3731" t="str">
            <v>20</v>
          </cell>
          <cell r="J3731" t="str">
            <v>PESSOA JURÍDICA</v>
          </cell>
          <cell r="K3731" t="str">
            <v>23.491.072/0001-84</v>
          </cell>
          <cell r="L3731" t="str">
            <v>IQ</v>
          </cell>
          <cell r="M3731" t="str">
            <v>RONALDO BISPO DOS SANTOS</v>
          </cell>
          <cell r="N3731" t="str">
            <v>CPV5212</v>
          </cell>
          <cell r="O3731" t="str">
            <v>2002</v>
          </cell>
          <cell r="P3731" t="str">
            <v>27</v>
          </cell>
          <cell r="Q3731" t="str">
            <v>25</v>
          </cell>
        </row>
        <row r="3732">
          <cell r="B3732" t="str">
            <v>5262/16</v>
          </cell>
          <cell r="C3732" t="str">
            <v>2016-0.079.917-1</v>
          </cell>
          <cell r="D3732" t="str">
            <v/>
          </cell>
          <cell r="E3732" t="str">
            <v>04 de abril de 2016</v>
          </cell>
          <cell r="F3732" t="str">
            <v>E DE FREITAS MATOS TRANSPORTES - ME</v>
          </cell>
          <cell r="G3732" t="str">
            <v>04/04/2016</v>
          </cell>
          <cell r="H3732" t="str">
            <v>07/04/2016</v>
          </cell>
          <cell r="I3732" t="str">
            <v>20</v>
          </cell>
          <cell r="J3732" t="str">
            <v>PESSOA JURÍDICA</v>
          </cell>
          <cell r="K3732" t="str">
            <v>16.707.675/0001-05</v>
          </cell>
          <cell r="L3732" t="str">
            <v>SA</v>
          </cell>
          <cell r="M3732" t="str">
            <v>EDIMAR DE FREITAS MATOS</v>
          </cell>
          <cell r="N3732" t="str">
            <v>CYR2463</v>
          </cell>
          <cell r="O3732" t="str">
            <v>2002</v>
          </cell>
          <cell r="P3732" t="str">
            <v>25</v>
          </cell>
          <cell r="Q3732" t="str">
            <v>23</v>
          </cell>
        </row>
        <row r="3733">
          <cell r="B3733" t="str">
            <v>5263/16</v>
          </cell>
          <cell r="C3733" t="str">
            <v>2016-0.081.886-9</v>
          </cell>
          <cell r="D3733" t="str">
            <v/>
          </cell>
          <cell r="E3733" t="str">
            <v/>
          </cell>
          <cell r="F3733" t="str">
            <v>R S DA SILVA MELO TRANSPORTES LTDA - ME</v>
          </cell>
          <cell r="G3733" t="str">
            <v/>
          </cell>
          <cell r="H3733" t="str">
            <v/>
          </cell>
          <cell r="I3733" t="str">
            <v/>
          </cell>
          <cell r="J3733" t="str">
            <v>PESSOA JURÍDICA</v>
          </cell>
          <cell r="K3733" t="str">
            <v>16.747.823/0001-15</v>
          </cell>
          <cell r="L3733" t="str">
            <v>CL</v>
          </cell>
          <cell r="M3733" t="str">
            <v>HERMOGENES JOSE DE SOUZA FILHO</v>
          </cell>
          <cell r="N3733" t="str">
            <v>DJB2313</v>
          </cell>
          <cell r="O3733" t="str">
            <v>2003</v>
          </cell>
          <cell r="P3733" t="str">
            <v>24</v>
          </cell>
          <cell r="Q3733" t="str">
            <v>23</v>
          </cell>
        </row>
        <row r="3734">
          <cell r="B3734" t="str">
            <v>5263/16</v>
          </cell>
          <cell r="C3734" t="str">
            <v>2016-0.081.886-9</v>
          </cell>
          <cell r="D3734" t="str">
            <v>02/04/2016</v>
          </cell>
          <cell r="E3734" t="str">
            <v/>
          </cell>
          <cell r="F3734" t="str">
            <v>R S DA SILVA MELO TRANSPORTES LTDA - ME</v>
          </cell>
          <cell r="G3734" t="str">
            <v/>
          </cell>
          <cell r="H3734" t="str">
            <v/>
          </cell>
          <cell r="I3734" t="str">
            <v/>
          </cell>
          <cell r="J3734" t="str">
            <v>PESSOA JURÍDICA</v>
          </cell>
          <cell r="K3734" t="str">
            <v>16.747.823/0001-15</v>
          </cell>
          <cell r="L3734" t="str">
            <v>CS</v>
          </cell>
          <cell r="M3734" t="str">
            <v>SILVIO ROMAO FARIA</v>
          </cell>
          <cell r="N3734" t="str">
            <v>DTD2060</v>
          </cell>
          <cell r="O3734" t="str">
            <v>2007</v>
          </cell>
          <cell r="P3734" t="str">
            <v>29</v>
          </cell>
          <cell r="Q3734" t="str">
            <v>28</v>
          </cell>
        </row>
        <row r="3735">
          <cell r="B3735" t="str">
            <v>5264/16</v>
          </cell>
          <cell r="C3735" t="str">
            <v>2016-0.081.887-7</v>
          </cell>
          <cell r="D3735" t="str">
            <v/>
          </cell>
          <cell r="E3735" t="str">
            <v>18 de abril de 2016</v>
          </cell>
          <cell r="F3735" t="str">
            <v>DASF - TRANSPORTES ESCOLAR E FRETAMENTOS LTDA - ME</v>
          </cell>
          <cell r="G3735" t="str">
            <v>18/04/2016</v>
          </cell>
          <cell r="H3735" t="str">
            <v>21/04/2016</v>
          </cell>
          <cell r="I3735" t="str">
            <v>97</v>
          </cell>
          <cell r="J3735" t="str">
            <v>PESSOA JURÍDICA</v>
          </cell>
          <cell r="K3735" t="str">
            <v>20.944.290/0001-39</v>
          </cell>
          <cell r="L3735" t="str">
            <v>CS</v>
          </cell>
          <cell r="M3735" t="str">
            <v>DARIO ALVES DOS SANTOS FILHO</v>
          </cell>
          <cell r="N3735" t="str">
            <v>DVR6659</v>
          </cell>
          <cell r="O3735" t="str">
            <v>2006</v>
          </cell>
          <cell r="P3735" t="str">
            <v>25</v>
          </cell>
          <cell r="Q3735" t="str">
            <v>23</v>
          </cell>
        </row>
        <row r="3736">
          <cell r="B3736" t="str">
            <v>5265/16</v>
          </cell>
          <cell r="C3736" t="str">
            <v>2016-0.081.890-7</v>
          </cell>
          <cell r="D3736" t="str">
            <v/>
          </cell>
          <cell r="E3736" t="str">
            <v>11 de abril de 2016</v>
          </cell>
          <cell r="F3736" t="str">
            <v>ROSCHEL R.V. TRANSPORTES SOCIEDADE SIMPLES LIMITADA - ME</v>
          </cell>
          <cell r="G3736" t="str">
            <v>11/04/2016</v>
          </cell>
          <cell r="H3736" t="str">
            <v>13/04/2016</v>
          </cell>
          <cell r="I3736" t="str">
            <v>52</v>
          </cell>
          <cell r="J3736" t="str">
            <v>PESSOA JURÍDICA</v>
          </cell>
          <cell r="K3736" t="str">
            <v>10.893.718/0001-08</v>
          </cell>
          <cell r="L3736" t="str">
            <v>CS</v>
          </cell>
          <cell r="M3736" t="str">
            <v>EDVALDO DE SOUZA OLIVEIRA</v>
          </cell>
          <cell r="N3736" t="str">
            <v>FSJ5026</v>
          </cell>
          <cell r="O3736" t="str">
            <v>2014</v>
          </cell>
          <cell r="P3736" t="str">
            <v>19</v>
          </cell>
          <cell r="Q3736" t="str">
            <v>18</v>
          </cell>
        </row>
        <row r="3737">
          <cell r="B3737" t="str">
            <v>5265/16</v>
          </cell>
          <cell r="C3737" t="str">
            <v>2016-0.081.890-7</v>
          </cell>
          <cell r="D3737" t="str">
            <v/>
          </cell>
          <cell r="E3737" t="str">
            <v>11 de abril de 2016</v>
          </cell>
          <cell r="F3737" t="str">
            <v>ROSCHEL R.V. TRANSPORTES SOCIEDADE SIMPLES LIMITADA - ME</v>
          </cell>
          <cell r="G3737" t="str">
            <v>11/04/2016</v>
          </cell>
          <cell r="H3737" t="str">
            <v>13/04/2016</v>
          </cell>
          <cell r="I3737" t="str">
            <v>52</v>
          </cell>
          <cell r="J3737" t="str">
            <v>PESSOA JURÍDICA</v>
          </cell>
          <cell r="K3737" t="str">
            <v>10.893.718/0001-08</v>
          </cell>
          <cell r="L3737" t="str">
            <v>CS</v>
          </cell>
          <cell r="M3737" t="str">
            <v>IVAN JOAQUIM EVANGELISTA</v>
          </cell>
          <cell r="N3737" t="str">
            <v>ESU4065</v>
          </cell>
          <cell r="O3737" t="str">
            <v>2011</v>
          </cell>
          <cell r="P3737" t="str">
            <v>15</v>
          </cell>
          <cell r="Q3737" t="str">
            <v>14</v>
          </cell>
        </row>
        <row r="3738">
          <cell r="B3738" t="str">
            <v>5265/16</v>
          </cell>
          <cell r="C3738" t="str">
            <v>2016-0.081.890-7</v>
          </cell>
          <cell r="D3738" t="str">
            <v/>
          </cell>
          <cell r="E3738" t="str">
            <v>11 de abril de 2016</v>
          </cell>
          <cell r="F3738" t="str">
            <v>ROSCHEL R.V. TRANSPORTES SOCIEDADE SIMPLES LIMITADA - ME</v>
          </cell>
          <cell r="G3738" t="str">
            <v>11/04/2016</v>
          </cell>
          <cell r="H3738" t="str">
            <v>13/04/2016</v>
          </cell>
          <cell r="I3738" t="str">
            <v>52</v>
          </cell>
          <cell r="J3738" t="str">
            <v>PESSOA JURÍDICA</v>
          </cell>
          <cell r="K3738" t="str">
            <v>10.893.718/0001-08</v>
          </cell>
          <cell r="L3738" t="str">
            <v>CL</v>
          </cell>
          <cell r="M3738" t="str">
            <v>JOSE LUCIANO BARBOSA DE PAULA</v>
          </cell>
          <cell r="N3738" t="str">
            <v>EZL7554</v>
          </cell>
          <cell r="O3738" t="str">
            <v>2011</v>
          </cell>
          <cell r="P3738" t="str">
            <v>19</v>
          </cell>
          <cell r="Q3738" t="str">
            <v>18</v>
          </cell>
        </row>
        <row r="3739">
          <cell r="B3739" t="str">
            <v>5267/16</v>
          </cell>
          <cell r="C3739" t="str">
            <v>2016-0.081.892-3</v>
          </cell>
          <cell r="D3739" t="str">
            <v/>
          </cell>
          <cell r="E3739" t="str">
            <v>11 de abril de 2016</v>
          </cell>
          <cell r="F3739" t="str">
            <v>ARTFRAN TRANSPORTES LTDA - ME</v>
          </cell>
          <cell r="G3739" t="str">
            <v>11/04/2016</v>
          </cell>
          <cell r="H3739" t="str">
            <v>13/04/2016</v>
          </cell>
          <cell r="I3739" t="str">
            <v>52</v>
          </cell>
          <cell r="J3739" t="str">
            <v>PESSOA JURÍDICA</v>
          </cell>
          <cell r="K3739" t="str">
            <v>14.294.638/0001-97</v>
          </cell>
          <cell r="L3739" t="str">
            <v>CL</v>
          </cell>
          <cell r="M3739" t="str">
            <v>PAULINO BARBOSA DA SILVA</v>
          </cell>
          <cell r="N3739" t="str">
            <v>ELQ1336</v>
          </cell>
          <cell r="O3739" t="str">
            <v>2010</v>
          </cell>
          <cell r="P3739" t="str">
            <v>10</v>
          </cell>
          <cell r="Q3739" t="str">
            <v>9</v>
          </cell>
        </row>
        <row r="3740">
          <cell r="B3740" t="str">
            <v>5267/16</v>
          </cell>
          <cell r="C3740" t="str">
            <v>2016-0.081.892-3</v>
          </cell>
          <cell r="D3740" t="str">
            <v/>
          </cell>
          <cell r="E3740" t="str">
            <v>11 de abril de 2016</v>
          </cell>
          <cell r="F3740" t="str">
            <v>ARTFRAN TRANSPORTES LTDA - ME</v>
          </cell>
          <cell r="G3740" t="str">
            <v>11/04/2016</v>
          </cell>
          <cell r="H3740" t="str">
            <v>13/04/2016</v>
          </cell>
          <cell r="I3740" t="str">
            <v>52</v>
          </cell>
          <cell r="J3740" t="str">
            <v>PESSOA JURÍDICA</v>
          </cell>
          <cell r="K3740" t="str">
            <v>14.294.638/0001-97</v>
          </cell>
          <cell r="L3740" t="str">
            <v>CS</v>
          </cell>
          <cell r="M3740" t="str">
            <v>WILSON FAGUNDES AMERICO</v>
          </cell>
          <cell r="N3740" t="str">
            <v>ETT8296</v>
          </cell>
          <cell r="O3740" t="str">
            <v>2011</v>
          </cell>
          <cell r="P3740" t="str">
            <v>27</v>
          </cell>
          <cell r="Q3740" t="str">
            <v>26</v>
          </cell>
        </row>
        <row r="3741">
          <cell r="B3741" t="str">
            <v>5268/16</v>
          </cell>
          <cell r="C3741" t="str">
            <v>2016-0.081.893-1</v>
          </cell>
          <cell r="D3741" t="str">
            <v/>
          </cell>
          <cell r="E3741" t="str">
            <v>14 de abril de 2016</v>
          </cell>
          <cell r="F3741" t="str">
            <v>PORSCHE VIP TRANSPORTES EIRELI - ME</v>
          </cell>
          <cell r="G3741" t="str">
            <v>14/04/2016</v>
          </cell>
          <cell r="H3741" t="str">
            <v>19/04/2016</v>
          </cell>
          <cell r="I3741" t="str">
            <v>31</v>
          </cell>
          <cell r="J3741" t="str">
            <v>PESSOA JURÍDICA</v>
          </cell>
          <cell r="K3741" t="str">
            <v>10.738.140/0001-15</v>
          </cell>
          <cell r="L3741" t="str">
            <v>CS</v>
          </cell>
          <cell r="M3741" t="str">
            <v>JOSE CARLOS DE ARAUJO</v>
          </cell>
          <cell r="N3741" t="str">
            <v>EFU5828</v>
          </cell>
          <cell r="O3741" t="str">
            <v>2009</v>
          </cell>
          <cell r="P3741" t="str">
            <v>10</v>
          </cell>
          <cell r="Q3741" t="str">
            <v>9</v>
          </cell>
        </row>
        <row r="3742">
          <cell r="B3742" t="str">
            <v>5269/16</v>
          </cell>
          <cell r="C3742" t="str">
            <v>2016-0.081.894-0</v>
          </cell>
          <cell r="D3742" t="str">
            <v>24/02/2016</v>
          </cell>
          <cell r="E3742" t="str">
            <v>14 de abril de 2016</v>
          </cell>
          <cell r="F3742" t="str">
            <v>G T DE MACEDO TRANSPORTES - ME</v>
          </cell>
          <cell r="G3742" t="str">
            <v>14/04/2016</v>
          </cell>
          <cell r="H3742" t="str">
            <v>19/04/2016</v>
          </cell>
          <cell r="I3742" t="str">
            <v>31</v>
          </cell>
          <cell r="J3742" t="str">
            <v>PESSOA JURÍDICA</v>
          </cell>
          <cell r="K3742" t="str">
            <v>14.457.168/0001-35</v>
          </cell>
          <cell r="L3742" t="str">
            <v>CS</v>
          </cell>
          <cell r="M3742" t="str">
            <v>DOUGLAS LISBOA FERNANDES DA SILVA</v>
          </cell>
          <cell r="N3742" t="str">
            <v>FOE3970</v>
          </cell>
          <cell r="O3742" t="str">
            <v>2013</v>
          </cell>
          <cell r="P3742" t="str">
            <v>19</v>
          </cell>
          <cell r="Q3742" t="str">
            <v>18</v>
          </cell>
        </row>
        <row r="3743">
          <cell r="B3743" t="str">
            <v>5270/16</v>
          </cell>
          <cell r="C3743" t="str">
            <v>2016-0.081.895-8</v>
          </cell>
          <cell r="D3743" t="str">
            <v>21/03/2016</v>
          </cell>
          <cell r="E3743" t="str">
            <v>14 de abril de 2016</v>
          </cell>
          <cell r="F3743" t="str">
            <v>JAB DE ALMEIDA TRANSPORTES E LOCACAO - ME</v>
          </cell>
          <cell r="G3743" t="str">
            <v>14/04/2016</v>
          </cell>
          <cell r="H3743" t="str">
            <v>19/04/2016</v>
          </cell>
          <cell r="I3743" t="str">
            <v>31</v>
          </cell>
          <cell r="J3743" t="str">
            <v>PESSOA JURÍDICA</v>
          </cell>
          <cell r="K3743" t="str">
            <v>16.922.001/0001-23</v>
          </cell>
          <cell r="L3743" t="str">
            <v>CS</v>
          </cell>
          <cell r="M3743" t="str">
            <v>FRANCISCA IRACI CAVALCANTE DA SILVA</v>
          </cell>
          <cell r="N3743" t="str">
            <v>EFV1807</v>
          </cell>
          <cell r="O3743" t="str">
            <v>2010</v>
          </cell>
          <cell r="P3743" t="str">
            <v>19</v>
          </cell>
          <cell r="Q3743" t="str">
            <v>18</v>
          </cell>
        </row>
        <row r="3744">
          <cell r="B3744" t="str">
            <v>5271/16</v>
          </cell>
          <cell r="C3744" t="str">
            <v>2016-0.081.896-6</v>
          </cell>
          <cell r="D3744" t="str">
            <v/>
          </cell>
          <cell r="E3744" t="str">
            <v/>
          </cell>
          <cell r="F3744" t="str">
            <v>COOP. DE TRANSP. ROD. E ESC. - COTERLESTE</v>
          </cell>
          <cell r="G3744" t="str">
            <v/>
          </cell>
          <cell r="H3744" t="str">
            <v/>
          </cell>
          <cell r="I3744" t="str">
            <v/>
          </cell>
          <cell r="J3744" t="str">
            <v>PESSOA JURÍDICA</v>
          </cell>
          <cell r="K3744" t="str">
            <v>04.712.348/0001-62</v>
          </cell>
          <cell r="L3744" t="str">
            <v>MP</v>
          </cell>
          <cell r="M3744" t="str">
            <v>VANESSA GRANIG LOURENCO</v>
          </cell>
          <cell r="N3744" t="str">
            <v>FFN3839</v>
          </cell>
          <cell r="O3744" t="str">
            <v>2012</v>
          </cell>
          <cell r="P3744" t="str">
            <v>15</v>
          </cell>
          <cell r="Q3744" t="str">
            <v>14</v>
          </cell>
        </row>
        <row r="3745">
          <cell r="B3745" t="str">
            <v>5272/16</v>
          </cell>
          <cell r="C3745" t="str">
            <v>2016-0.081.897-4</v>
          </cell>
          <cell r="D3745" t="str">
            <v>18/03/2016</v>
          </cell>
          <cell r="E3745" t="str">
            <v/>
          </cell>
          <cell r="F3745" t="str">
            <v>RONALDO DE JESUS MATOS - ME</v>
          </cell>
          <cell r="G3745" t="str">
            <v/>
          </cell>
          <cell r="H3745" t="str">
            <v/>
          </cell>
          <cell r="I3745" t="str">
            <v/>
          </cell>
          <cell r="J3745" t="str">
            <v>PESSOA JURÍDICA</v>
          </cell>
          <cell r="K3745" t="str">
            <v>08.689.167/0001-13</v>
          </cell>
          <cell r="L3745" t="str">
            <v>MP</v>
          </cell>
          <cell r="M3745" t="str">
            <v>SILVIO SALES</v>
          </cell>
          <cell r="N3745" t="str">
            <v>DVT4053</v>
          </cell>
          <cell r="O3745" t="str">
            <v>2008</v>
          </cell>
          <cell r="P3745" t="str">
            <v>30</v>
          </cell>
          <cell r="Q3745" t="str">
            <v>28</v>
          </cell>
        </row>
        <row r="3746">
          <cell r="B3746" t="str">
            <v>5272/16</v>
          </cell>
          <cell r="C3746" t="str">
            <v>2016-0.081.897-4</v>
          </cell>
          <cell r="D3746" t="str">
            <v>21/03/2016</v>
          </cell>
          <cell r="E3746" t="str">
            <v/>
          </cell>
          <cell r="F3746" t="str">
            <v>RONALDO DE JESUS MATOS - ME</v>
          </cell>
          <cell r="G3746" t="str">
            <v/>
          </cell>
          <cell r="H3746" t="str">
            <v/>
          </cell>
          <cell r="I3746" t="str">
            <v/>
          </cell>
          <cell r="J3746" t="str">
            <v>PESSOA JURÍDICA</v>
          </cell>
          <cell r="K3746" t="str">
            <v>08.689.167/0001-13</v>
          </cell>
          <cell r="L3746" t="str">
            <v>MP</v>
          </cell>
          <cell r="M3746" t="str">
            <v>RONALDO DE JESUS MATOS</v>
          </cell>
          <cell r="N3746" t="str">
            <v>DTC7260</v>
          </cell>
          <cell r="O3746" t="str">
            <v>2009</v>
          </cell>
          <cell r="P3746" t="str">
            <v>19</v>
          </cell>
          <cell r="Q3746" t="str">
            <v>17</v>
          </cell>
        </row>
        <row r="3747">
          <cell r="B3747" t="str">
            <v>5273/16</v>
          </cell>
          <cell r="C3747" t="str">
            <v>2016-0.081.898-2</v>
          </cell>
          <cell r="D3747" t="str">
            <v/>
          </cell>
          <cell r="E3747" t="str">
            <v/>
          </cell>
          <cell r="F3747" t="str">
            <v>TRANSPAC TRANSPORTE ESCOLAR E TURISMO LTDA - ME</v>
          </cell>
          <cell r="G3747" t="str">
            <v/>
          </cell>
          <cell r="H3747" t="str">
            <v/>
          </cell>
          <cell r="I3747" t="str">
            <v/>
          </cell>
          <cell r="J3747" t="str">
            <v>PESSOA JURÍDICA</v>
          </cell>
          <cell r="K3747" t="str">
            <v>20.369.940/0001-60</v>
          </cell>
          <cell r="L3747" t="str">
            <v>BT</v>
          </cell>
          <cell r="M3747" t="str">
            <v>ERICA DA SILVA JANONI</v>
          </cell>
          <cell r="N3747" t="str">
            <v>DJE9269</v>
          </cell>
          <cell r="O3747" t="str">
            <v>2006</v>
          </cell>
          <cell r="P3747" t="str">
            <v>27</v>
          </cell>
          <cell r="Q3747" t="str">
            <v>25</v>
          </cell>
        </row>
        <row r="3748">
          <cell r="B3748" t="str">
            <v>5274/16</v>
          </cell>
          <cell r="C3748" t="str">
            <v>2016-0.081.899-0</v>
          </cell>
          <cell r="D3748" t="str">
            <v>23/03/2016</v>
          </cell>
          <cell r="E3748" t="str">
            <v/>
          </cell>
          <cell r="F3748" t="str">
            <v>ROGERIO CUNHA VICTOR 27968627800</v>
          </cell>
          <cell r="G3748" t="str">
            <v/>
          </cell>
          <cell r="H3748" t="str">
            <v/>
          </cell>
          <cell r="I3748" t="str">
            <v/>
          </cell>
          <cell r="J3748" t="str">
            <v>PESSOA JURÍDICA</v>
          </cell>
          <cell r="K3748" t="str">
            <v>17.345.997/0001-14</v>
          </cell>
          <cell r="L3748" t="str">
            <v>MP</v>
          </cell>
          <cell r="M3748" t="str">
            <v>ROGERIO CUNHA VICTOR</v>
          </cell>
          <cell r="N3748" t="str">
            <v>FXH9250</v>
          </cell>
          <cell r="O3748" t="str">
            <v>2014</v>
          </cell>
          <cell r="P3748" t="str">
            <v>19</v>
          </cell>
          <cell r="Q3748" t="str">
            <v>18</v>
          </cell>
        </row>
        <row r="3749">
          <cell r="B3749" t="str">
            <v>5275/16</v>
          </cell>
          <cell r="C3749" t="str">
            <v>2016-0.081.900-8</v>
          </cell>
          <cell r="D3749" t="str">
            <v>31/03/2016</v>
          </cell>
          <cell r="E3749" t="str">
            <v>20 de abril de 2016</v>
          </cell>
          <cell r="F3749" t="str">
            <v>VELOSO TRANSPORTES E LOCADORA LTDA - ME</v>
          </cell>
          <cell r="G3749" t="str">
            <v>20/04/2016</v>
          </cell>
          <cell r="H3749" t="str">
            <v>21/04/2016</v>
          </cell>
          <cell r="I3749" t="str">
            <v>97</v>
          </cell>
          <cell r="J3749" t="str">
            <v>PESSOA JURÍDICA</v>
          </cell>
          <cell r="K3749" t="str">
            <v>23.018.117/0001-06</v>
          </cell>
          <cell r="L3749" t="str">
            <v>CS</v>
          </cell>
          <cell r="M3749" t="str">
            <v>ADRIANA CRISTINA DE MOURA</v>
          </cell>
          <cell r="N3749" t="str">
            <v>DTD4315</v>
          </cell>
          <cell r="O3749" t="str">
            <v>2007</v>
          </cell>
          <cell r="P3749" t="str">
            <v>29</v>
          </cell>
          <cell r="Q3749" t="str">
            <v>27</v>
          </cell>
        </row>
        <row r="3750">
          <cell r="B3750" t="str">
            <v>5275/16</v>
          </cell>
          <cell r="C3750" t="str">
            <v>2016-0.081.900-8</v>
          </cell>
          <cell r="D3750" t="str">
            <v/>
          </cell>
          <cell r="E3750" t="str">
            <v/>
          </cell>
          <cell r="F3750" t="str">
            <v>VELOSO TRANSPORTES E LOCADORA LTDA - ME</v>
          </cell>
          <cell r="G3750" t="str">
            <v>20/04/2016</v>
          </cell>
          <cell r="H3750" t="str">
            <v>21/04/2016</v>
          </cell>
          <cell r="I3750" t="str">
            <v>97</v>
          </cell>
          <cell r="J3750" t="str">
            <v>PESSOA JURÍDICA</v>
          </cell>
          <cell r="K3750" t="str">
            <v>23.018.117/0001-06</v>
          </cell>
          <cell r="L3750" t="str">
            <v>CS</v>
          </cell>
          <cell r="M3750" t="str">
            <v>CHARLES DA SILVA</v>
          </cell>
          <cell r="N3750" t="str">
            <v>DTD1082</v>
          </cell>
          <cell r="O3750" t="str">
            <v>2007</v>
          </cell>
          <cell r="P3750" t="str">
            <v>25</v>
          </cell>
          <cell r="Q3750" t="str">
            <v>23</v>
          </cell>
        </row>
        <row r="3751">
          <cell r="B3751" t="str">
            <v>5276/16</v>
          </cell>
          <cell r="C3751" t="str">
            <v>2016-0.081.901-6</v>
          </cell>
          <cell r="D3751" t="str">
            <v/>
          </cell>
          <cell r="E3751" t="str">
            <v>28 de março de 2016</v>
          </cell>
          <cell r="F3751" t="str">
            <v>E DE CASTRO TRANSPORTES - ME</v>
          </cell>
          <cell r="G3751" t="str">
            <v>28/03/2016</v>
          </cell>
          <cell r="H3751" t="str">
            <v>13/04/2016</v>
          </cell>
          <cell r="I3751" t="str">
            <v>52</v>
          </cell>
          <cell r="J3751" t="str">
            <v>PESSOA JURÍDICA</v>
          </cell>
          <cell r="K3751" t="str">
            <v>18.284.197/0001-01</v>
          </cell>
          <cell r="L3751" t="str">
            <v>PJ</v>
          </cell>
          <cell r="M3751" t="str">
            <v>ELAINE DE CASTRO</v>
          </cell>
          <cell r="N3751" t="str">
            <v>FTM9730</v>
          </cell>
          <cell r="O3751" t="str">
            <v>2014</v>
          </cell>
          <cell r="P3751" t="str">
            <v>27</v>
          </cell>
          <cell r="Q3751" t="str">
            <v>26</v>
          </cell>
        </row>
        <row r="3752">
          <cell r="B3752" t="str">
            <v>5277/16</v>
          </cell>
          <cell r="C3752" t="str">
            <v>2016-0.083.992-0</v>
          </cell>
          <cell r="D3752" t="str">
            <v>01/03/2016</v>
          </cell>
          <cell r="E3752" t="str">
            <v>18 de abril de 2016</v>
          </cell>
          <cell r="F3752" t="str">
            <v>ARILSON NUNES DE LIRA - ME</v>
          </cell>
          <cell r="G3752" t="str">
            <v>18/04/2016</v>
          </cell>
          <cell r="H3752" t="str">
            <v>21/04/2016</v>
          </cell>
          <cell r="I3752" t="str">
            <v>97</v>
          </cell>
          <cell r="J3752" t="str">
            <v>PESSOA JURÍDICA</v>
          </cell>
          <cell r="K3752" t="str">
            <v>97.527.054/0001-41</v>
          </cell>
          <cell r="L3752" t="str">
            <v>FO</v>
          </cell>
          <cell r="M3752" t="str">
            <v>CRISTIANE DA SILVA SIMOES</v>
          </cell>
          <cell r="N3752" t="str">
            <v>CZX2447</v>
          </cell>
          <cell r="O3752" t="str">
            <v>2002</v>
          </cell>
          <cell r="P3752" t="str">
            <v>25</v>
          </cell>
          <cell r="Q3752" t="str">
            <v>23</v>
          </cell>
        </row>
        <row r="3753">
          <cell r="B3753" t="str">
            <v>5277/16</v>
          </cell>
          <cell r="C3753" t="str">
            <v>2016-0.083.992-0</v>
          </cell>
          <cell r="D3753" t="str">
            <v>04/04/2016</v>
          </cell>
          <cell r="E3753" t="str">
            <v>18 de abril de 2016</v>
          </cell>
          <cell r="F3753" t="str">
            <v>ARILSON NUNES DE LIRA - ME</v>
          </cell>
          <cell r="G3753" t="str">
            <v>18/04/2016</v>
          </cell>
          <cell r="H3753" t="str">
            <v>21/04/2016</v>
          </cell>
          <cell r="I3753" t="str">
            <v>97</v>
          </cell>
          <cell r="J3753" t="str">
            <v>PESSOA JURÍDICA</v>
          </cell>
          <cell r="K3753" t="str">
            <v>97.527.054/0001-41</v>
          </cell>
          <cell r="L3753" t="str">
            <v>FO</v>
          </cell>
          <cell r="M3753" t="str">
            <v>LUIZ ANTONIO FREDERICO</v>
          </cell>
          <cell r="N3753" t="str">
            <v>CXA5745</v>
          </cell>
          <cell r="O3753" t="str">
            <v>2002</v>
          </cell>
          <cell r="P3753" t="str">
            <v>25</v>
          </cell>
          <cell r="Q3753" t="str">
            <v>23</v>
          </cell>
        </row>
        <row r="3754">
          <cell r="B3754" t="str">
            <v>5278/16</v>
          </cell>
          <cell r="C3754" t="str">
            <v>2016-0.083.993-9</v>
          </cell>
          <cell r="D3754" t="str">
            <v/>
          </cell>
          <cell r="E3754" t="str">
            <v>11 de abril de 2016</v>
          </cell>
          <cell r="F3754" t="str">
            <v>ABELARDO N L JUNIOR TRANSPORTE ESCOLAR - EIRELI</v>
          </cell>
          <cell r="G3754" t="str">
            <v>11/04/2016</v>
          </cell>
          <cell r="H3754" t="str">
            <v>19/04/2016</v>
          </cell>
          <cell r="I3754" t="str">
            <v>31</v>
          </cell>
          <cell r="J3754" t="str">
            <v>PESSOA JURÍDICA</v>
          </cell>
          <cell r="K3754" t="str">
            <v>15.537.940/0001-91</v>
          </cell>
          <cell r="L3754" t="str">
            <v>FO</v>
          </cell>
          <cell r="M3754" t="str">
            <v>EDMUNDO DUARTE CAVALCANTE</v>
          </cell>
          <cell r="N3754" t="str">
            <v>DJB6279</v>
          </cell>
          <cell r="O3754" t="str">
            <v>2005</v>
          </cell>
          <cell r="P3754" t="str">
            <v>25</v>
          </cell>
          <cell r="Q3754" t="str">
            <v>23</v>
          </cell>
        </row>
        <row r="3755">
          <cell r="B3755" t="str">
            <v>5279/16</v>
          </cell>
          <cell r="C3755" t="str">
            <v>2016-0.083.994-7</v>
          </cell>
          <cell r="D3755" t="str">
            <v/>
          </cell>
          <cell r="E3755" t="str">
            <v/>
          </cell>
          <cell r="F3755" t="str">
            <v>L &amp; M TUR LTDA - ME</v>
          </cell>
          <cell r="G3755" t="str">
            <v>15/04/2016</v>
          </cell>
          <cell r="H3755" t="str">
            <v>19/04/2016</v>
          </cell>
          <cell r="I3755" t="str">
            <v>31</v>
          </cell>
          <cell r="J3755" t="str">
            <v>PESSOA JURÍDICA</v>
          </cell>
          <cell r="K3755" t="str">
            <v>05.403.983/0001-20</v>
          </cell>
          <cell r="L3755" t="str">
            <v>JT</v>
          </cell>
          <cell r="M3755" t="str">
            <v>DORGIVAL DA SILVA NASCIMENTO</v>
          </cell>
          <cell r="N3755" t="str">
            <v>ECM3032</v>
          </cell>
          <cell r="O3755" t="str">
            <v>2009</v>
          </cell>
          <cell r="P3755" t="str">
            <v>27</v>
          </cell>
          <cell r="Q3755" t="str">
            <v>25</v>
          </cell>
        </row>
        <row r="3756">
          <cell r="B3756" t="str">
            <v>5279/16</v>
          </cell>
          <cell r="C3756" t="str">
            <v>2016-0.083.994-7</v>
          </cell>
          <cell r="D3756" t="str">
            <v/>
          </cell>
          <cell r="E3756" t="str">
            <v>15 de abril de 2016</v>
          </cell>
          <cell r="F3756" t="str">
            <v>L &amp; M TUR LTDA - ME</v>
          </cell>
          <cell r="G3756" t="str">
            <v>15/04/2016</v>
          </cell>
          <cell r="H3756" t="str">
            <v>19/04/2016</v>
          </cell>
          <cell r="I3756" t="str">
            <v>31</v>
          </cell>
          <cell r="J3756" t="str">
            <v>PESSOA JURÍDICA</v>
          </cell>
          <cell r="K3756" t="str">
            <v>05.403.983/0001-20</v>
          </cell>
          <cell r="L3756" t="str">
            <v>FO</v>
          </cell>
          <cell r="M3756" t="str">
            <v>SUZILENE PEZENTI OLIMPIO</v>
          </cell>
          <cell r="N3756" t="str">
            <v>EPO0468</v>
          </cell>
          <cell r="O3756" t="str">
            <v>2010</v>
          </cell>
          <cell r="P3756" t="str">
            <v>9</v>
          </cell>
          <cell r="Q3756" t="str">
            <v>8</v>
          </cell>
        </row>
        <row r="3757">
          <cell r="B3757" t="str">
            <v>5279/16</v>
          </cell>
          <cell r="C3757" t="str">
            <v>2016-0.083.994-7</v>
          </cell>
          <cell r="D3757" t="str">
            <v/>
          </cell>
          <cell r="E3757" t="str">
            <v/>
          </cell>
          <cell r="F3757" t="str">
            <v>L &amp; M TUR LTDA - ME</v>
          </cell>
          <cell r="G3757" t="str">
            <v>15/04/2016</v>
          </cell>
          <cell r="H3757" t="str">
            <v>19/04/2016</v>
          </cell>
          <cell r="I3757" t="str">
            <v>31</v>
          </cell>
          <cell r="J3757" t="str">
            <v>PESSOA JURÍDICA</v>
          </cell>
          <cell r="K3757" t="str">
            <v>05.403.983/0001-20</v>
          </cell>
          <cell r="L3757" t="str">
            <v>FO</v>
          </cell>
          <cell r="M3757" t="str">
            <v>ROBERTO MIGUEL DA SILVA</v>
          </cell>
          <cell r="N3757" t="str">
            <v>EPO0465</v>
          </cell>
          <cell r="O3757" t="str">
            <v>2010</v>
          </cell>
          <cell r="P3757" t="str">
            <v>9</v>
          </cell>
          <cell r="Q3757" t="str">
            <v>8</v>
          </cell>
        </row>
        <row r="3758">
          <cell r="B3758" t="str">
            <v>5279/16</v>
          </cell>
          <cell r="C3758" t="str">
            <v>2016-0.083.994-7</v>
          </cell>
          <cell r="D3758" t="str">
            <v/>
          </cell>
          <cell r="E3758" t="str">
            <v/>
          </cell>
          <cell r="F3758" t="str">
            <v>L &amp; M TUR LTDA - ME</v>
          </cell>
          <cell r="G3758" t="str">
            <v>15/04/2016</v>
          </cell>
          <cell r="H3758" t="str">
            <v>19/04/2016</v>
          </cell>
          <cell r="I3758" t="str">
            <v>31</v>
          </cell>
          <cell r="J3758" t="str">
            <v>PESSOA JURÍDICA</v>
          </cell>
          <cell r="K3758" t="str">
            <v>05.403.983/0001-20</v>
          </cell>
          <cell r="L3758" t="str">
            <v>PJ</v>
          </cell>
          <cell r="M3758" t="str">
            <v>EDNEI ARAUJO DE OLIVEIRA</v>
          </cell>
          <cell r="N3758" t="str">
            <v>EGS2677</v>
          </cell>
          <cell r="O3758" t="str">
            <v>2007</v>
          </cell>
          <cell r="P3758" t="str">
            <v>29</v>
          </cell>
          <cell r="Q3758" t="str">
            <v>27</v>
          </cell>
        </row>
        <row r="3759">
          <cell r="B3759" t="str">
            <v>5280/16</v>
          </cell>
          <cell r="C3759" t="str">
            <v>2016-0.083.995-5</v>
          </cell>
          <cell r="D3759" t="str">
            <v>14/03/2016</v>
          </cell>
          <cell r="E3759" t="str">
            <v>13 de abril de 2016</v>
          </cell>
          <cell r="F3759" t="str">
            <v>JOAO CRISOSTOMO MONTEIRO - ME</v>
          </cell>
          <cell r="G3759" t="str">
            <v>13/04/2016</v>
          </cell>
          <cell r="H3759" t="str">
            <v>19/04/2016</v>
          </cell>
          <cell r="I3759" t="str">
            <v>31</v>
          </cell>
          <cell r="J3759" t="str">
            <v>PESSOA JURÍDICA</v>
          </cell>
          <cell r="K3759" t="str">
            <v>19.579.247/0001-32</v>
          </cell>
          <cell r="L3759" t="str">
            <v>G</v>
          </cell>
          <cell r="M3759" t="str">
            <v>JOSE PORTO DA SILVEIRA</v>
          </cell>
          <cell r="N3759" t="str">
            <v>DTB0640</v>
          </cell>
          <cell r="O3759" t="str">
            <v>2006</v>
          </cell>
          <cell r="P3759" t="str">
            <v>25</v>
          </cell>
          <cell r="Q3759" t="str">
            <v>23</v>
          </cell>
        </row>
        <row r="3760">
          <cell r="B3760" t="str">
            <v>5281/16</v>
          </cell>
          <cell r="C3760" t="str">
            <v>2016-0.083.996-3</v>
          </cell>
          <cell r="D3760" t="str">
            <v>10/03/2016</v>
          </cell>
          <cell r="E3760" t="str">
            <v>13 de abril de 2016</v>
          </cell>
          <cell r="F3760" t="str">
            <v>M. G. SILVA TRANSPORTES EIRELI - ME</v>
          </cell>
          <cell r="G3760" t="str">
            <v>13/04/2016</v>
          </cell>
          <cell r="H3760" t="str">
            <v>19/04/2016</v>
          </cell>
          <cell r="I3760" t="str">
            <v>31</v>
          </cell>
          <cell r="J3760" t="str">
            <v>PESSOA JURÍDICA</v>
          </cell>
          <cell r="K3760" t="str">
            <v>16.433.495/0001-82</v>
          </cell>
          <cell r="L3760" t="str">
            <v>G</v>
          </cell>
          <cell r="M3760" t="str">
            <v>MANOEL GERALDO DA SILVA</v>
          </cell>
          <cell r="N3760" t="str">
            <v>CZZ2021</v>
          </cell>
          <cell r="O3760" t="str">
            <v>2003</v>
          </cell>
          <cell r="P3760" t="str">
            <v>25</v>
          </cell>
          <cell r="Q3760" t="str">
            <v>23</v>
          </cell>
        </row>
        <row r="3761">
          <cell r="B3761" t="str">
            <v>5282/16</v>
          </cell>
          <cell r="C3761" t="str">
            <v>2016-0.083.997-1</v>
          </cell>
          <cell r="D3761" t="str">
            <v>21/03/2016</v>
          </cell>
          <cell r="E3761" t="str">
            <v>14 de abril de 2016</v>
          </cell>
          <cell r="F3761" t="str">
            <v>PASCOAL DOS SANTOS SILVA - ME</v>
          </cell>
          <cell r="G3761" t="str">
            <v>14/04/2016</v>
          </cell>
          <cell r="H3761" t="str">
            <v>19/04/2016</v>
          </cell>
          <cell r="I3761" t="str">
            <v>31</v>
          </cell>
          <cell r="J3761" t="str">
            <v>PESSOA JURÍDICA</v>
          </cell>
          <cell r="K3761" t="str">
            <v>18.035.723/0001-91</v>
          </cell>
          <cell r="L3761" t="str">
            <v>G</v>
          </cell>
          <cell r="M3761" t="str">
            <v>PASCOAL DOS SANTOS SILVA</v>
          </cell>
          <cell r="N3761" t="str">
            <v>EFU8615</v>
          </cell>
          <cell r="O3761" t="str">
            <v>2009</v>
          </cell>
          <cell r="P3761" t="str">
            <v>10</v>
          </cell>
          <cell r="Q3761" t="str">
            <v>9</v>
          </cell>
        </row>
        <row r="3762">
          <cell r="B3762" t="str">
            <v>5283/16</v>
          </cell>
          <cell r="C3762" t="str">
            <v>2016-0.083.998-0</v>
          </cell>
          <cell r="D3762" t="str">
            <v>28/03/2016</v>
          </cell>
          <cell r="E3762" t="str">
            <v>15 de abril de 2016</v>
          </cell>
          <cell r="F3762" t="str">
            <v>PESSET TRANSPORTES - EIRELI - ME</v>
          </cell>
          <cell r="G3762" t="str">
            <v>15/04/2016</v>
          </cell>
          <cell r="H3762" t="str">
            <v>19/04/2016</v>
          </cell>
          <cell r="I3762" t="str">
            <v>31</v>
          </cell>
          <cell r="J3762" t="str">
            <v>PESSOA JURÍDICA</v>
          </cell>
          <cell r="K3762" t="str">
            <v>17.772.620/0001-41</v>
          </cell>
          <cell r="L3762" t="str">
            <v>G</v>
          </cell>
          <cell r="M3762" t="str">
            <v>SHEILA CRISTINA SILVA</v>
          </cell>
          <cell r="N3762" t="str">
            <v>FCA4918</v>
          </cell>
          <cell r="O3762" t="str">
            <v>2014</v>
          </cell>
          <cell r="P3762" t="str">
            <v>10</v>
          </cell>
          <cell r="Q3762" t="str">
            <v>9</v>
          </cell>
        </row>
        <row r="3763">
          <cell r="B3763" t="str">
            <v>5283/16</v>
          </cell>
          <cell r="C3763" t="str">
            <v>2016-0.083.998-0</v>
          </cell>
          <cell r="D3763" t="str">
            <v>04/03/2016</v>
          </cell>
          <cell r="E3763" t="str">
            <v>15 de abril de 2016</v>
          </cell>
          <cell r="F3763" t="str">
            <v>PESSET TRANSPORTES - EIRELI - ME</v>
          </cell>
          <cell r="G3763" t="str">
            <v>15/04/2016</v>
          </cell>
          <cell r="H3763" t="str">
            <v>19/04/2016</v>
          </cell>
          <cell r="I3763" t="str">
            <v>31</v>
          </cell>
          <cell r="J3763" t="str">
            <v>PESSOA JURÍDICA</v>
          </cell>
          <cell r="K3763" t="str">
            <v>17.772.620/0001-41</v>
          </cell>
          <cell r="L3763" t="str">
            <v>G</v>
          </cell>
          <cell r="M3763" t="str">
            <v>ALCIDES PESSETI</v>
          </cell>
          <cell r="N3763" t="str">
            <v>DTD0960</v>
          </cell>
          <cell r="O3763" t="str">
            <v>2007</v>
          </cell>
          <cell r="P3763" t="str">
            <v>29</v>
          </cell>
          <cell r="Q3763" t="str">
            <v>27</v>
          </cell>
        </row>
        <row r="3764">
          <cell r="B3764" t="str">
            <v>5283/16</v>
          </cell>
          <cell r="C3764" t="str">
            <v>2016-0.083.998-0</v>
          </cell>
          <cell r="D3764" t="str">
            <v>28/03/2016</v>
          </cell>
          <cell r="E3764" t="str">
            <v>15 de abril de 2016</v>
          </cell>
          <cell r="F3764" t="str">
            <v>PESSET TRANSPORTES - EIRELI - ME</v>
          </cell>
          <cell r="G3764" t="str">
            <v>15/04/2016</v>
          </cell>
          <cell r="H3764" t="str">
            <v>19/04/2016</v>
          </cell>
          <cell r="I3764" t="str">
            <v>31</v>
          </cell>
          <cell r="J3764" t="str">
            <v>PESSOA JURÍDICA</v>
          </cell>
          <cell r="K3764" t="str">
            <v>17.772.620/0001-41</v>
          </cell>
          <cell r="L3764" t="str">
            <v>G</v>
          </cell>
          <cell r="M3764" t="str">
            <v>PAULO SEVERINO DOS SANTOS</v>
          </cell>
          <cell r="N3764" t="str">
            <v>DAJ8740</v>
          </cell>
          <cell r="O3764" t="str">
            <v>2007</v>
          </cell>
          <cell r="P3764" t="str">
            <v>30</v>
          </cell>
          <cell r="Q3764" t="str">
            <v>28</v>
          </cell>
        </row>
        <row r="3765">
          <cell r="B3765" t="str">
            <v>5284/16</v>
          </cell>
          <cell r="C3765" t="str">
            <v>2016-0.083.999-8</v>
          </cell>
          <cell r="D3765" t="str">
            <v>14/03/2016</v>
          </cell>
          <cell r="E3765" t="str">
            <v>13 de abril de 2016</v>
          </cell>
          <cell r="F3765" t="str">
            <v>TRANS TIO´S TRANSPORTE RODOVIÁRIO DE PASSAGEIROS LTDA - ME</v>
          </cell>
          <cell r="G3765" t="str">
            <v>13/04/2016</v>
          </cell>
          <cell r="H3765" t="str">
            <v/>
          </cell>
          <cell r="I3765" t="str">
            <v/>
          </cell>
          <cell r="J3765" t="str">
            <v>PESSOA JURÍDICA</v>
          </cell>
          <cell r="K3765" t="str">
            <v>08.665.386/0001-62</v>
          </cell>
          <cell r="L3765" t="str">
            <v>CL</v>
          </cell>
          <cell r="M3765" t="str">
            <v>ANDREY ROGER ALBERTO</v>
          </cell>
          <cell r="N3765" t="str">
            <v>DTC3468</v>
          </cell>
          <cell r="O3765" t="str">
            <v>2007</v>
          </cell>
          <cell r="P3765" t="str">
            <v>29</v>
          </cell>
          <cell r="Q3765" t="str">
            <v>27</v>
          </cell>
        </row>
        <row r="3766">
          <cell r="B3766" t="str">
            <v>5285/16</v>
          </cell>
          <cell r="C3766" t="str">
            <v>2016-0.088.615-5</v>
          </cell>
          <cell r="D3766" t="str">
            <v>29/02/2016</v>
          </cell>
          <cell r="E3766" t="str">
            <v>14 de abril de 2016</v>
          </cell>
          <cell r="F3766" t="str">
            <v>TIA NEIA TRANSPORTES EIRELI - ME</v>
          </cell>
          <cell r="G3766" t="str">
            <v>14/04/2016</v>
          </cell>
          <cell r="H3766" t="str">
            <v>19/04/2016</v>
          </cell>
          <cell r="I3766" t="str">
            <v>31</v>
          </cell>
          <cell r="J3766" t="str">
            <v>PESSOA JURÍDICA</v>
          </cell>
          <cell r="K3766" t="str">
            <v>20.183.624/0001-07</v>
          </cell>
          <cell r="L3766" t="str">
            <v>G</v>
          </cell>
          <cell r="M3766" t="str">
            <v>FABIANA DA SILVA PERSSET</v>
          </cell>
          <cell r="N3766" t="str">
            <v>DTC6137</v>
          </cell>
          <cell r="O3766" t="str">
            <v>2009</v>
          </cell>
          <cell r="P3766" t="str">
            <v>19</v>
          </cell>
          <cell r="Q3766" t="str">
            <v>17</v>
          </cell>
        </row>
        <row r="3767">
          <cell r="B3767" t="str">
            <v>5285/16</v>
          </cell>
          <cell r="C3767" t="str">
            <v>2016-0.088.615-5</v>
          </cell>
          <cell r="D3767" t="str">
            <v>29/02/2016</v>
          </cell>
          <cell r="E3767" t="str">
            <v>14 de abril de 2016</v>
          </cell>
          <cell r="F3767" t="str">
            <v>TIA NEIA TRANSPORTES EIRELI - ME</v>
          </cell>
          <cell r="G3767" t="str">
            <v>14/04/2016</v>
          </cell>
          <cell r="H3767" t="str">
            <v>19/04/2016</v>
          </cell>
          <cell r="I3767" t="str">
            <v>31</v>
          </cell>
          <cell r="J3767" t="str">
            <v>PESSOA JURÍDICA</v>
          </cell>
          <cell r="K3767" t="str">
            <v>20.183.624/0001-07</v>
          </cell>
          <cell r="L3767" t="str">
            <v>G</v>
          </cell>
          <cell r="M3767" t="str">
            <v>AGATHA SILVA COCHARERO</v>
          </cell>
          <cell r="N3767" t="str">
            <v>DJF8380</v>
          </cell>
          <cell r="O3767" t="str">
            <v>2006</v>
          </cell>
          <cell r="P3767" t="str">
            <v>23</v>
          </cell>
          <cell r="Q3767" t="str">
            <v>21</v>
          </cell>
        </row>
        <row r="3768">
          <cell r="B3768" t="str">
            <v>5285/16</v>
          </cell>
          <cell r="C3768" t="str">
            <v>2016-0.088.615-5</v>
          </cell>
          <cell r="D3768" t="str">
            <v>31/03/2016</v>
          </cell>
          <cell r="E3768" t="str">
            <v>14 de abril de 2016</v>
          </cell>
          <cell r="F3768" t="str">
            <v>TIA NEIA TRANSPORTES EIRELI - ME</v>
          </cell>
          <cell r="G3768" t="str">
            <v>14/04/2016</v>
          </cell>
          <cell r="H3768" t="str">
            <v>19/04/2016</v>
          </cell>
          <cell r="I3768" t="str">
            <v>31</v>
          </cell>
          <cell r="J3768" t="str">
            <v>PESSOA JURÍDICA</v>
          </cell>
          <cell r="K3768" t="str">
            <v>20.183.624/0001-07</v>
          </cell>
          <cell r="L3768" t="str">
            <v>G</v>
          </cell>
          <cell r="M3768" t="str">
            <v>OSVALDO DA SILVA PERSSET</v>
          </cell>
          <cell r="N3768" t="str">
            <v>DTC0617</v>
          </cell>
          <cell r="O3768" t="str">
            <v>2007</v>
          </cell>
          <cell r="P3768" t="str">
            <v>29</v>
          </cell>
          <cell r="Q3768" t="str">
            <v>27</v>
          </cell>
        </row>
        <row r="3769">
          <cell r="B3769" t="str">
            <v>5286/16</v>
          </cell>
          <cell r="C3769" t="str">
            <v>2016-0.088.616-3</v>
          </cell>
          <cell r="D3769" t="str">
            <v>24/03/2016</v>
          </cell>
          <cell r="E3769" t="str">
            <v/>
          </cell>
          <cell r="F3769" t="str">
            <v>EDI VANS TRANSPORTES LTDA - ME</v>
          </cell>
          <cell r="G3769" t="str">
            <v/>
          </cell>
          <cell r="H3769" t="str">
            <v/>
          </cell>
          <cell r="I3769" t="str">
            <v/>
          </cell>
          <cell r="J3769" t="str">
            <v>PESSOA JURÍDICA</v>
          </cell>
          <cell r="K3769" t="str">
            <v>22.103.973/0001-99</v>
          </cell>
          <cell r="L3769" t="str">
            <v>G</v>
          </cell>
          <cell r="M3769" t="str">
            <v>EDIVAN PEREIRA DE BRITO</v>
          </cell>
          <cell r="N3769" t="str">
            <v>ELW1295</v>
          </cell>
          <cell r="O3769" t="str">
            <v>2011</v>
          </cell>
          <cell r="P3769" t="str">
            <v>19</v>
          </cell>
          <cell r="Q3769" t="str">
            <v>18</v>
          </cell>
        </row>
        <row r="3770">
          <cell r="B3770" t="str">
            <v>5287/16</v>
          </cell>
          <cell r="C3770" t="str">
            <v>2016-0.088.617-1</v>
          </cell>
          <cell r="D3770" t="str">
            <v/>
          </cell>
          <cell r="E3770" t="str">
            <v>04 de abril de 2016</v>
          </cell>
          <cell r="F3770" t="str">
            <v>TRANSALGE TRANSPORTES LTDA - ME</v>
          </cell>
          <cell r="G3770" t="str">
            <v>04/04/2016</v>
          </cell>
          <cell r="H3770" t="str">
            <v>21/04/2016</v>
          </cell>
          <cell r="I3770" t="str">
            <v>97</v>
          </cell>
          <cell r="J3770" t="str">
            <v>PESSOA JURÍDICA</v>
          </cell>
          <cell r="K3770" t="str">
            <v>14.374.289/0001-13</v>
          </cell>
          <cell r="L3770" t="str">
            <v>G</v>
          </cell>
          <cell r="M3770" t="str">
            <v>EWERTON DE OLIVEIRA MELO</v>
          </cell>
          <cell r="N3770" t="str">
            <v>EVQ0577</v>
          </cell>
          <cell r="O3770" t="str">
            <v>2011</v>
          </cell>
          <cell r="P3770" t="str">
            <v>27</v>
          </cell>
          <cell r="Q3770" t="str">
            <v>26</v>
          </cell>
        </row>
        <row r="3771">
          <cell r="B3771" t="str">
            <v>5288/16</v>
          </cell>
          <cell r="C3771" t="str">
            <v>2016-0.088.618-0</v>
          </cell>
          <cell r="D3771" t="str">
            <v>21/03/2016</v>
          </cell>
          <cell r="E3771" t="str">
            <v>26 de abril de 2016</v>
          </cell>
          <cell r="F3771" t="str">
            <v>MIRO &amp; NEIDE TRANSPORTES LTDA - ME</v>
          </cell>
          <cell r="G3771" t="str">
            <v>26/04/2016</v>
          </cell>
          <cell r="H3771" t="str">
            <v>27/04/2016</v>
          </cell>
          <cell r="I3771" t="str">
            <v>55</v>
          </cell>
          <cell r="J3771" t="str">
            <v>PESSOA JURÍDICA</v>
          </cell>
          <cell r="K3771" t="str">
            <v>13.049.014/0001-41</v>
          </cell>
          <cell r="L3771" t="str">
            <v>G</v>
          </cell>
          <cell r="M3771" t="str">
            <v>VALDOMIRO FERNANDES DOS SANTOS</v>
          </cell>
          <cell r="N3771" t="str">
            <v>ECT3180</v>
          </cell>
          <cell r="O3771" t="str">
            <v>2008</v>
          </cell>
          <cell r="P3771" t="str">
            <v>29</v>
          </cell>
          <cell r="Q3771" t="str">
            <v>27</v>
          </cell>
        </row>
        <row r="3772">
          <cell r="B3772" t="str">
            <v>5288/16</v>
          </cell>
          <cell r="C3772" t="str">
            <v>2016-0.088.618-0</v>
          </cell>
          <cell r="D3772" t="str">
            <v>04/03/2016</v>
          </cell>
          <cell r="E3772" t="str">
            <v>26 de abril de 2016</v>
          </cell>
          <cell r="F3772" t="str">
            <v>MIRO &amp; NEIDE TRANSPORTES LTDA - ME</v>
          </cell>
          <cell r="G3772" t="str">
            <v>26/04/2016</v>
          </cell>
          <cell r="H3772" t="str">
            <v>27/04/2016</v>
          </cell>
          <cell r="I3772" t="str">
            <v>55</v>
          </cell>
          <cell r="J3772" t="str">
            <v>PESSOA JURÍDICA</v>
          </cell>
          <cell r="K3772" t="str">
            <v>13.049.014/0001-41</v>
          </cell>
          <cell r="L3772" t="str">
            <v>G</v>
          </cell>
          <cell r="M3772" t="str">
            <v>MARIA LUCINEIDE DE OLIVEIRA</v>
          </cell>
          <cell r="N3772" t="str">
            <v>DVT1496</v>
          </cell>
          <cell r="O3772" t="str">
            <v>2007</v>
          </cell>
          <cell r="P3772" t="str">
            <v>20</v>
          </cell>
          <cell r="Q3772" t="str">
            <v>18</v>
          </cell>
        </row>
        <row r="3773">
          <cell r="B3773" t="str">
            <v>5289/16</v>
          </cell>
          <cell r="C3773" t="str">
            <v>2016-0.087.275-8</v>
          </cell>
          <cell r="D3773" t="str">
            <v/>
          </cell>
          <cell r="E3773" t="str">
            <v>28 de março de 2016</v>
          </cell>
          <cell r="F3773" t="str">
            <v>CA PIRILLO TRANSPORTES E LOCACOES - ME</v>
          </cell>
          <cell r="G3773" t="str">
            <v>28/03/2016</v>
          </cell>
          <cell r="H3773" t="str">
            <v>13/04/2016</v>
          </cell>
          <cell r="I3773" t="str">
            <v>52</v>
          </cell>
          <cell r="J3773" t="str">
            <v>PESSOA JURÍDICA</v>
          </cell>
          <cell r="K3773" t="str">
            <v>16.851.721/0001-45</v>
          </cell>
          <cell r="L3773" t="str">
            <v>SA</v>
          </cell>
          <cell r="M3773" t="str">
            <v>ELISABETE FRISCIO PIRILLO</v>
          </cell>
          <cell r="N3773" t="str">
            <v>EFV2815</v>
          </cell>
          <cell r="O3773" t="str">
            <v>2010</v>
          </cell>
          <cell r="P3773" t="str">
            <v>19</v>
          </cell>
          <cell r="Q3773" t="str">
            <v>18</v>
          </cell>
        </row>
        <row r="3774">
          <cell r="B3774" t="str">
            <v>5290/16</v>
          </cell>
          <cell r="C3774" t="str">
            <v>2016-0.088.619-8</v>
          </cell>
          <cell r="D3774" t="str">
            <v/>
          </cell>
          <cell r="E3774" t="str">
            <v/>
          </cell>
          <cell r="F3774" t="str">
            <v>SANS TRANSPORTES LTDA - ME</v>
          </cell>
          <cell r="G3774" t="str">
            <v/>
          </cell>
          <cell r="H3774" t="str">
            <v/>
          </cell>
          <cell r="I3774" t="str">
            <v/>
          </cell>
          <cell r="J3774" t="str">
            <v>PESSOA JURÍDICA</v>
          </cell>
          <cell r="K3774" t="str">
            <v>16.928.504/0001-06</v>
          </cell>
          <cell r="L3774" t="str">
            <v>SA</v>
          </cell>
          <cell r="M3774" t="str">
            <v>IVANILDO ZACARIAS DA SILVA</v>
          </cell>
          <cell r="N3774" t="str">
            <v>FCB4010</v>
          </cell>
          <cell r="O3774" t="str">
            <v>2012</v>
          </cell>
          <cell r="P3774" t="str">
            <v>10</v>
          </cell>
          <cell r="Q3774" t="str">
            <v>9</v>
          </cell>
        </row>
        <row r="3775">
          <cell r="B3775" t="str">
            <v>5291/16</v>
          </cell>
          <cell r="C3775" t="str">
            <v>2016-0.088.620-1</v>
          </cell>
          <cell r="D3775" t="str">
            <v>04/04/2016</v>
          </cell>
          <cell r="E3775" t="str">
            <v>25 de abril de 2016</v>
          </cell>
          <cell r="F3775" t="str">
            <v>PINTER TRANSPORTE E LOCADORA DE VEICULOS LTDA - ME</v>
          </cell>
          <cell r="G3775" t="str">
            <v>25/04/2016</v>
          </cell>
          <cell r="H3775" t="str">
            <v>27/04/2016</v>
          </cell>
          <cell r="I3775" t="str">
            <v>55</v>
          </cell>
          <cell r="J3775" t="str">
            <v>PESSOA JURÍDICA</v>
          </cell>
          <cell r="K3775" t="str">
            <v>14.259.062/0001-27</v>
          </cell>
          <cell r="L3775" t="str">
            <v>SM</v>
          </cell>
          <cell r="M3775" t="str">
            <v>IANA LUCIO PINHEIRO ROCHA</v>
          </cell>
          <cell r="N3775" t="str">
            <v>FAA9566</v>
          </cell>
          <cell r="O3775" t="str">
            <v>2011</v>
          </cell>
          <cell r="P3775" t="str">
            <v>27</v>
          </cell>
          <cell r="Q3775" t="str">
            <v>26</v>
          </cell>
        </row>
        <row r="3776">
          <cell r="B3776" t="str">
            <v>5291/16</v>
          </cell>
          <cell r="C3776" t="str">
            <v>2016-0.088.620-1</v>
          </cell>
          <cell r="D3776" t="str">
            <v>11/04/2016</v>
          </cell>
          <cell r="E3776" t="str">
            <v>25 de abril de 2016</v>
          </cell>
          <cell r="F3776" t="str">
            <v>PINTER TRANSPORTE E LOCADORA DE VEICULOS LTDA - ME</v>
          </cell>
          <cell r="G3776" t="str">
            <v>25/04/2016</v>
          </cell>
          <cell r="H3776" t="str">
            <v>27/04/2016</v>
          </cell>
          <cell r="I3776" t="str">
            <v>55</v>
          </cell>
          <cell r="J3776" t="str">
            <v>PESSOA JURÍDICA</v>
          </cell>
          <cell r="K3776" t="str">
            <v>14.259.062/0001-27</v>
          </cell>
          <cell r="L3776" t="str">
            <v>SM</v>
          </cell>
          <cell r="M3776" t="str">
            <v>SHIRLENE LOPES BALTEZAN SILVA</v>
          </cell>
          <cell r="N3776" t="str">
            <v>DWR0319</v>
          </cell>
          <cell r="O3776" t="str">
            <v>2011</v>
          </cell>
          <cell r="P3776" t="str">
            <v>27</v>
          </cell>
          <cell r="Q3776" t="str">
            <v>26</v>
          </cell>
        </row>
        <row r="3777">
          <cell r="B3777" t="str">
            <v>5292/16</v>
          </cell>
          <cell r="C3777" t="str">
            <v>2016-0.088.621-0</v>
          </cell>
          <cell r="D3777" t="str">
            <v>18/03/2016</v>
          </cell>
          <cell r="E3777" t="str">
            <v/>
          </cell>
          <cell r="F3777" t="str">
            <v>SNR TRANSPORTES LTDA - ME</v>
          </cell>
          <cell r="G3777" t="str">
            <v/>
          </cell>
          <cell r="H3777" t="str">
            <v/>
          </cell>
          <cell r="I3777" t="str">
            <v/>
          </cell>
          <cell r="J3777" t="str">
            <v>PESSOA JURÍDICA</v>
          </cell>
          <cell r="K3777" t="str">
            <v>20.700.154/0001-01</v>
          </cell>
          <cell r="L3777" t="str">
            <v>SM</v>
          </cell>
          <cell r="M3777" t="str">
            <v>SANER GABRIELLA DOS ANJOS E SOUZA</v>
          </cell>
          <cell r="N3777" t="str">
            <v>FDC0612</v>
          </cell>
          <cell r="O3777" t="str">
            <v>2009</v>
          </cell>
          <cell r="P3777" t="str">
            <v>19</v>
          </cell>
          <cell r="Q3777" t="str">
            <v>18</v>
          </cell>
        </row>
        <row r="3778">
          <cell r="B3778" t="str">
            <v>5293/16</v>
          </cell>
          <cell r="C3778" t="str">
            <v>2016-0.088.622-8</v>
          </cell>
          <cell r="D3778" t="str">
            <v>04/04/2016</v>
          </cell>
          <cell r="E3778" t="str">
            <v>15 de abril de 2016</v>
          </cell>
          <cell r="F3778" t="str">
            <v>SILVANA GEROLDO RESENDE TRANSPORTES - ME</v>
          </cell>
          <cell r="G3778" t="str">
            <v>15/04/2016</v>
          </cell>
          <cell r="H3778" t="str">
            <v>19/04/2016</v>
          </cell>
          <cell r="I3778" t="str">
            <v>31</v>
          </cell>
          <cell r="J3778" t="str">
            <v>PESSOA JURÍDICA</v>
          </cell>
          <cell r="K3778" t="str">
            <v>16.628.884/0001-63</v>
          </cell>
          <cell r="L3778" t="str">
            <v>PE</v>
          </cell>
          <cell r="M3778" t="str">
            <v>SYLAS GEROLDO RESENDE</v>
          </cell>
          <cell r="N3778" t="str">
            <v>EFU4149</v>
          </cell>
          <cell r="O3778" t="str">
            <v>2009</v>
          </cell>
          <cell r="P3778" t="str">
            <v>19</v>
          </cell>
          <cell r="Q3778" t="str">
            <v>18</v>
          </cell>
        </row>
        <row r="3779">
          <cell r="B3779" t="str">
            <v>5294/16</v>
          </cell>
          <cell r="C3779" t="str">
            <v>2016-0.088.624-4</v>
          </cell>
          <cell r="D3779" t="str">
            <v>18/02/2016</v>
          </cell>
          <cell r="E3779" t="str">
            <v>26 de abril de 2016</v>
          </cell>
          <cell r="F3779" t="str">
            <v>VEVE TRANS LTDA - ME</v>
          </cell>
          <cell r="G3779" t="str">
            <v>26/04/2016</v>
          </cell>
          <cell r="H3779" t="str">
            <v>27/04/2016</v>
          </cell>
          <cell r="I3779" t="str">
            <v>55</v>
          </cell>
          <cell r="J3779" t="str">
            <v>PESSOA JURÍDICA</v>
          </cell>
          <cell r="K3779" t="str">
            <v>07.574.037/0001-72</v>
          </cell>
          <cell r="L3779" t="str">
            <v>G</v>
          </cell>
          <cell r="M3779" t="str">
            <v>VERGINIA MARIA ARAUJO VASCONCELOS</v>
          </cell>
          <cell r="N3779" t="str">
            <v>EFW8475</v>
          </cell>
          <cell r="O3779" t="str">
            <v>2010</v>
          </cell>
          <cell r="P3779" t="str">
            <v>10</v>
          </cell>
          <cell r="Q3779" t="str">
            <v>9</v>
          </cell>
        </row>
        <row r="3780">
          <cell r="B3780" t="str">
            <v>5295/16</v>
          </cell>
          <cell r="C3780" t="str">
            <v>2016-0.088.625-2</v>
          </cell>
          <cell r="D3780" t="str">
            <v/>
          </cell>
          <cell r="E3780" t="str">
            <v>04 de abril de 2016</v>
          </cell>
          <cell r="F3780" t="str">
            <v>ADAUTO PERPETUO MENDES TRANSPORTES - EPP</v>
          </cell>
          <cell r="G3780" t="str">
            <v>04/04/2016</v>
          </cell>
          <cell r="H3780" t="str">
            <v>21/04/2016</v>
          </cell>
          <cell r="I3780" t="str">
            <v>97</v>
          </cell>
          <cell r="J3780" t="str">
            <v>PESSOA JURÍDICA</v>
          </cell>
          <cell r="K3780" t="str">
            <v>17.226.194/0001-40</v>
          </cell>
          <cell r="L3780" t="str">
            <v>PJ</v>
          </cell>
          <cell r="M3780" t="str">
            <v>ADAUTO PERPETUO MENDES</v>
          </cell>
          <cell r="N3780" t="str">
            <v>CZZ1622</v>
          </cell>
          <cell r="O3780" t="str">
            <v>2003</v>
          </cell>
          <cell r="P3780" t="str">
            <v>25</v>
          </cell>
          <cell r="Q3780" t="str">
            <v>23</v>
          </cell>
        </row>
        <row r="3781">
          <cell r="B3781" t="str">
            <v>5296/16</v>
          </cell>
          <cell r="C3781" t="str">
            <v>2016-0.088.626-0</v>
          </cell>
          <cell r="D3781" t="str">
            <v/>
          </cell>
          <cell r="E3781" t="str">
            <v>04 de abril de 2016</v>
          </cell>
          <cell r="F3781" t="str">
            <v>J.A. SERAFIM TRANSPORTES - ME</v>
          </cell>
          <cell r="G3781" t="str">
            <v>04/04/2016</v>
          </cell>
          <cell r="H3781" t="str">
            <v>21/04/2016</v>
          </cell>
          <cell r="I3781" t="str">
            <v>97</v>
          </cell>
          <cell r="J3781" t="str">
            <v>PESSOA JURÍDICA</v>
          </cell>
          <cell r="K3781" t="str">
            <v>11.421.745/0001-40</v>
          </cell>
          <cell r="L3781" t="str">
            <v>PJ</v>
          </cell>
          <cell r="M3781" t="str">
            <v>JOSE ALDIN SERAFIM</v>
          </cell>
          <cell r="N3781" t="str">
            <v>DPC6707</v>
          </cell>
          <cell r="O3781" t="str">
            <v>2007</v>
          </cell>
          <cell r="P3781" t="str">
            <v>29</v>
          </cell>
          <cell r="Q3781" t="str">
            <v>27</v>
          </cell>
        </row>
        <row r="3782">
          <cell r="B3782" t="str">
            <v>5297/16</v>
          </cell>
          <cell r="C3782" t="str">
            <v>2016-0.088.627-9</v>
          </cell>
          <cell r="D3782" t="str">
            <v>24/02/2016</v>
          </cell>
          <cell r="E3782" t="str">
            <v/>
          </cell>
          <cell r="F3782" t="str">
            <v>LAV TRANSPORTES LTDA - ME</v>
          </cell>
          <cell r="G3782" t="str">
            <v/>
          </cell>
          <cell r="H3782" t="str">
            <v/>
          </cell>
          <cell r="I3782" t="str">
            <v/>
          </cell>
          <cell r="J3782" t="str">
            <v>PESSOA JURÍDICA</v>
          </cell>
          <cell r="K3782" t="str">
            <v>05.035.174/0001-03</v>
          </cell>
          <cell r="L3782" t="str">
            <v>PJ</v>
          </cell>
          <cell r="M3782" t="str">
            <v>ARNALDO TADEU DA SILVA</v>
          </cell>
          <cell r="N3782" t="str">
            <v>CZX5950</v>
          </cell>
          <cell r="O3782" t="str">
            <v>2002</v>
          </cell>
          <cell r="P3782" t="str">
            <v>25</v>
          </cell>
          <cell r="Q3782" t="str">
            <v>23</v>
          </cell>
        </row>
        <row r="3783">
          <cell r="B3783" t="str">
            <v>5297/16</v>
          </cell>
          <cell r="C3783" t="str">
            <v>2016-0.088.627-9</v>
          </cell>
          <cell r="D3783" t="str">
            <v>25/02/2016</v>
          </cell>
          <cell r="E3783" t="str">
            <v/>
          </cell>
          <cell r="F3783" t="str">
            <v>LAV TRANSPORTES LTDA - ME</v>
          </cell>
          <cell r="G3783" t="str">
            <v/>
          </cell>
          <cell r="H3783" t="str">
            <v/>
          </cell>
          <cell r="I3783" t="str">
            <v/>
          </cell>
          <cell r="J3783" t="str">
            <v>PESSOA JURÍDICA</v>
          </cell>
          <cell r="K3783" t="str">
            <v>05.035.174/0001-03</v>
          </cell>
          <cell r="L3783" t="str">
            <v>PJ</v>
          </cell>
          <cell r="M3783" t="str">
            <v>CLAUDIRENE PEREIRA DOS SANTOS</v>
          </cell>
          <cell r="N3783" t="str">
            <v>CZX3497</v>
          </cell>
          <cell r="O3783" t="str">
            <v>2002</v>
          </cell>
          <cell r="P3783" t="str">
            <v>25</v>
          </cell>
          <cell r="Q3783" t="str">
            <v>23</v>
          </cell>
        </row>
        <row r="3784">
          <cell r="B3784" t="str">
            <v>5298/16</v>
          </cell>
          <cell r="C3784" t="str">
            <v>2016-0.092.941-5</v>
          </cell>
          <cell r="D3784" t="str">
            <v>28/03/2016</v>
          </cell>
          <cell r="E3784" t="str">
            <v/>
          </cell>
          <cell r="F3784" t="str">
            <v>OPG TRANSPORTES E LOCADORA LTDA - ME</v>
          </cell>
          <cell r="G3784" t="str">
            <v/>
          </cell>
          <cell r="H3784" t="str">
            <v/>
          </cell>
          <cell r="I3784" t="str">
            <v/>
          </cell>
          <cell r="J3784" t="str">
            <v>PESSOA JURÍDICA</v>
          </cell>
          <cell r="K3784" t="str">
            <v>20.444.050/0001-75</v>
          </cell>
          <cell r="L3784" t="str">
            <v>SM</v>
          </cell>
          <cell r="M3784" t="str">
            <v>ADENILDO ARLINDO DE LIMA</v>
          </cell>
          <cell r="N3784" t="str">
            <v>ELW6730</v>
          </cell>
          <cell r="O3784" t="str">
            <v>2010</v>
          </cell>
          <cell r="P3784" t="str">
            <v>19</v>
          </cell>
          <cell r="Q3784" t="str">
            <v>18</v>
          </cell>
        </row>
        <row r="3785">
          <cell r="B3785" t="str">
            <v>5299/16</v>
          </cell>
          <cell r="C3785" t="str">
            <v>2016-0.092.981-4</v>
          </cell>
          <cell r="D3785" t="str">
            <v>28/03/2016</v>
          </cell>
          <cell r="E3785" t="str">
            <v>27 de abril de 2016</v>
          </cell>
          <cell r="F3785" t="str">
            <v>ESCOLA DE EDUCACAO INFANTIL E ENSINO FUNDAMENTAL VISAO GLOBAL S/S LTDA - ME</v>
          </cell>
          <cell r="G3785" t="str">
            <v>27/04/2016</v>
          </cell>
          <cell r="H3785" t="str">
            <v/>
          </cell>
          <cell r="I3785" t="str">
            <v/>
          </cell>
          <cell r="J3785" t="str">
            <v>PESSOA JURÍDICA</v>
          </cell>
          <cell r="K3785" t="str">
            <v>04.162.626/0001-55</v>
          </cell>
          <cell r="L3785" t="str">
            <v>G</v>
          </cell>
          <cell r="M3785" t="str">
            <v>ROSANA FERREIRA</v>
          </cell>
          <cell r="N3785" t="str">
            <v>EFV0647</v>
          </cell>
          <cell r="O3785" t="str">
            <v>2008</v>
          </cell>
          <cell r="P3785" t="str">
            <v>10</v>
          </cell>
          <cell r="Q3785" t="str">
            <v>9</v>
          </cell>
        </row>
        <row r="3786">
          <cell r="B3786" t="str">
            <v>5300/16</v>
          </cell>
          <cell r="C3786" t="str">
            <v>2016-0.092.984-9</v>
          </cell>
          <cell r="D3786" t="str">
            <v/>
          </cell>
          <cell r="E3786" t="str">
            <v>18 de abril de 2016</v>
          </cell>
          <cell r="F3786" t="str">
            <v>CL TRANSPORTE ESCOLAR LTDA - ME</v>
          </cell>
          <cell r="G3786" t="str">
            <v>18/04/2016</v>
          </cell>
          <cell r="H3786" t="str">
            <v>27/04/2016</v>
          </cell>
          <cell r="I3786" t="str">
            <v>55</v>
          </cell>
          <cell r="J3786" t="str">
            <v>PESSOA JURÍDICA</v>
          </cell>
          <cell r="K3786" t="str">
            <v>01.763.962/0001-65</v>
          </cell>
          <cell r="L3786" t="str">
            <v>JT</v>
          </cell>
          <cell r="M3786" t="str">
            <v>CARMEN DEL ROSARIO GUTIERREZ KARL</v>
          </cell>
          <cell r="N3786" t="str">
            <v>EZL7497</v>
          </cell>
          <cell r="O3786" t="str">
            <v>2012</v>
          </cell>
          <cell r="P3786" t="str">
            <v>10</v>
          </cell>
          <cell r="Q3786" t="str">
            <v>9</v>
          </cell>
        </row>
        <row r="3787">
          <cell r="B3787" t="str">
            <v>5301/16</v>
          </cell>
          <cell r="C3787" t="str">
            <v>2016-0.092.985-7</v>
          </cell>
          <cell r="D3787" t="str">
            <v/>
          </cell>
          <cell r="E3787" t="str">
            <v/>
          </cell>
          <cell r="F3787" t="str">
            <v>APARECIDO PEREIRA TRANSPORTE - ME</v>
          </cell>
          <cell r="G3787" t="str">
            <v/>
          </cell>
          <cell r="H3787" t="str">
            <v/>
          </cell>
          <cell r="I3787" t="str">
            <v/>
          </cell>
          <cell r="J3787" t="str">
            <v>PESSOA JURÍDICA</v>
          </cell>
          <cell r="K3787" t="str">
            <v>15.260.069/0001-21</v>
          </cell>
          <cell r="L3787" t="str">
            <v>PJ</v>
          </cell>
          <cell r="M3787" t="str">
            <v>FERNANDA ALINE SALES</v>
          </cell>
          <cell r="N3787" t="str">
            <v>CZX3347</v>
          </cell>
          <cell r="O3787" t="str">
            <v>2003</v>
          </cell>
          <cell r="P3787" t="str">
            <v>25</v>
          </cell>
          <cell r="Q3787" t="str">
            <v>23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 2011 ATÉ JUNHO 12"/>
      <sheetName val="EMPENHOS FEV ATÉ JUNHO"/>
      <sheetName val="AGOSTO "/>
      <sheetName val="Plan1 (2)"/>
      <sheetName val="Plan1"/>
      <sheetName val="ENCERRADOS"/>
      <sheetName val="Plan3"/>
      <sheetName val="Plan2"/>
      <sheetName val="EMPENHOS (2)"/>
      <sheetName val="SETEMBRO"/>
      <sheetName val="OUTUBRO"/>
      <sheetName val="NOVEMBRO"/>
      <sheetName val="DEZEMBRO"/>
      <sheetName val="Plan4"/>
      <sheetName val="Q1.Contratos 2847 EI"/>
      <sheetName val="Q2.Contratos 2848 EF"/>
      <sheetName val="Q3.Contratos 2863 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UALIZ DUARTE"/>
      <sheetName val="EMPENHOS ANTIGOS"/>
      <sheetName val="FEVEREIRO"/>
      <sheetName val="MARÇO"/>
      <sheetName val="ABRIL"/>
      <sheetName val="MAIO"/>
      <sheetName val="Plan1"/>
      <sheetName val="Plan4"/>
      <sheetName val="Plan2"/>
      <sheetName val="Plan5"/>
      <sheetName val="NÃO ASS ABR"/>
      <sheetName val="JUNHO"/>
      <sheetName val="JULHO"/>
      <sheetName val="AGOSTO"/>
      <sheetName val="SETEMBRO"/>
      <sheetName val="JANEIRO -13"/>
      <sheetName val="OUTUBRO"/>
      <sheetName val="NOVEMBRO"/>
      <sheetName val="DEZEMBRO"/>
      <sheetName val="MARTINS"/>
      <sheetName val="DADOS CONDUTOR"/>
      <sheetName val="Plan3"/>
      <sheetName val="Plan1 (2)"/>
      <sheetName val="ATESTE-LI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ERVA"/>
      <sheetName val="EMPENHO"/>
      <sheetName val="RENOVAÇÕES"/>
      <sheetName val="DOTA 2847J"/>
      <sheetName val="DOTA 2848J"/>
      <sheetName val="DOTA 2863J"/>
      <sheetName val="IMPRESÃO"/>
      <sheetName val="ANEXO EMPENHO"/>
      <sheetName val="LIQUIDAÇÃO"/>
      <sheetName val="DOTA 2848F"/>
      <sheetName val="DOTA 2847F"/>
      <sheetName val="DOTA 2863F"/>
      <sheetName val="Plan6"/>
      <sheetName val="RENOVAÇÕES1"/>
    </sheetNames>
    <sheetDataSet>
      <sheetData sheetId="0" refreshError="1"/>
      <sheetData sheetId="1" refreshError="1"/>
      <sheetData sheetId="2">
        <row r="2093">
          <cell r="A2093" t="str">
            <v>CONTRATO</v>
          </cell>
          <cell r="B2093" t="str">
            <v>CREDOR</v>
          </cell>
          <cell r="D2093" t="str">
            <v>CNPJ</v>
          </cell>
          <cell r="I2093" t="str">
            <v>PA</v>
          </cell>
          <cell r="O2093" t="str">
            <v>RESERVA</v>
          </cell>
        </row>
        <row r="2094">
          <cell r="A2094" t="str">
            <v>2669/11</v>
          </cell>
          <cell r="B2094" t="str">
            <v>ESCOLA DE EDUCACAO INFANTIL E ENSINO FUNDAMENTAL VISAO GLOBAL S/S LTDA ME</v>
          </cell>
          <cell r="D2094" t="str">
            <v>04.162.626/0001-55</v>
          </cell>
          <cell r="E2094" t="str">
            <v>2669/11</v>
          </cell>
          <cell r="I2094" t="str">
            <v>2011-0.220.834-1</v>
          </cell>
          <cell r="J2094">
            <v>41531.040000000001</v>
          </cell>
          <cell r="K2094" t="str">
            <v xml:space="preserve">          123651121                       2847                 3390390000</v>
          </cell>
          <cell r="O2094">
            <v>57275</v>
          </cell>
          <cell r="P2094">
            <v>31775</v>
          </cell>
          <cell r="Q2094">
            <v>54</v>
          </cell>
          <cell r="R2094">
            <v>1</v>
          </cell>
          <cell r="S2094">
            <v>19400</v>
          </cell>
        </row>
        <row r="2095">
          <cell r="A2095" t="str">
            <v>3117/11</v>
          </cell>
          <cell r="B2095" t="str">
            <v>P R SELIS TRANSPORTE ME</v>
          </cell>
          <cell r="D2095" t="str">
            <v>12.003.681/0001-20</v>
          </cell>
          <cell r="E2095" t="str">
            <v>3117/11</v>
          </cell>
          <cell r="I2095" t="str">
            <v>2011-0.260.457-3</v>
          </cell>
          <cell r="J2095">
            <v>31824.66</v>
          </cell>
          <cell r="K2095" t="str">
            <v xml:space="preserve">          123611122                       2848                3390390000</v>
          </cell>
          <cell r="O2095">
            <v>57280</v>
          </cell>
          <cell r="P2095">
            <v>31796</v>
          </cell>
          <cell r="Q2095">
            <v>54</v>
          </cell>
          <cell r="R2095">
            <v>3</v>
          </cell>
          <cell r="S2095">
            <v>14900</v>
          </cell>
        </row>
        <row r="2096">
          <cell r="A2096" t="str">
            <v>2672/11</v>
          </cell>
          <cell r="B2096" t="str">
            <v>FORMITUR TRANSPORTES LTDA ME</v>
          </cell>
          <cell r="D2096" t="str">
            <v>13.359.755/0001-29</v>
          </cell>
          <cell r="E2096" t="str">
            <v>2672/11</v>
          </cell>
          <cell r="I2096" t="str">
            <v>2011-0.220.845-7</v>
          </cell>
          <cell r="J2096">
            <v>44324.52</v>
          </cell>
          <cell r="K2096" t="str">
            <v xml:space="preserve">          123651121                       2847                 3390390000</v>
          </cell>
          <cell r="O2096">
            <v>57275</v>
          </cell>
          <cell r="P2096">
            <v>31766</v>
          </cell>
          <cell r="Q2096">
            <v>54</v>
          </cell>
          <cell r="R2096">
            <v>1</v>
          </cell>
          <cell r="S2096">
            <v>20700</v>
          </cell>
        </row>
        <row r="2097">
          <cell r="A2097" t="str">
            <v>3168/11</v>
          </cell>
          <cell r="B2097" t="str">
            <v>JOAO JOAQUIM DE SANTANA TRANSPORTES ME</v>
          </cell>
          <cell r="D2097" t="str">
            <v>04.735.359/0001-68</v>
          </cell>
          <cell r="E2097" t="str">
            <v>3168/11</v>
          </cell>
          <cell r="I2097" t="str">
            <v>2011-0.272.551-6</v>
          </cell>
          <cell r="J2097">
            <v>42184.92</v>
          </cell>
          <cell r="K2097" t="str">
            <v xml:space="preserve">          123611122                       2848                3390390000</v>
          </cell>
          <cell r="O2097">
            <v>57280</v>
          </cell>
          <cell r="P2097">
            <v>31794</v>
          </cell>
          <cell r="Q2097">
            <v>54</v>
          </cell>
          <cell r="R2097">
            <v>3</v>
          </cell>
          <cell r="S2097">
            <v>19700</v>
          </cell>
        </row>
        <row r="2098">
          <cell r="A2098" t="str">
            <v>3170/11</v>
          </cell>
          <cell r="B2098" t="str">
            <v>BILL &amp; CIDA TRANSPORTES LTDA</v>
          </cell>
          <cell r="D2098" t="str">
            <v>11.392.345/0001-54</v>
          </cell>
          <cell r="E2098" t="str">
            <v>3170/11</v>
          </cell>
          <cell r="I2098" t="str">
            <v>2011-0.282.479-4</v>
          </cell>
          <cell r="J2098">
            <v>22641.599999999999</v>
          </cell>
          <cell r="K2098" t="str">
            <v xml:space="preserve">          123651121                       2847                 3390390000</v>
          </cell>
          <cell r="O2098">
            <v>57275</v>
          </cell>
          <cell r="Q2098">
            <v>54</v>
          </cell>
          <cell r="R2098">
            <v>1</v>
          </cell>
          <cell r="S2098">
            <v>10600</v>
          </cell>
        </row>
        <row r="2099">
          <cell r="A2099" t="str">
            <v>3171/11</v>
          </cell>
          <cell r="B2099" t="str">
            <v>IVONE RODRIGUES FREDERICO TRANSPORTES ME</v>
          </cell>
          <cell r="D2099" t="str">
            <v>10.980.499/0001-02</v>
          </cell>
          <cell r="E2099" t="str">
            <v>3171/11</v>
          </cell>
          <cell r="I2099" t="str">
            <v>2011-0.282.471-9</v>
          </cell>
          <cell r="J2099">
            <v>37607.879999999997</v>
          </cell>
          <cell r="K2099" t="str">
            <v xml:space="preserve">          123651121                       2847                 3390390000</v>
          </cell>
          <cell r="O2099">
            <v>57275</v>
          </cell>
          <cell r="P2099">
            <v>33837</v>
          </cell>
          <cell r="Q2099">
            <v>54</v>
          </cell>
          <cell r="R2099">
            <v>1</v>
          </cell>
          <cell r="S2099">
            <v>17400</v>
          </cell>
        </row>
        <row r="2100">
          <cell r="A2100" t="str">
            <v>2673/11</v>
          </cell>
          <cell r="B2100" t="str">
            <v>REGNER BARBIONI BERNI TRANSPORTES ME</v>
          </cell>
          <cell r="D2100" t="str">
            <v>11.293.806/0001-31</v>
          </cell>
          <cell r="E2100" t="str">
            <v>2673/11</v>
          </cell>
          <cell r="I2100" t="str">
            <v>2011-0.220.850-3</v>
          </cell>
          <cell r="J2100">
            <v>38261.760000000002</v>
          </cell>
          <cell r="K2100" t="str">
            <v xml:space="preserve">          123651121                       2847                 3390390000</v>
          </cell>
          <cell r="O2100">
            <v>57275</v>
          </cell>
          <cell r="P2100">
            <v>34246</v>
          </cell>
          <cell r="Q2100">
            <v>54</v>
          </cell>
          <cell r="R2100">
            <v>1</v>
          </cell>
          <cell r="S2100">
            <v>17500</v>
          </cell>
        </row>
        <row r="2101">
          <cell r="A2101" t="str">
            <v>3173/11</v>
          </cell>
          <cell r="B2101" t="str">
            <v>POLAKO E FEITOSA TRANSPORTES LTDA ME</v>
          </cell>
          <cell r="D2101" t="str">
            <v>09.074.636/0001-52</v>
          </cell>
          <cell r="E2101" t="str">
            <v>3173/11</v>
          </cell>
          <cell r="I2101" t="str">
            <v>2011-0.283.892-2</v>
          </cell>
          <cell r="J2101">
            <v>43670.7</v>
          </cell>
          <cell r="K2101" t="str">
            <v xml:space="preserve">          123651121                       2847                 3390390000</v>
          </cell>
          <cell r="O2101">
            <v>57275</v>
          </cell>
          <cell r="Q2101">
            <v>54</v>
          </cell>
          <cell r="R2101">
            <v>1</v>
          </cell>
          <cell r="S2101">
            <v>19900</v>
          </cell>
        </row>
        <row r="2102">
          <cell r="A2102" t="str">
            <v>3175/11</v>
          </cell>
          <cell r="B2102" t="str">
            <v>F R TRANSPORTES E TURISMO LTDA ME</v>
          </cell>
          <cell r="D2102" t="str">
            <v>06.242.670/0001-09</v>
          </cell>
          <cell r="E2102" t="str">
            <v>3175/11</v>
          </cell>
          <cell r="I2102" t="str">
            <v>2011-0.287.369-8</v>
          </cell>
          <cell r="J2102">
            <v>27763.14</v>
          </cell>
          <cell r="K2102" t="str">
            <v xml:space="preserve">          123651121                       2847                 3390390000</v>
          </cell>
          <cell r="O2102">
            <v>57275</v>
          </cell>
          <cell r="P2102">
            <v>37974</v>
          </cell>
          <cell r="Q2102">
            <v>54</v>
          </cell>
          <cell r="R2102">
            <v>1</v>
          </cell>
          <cell r="S2102">
            <v>12400</v>
          </cell>
        </row>
        <row r="2103">
          <cell r="A2103" t="str">
            <v>3118/11</v>
          </cell>
          <cell r="B2103" t="str">
            <v>TRANSOLIVEIRA TRANSPORTE ESCOLAR LTDA ME</v>
          </cell>
          <cell r="D2103" t="str">
            <v>05.651.368/0001-33</v>
          </cell>
          <cell r="E2103" t="str">
            <v>3118/11</v>
          </cell>
          <cell r="I2103" t="str">
            <v>2011-0.260.459-0</v>
          </cell>
          <cell r="J2103">
            <v>43670.7</v>
          </cell>
          <cell r="K2103" t="str">
            <v xml:space="preserve">          123651121                       2847                 3390390000</v>
          </cell>
          <cell r="O2103">
            <v>57275</v>
          </cell>
          <cell r="P2103">
            <v>34270</v>
          </cell>
          <cell r="Q2103">
            <v>54</v>
          </cell>
          <cell r="R2103">
            <v>1</v>
          </cell>
          <cell r="S2103">
            <v>18700</v>
          </cell>
        </row>
        <row r="2104">
          <cell r="A2104" t="str">
            <v>3119/11</v>
          </cell>
          <cell r="B2104" t="str">
            <v>DARIO CAMPOS DA SILVA EPP</v>
          </cell>
          <cell r="D2104" t="str">
            <v>10.745.749/0001-11</v>
          </cell>
          <cell r="E2104" t="str">
            <v>3119/11</v>
          </cell>
          <cell r="I2104" t="str">
            <v>2011-0.260.462-0</v>
          </cell>
          <cell r="J2104">
            <v>74504.88</v>
          </cell>
          <cell r="K2104" t="str">
            <v xml:space="preserve">          123651121                       2847                 3390390000</v>
          </cell>
          <cell r="O2104">
            <v>57275</v>
          </cell>
          <cell r="P2104">
            <v>34278</v>
          </cell>
          <cell r="Q2104">
            <v>54</v>
          </cell>
          <cell r="R2104">
            <v>1</v>
          </cell>
          <cell r="S2104">
            <v>31900</v>
          </cell>
        </row>
        <row r="2105">
          <cell r="A2105" t="str">
            <v>3120/11</v>
          </cell>
          <cell r="B2105" t="str">
            <v>VIMAC TRANSPORTES LTDA ME</v>
          </cell>
          <cell r="D2105" t="str">
            <v>04.102.535/0001-24</v>
          </cell>
          <cell r="E2105" t="str">
            <v>3120/11</v>
          </cell>
          <cell r="I2105" t="str">
            <v>2011-0.260.464-6</v>
          </cell>
          <cell r="J2105">
            <v>42184.92</v>
          </cell>
          <cell r="K2105" t="str">
            <v xml:space="preserve">          123651121                       2847                 3390390000</v>
          </cell>
          <cell r="O2105">
            <v>57275</v>
          </cell>
          <cell r="P2105">
            <v>34284</v>
          </cell>
          <cell r="Q2105">
            <v>54</v>
          </cell>
          <cell r="R2105">
            <v>1</v>
          </cell>
          <cell r="S2105">
            <v>18100</v>
          </cell>
        </row>
        <row r="2106">
          <cell r="A2106" t="str">
            <v>3121/11</v>
          </cell>
          <cell r="B2106" t="str">
            <v>LAV TRANSPORTE LTDA ME</v>
          </cell>
          <cell r="D2106" t="str">
            <v>05.035.174/0001-03</v>
          </cell>
          <cell r="E2106" t="str">
            <v>3121/11</v>
          </cell>
          <cell r="I2106" t="str">
            <v>2011-0.260.466-2</v>
          </cell>
          <cell r="J2106">
            <v>161071.38</v>
          </cell>
          <cell r="K2106" t="str">
            <v xml:space="preserve">          123651121                       2847                 3390390000</v>
          </cell>
          <cell r="O2106">
            <v>57275</v>
          </cell>
          <cell r="P2106">
            <v>34287</v>
          </cell>
          <cell r="Q2106">
            <v>54</v>
          </cell>
          <cell r="R2106">
            <v>1</v>
          </cell>
          <cell r="S2106">
            <v>69000</v>
          </cell>
        </row>
        <row r="2107">
          <cell r="A2107" t="str">
            <v>3122/11</v>
          </cell>
          <cell r="B2107" t="str">
            <v>CELIA REGINA BAPTISTA DA SILVA ME</v>
          </cell>
          <cell r="D2107" t="str">
            <v>00.943.403/0001-74</v>
          </cell>
          <cell r="E2107" t="str">
            <v>3122/11</v>
          </cell>
          <cell r="I2107" t="str">
            <v>2011-0.260.468-9</v>
          </cell>
          <cell r="J2107">
            <v>101691.18</v>
          </cell>
          <cell r="K2107" t="str">
            <v xml:space="preserve">          123651121                       2847                 3390390000</v>
          </cell>
          <cell r="O2107">
            <v>57275</v>
          </cell>
          <cell r="P2107">
            <v>34288</v>
          </cell>
          <cell r="Q2107">
            <v>54</v>
          </cell>
          <cell r="R2107">
            <v>1</v>
          </cell>
          <cell r="S2107">
            <v>43600</v>
          </cell>
        </row>
        <row r="2108">
          <cell r="A2108" t="str">
            <v>3123/11</v>
          </cell>
          <cell r="B2108" t="str">
            <v>TRANSVIVO TRANSPORTE E TURISMO LTDA ME</v>
          </cell>
          <cell r="D2108" t="str">
            <v>05.876.006/0001-40</v>
          </cell>
          <cell r="E2108" t="str">
            <v>3123/11</v>
          </cell>
          <cell r="I2108" t="str">
            <v>2011-0.260.472-7</v>
          </cell>
          <cell r="J2108">
            <v>44324.52</v>
          </cell>
          <cell r="K2108" t="str">
            <v xml:space="preserve">          123651121                       2847                 3390390000</v>
          </cell>
          <cell r="O2108">
            <v>57275</v>
          </cell>
          <cell r="P2108">
            <v>34291</v>
          </cell>
          <cell r="Q2108">
            <v>54</v>
          </cell>
          <cell r="R2108">
            <v>1</v>
          </cell>
          <cell r="S2108">
            <v>19000</v>
          </cell>
        </row>
        <row r="2109">
          <cell r="A2109" t="str">
            <v>3124/11</v>
          </cell>
          <cell r="B2109" t="str">
            <v>F R TRANSPORTES E TURISMO LTDA ME</v>
          </cell>
          <cell r="D2109" t="str">
            <v>06.242.670/0001-09</v>
          </cell>
          <cell r="E2109" t="str">
            <v>3124/11</v>
          </cell>
          <cell r="I2109" t="str">
            <v>2011-0.260.474-3</v>
          </cell>
          <cell r="J2109">
            <v>89994</v>
          </cell>
          <cell r="K2109" t="str">
            <v xml:space="preserve">          123651121                       2847                 3390390000</v>
          </cell>
          <cell r="O2109">
            <v>57275</v>
          </cell>
          <cell r="P2109">
            <v>34295</v>
          </cell>
          <cell r="Q2109">
            <v>54</v>
          </cell>
          <cell r="R2109">
            <v>1</v>
          </cell>
          <cell r="S2109">
            <v>38500</v>
          </cell>
        </row>
        <row r="2110">
          <cell r="A2110" t="str">
            <v>3125/11</v>
          </cell>
          <cell r="B2110" t="str">
            <v>QUALI SERVICE TRANSPORTES LTDA</v>
          </cell>
          <cell r="D2110" t="str">
            <v>04.763.933/0001-91</v>
          </cell>
          <cell r="E2110" t="str">
            <v>3125/11</v>
          </cell>
          <cell r="I2110" t="str">
            <v>2011-0.260.476-0</v>
          </cell>
          <cell r="J2110">
            <v>44324.52</v>
          </cell>
          <cell r="K2110" t="str">
            <v xml:space="preserve">          123651121                       2847                 3390390000</v>
          </cell>
          <cell r="O2110">
            <v>57275</v>
          </cell>
          <cell r="P2110">
            <v>34406</v>
          </cell>
          <cell r="Q2110">
            <v>54</v>
          </cell>
          <cell r="R2110">
            <v>1</v>
          </cell>
          <cell r="S2110">
            <v>19000</v>
          </cell>
        </row>
        <row r="2111">
          <cell r="A2111" t="str">
            <v>3126/11</v>
          </cell>
          <cell r="B2111" t="str">
            <v>RJC TRANSPORTES E LOCACAO DE VEICULOS LTDA</v>
          </cell>
          <cell r="D2111" t="str">
            <v>10.918.242/0001-12</v>
          </cell>
          <cell r="E2111" t="str">
            <v>3126/11</v>
          </cell>
          <cell r="I2111" t="str">
            <v>2011-0.260.477-8</v>
          </cell>
          <cell r="J2111">
            <v>69274.14</v>
          </cell>
          <cell r="K2111" t="str">
            <v xml:space="preserve">          123651121                       2847                 3390390000</v>
          </cell>
          <cell r="O2111">
            <v>57275</v>
          </cell>
          <cell r="P2111">
            <v>34408</v>
          </cell>
          <cell r="Q2111">
            <v>54</v>
          </cell>
          <cell r="R2111">
            <v>1</v>
          </cell>
          <cell r="S2111">
            <v>29700</v>
          </cell>
        </row>
        <row r="2112">
          <cell r="A2112" t="str">
            <v>3127/11</v>
          </cell>
          <cell r="B2112" t="str">
            <v>FORMITUR TRANSPORTES LTDA ME</v>
          </cell>
          <cell r="D2112" t="str">
            <v>13.359.755/0001-29</v>
          </cell>
          <cell r="E2112" t="str">
            <v>3127/11</v>
          </cell>
          <cell r="I2112" t="str">
            <v>2011-0.260.482-4</v>
          </cell>
          <cell r="J2112">
            <v>42838.74</v>
          </cell>
          <cell r="K2112" t="str">
            <v xml:space="preserve">          123611122                       2848                3390390000</v>
          </cell>
          <cell r="O2112">
            <v>57280</v>
          </cell>
          <cell r="P2112">
            <v>34410</v>
          </cell>
          <cell r="Q2112">
            <v>54</v>
          </cell>
          <cell r="R2112">
            <v>3</v>
          </cell>
          <cell r="S2112">
            <v>18400</v>
          </cell>
        </row>
        <row r="2113">
          <cell r="A2113" t="str">
            <v>3128/11</v>
          </cell>
          <cell r="B2113" t="str">
            <v>SILVIA MARIA DE FREITAS TRANSPORTES</v>
          </cell>
          <cell r="D2113" t="str">
            <v>12.626.906/0001-03</v>
          </cell>
          <cell r="E2113" t="str">
            <v>3128/11</v>
          </cell>
          <cell r="I2113" t="str">
            <v>2011-0.260.485-9</v>
          </cell>
          <cell r="J2113">
            <v>133791.06</v>
          </cell>
          <cell r="K2113" t="str">
            <v xml:space="preserve">          123651121                       2847                 3390390000</v>
          </cell>
          <cell r="O2113">
            <v>57275</v>
          </cell>
          <cell r="P2113">
            <v>34415</v>
          </cell>
          <cell r="Q2113">
            <v>54</v>
          </cell>
          <cell r="R2113">
            <v>1</v>
          </cell>
          <cell r="S2113">
            <v>57300</v>
          </cell>
        </row>
        <row r="2114">
          <cell r="A2114" t="str">
            <v>3176/11</v>
          </cell>
          <cell r="B2114" t="str">
            <v>SISTEMA BRASILEIRO DE TURISMO LTDA</v>
          </cell>
          <cell r="D2114" t="str">
            <v>18.908.160/0002-80</v>
          </cell>
          <cell r="E2114" t="str">
            <v>3176/11</v>
          </cell>
          <cell r="I2114" t="str">
            <v>2011-0.287.373-6</v>
          </cell>
          <cell r="J2114">
            <v>40877.160000000003</v>
          </cell>
          <cell r="K2114" t="str">
            <v xml:space="preserve">          123651121                       2847                 3390390000</v>
          </cell>
          <cell r="O2114">
            <v>57275</v>
          </cell>
          <cell r="P2114">
            <v>37977</v>
          </cell>
          <cell r="Q2114">
            <v>54</v>
          </cell>
          <cell r="R2114">
            <v>1</v>
          </cell>
          <cell r="S2114">
            <v>17500</v>
          </cell>
        </row>
        <row r="2115">
          <cell r="A2115" t="str">
            <v>3172/11</v>
          </cell>
          <cell r="B2115" t="str">
            <v>ARILSON NUNES DE LIRA ME</v>
          </cell>
          <cell r="D2115" t="str">
            <v>97.527.054/0001-41</v>
          </cell>
          <cell r="E2115" t="str">
            <v>3172/11</v>
          </cell>
          <cell r="I2115" t="str">
            <v>2011-0.282.712-2</v>
          </cell>
          <cell r="J2115">
            <v>37607.879999999997</v>
          </cell>
          <cell r="K2115" t="str">
            <v xml:space="preserve">          123651121                       2847                 3390390000</v>
          </cell>
          <cell r="O2115">
            <v>57275</v>
          </cell>
          <cell r="Q2115">
            <v>54</v>
          </cell>
          <cell r="R2115">
            <v>1</v>
          </cell>
          <cell r="S2115">
            <v>16100</v>
          </cell>
        </row>
        <row r="2116">
          <cell r="A2116" t="str">
            <v>3174/11</v>
          </cell>
          <cell r="B2116" t="str">
            <v>TRANSALGE TRANSPORTES LTDA ME</v>
          </cell>
          <cell r="D2116" t="str">
            <v>14.374.289/0001-13</v>
          </cell>
          <cell r="E2116" t="str">
            <v>3174/11</v>
          </cell>
          <cell r="I2116" t="str">
            <v>2011-0.287.363-9</v>
          </cell>
          <cell r="J2116">
            <v>31824.66</v>
          </cell>
          <cell r="K2116" t="str">
            <v xml:space="preserve">          123651121                       2847                 3390390000</v>
          </cell>
          <cell r="O2116">
            <v>57275</v>
          </cell>
          <cell r="P2116">
            <v>37973</v>
          </cell>
          <cell r="Q2116">
            <v>54</v>
          </cell>
          <cell r="R2116">
            <v>1</v>
          </cell>
          <cell r="S2116">
            <v>13700</v>
          </cell>
        </row>
        <row r="2117">
          <cell r="A2117" t="str">
            <v>3177/11</v>
          </cell>
          <cell r="B2117" t="str">
            <v>CRISTIANO ALVES LIMA TRANSPORTES ME</v>
          </cell>
          <cell r="D2117" t="str">
            <v>13.489.239/0001-19</v>
          </cell>
          <cell r="E2117" t="str">
            <v>3177/11</v>
          </cell>
          <cell r="I2117" t="str">
            <v>2011-0.287.380-9</v>
          </cell>
          <cell r="J2117">
            <v>44978.400000000001</v>
          </cell>
          <cell r="K2117" t="str">
            <v xml:space="preserve">          123651121                       2847                 3390390000</v>
          </cell>
          <cell r="O2117">
            <v>57275</v>
          </cell>
          <cell r="P2117">
            <v>37978</v>
          </cell>
          <cell r="Q2117">
            <v>54</v>
          </cell>
          <cell r="R2117">
            <v>1</v>
          </cell>
          <cell r="S2117">
            <v>19300</v>
          </cell>
        </row>
        <row r="2118">
          <cell r="A2118" t="str">
            <v>3178/11</v>
          </cell>
          <cell r="B2118" t="str">
            <v>WANDERLEY LEOPOLDO TRANSPORTES ME</v>
          </cell>
          <cell r="D2118" t="str">
            <v>14.072.157/0001-37</v>
          </cell>
          <cell r="E2118" t="str">
            <v>3178/11</v>
          </cell>
          <cell r="I2118" t="str">
            <v>2011-0.287.387-6</v>
          </cell>
          <cell r="J2118">
            <v>31012.38</v>
          </cell>
          <cell r="K2118" t="str">
            <v xml:space="preserve">          123651121                       2847                 3390390000</v>
          </cell>
          <cell r="O2118">
            <v>57275</v>
          </cell>
          <cell r="P2118">
            <v>37979</v>
          </cell>
          <cell r="Q2118">
            <v>54</v>
          </cell>
          <cell r="R2118">
            <v>1</v>
          </cell>
          <cell r="S2118">
            <v>13300</v>
          </cell>
        </row>
        <row r="2119">
          <cell r="A2119" t="str">
            <v>3179/11</v>
          </cell>
          <cell r="B2119" t="str">
            <v>TORRE FORTE VIDEIRA VERDADEIRA TURISMO E TRANSPORTE ESCOLAR LTDA ME</v>
          </cell>
          <cell r="D2119" t="str">
            <v>10.631.196/0001-76</v>
          </cell>
          <cell r="E2119" t="str">
            <v>3179/11</v>
          </cell>
          <cell r="I2119" t="str">
            <v>2011-0.290.147-0</v>
          </cell>
          <cell r="J2119">
            <v>36954.120000000003</v>
          </cell>
          <cell r="K2119" t="str">
            <v xml:space="preserve">          123651121                       2847                 3390390000</v>
          </cell>
          <cell r="O2119">
            <v>57275</v>
          </cell>
          <cell r="Q2119">
            <v>54</v>
          </cell>
          <cell r="R2119">
            <v>1</v>
          </cell>
          <cell r="S2119">
            <v>15900</v>
          </cell>
        </row>
        <row r="2120">
          <cell r="A2120" t="str">
            <v>3180/11</v>
          </cell>
          <cell r="B2120" t="str">
            <v>NILZA MARIA FERREIRA ME</v>
          </cell>
          <cell r="D2120" t="str">
            <v>09.108.019/0001-20</v>
          </cell>
          <cell r="E2120" t="str">
            <v>3180/11</v>
          </cell>
          <cell r="I2120" t="str">
            <v>2011-0.290.151-9</v>
          </cell>
          <cell r="J2120">
            <v>25633.26</v>
          </cell>
          <cell r="K2120" t="str">
            <v xml:space="preserve">          123651121                       2847                 3390390000</v>
          </cell>
          <cell r="O2120">
            <v>57275</v>
          </cell>
          <cell r="P2120">
            <v>37980</v>
          </cell>
          <cell r="Q2120">
            <v>54</v>
          </cell>
          <cell r="R2120">
            <v>1</v>
          </cell>
          <cell r="S2120">
            <v>10900</v>
          </cell>
        </row>
        <row r="2121">
          <cell r="A2121" t="str">
            <v>3129/11</v>
          </cell>
          <cell r="B2121" t="str">
            <v>FOX TRANSPORTES ESCOLARES S/C LTDA ME</v>
          </cell>
          <cell r="D2121" t="str">
            <v>05.263.131/0001-85</v>
          </cell>
          <cell r="E2121" t="str">
            <v>3129/11</v>
          </cell>
          <cell r="I2121" t="str">
            <v>2011-0.260.486-7</v>
          </cell>
          <cell r="J2121">
            <v>30150.54</v>
          </cell>
          <cell r="K2121" t="str">
            <v xml:space="preserve">          123651121                       2847                 3390390000</v>
          </cell>
          <cell r="O2121">
            <v>57275</v>
          </cell>
          <cell r="P2121">
            <v>37338</v>
          </cell>
          <cell r="Q2121">
            <v>54</v>
          </cell>
          <cell r="R2121">
            <v>1</v>
          </cell>
          <cell r="S2121">
            <v>11800</v>
          </cell>
        </row>
        <row r="2122">
          <cell r="A2122" t="str">
            <v>3130/11</v>
          </cell>
          <cell r="B2122" t="str">
            <v>LUIGI TRANS ESC LTDA ME</v>
          </cell>
          <cell r="D2122" t="str">
            <v>05.261.701/0001-06</v>
          </cell>
          <cell r="E2122" t="str">
            <v>3130/11</v>
          </cell>
          <cell r="I2122">
            <v>0</v>
          </cell>
          <cell r="J2122">
            <v>44978.400000000001</v>
          </cell>
          <cell r="K2122" t="str">
            <v xml:space="preserve">          123651121                       2847                 3390390000</v>
          </cell>
          <cell r="O2122">
            <v>57275</v>
          </cell>
          <cell r="P2122">
            <v>37350</v>
          </cell>
          <cell r="Q2122">
            <v>54</v>
          </cell>
          <cell r="R2122">
            <v>1</v>
          </cell>
          <cell r="S2122">
            <v>17500</v>
          </cell>
        </row>
        <row r="2123">
          <cell r="A2123" t="str">
            <v>3134/11</v>
          </cell>
          <cell r="B2123" t="str">
            <v>F R TRANSPORTES E TURISMO LTDA ME</v>
          </cell>
          <cell r="D2123" t="str">
            <v>06.242.670/0001-09</v>
          </cell>
          <cell r="E2123" t="str">
            <v>3134/11</v>
          </cell>
          <cell r="I2123" t="str">
            <v>2011-0.260.499-9</v>
          </cell>
          <cell r="J2123">
            <v>30150.54</v>
          </cell>
          <cell r="K2123" t="str">
            <v xml:space="preserve">          123651121                       2847                 3390390000</v>
          </cell>
          <cell r="O2123">
            <v>57275</v>
          </cell>
          <cell r="P2123">
            <v>37931</v>
          </cell>
          <cell r="Q2123">
            <v>54</v>
          </cell>
          <cell r="R2123">
            <v>1</v>
          </cell>
          <cell r="S2123">
            <v>11800</v>
          </cell>
        </row>
        <row r="2124">
          <cell r="A2124" t="str">
            <v>3132/11</v>
          </cell>
          <cell r="B2124" t="str">
            <v>LWG SERVICOS LTDA ME</v>
          </cell>
          <cell r="D2124" t="str">
            <v>12.386.887/0001-87</v>
          </cell>
          <cell r="E2124" t="str">
            <v>3132/11</v>
          </cell>
          <cell r="I2124" t="str">
            <v>2011-0.260.496-4</v>
          </cell>
          <cell r="J2124">
            <v>44978.400000000001</v>
          </cell>
          <cell r="K2124" t="str">
            <v xml:space="preserve">          123651121                       2847                 3390390000</v>
          </cell>
          <cell r="O2124">
            <v>57275</v>
          </cell>
          <cell r="P2124">
            <v>37440</v>
          </cell>
          <cell r="Q2124">
            <v>54</v>
          </cell>
          <cell r="R2124">
            <v>1</v>
          </cell>
          <cell r="S2124">
            <v>17500</v>
          </cell>
        </row>
        <row r="2125">
          <cell r="A2125" t="str">
            <v>3131/11</v>
          </cell>
          <cell r="B2125" t="str">
            <v>RESGATE TRANSPORTES E LOCADORA LTDA</v>
          </cell>
          <cell r="D2125" t="str">
            <v>12.594.109/0001-83</v>
          </cell>
          <cell r="E2125" t="str">
            <v>3131/11</v>
          </cell>
          <cell r="I2125" t="str">
            <v>2011-0260.494-8</v>
          </cell>
          <cell r="J2125">
            <v>31012.38</v>
          </cell>
          <cell r="K2125" t="str">
            <v xml:space="preserve">          123651121                       2847                 3390390000</v>
          </cell>
          <cell r="O2125">
            <v>57275</v>
          </cell>
          <cell r="P2125">
            <v>37435</v>
          </cell>
          <cell r="Q2125">
            <v>54</v>
          </cell>
          <cell r="R2125">
            <v>1</v>
          </cell>
          <cell r="S2125">
            <v>12100</v>
          </cell>
        </row>
        <row r="2126">
          <cell r="A2126" t="str">
            <v>3197/11</v>
          </cell>
          <cell r="B2126" t="str">
            <v>A. R. SOUZA TRANSPORTE LTDA</v>
          </cell>
          <cell r="D2126" t="str">
            <v>97.544.092/0001-02</v>
          </cell>
          <cell r="E2126" t="str">
            <v>3197/11</v>
          </cell>
          <cell r="I2126" t="str">
            <v>2011-0.292.510-8</v>
          </cell>
          <cell r="J2126">
            <v>42838.74</v>
          </cell>
          <cell r="K2126" t="str">
            <v xml:space="preserve">          123651121                       2847                 3390390000</v>
          </cell>
          <cell r="O2126">
            <v>57275</v>
          </cell>
          <cell r="P2126">
            <v>37997</v>
          </cell>
          <cell r="Q2126">
            <v>54</v>
          </cell>
          <cell r="R2126">
            <v>1</v>
          </cell>
          <cell r="S2126">
            <v>16700</v>
          </cell>
        </row>
        <row r="2127">
          <cell r="A2127" t="str">
            <v>3327/11</v>
          </cell>
          <cell r="B2127" t="str">
            <v>FLEEJET TRANSPORTES LTDA</v>
          </cell>
          <cell r="D2127" t="str">
            <v>13.727.697/0001-49</v>
          </cell>
          <cell r="E2127" t="str">
            <v>3327/11</v>
          </cell>
          <cell r="I2127" t="str">
            <v>2011-0.294.913-9</v>
          </cell>
          <cell r="J2127">
            <v>37607.879999999997</v>
          </cell>
          <cell r="K2127" t="str">
            <v xml:space="preserve">          123651121                       2847                 3390390000</v>
          </cell>
          <cell r="O2127">
            <v>57275</v>
          </cell>
          <cell r="P2127">
            <v>37998</v>
          </cell>
          <cell r="Q2127">
            <v>54</v>
          </cell>
          <cell r="R2127">
            <v>1</v>
          </cell>
          <cell r="S2127">
            <v>14700</v>
          </cell>
        </row>
        <row r="2128">
          <cell r="A2128" t="str">
            <v>3328/11</v>
          </cell>
          <cell r="B2128" t="str">
            <v>MALURI TRANSPORTE ESCOLAR E TURISMO LTDA ME</v>
          </cell>
          <cell r="D2128" t="str">
            <v>10.578.313/0001-85</v>
          </cell>
          <cell r="E2128" t="str">
            <v>3328/11</v>
          </cell>
          <cell r="I2128" t="str">
            <v>2011-0.294.906-6</v>
          </cell>
          <cell r="J2128">
            <v>44978.400000000001</v>
          </cell>
          <cell r="K2128" t="str">
            <v xml:space="preserve">          123651121                       2847                 3390390000</v>
          </cell>
          <cell r="O2128">
            <v>57275</v>
          </cell>
          <cell r="Q2128">
            <v>54</v>
          </cell>
          <cell r="R2128">
            <v>1</v>
          </cell>
          <cell r="S2128">
            <v>17500</v>
          </cell>
        </row>
        <row r="2129">
          <cell r="A2129" t="str">
            <v>3133/11</v>
          </cell>
          <cell r="B2129" t="str">
            <v>LERENO TRANSPORTES LTDA</v>
          </cell>
          <cell r="D2129" t="str">
            <v>13.438.363/0001-55</v>
          </cell>
          <cell r="E2129" t="str">
            <v>3133/11</v>
          </cell>
          <cell r="I2129" t="str">
            <v>2011-0.260.497-2</v>
          </cell>
          <cell r="J2129">
            <v>44978.400000000001</v>
          </cell>
          <cell r="K2129" t="str">
            <v xml:space="preserve">          123611122                       2848                3390390000</v>
          </cell>
          <cell r="O2129">
            <v>57280</v>
          </cell>
          <cell r="P2129">
            <v>37443</v>
          </cell>
          <cell r="Q2129">
            <v>54</v>
          </cell>
          <cell r="R2129">
            <v>3</v>
          </cell>
          <cell r="S2129">
            <v>17300</v>
          </cell>
        </row>
        <row r="2130">
          <cell r="A2130" t="str">
            <v>3332/11</v>
          </cell>
          <cell r="B2130" t="str">
            <v>ANTONIO AUGUSTO CITRARO ME</v>
          </cell>
          <cell r="D2130" t="str">
            <v>10.720.991/0001-30</v>
          </cell>
          <cell r="E2130" t="str">
            <v>3332/11</v>
          </cell>
          <cell r="I2130" t="str">
            <v>2011-0.296.809-5</v>
          </cell>
          <cell r="J2130">
            <v>27565.02</v>
          </cell>
          <cell r="K2130" t="str">
            <v xml:space="preserve">          123651121                       2847                 3390390000</v>
          </cell>
          <cell r="O2130">
            <v>57275</v>
          </cell>
          <cell r="Q2130">
            <v>54</v>
          </cell>
          <cell r="R2130">
            <v>1</v>
          </cell>
          <cell r="S2130">
            <v>10600</v>
          </cell>
        </row>
        <row r="2131">
          <cell r="A2131" t="str">
            <v>3334/11</v>
          </cell>
          <cell r="B2131" t="str">
            <v>CAVALCANTE TRANSPORTES ESCOLARES E FRETAMENTO LTDA</v>
          </cell>
          <cell r="D2131" t="str">
            <v>06.334.560/0001-69</v>
          </cell>
          <cell r="E2131" t="str">
            <v>3334/11</v>
          </cell>
          <cell r="I2131" t="str">
            <v>2011-0.299.599-8</v>
          </cell>
          <cell r="J2131">
            <v>28525.919999999998</v>
          </cell>
          <cell r="K2131" t="str">
            <v xml:space="preserve">          123651121                       2847                 3390390000</v>
          </cell>
          <cell r="O2131">
            <v>57275</v>
          </cell>
          <cell r="P2131">
            <v>38001</v>
          </cell>
          <cell r="Q2131">
            <v>54</v>
          </cell>
          <cell r="R2131">
            <v>1</v>
          </cell>
          <cell r="S2131">
            <v>10500</v>
          </cell>
        </row>
        <row r="2132">
          <cell r="A2132" t="str">
            <v>3137/11</v>
          </cell>
          <cell r="B2132" t="str">
            <v>TRANS COELHO TRANSPORTES ESCOLARES LTDA</v>
          </cell>
          <cell r="D2132" t="str">
            <v>11.114.233/0001-31</v>
          </cell>
          <cell r="E2132" t="str">
            <v>3137/11</v>
          </cell>
          <cell r="I2132" t="str">
            <v>2011-0.260.509-0</v>
          </cell>
          <cell r="J2132">
            <v>44978.400000000001</v>
          </cell>
          <cell r="K2132" t="str">
            <v xml:space="preserve">          123651121                       2847                 3390390000</v>
          </cell>
          <cell r="O2132">
            <v>57275</v>
          </cell>
          <cell r="P2132">
            <v>37938</v>
          </cell>
          <cell r="Q2132">
            <v>54</v>
          </cell>
          <cell r="R2132">
            <v>1</v>
          </cell>
          <cell r="S2132">
            <v>15800</v>
          </cell>
        </row>
        <row r="2133">
          <cell r="A2133" t="str">
            <v>3135/11</v>
          </cell>
          <cell r="B2133" t="str">
            <v>CL TRANSPORTE ESCOLAR LTDA ME</v>
          </cell>
          <cell r="D2133" t="str">
            <v>01.763.962/0001-65</v>
          </cell>
          <cell r="E2133" t="str">
            <v>3135/11</v>
          </cell>
          <cell r="I2133" t="str">
            <v>2011-0.260.502-2</v>
          </cell>
          <cell r="J2133">
            <v>42184.92</v>
          </cell>
          <cell r="K2133" t="str">
            <v xml:space="preserve">          123651121                       2847                 3390390000</v>
          </cell>
          <cell r="O2133">
            <v>57275</v>
          </cell>
          <cell r="P2133">
            <v>37934</v>
          </cell>
          <cell r="Q2133">
            <v>54</v>
          </cell>
          <cell r="R2133">
            <v>1</v>
          </cell>
          <cell r="S2133">
            <v>14800</v>
          </cell>
        </row>
        <row r="2134">
          <cell r="A2134" t="str">
            <v>3136/11</v>
          </cell>
          <cell r="B2134" t="str">
            <v>QUALI SERVICE TRANSPORTES LTDA</v>
          </cell>
          <cell r="D2134" t="str">
            <v>04.763.933/0001-91</v>
          </cell>
          <cell r="E2134" t="str">
            <v>3136/11</v>
          </cell>
          <cell r="I2134" t="str">
            <v>2011-0.260.505-7</v>
          </cell>
          <cell r="J2134">
            <v>38915.58</v>
          </cell>
          <cell r="K2134" t="str">
            <v xml:space="preserve">          123651121                       2847                 3390390000</v>
          </cell>
          <cell r="O2134">
            <v>57275</v>
          </cell>
          <cell r="P2134">
            <v>37936</v>
          </cell>
          <cell r="Q2134">
            <v>54</v>
          </cell>
          <cell r="R2134">
            <v>1</v>
          </cell>
          <cell r="S2134">
            <v>13700</v>
          </cell>
        </row>
        <row r="2135">
          <cell r="A2135" t="str">
            <v>3138/11</v>
          </cell>
          <cell r="B2135" t="str">
            <v>JAIME VITORIO DOS SANTOS NETO ME</v>
          </cell>
          <cell r="D2135" t="str">
            <v>09.128.040/0001-98</v>
          </cell>
          <cell r="E2135" t="str">
            <v>3138/11</v>
          </cell>
          <cell r="I2135" t="str">
            <v>2011-0.260.512-0</v>
          </cell>
          <cell r="J2135">
            <v>27713.58</v>
          </cell>
          <cell r="K2135" t="str">
            <v xml:space="preserve">          123651121                       2847                 3390390000</v>
          </cell>
          <cell r="O2135">
            <v>57275</v>
          </cell>
          <cell r="P2135">
            <v>37940</v>
          </cell>
          <cell r="Q2135">
            <v>54</v>
          </cell>
          <cell r="R2135">
            <v>1</v>
          </cell>
          <cell r="S2135">
            <v>9700</v>
          </cell>
        </row>
        <row r="2136">
          <cell r="A2136" t="str">
            <v>3333/11</v>
          </cell>
          <cell r="B2136" t="str">
            <v>LEONILDA PEREIRA TRANSPORTE ESCOLAR ME</v>
          </cell>
          <cell r="D2136" t="str">
            <v>14.130.646/0001-06</v>
          </cell>
          <cell r="E2136" t="str">
            <v>3333/11</v>
          </cell>
          <cell r="I2136" t="str">
            <v>2011-0.299.594-7</v>
          </cell>
          <cell r="J2136">
            <v>44324.52</v>
          </cell>
          <cell r="K2136" t="str">
            <v xml:space="preserve">          123651121                       2847                 3390390000</v>
          </cell>
          <cell r="O2136">
            <v>57275</v>
          </cell>
          <cell r="P2136">
            <v>38780</v>
          </cell>
          <cell r="Q2136">
            <v>54</v>
          </cell>
          <cell r="R2136">
            <v>1</v>
          </cell>
          <cell r="S2136">
            <v>15600</v>
          </cell>
        </row>
        <row r="2137">
          <cell r="A2137" t="str">
            <v>3335/11</v>
          </cell>
          <cell r="B2137" t="str">
            <v>GR TRANSPORTE ESCOLAR LTDA</v>
          </cell>
          <cell r="D2137" t="str">
            <v>14.447.145/0001-40</v>
          </cell>
          <cell r="E2137" t="str">
            <v>3335/11</v>
          </cell>
          <cell r="I2137" t="str">
            <v>2011-0.305.515-8</v>
          </cell>
          <cell r="J2137">
            <v>40223.339999999997</v>
          </cell>
          <cell r="K2137" t="str">
            <v xml:space="preserve">          123651121                       2847                 3390390000</v>
          </cell>
          <cell r="O2137">
            <v>57275</v>
          </cell>
          <cell r="Q2137">
            <v>54</v>
          </cell>
          <cell r="R2137">
            <v>1</v>
          </cell>
          <cell r="S2137">
            <v>14100</v>
          </cell>
        </row>
        <row r="2138">
          <cell r="A2138" t="str">
            <v>3336/11</v>
          </cell>
          <cell r="B2138" t="str">
            <v>JOSE EDUARDO FERREIRA TAVARES TRANSPORTES ME</v>
          </cell>
          <cell r="D2138" t="str">
            <v>01.487.025/0001-24</v>
          </cell>
          <cell r="E2138" t="str">
            <v>3336/11</v>
          </cell>
          <cell r="I2138" t="str">
            <v>2011-0.305.511-5</v>
          </cell>
          <cell r="J2138">
            <v>37607.879999999997</v>
          </cell>
          <cell r="K2138" t="str">
            <v xml:space="preserve">          123651121                       2847                 3390390000</v>
          </cell>
          <cell r="O2138">
            <v>57275</v>
          </cell>
          <cell r="P2138">
            <v>38007</v>
          </cell>
          <cell r="Q2138">
            <v>54</v>
          </cell>
          <cell r="R2138">
            <v>1</v>
          </cell>
          <cell r="S2138">
            <v>13000</v>
          </cell>
        </row>
        <row r="2139">
          <cell r="A2139" t="str">
            <v>3142/11</v>
          </cell>
          <cell r="B2139" t="str">
            <v>AMEDEO TORTORA FILHO TRANSPORTES ME</v>
          </cell>
          <cell r="D2139" t="str">
            <v>07.677.664/0001-39</v>
          </cell>
          <cell r="E2139" t="str">
            <v>3142/11</v>
          </cell>
          <cell r="I2139" t="str">
            <v>2011-0.260.557-0</v>
          </cell>
          <cell r="J2139">
            <v>84369.84</v>
          </cell>
          <cell r="K2139" t="str">
            <v xml:space="preserve">          123671125                       2863                3390390000</v>
          </cell>
          <cell r="O2139">
            <v>57292</v>
          </cell>
          <cell r="P2139">
            <v>37951</v>
          </cell>
          <cell r="Q2139">
            <v>54</v>
          </cell>
          <cell r="R2139">
            <v>4</v>
          </cell>
          <cell r="S2139">
            <v>26300</v>
          </cell>
        </row>
        <row r="2140">
          <cell r="A2140" t="str">
            <v>3140/11</v>
          </cell>
          <cell r="B2140" t="str">
            <v>CAVALCANTE TRANSPORTES ESCOLARES E FRETAMENTO LTDA</v>
          </cell>
          <cell r="D2140" t="str">
            <v>06.334.560/0001-69</v>
          </cell>
          <cell r="E2140" t="str">
            <v>3140/11</v>
          </cell>
          <cell r="I2140" t="str">
            <v>2011-0.260.549-9</v>
          </cell>
          <cell r="J2140">
            <v>72335.460000000006</v>
          </cell>
          <cell r="K2140" t="str">
            <v xml:space="preserve">          123671125                       2863                3390390000</v>
          </cell>
          <cell r="O2140">
            <v>57292</v>
          </cell>
          <cell r="P2140">
            <v>37943</v>
          </cell>
          <cell r="Q2140">
            <v>54</v>
          </cell>
          <cell r="R2140">
            <v>4</v>
          </cell>
          <cell r="S2140">
            <v>23842.3</v>
          </cell>
        </row>
        <row r="2141">
          <cell r="A2141" t="str">
            <v>3139/11</v>
          </cell>
          <cell r="B2141" t="str">
            <v>EMAUS TRANSPORTES LTDA ME</v>
          </cell>
          <cell r="D2141" t="str">
            <v>66.536.285/0001-98</v>
          </cell>
          <cell r="E2141" t="str">
            <v>3139/11</v>
          </cell>
          <cell r="I2141" t="str">
            <v>2011-0.260.539-1</v>
          </cell>
          <cell r="J2141">
            <v>105614.04</v>
          </cell>
          <cell r="K2141" t="str">
            <v xml:space="preserve">          123671125                       2863                3390390000</v>
          </cell>
          <cell r="O2141">
            <v>57292</v>
          </cell>
          <cell r="P2141">
            <v>37941</v>
          </cell>
          <cell r="Q2141">
            <v>54</v>
          </cell>
          <cell r="R2141">
            <v>4</v>
          </cell>
          <cell r="S2141">
            <v>32900</v>
          </cell>
        </row>
        <row r="2142">
          <cell r="A2142" t="str">
            <v>3143/11</v>
          </cell>
          <cell r="B2142" t="str">
            <v>QUALI SERVICE TRANSPORTES LTDA</v>
          </cell>
          <cell r="D2142" t="str">
            <v>04.763.933/0001-91</v>
          </cell>
          <cell r="E2142" t="str">
            <v>3143/11</v>
          </cell>
          <cell r="I2142" t="str">
            <v>2011-0.260.560-0</v>
          </cell>
          <cell r="J2142">
            <v>42184.92</v>
          </cell>
          <cell r="K2142" t="str">
            <v xml:space="preserve">          123671125                       2863                3390390000</v>
          </cell>
          <cell r="O2142">
            <v>57292</v>
          </cell>
          <cell r="P2142">
            <v>37953</v>
          </cell>
          <cell r="Q2142">
            <v>54</v>
          </cell>
          <cell r="R2142">
            <v>4</v>
          </cell>
          <cell r="S2142">
            <v>13200</v>
          </cell>
        </row>
        <row r="2143">
          <cell r="A2143" t="str">
            <v>3147/11</v>
          </cell>
          <cell r="B2143" t="str">
            <v>TRANS HELLOS TRANSPORTES LTDA ME</v>
          </cell>
          <cell r="D2143" t="str">
            <v>07.205.054/0001-32</v>
          </cell>
          <cell r="E2143" t="str">
            <v>3147/11</v>
          </cell>
          <cell r="I2143" t="str">
            <v>2011-0.260.574-0</v>
          </cell>
          <cell r="J2143">
            <v>41531.040000000001</v>
          </cell>
          <cell r="K2143" t="str">
            <v xml:space="preserve">          123671125                       2863                3390390000</v>
          </cell>
          <cell r="O2143">
            <v>57292</v>
          </cell>
          <cell r="P2143">
            <v>37959</v>
          </cell>
          <cell r="Q2143">
            <v>54</v>
          </cell>
          <cell r="R2143">
            <v>4</v>
          </cell>
          <cell r="S2143">
            <v>13000</v>
          </cell>
        </row>
        <row r="2144">
          <cell r="A2144" t="str">
            <v>3141/11</v>
          </cell>
          <cell r="B2144" t="str">
            <v>VIA LUZ TRANSPORTES DE PASSAGEIROS LTDA ME</v>
          </cell>
          <cell r="D2144" t="str">
            <v>07.326.859/0001-34</v>
          </cell>
          <cell r="E2144" t="str">
            <v>3141/11</v>
          </cell>
          <cell r="I2144" t="str">
            <v>2011-0.260.554-5</v>
          </cell>
          <cell r="J2144">
            <v>41531.040000000001</v>
          </cell>
          <cell r="K2144" t="str">
            <v xml:space="preserve">          123671125                       2863                3390390000</v>
          </cell>
          <cell r="O2144">
            <v>57292</v>
          </cell>
          <cell r="P2144">
            <v>37944</v>
          </cell>
          <cell r="Q2144">
            <v>54</v>
          </cell>
          <cell r="R2144">
            <v>4</v>
          </cell>
          <cell r="S2144">
            <v>13000</v>
          </cell>
        </row>
        <row r="2145">
          <cell r="A2145" t="str">
            <v>3145/11</v>
          </cell>
          <cell r="B2145" t="str">
            <v>J V N TRANSPORTES E LOCADORA DE VEICULOS LTDA ME</v>
          </cell>
          <cell r="D2145" t="str">
            <v>71.978.829/0001-01</v>
          </cell>
          <cell r="E2145" t="str">
            <v>3145/11</v>
          </cell>
          <cell r="I2145" t="str">
            <v>2011-0.260.570-7</v>
          </cell>
          <cell r="J2145">
            <v>44324.52</v>
          </cell>
          <cell r="K2145" t="str">
            <v xml:space="preserve">          123671125                       2863                3390390000</v>
          </cell>
          <cell r="O2145">
            <v>57292</v>
          </cell>
          <cell r="P2145">
            <v>37956</v>
          </cell>
          <cell r="Q2145">
            <v>54</v>
          </cell>
          <cell r="R2145">
            <v>4</v>
          </cell>
          <cell r="S2145">
            <v>13800</v>
          </cell>
        </row>
        <row r="2146">
          <cell r="A2146" t="str">
            <v>3144/11</v>
          </cell>
          <cell r="B2146" t="str">
            <v>ROGERTRANS TRANSPORTES LTDA ME</v>
          </cell>
          <cell r="D2146" t="str">
            <v>12.462.095/0001-44</v>
          </cell>
          <cell r="E2146" t="str">
            <v>3144/11</v>
          </cell>
          <cell r="I2146" t="str">
            <v>2011-0.260.562-6</v>
          </cell>
          <cell r="J2146">
            <v>55112.52</v>
          </cell>
          <cell r="K2146" t="str">
            <v xml:space="preserve">          123671125                       2863                3390390000</v>
          </cell>
          <cell r="O2146">
            <v>57292</v>
          </cell>
          <cell r="P2146">
            <v>38793</v>
          </cell>
          <cell r="Q2146">
            <v>54</v>
          </cell>
          <cell r="R2146">
            <v>4</v>
          </cell>
          <cell r="S2146">
            <v>17200</v>
          </cell>
        </row>
        <row r="2147">
          <cell r="A2147" t="str">
            <v>3146/11</v>
          </cell>
          <cell r="B2147" t="str">
            <v>JEFFERSON CREMASCO TRANSPORTES ME</v>
          </cell>
          <cell r="D2147" t="str">
            <v>13.238.834/0001-81</v>
          </cell>
          <cell r="E2147" t="str">
            <v>3146/11</v>
          </cell>
          <cell r="I2147" t="str">
            <v>2011-0.260.572-3</v>
          </cell>
          <cell r="J2147">
            <v>44978.400000000001</v>
          </cell>
          <cell r="K2147" t="str">
            <v xml:space="preserve">          123651121                       2847                 3390390000</v>
          </cell>
          <cell r="O2147">
            <v>57275</v>
          </cell>
          <cell r="P2147">
            <v>37958</v>
          </cell>
          <cell r="Q2147">
            <v>54</v>
          </cell>
          <cell r="R2147">
            <v>1</v>
          </cell>
          <cell r="S2147">
            <v>14000</v>
          </cell>
        </row>
        <row r="2148">
          <cell r="A2148" t="str">
            <v>3337/11</v>
          </cell>
          <cell r="B2148" t="str">
            <v>NIVEL LOCACAO DE VEICULOS AUTOMOTORES LTDA</v>
          </cell>
          <cell r="D2148" t="str">
            <v>10.641.695/0001-44</v>
          </cell>
          <cell r="E2148" t="str">
            <v>3337/11</v>
          </cell>
          <cell r="I2148" t="str">
            <v>2011-0.309.037-9</v>
          </cell>
          <cell r="J2148">
            <v>28377.3</v>
          </cell>
          <cell r="K2148" t="str">
            <v xml:space="preserve">          123651121                       2847                 3390390000</v>
          </cell>
          <cell r="O2148">
            <v>57275</v>
          </cell>
          <cell r="P2148">
            <v>38010</v>
          </cell>
          <cell r="Q2148">
            <v>54</v>
          </cell>
          <cell r="R2148">
            <v>1</v>
          </cell>
          <cell r="S2148">
            <v>8900</v>
          </cell>
        </row>
        <row r="2149">
          <cell r="A2149" t="str">
            <v>3338/11</v>
          </cell>
          <cell r="B2149" t="str">
            <v>G T DE MACEDO TRANSPORTES ME</v>
          </cell>
          <cell r="D2149" t="str">
            <v>14.457.168/0001-35</v>
          </cell>
          <cell r="E2149" t="str">
            <v>3338/11</v>
          </cell>
          <cell r="I2149" t="str">
            <v>2011-0.309.032-8</v>
          </cell>
          <cell r="J2149">
            <v>27971.16</v>
          </cell>
          <cell r="K2149" t="str">
            <v xml:space="preserve">          123651121                       2847                 3390390000</v>
          </cell>
          <cell r="O2149">
            <v>57275</v>
          </cell>
          <cell r="Q2149">
            <v>54</v>
          </cell>
          <cell r="R2149">
            <v>1</v>
          </cell>
          <cell r="S2149">
            <v>8800</v>
          </cell>
        </row>
        <row r="2150">
          <cell r="A2150" t="str">
            <v>3149/11</v>
          </cell>
          <cell r="B2150" t="str">
            <v>COOPER-X</v>
          </cell>
          <cell r="D2150" t="str">
            <v>08.468.071/0001-2</v>
          </cell>
          <cell r="E2150" t="str">
            <v>3149/11</v>
          </cell>
          <cell r="I2150" t="str">
            <v>2011-0.260.591-0</v>
          </cell>
          <cell r="J2150">
            <v>30150.54</v>
          </cell>
          <cell r="K2150" t="str">
            <v xml:space="preserve">          123651121                       2847                 3390390000</v>
          </cell>
          <cell r="O2150">
            <v>57275</v>
          </cell>
          <cell r="P2150">
            <v>34424</v>
          </cell>
          <cell r="Q2150">
            <v>54</v>
          </cell>
          <cell r="R2150">
            <v>1</v>
          </cell>
          <cell r="S2150">
            <v>12900</v>
          </cell>
        </row>
        <row r="2151">
          <cell r="A2151" t="str">
            <v>3340/11</v>
          </cell>
          <cell r="B2151" t="str">
            <v>LIGIA CRISTINA DE OLIVEIRA TRANSPORTE ESCOLAR ME</v>
          </cell>
          <cell r="D2151" t="str">
            <v>11.795.076/0001-77</v>
          </cell>
          <cell r="E2151" t="str">
            <v>3340/11</v>
          </cell>
          <cell r="I2151" t="str">
            <v>2011-0.313.572-0</v>
          </cell>
          <cell r="J2151">
            <v>31418.52</v>
          </cell>
          <cell r="K2151" t="str">
            <v xml:space="preserve">          123651121                       2847                 3390390000</v>
          </cell>
          <cell r="O2151">
            <v>57275</v>
          </cell>
          <cell r="P2151">
            <v>38016</v>
          </cell>
          <cell r="Q2151">
            <v>54</v>
          </cell>
          <cell r="R2151">
            <v>1</v>
          </cell>
          <cell r="S2151">
            <v>9300</v>
          </cell>
        </row>
        <row r="2152">
          <cell r="A2152" t="str">
            <v>3341/11</v>
          </cell>
          <cell r="B2152" t="str">
            <v>MONICA BALIEIRO DAL BELO TRANSPORTES ME</v>
          </cell>
          <cell r="D2152" t="str">
            <v>13.615.758/0001-86</v>
          </cell>
          <cell r="E2152" t="str">
            <v>3341/11</v>
          </cell>
          <cell r="I2152" t="str">
            <v>2011-0.313.565-8</v>
          </cell>
          <cell r="J2152" t="str">
            <v>R$ 41.531,04</v>
          </cell>
          <cell r="K2152" t="str">
            <v xml:space="preserve">          123651121                       2847                 3390390000</v>
          </cell>
          <cell r="O2152">
            <v>29182</v>
          </cell>
          <cell r="Q2152">
            <v>54</v>
          </cell>
          <cell r="R2152">
            <v>1</v>
          </cell>
          <cell r="S2152">
            <v>12300</v>
          </cell>
        </row>
        <row r="2153">
          <cell r="A2153" t="str">
            <v>3182/11</v>
          </cell>
          <cell r="B2153" t="str">
            <v>AZUL LOCADORA DE VEICULOS E TRANSPORTES LTDA</v>
          </cell>
          <cell r="D2153" t="str">
            <v>10.764.533/0001-01</v>
          </cell>
          <cell r="E2153" t="str">
            <v>3182/11</v>
          </cell>
          <cell r="I2153" t="str">
            <v>2011-0.308.952-4</v>
          </cell>
          <cell r="J2153">
            <v>93021.119999999995</v>
          </cell>
          <cell r="K2153" t="str">
            <v xml:space="preserve">          123671125                       2863                3390390000</v>
          </cell>
          <cell r="O2153">
            <v>57292</v>
          </cell>
          <cell r="P2153">
            <v>37981</v>
          </cell>
          <cell r="Q2153">
            <v>54</v>
          </cell>
          <cell r="R2153">
            <v>4</v>
          </cell>
          <cell r="S2153">
            <v>25400</v>
          </cell>
        </row>
        <row r="2154">
          <cell r="A2154" t="str">
            <v>3183/11</v>
          </cell>
          <cell r="B2154" t="str">
            <v>JULIEDRY TRANSPORTES LTDA-ME</v>
          </cell>
          <cell r="D2154" t="str">
            <v>08.411.537/0001-56</v>
          </cell>
          <cell r="E2154" t="str">
            <v>3183/11</v>
          </cell>
          <cell r="I2154" t="str">
            <v>2011-0.308.957-5</v>
          </cell>
          <cell r="J2154" t="str">
            <v>R$ 42.184,92</v>
          </cell>
          <cell r="K2154" t="str">
            <v xml:space="preserve">          123671125                       2863                3390390000</v>
          </cell>
          <cell r="O2154">
            <v>57292</v>
          </cell>
          <cell r="P2154">
            <v>37984</v>
          </cell>
          <cell r="Q2154">
            <v>54</v>
          </cell>
          <cell r="R2154">
            <v>4</v>
          </cell>
          <cell r="S2154">
            <v>11500</v>
          </cell>
        </row>
        <row r="2155">
          <cell r="A2155" t="str">
            <v>3184/11</v>
          </cell>
          <cell r="B2155" t="str">
            <v>TRANS COELHO TRANSPORTES ESCOLARES LTDA</v>
          </cell>
          <cell r="D2155" t="str">
            <v>11.114.233/0001-31</v>
          </cell>
          <cell r="E2155" t="str">
            <v>3184/11</v>
          </cell>
          <cell r="I2155" t="str">
            <v>2011-0.308.961-3</v>
          </cell>
          <cell r="J2155" t="str">
            <v>R$ 50.500,08</v>
          </cell>
          <cell r="K2155" t="str">
            <v xml:space="preserve">          123611122                       2848                3390390000</v>
          </cell>
          <cell r="O2155">
            <v>57280</v>
          </cell>
          <cell r="P2155">
            <v>37985</v>
          </cell>
          <cell r="Q2155">
            <v>54</v>
          </cell>
          <cell r="R2155">
            <v>3</v>
          </cell>
          <cell r="S2155">
            <v>13800</v>
          </cell>
        </row>
        <row r="2156">
          <cell r="A2156" t="str">
            <v>3186/11</v>
          </cell>
          <cell r="B2156" t="str">
            <v xml:space="preserve">MILLA TRANSPORTE E TURISMO LTDA </v>
          </cell>
          <cell r="D2156" t="str">
            <v>03.858.810/0001-71</v>
          </cell>
          <cell r="E2156" t="str">
            <v>3186/11</v>
          </cell>
          <cell r="I2156" t="str">
            <v>2011-0.308.971-0</v>
          </cell>
          <cell r="J2156" t="str">
            <v>R$ 42.184,92</v>
          </cell>
          <cell r="K2156" t="str">
            <v xml:space="preserve">          123671125                       2863                3390390000</v>
          </cell>
          <cell r="O2156">
            <v>57292</v>
          </cell>
          <cell r="P2156">
            <v>37988</v>
          </cell>
          <cell r="Q2156">
            <v>54</v>
          </cell>
          <cell r="R2156">
            <v>4</v>
          </cell>
          <cell r="S2156">
            <v>11500</v>
          </cell>
        </row>
        <row r="2157">
          <cell r="A2157" t="str">
            <v>3189/11</v>
          </cell>
          <cell r="B2157" t="str">
            <v>UNITE-TUR LOCADORA DE VEICULOS LTDA ME</v>
          </cell>
          <cell r="D2157" t="str">
            <v>04.322.464/0001-75</v>
          </cell>
          <cell r="E2157" t="str">
            <v>3189/11</v>
          </cell>
          <cell r="I2157" t="str">
            <v>2011-0.308.985-0</v>
          </cell>
          <cell r="J2157" t="str">
            <v>R$ 28.377,30</v>
          </cell>
          <cell r="K2157" t="str">
            <v xml:space="preserve">          123651121                       2847                 3390390000</v>
          </cell>
          <cell r="O2157">
            <v>57275</v>
          </cell>
          <cell r="P2157">
            <v>37992</v>
          </cell>
          <cell r="Q2157">
            <v>54</v>
          </cell>
          <cell r="R2157">
            <v>1</v>
          </cell>
          <cell r="S2157">
            <v>7800</v>
          </cell>
        </row>
        <row r="2158">
          <cell r="A2158" t="str">
            <v>3185/11</v>
          </cell>
          <cell r="B2158" t="str">
            <v>MOURELLE TRANSPORTE ESCOLAR S/C LTDA ME</v>
          </cell>
          <cell r="D2158" t="str">
            <v>02.912.461/0001-66</v>
          </cell>
          <cell r="E2158" t="str">
            <v>3185/11</v>
          </cell>
          <cell r="I2158" t="str">
            <v>2011-0.308.970-2</v>
          </cell>
          <cell r="J2158" t="str">
            <v>R$ 76.277,88</v>
          </cell>
          <cell r="K2158" t="str">
            <v xml:space="preserve">          123611122                       2848                3390390000</v>
          </cell>
          <cell r="O2158">
            <v>13288</v>
          </cell>
          <cell r="P2158">
            <v>37986</v>
          </cell>
          <cell r="Q2158">
            <v>54</v>
          </cell>
          <cell r="R2158">
            <v>3</v>
          </cell>
          <cell r="S2158">
            <v>20400</v>
          </cell>
        </row>
        <row r="2159">
          <cell r="A2159" t="str">
            <v>3342/11</v>
          </cell>
          <cell r="B2159" t="str">
            <v>S &amp; TA TRANSPORTES LTDA ME</v>
          </cell>
          <cell r="D2159" t="str">
            <v>02.456.920/0001-44</v>
          </cell>
          <cell r="E2159" t="str">
            <v>3342/11</v>
          </cell>
          <cell r="I2159" t="str">
            <v>2011-0.319.585-5</v>
          </cell>
          <cell r="J2159" t="str">
            <v>R$ 31.012,38</v>
          </cell>
          <cell r="K2159" t="str">
            <v xml:space="preserve">          123651121                       2847                 3390390000</v>
          </cell>
          <cell r="O2159">
            <v>29182</v>
          </cell>
          <cell r="Q2159">
            <v>54</v>
          </cell>
          <cell r="R2159">
            <v>1</v>
          </cell>
          <cell r="S2159">
            <v>8300</v>
          </cell>
        </row>
        <row r="2160">
          <cell r="A2160" t="str">
            <v>3343/11</v>
          </cell>
          <cell r="B2160" t="str">
            <v>AZUL LOCADORA DE VEICULOS E TRANSPORTES LTDA</v>
          </cell>
          <cell r="D2160" t="str">
            <v>10.764.533/0001-01</v>
          </cell>
          <cell r="E2160" t="str">
            <v>3343/11</v>
          </cell>
          <cell r="I2160" t="str">
            <v>2011-0.319.582-0</v>
          </cell>
          <cell r="J2160" t="str">
            <v>R$ 30.150,54</v>
          </cell>
          <cell r="K2160" t="str">
            <v xml:space="preserve">          123651121                       2847                 3390390000</v>
          </cell>
          <cell r="O2160">
            <v>29182</v>
          </cell>
          <cell r="P2160">
            <v>38025</v>
          </cell>
          <cell r="Q2160">
            <v>54</v>
          </cell>
          <cell r="R2160">
            <v>1</v>
          </cell>
          <cell r="S2160">
            <v>7900</v>
          </cell>
        </row>
        <row r="2161">
          <cell r="A2161" t="str">
            <v>3187/11</v>
          </cell>
          <cell r="B2161" t="str">
            <v>TRANS HELLOS TRANSPORTES LTDA ME</v>
          </cell>
          <cell r="D2161" t="str">
            <v>07.205.054/0001-32</v>
          </cell>
          <cell r="E2161" t="str">
            <v>3187/11</v>
          </cell>
          <cell r="I2161" t="str">
            <v>2011-0.308.976-1</v>
          </cell>
          <cell r="J2161" t="str">
            <v>R$ 53.427,96</v>
          </cell>
          <cell r="K2161" t="str">
            <v xml:space="preserve">          123611122                       2848                3390390000</v>
          </cell>
          <cell r="O2161">
            <v>57280</v>
          </cell>
          <cell r="P2161">
            <v>37990</v>
          </cell>
          <cell r="Q2161">
            <v>54</v>
          </cell>
          <cell r="R2161">
            <v>3</v>
          </cell>
          <cell r="S2161">
            <v>12500</v>
          </cell>
        </row>
        <row r="2162">
          <cell r="A2162" t="str">
            <v>3190/11</v>
          </cell>
          <cell r="B2162" t="str">
            <v>TRANSVIVO TRANSPORTE E TURISMO LTDA ME</v>
          </cell>
          <cell r="D2162" t="str">
            <v>05.876.006/0001-40</v>
          </cell>
          <cell r="E2162" t="str">
            <v>3190/11</v>
          </cell>
          <cell r="I2162" t="str">
            <v>2011-0.308.989-3</v>
          </cell>
          <cell r="J2162" t="str">
            <v>R$ 94.263,12</v>
          </cell>
          <cell r="K2162" t="str">
            <v xml:space="preserve">          123611122                       2848                3390390000</v>
          </cell>
          <cell r="O2162">
            <v>57280</v>
          </cell>
          <cell r="P2162">
            <v>37994</v>
          </cell>
          <cell r="Q2162">
            <v>54</v>
          </cell>
          <cell r="R2162">
            <v>3</v>
          </cell>
          <cell r="S2162">
            <v>22000</v>
          </cell>
        </row>
        <row r="2163">
          <cell r="A2163" t="str">
            <v>3194/11</v>
          </cell>
          <cell r="B2163" t="str">
            <v>COOPERUNIAO BRASILEIRA</v>
          </cell>
          <cell r="D2163" t="str">
            <v>08.004.420/0001-58</v>
          </cell>
          <cell r="E2163" t="str">
            <v>3194/11</v>
          </cell>
          <cell r="I2163" t="str">
            <v>2011-0.309.011-5</v>
          </cell>
          <cell r="J2163" t="str">
            <v>R$ 50.500,08</v>
          </cell>
          <cell r="K2163" t="str">
            <v xml:space="preserve">          123671125                       2863                3390390000</v>
          </cell>
          <cell r="O2163">
            <v>57292</v>
          </cell>
          <cell r="P2163">
            <v>37996</v>
          </cell>
          <cell r="Q2163">
            <v>54</v>
          </cell>
          <cell r="R2163">
            <v>4</v>
          </cell>
          <cell r="S2163">
            <v>11800</v>
          </cell>
        </row>
        <row r="2164">
          <cell r="A2164" t="str">
            <v>3191/11</v>
          </cell>
          <cell r="B2164" t="str">
            <v xml:space="preserve">MILLA TRANSPORTE E TURISMO LTDA </v>
          </cell>
          <cell r="D2164" t="str">
            <v>03.858.810/0001-71</v>
          </cell>
          <cell r="E2164" t="str">
            <v>3191/11</v>
          </cell>
          <cell r="I2164" t="str">
            <v>2011-0.308.995-8</v>
          </cell>
          <cell r="J2164" t="str">
            <v>R$ 36.300,30</v>
          </cell>
          <cell r="K2164" t="str">
            <v xml:space="preserve">          123651121                       2847                 3390390000</v>
          </cell>
          <cell r="O2164">
            <v>29182</v>
          </cell>
          <cell r="P2164">
            <v>37995</v>
          </cell>
          <cell r="Q2164">
            <v>54</v>
          </cell>
          <cell r="R2164">
            <v>1</v>
          </cell>
          <cell r="S2164">
            <v>8100</v>
          </cell>
        </row>
        <row r="2165">
          <cell r="A2165" t="str">
            <v>3330/11</v>
          </cell>
          <cell r="B2165" t="str">
            <v>COOPERATIVA BRASILEIRA DE TRANSPORTE - COBRATE</v>
          </cell>
          <cell r="D2165" t="str">
            <v>03.165.760/0001-47</v>
          </cell>
          <cell r="E2165" t="str">
            <v>3330/11</v>
          </cell>
          <cell r="I2165" t="str">
            <v>2011-0.309.027-1</v>
          </cell>
          <cell r="J2165" t="str">
            <v>R$ 1.090.274,52</v>
          </cell>
          <cell r="K2165" t="str">
            <v xml:space="preserve">          123671125                       2863                3390390000</v>
          </cell>
          <cell r="O2165" t="str">
            <v>57292 R$ 142300 - 57280 r$ 100000</v>
          </cell>
          <cell r="Q2165">
            <v>54</v>
          </cell>
          <cell r="R2165">
            <v>4</v>
          </cell>
          <cell r="S2165">
            <v>242300</v>
          </cell>
        </row>
        <row r="2166">
          <cell r="A2166" t="str">
            <v>3331/11</v>
          </cell>
          <cell r="B2166" t="str">
            <v>COOPERATIVA BRASILEIRA DE TRANSPORTE - COBRATE</v>
          </cell>
          <cell r="D2166" t="str">
            <v>03.165.760/0001-47</v>
          </cell>
          <cell r="E2166" t="str">
            <v>3331/11</v>
          </cell>
          <cell r="I2166" t="str">
            <v>2011-0.309.028-0</v>
          </cell>
          <cell r="J2166" t="str">
            <v>R$ 209.851,26</v>
          </cell>
          <cell r="K2166" t="str">
            <v xml:space="preserve">          123611122                       2848                3390390000</v>
          </cell>
          <cell r="O2166">
            <v>57280</v>
          </cell>
          <cell r="Q2166">
            <v>54</v>
          </cell>
          <cell r="R2166">
            <v>3</v>
          </cell>
          <cell r="S2166">
            <v>40900</v>
          </cell>
        </row>
        <row r="2167">
          <cell r="A2167" t="str">
            <v>3188/11</v>
          </cell>
          <cell r="B2167" t="str">
            <v>VIA LUZ TRANSPORTES DE PASSAGEIROS LTDA ME</v>
          </cell>
          <cell r="D2167" t="str">
            <v xml:space="preserve"> 07.326.859/0001-34</v>
          </cell>
          <cell r="E2167" t="str">
            <v>3188/11</v>
          </cell>
          <cell r="I2167" t="str">
            <v>2011-0.308.982-6</v>
          </cell>
          <cell r="J2167" t="str">
            <v>R$ 49.324,08</v>
          </cell>
          <cell r="K2167" t="str">
            <v xml:space="preserve">          123671125                       2863                3390390000</v>
          </cell>
          <cell r="O2167">
            <v>57292</v>
          </cell>
          <cell r="Q2167">
            <v>54</v>
          </cell>
          <cell r="R2167">
            <v>4</v>
          </cell>
          <cell r="S2167">
            <v>7700</v>
          </cell>
        </row>
        <row r="2168">
          <cell r="A2168" t="str">
            <v>3192/11</v>
          </cell>
          <cell r="B2168" t="str">
            <v>PORSCHE VIP TRANSPORTES LTDA ME</v>
          </cell>
          <cell r="D2168" t="str">
            <v>10.738.140/0001-15</v>
          </cell>
          <cell r="E2168" t="str">
            <v>3192/11</v>
          </cell>
          <cell r="I2168" t="str">
            <v>2011-0.309.008-5</v>
          </cell>
          <cell r="J2168" t="str">
            <v>R$ 42.184,92</v>
          </cell>
          <cell r="K2168" t="str">
            <v xml:space="preserve">          123671125                       2863                3390390000</v>
          </cell>
          <cell r="O2168">
            <v>57292</v>
          </cell>
          <cell r="P2168">
            <v>38800</v>
          </cell>
          <cell r="Q2168">
            <v>54</v>
          </cell>
          <cell r="R2168">
            <v>4</v>
          </cell>
          <cell r="S2168">
            <v>8300</v>
          </cell>
        </row>
        <row r="2169">
          <cell r="A2169" t="str">
            <v>3195/11</v>
          </cell>
          <cell r="B2169" t="str">
            <v>COTERLESTE</v>
          </cell>
          <cell r="D2169" t="str">
            <v>04.712.348/0001-62</v>
          </cell>
          <cell r="E2169" t="str">
            <v>3195/11</v>
          </cell>
          <cell r="I2169" t="str">
            <v>2011-0.309.014-0</v>
          </cell>
          <cell r="J2169" t="str">
            <v>R$ 26.851,74</v>
          </cell>
          <cell r="K2169" t="str">
            <v xml:space="preserve">          123611122                       2848                3390390000</v>
          </cell>
          <cell r="O2169">
            <v>57280</v>
          </cell>
          <cell r="Q2169">
            <v>54</v>
          </cell>
          <cell r="R2169">
            <v>3</v>
          </cell>
          <cell r="S2169">
            <v>3900</v>
          </cell>
        </row>
        <row r="2170">
          <cell r="A2170" t="str">
            <v>2671/11</v>
          </cell>
          <cell r="B2170" t="str">
            <v>FABIANO DUARTE ME</v>
          </cell>
          <cell r="D2170" t="str">
            <v>08.983.646/0001-48</v>
          </cell>
          <cell r="E2170" t="str">
            <v>2671/11</v>
          </cell>
          <cell r="I2170" t="str">
            <v>2011-0.220.841-4</v>
          </cell>
          <cell r="J2170">
            <v>31418.52</v>
          </cell>
          <cell r="K2170" t="str">
            <v xml:space="preserve">          123651121                       2847                 3390390000</v>
          </cell>
          <cell r="O2170">
            <v>867</v>
          </cell>
          <cell r="P2170">
            <v>31765</v>
          </cell>
          <cell r="Q2170">
            <v>54</v>
          </cell>
          <cell r="R2170">
            <v>1</v>
          </cell>
          <cell r="S2170">
            <v>14497.64</v>
          </cell>
        </row>
        <row r="2171">
          <cell r="A2171" t="str">
            <v>2682/11</v>
          </cell>
          <cell r="B2171" t="str">
            <v>COOPERARTE COOPERATIVA DE TRABALHO DOS TRANSPORTADORES ESCOLARES</v>
          </cell>
          <cell r="D2171" t="str">
            <v>06.185.546/0001-40</v>
          </cell>
          <cell r="E2171" t="str">
            <v>2682/11</v>
          </cell>
          <cell r="I2171" t="str">
            <v>2011-0.220.919-4</v>
          </cell>
          <cell r="J2171">
            <v>31418.52</v>
          </cell>
          <cell r="K2171" t="str">
            <v xml:space="preserve">          123651121                       2847                 3390390000</v>
          </cell>
          <cell r="O2171">
            <v>867</v>
          </cell>
          <cell r="P2171">
            <v>31793</v>
          </cell>
          <cell r="Q2171">
            <v>54</v>
          </cell>
          <cell r="R2171">
            <v>1</v>
          </cell>
          <cell r="S2171">
            <v>14700</v>
          </cell>
        </row>
        <row r="2172">
          <cell r="A2172" t="str">
            <v>2681/11</v>
          </cell>
          <cell r="B2172" t="str">
            <v>COOPER-X-COOPER.DE SERV.DE TRANSP. AUTÔN.DE PASSAG., ESC.E MONITORES DO EST.DE S.PAULO</v>
          </cell>
          <cell r="D2172" t="str">
            <v>08.468.071/0001-25</v>
          </cell>
          <cell r="E2172" t="str">
            <v>2681/11</v>
          </cell>
          <cell r="I2172" t="str">
            <v>2011-0.220.915-1</v>
          </cell>
          <cell r="J2172">
            <v>42184.92</v>
          </cell>
          <cell r="K2172" t="str">
            <v xml:space="preserve">          123651121                       2847                 3390390000</v>
          </cell>
          <cell r="O2172">
            <v>57275</v>
          </cell>
          <cell r="P2172">
            <v>31781</v>
          </cell>
          <cell r="Q2172">
            <v>54</v>
          </cell>
          <cell r="R2172">
            <v>1</v>
          </cell>
          <cell r="S2172">
            <v>19700</v>
          </cell>
        </row>
        <row r="2173">
          <cell r="A2173" t="str">
            <v>3115/11</v>
          </cell>
          <cell r="B2173" t="str">
            <v>COBRATE - COOPERATIVA BRASILEIRA DE TRANSPORTE</v>
          </cell>
          <cell r="D2173" t="str">
            <v>03.165.760/0001-47</v>
          </cell>
          <cell r="E2173" t="str">
            <v>3115/11</v>
          </cell>
          <cell r="I2173" t="str">
            <v>2011-0.260.454-9</v>
          </cell>
          <cell r="J2173">
            <v>1544698.92</v>
          </cell>
          <cell r="K2173" t="str">
            <v xml:space="preserve">          123611122                       2848                3390390000</v>
          </cell>
          <cell r="O2173" t="str">
            <v>57292 - 135009,55 - 57280 - R$448008,02 - 29186 - R$ 77782,43</v>
          </cell>
          <cell r="P2173">
            <v>33897</v>
          </cell>
          <cell r="Q2173">
            <v>54</v>
          </cell>
          <cell r="S2173">
            <v>660800</v>
          </cell>
        </row>
        <row r="2174">
          <cell r="A2174" t="str">
            <v>3150/11</v>
          </cell>
          <cell r="B2174" t="str">
            <v>COOPER-X-COOPER.DE SERV.DE TRANSP. AUTÔN.DE PASSAG., ESC.E MONITORES DO EST.DE S.PAULO</v>
          </cell>
          <cell r="D2174" t="str">
            <v>08.468.071/0001-25</v>
          </cell>
          <cell r="E2174" t="str">
            <v>3150/11</v>
          </cell>
          <cell r="I2174" t="str">
            <v>2011-0.260.592-8</v>
          </cell>
          <cell r="J2174">
            <v>42838.74</v>
          </cell>
          <cell r="K2174" t="str">
            <v xml:space="preserve">          123651121                       2847                 3390390000</v>
          </cell>
          <cell r="O2174">
            <v>29182</v>
          </cell>
          <cell r="P2174">
            <v>37963</v>
          </cell>
          <cell r="Q2174">
            <v>54</v>
          </cell>
          <cell r="R2174">
            <v>1</v>
          </cell>
          <cell r="S2174">
            <v>16700</v>
          </cell>
        </row>
        <row r="2175">
          <cell r="A2175" t="str">
            <v>3151/11</v>
          </cell>
          <cell r="B2175" t="str">
            <v>COOPERARTE COOPERATIVA DE TRABALHO DOS TRANSPORTADORES ESCOLARES</v>
          </cell>
          <cell r="D2175" t="str">
            <v>06.185.546/0001-40</v>
          </cell>
          <cell r="E2175" t="str">
            <v>3151/11</v>
          </cell>
          <cell r="I2175" t="str">
            <v>2011-0.260.594-4</v>
          </cell>
          <cell r="J2175">
            <v>29744.400000000001</v>
          </cell>
          <cell r="K2175" t="str">
            <v xml:space="preserve">          123651121                       2847                 3390390000</v>
          </cell>
          <cell r="O2175">
            <v>29182</v>
          </cell>
          <cell r="P2175">
            <v>37964</v>
          </cell>
          <cell r="Q2175">
            <v>54</v>
          </cell>
          <cell r="R2175">
            <v>1</v>
          </cell>
          <cell r="S2175">
            <v>10500</v>
          </cell>
        </row>
        <row r="2176">
          <cell r="A2176" t="str">
            <v>3152/11</v>
          </cell>
          <cell r="B2176" t="str">
            <v>COOPER-X-COOPER.DE SERV.DE TRANSP. AUTÔN.DE PASSAG., ESC.E MONITORES DO EST.DE S.PAULO</v>
          </cell>
          <cell r="D2176" t="str">
            <v>08.468.071/0001-25</v>
          </cell>
          <cell r="E2176" t="str">
            <v>3152/11</v>
          </cell>
          <cell r="I2176" t="str">
            <v>2011-0.260.601-0</v>
          </cell>
          <cell r="J2176">
            <v>125247</v>
          </cell>
          <cell r="K2176" t="str">
            <v xml:space="preserve">          123671125                       2863                3390390000</v>
          </cell>
          <cell r="O2176">
            <v>57292</v>
          </cell>
          <cell r="P2176">
            <v>37966</v>
          </cell>
          <cell r="Q2176">
            <v>54</v>
          </cell>
          <cell r="R2176">
            <v>4</v>
          </cell>
          <cell r="S2176">
            <v>39000</v>
          </cell>
        </row>
        <row r="2177">
          <cell r="A2177" t="str">
            <v>3153/11</v>
          </cell>
          <cell r="B2177" t="str">
            <v>COBRATE - COOPERATIVA BRASILEIRA DE TRANSPORTE</v>
          </cell>
          <cell r="D2177" t="str">
            <v>03.165.760/0001-47</v>
          </cell>
          <cell r="E2177" t="str">
            <v>3153/11</v>
          </cell>
          <cell r="I2177" t="str">
            <v>2011-0.260.605-3</v>
          </cell>
          <cell r="J2177">
            <v>212032.62</v>
          </cell>
          <cell r="K2177" t="str">
            <v xml:space="preserve">          123611122                       2848                3390390000</v>
          </cell>
          <cell r="O2177">
            <v>57280</v>
          </cell>
          <cell r="P2177">
            <v>37967</v>
          </cell>
          <cell r="Q2177">
            <v>54</v>
          </cell>
          <cell r="R2177">
            <v>3</v>
          </cell>
          <cell r="S2177">
            <v>66000</v>
          </cell>
        </row>
        <row r="2178">
          <cell r="A2178" t="str">
            <v>3344/11</v>
          </cell>
          <cell r="B2178" t="str">
            <v>COOPER-X-COOPER.DE SERV.DE TRANSP. AUTÔN.DE PASSAG., ESC.E MONITORES DO EST.DE S.PAULO</v>
          </cell>
          <cell r="D2178" t="str">
            <v>08.468.071/0001-25</v>
          </cell>
          <cell r="E2178" t="str">
            <v>3344/11</v>
          </cell>
          <cell r="I2178" t="str">
            <v>2011-0.325.332-4</v>
          </cell>
          <cell r="J2178">
            <v>37607.879999999997</v>
          </cell>
          <cell r="K2178" t="str">
            <v xml:space="preserve">          123611122                       2848                3390390000</v>
          </cell>
          <cell r="O2178">
            <v>57280</v>
          </cell>
          <cell r="P2178">
            <v>38769</v>
          </cell>
          <cell r="Q2178">
            <v>54</v>
          </cell>
          <cell r="R2178">
            <v>3</v>
          </cell>
          <cell r="S2178">
            <v>8400</v>
          </cell>
        </row>
        <row r="2179">
          <cell r="A2179" t="str">
            <v>3339/11</v>
          </cell>
          <cell r="B2179" t="str">
            <v>L.V.A. TRANSPORTE ESCOLAR LTDA ME</v>
          </cell>
          <cell r="D2179" t="str">
            <v>08.251.429/0001-63</v>
          </cell>
          <cell r="E2179" t="str">
            <v>3339/11</v>
          </cell>
          <cell r="I2179" t="str">
            <v>2011-0.313.519-4</v>
          </cell>
          <cell r="J2179">
            <v>42218.64</v>
          </cell>
          <cell r="K2179" t="str">
            <v xml:space="preserve">          123651121                       2847                 3390390000</v>
          </cell>
          <cell r="O2179">
            <v>29182</v>
          </cell>
          <cell r="Q2179">
            <v>54</v>
          </cell>
          <cell r="R2179">
            <v>1</v>
          </cell>
          <cell r="S2179">
            <v>11500</v>
          </cell>
        </row>
        <row r="2180">
          <cell r="A2180" t="str">
            <v>3382/11</v>
          </cell>
          <cell r="B2180" t="str">
            <v>APARECIDO PEREIRA DIAS TRANSPORTES ESCOLARES</v>
          </cell>
          <cell r="D2180" t="str">
            <v>13.910.896/0001-98</v>
          </cell>
          <cell r="E2180" t="str">
            <v>3382/11</v>
          </cell>
          <cell r="I2180">
            <v>0</v>
          </cell>
          <cell r="J2180">
            <v>31418.52</v>
          </cell>
          <cell r="K2180" t="str">
            <v xml:space="preserve">          123611122                       2848                3390390000</v>
          </cell>
          <cell r="O2180">
            <v>57280</v>
          </cell>
          <cell r="Q2180">
            <v>54</v>
          </cell>
          <cell r="R2180">
            <v>3</v>
          </cell>
          <cell r="S2180">
            <v>5600</v>
          </cell>
        </row>
        <row r="2181">
          <cell r="A2181" t="str">
            <v>3383/11</v>
          </cell>
          <cell r="B2181" t="str">
            <v>ARCA ENCANTADA TRANSPORTES LTDA ME</v>
          </cell>
          <cell r="D2181" t="str">
            <v>14.287.748/0001-21</v>
          </cell>
          <cell r="E2181" t="str">
            <v>3383/11</v>
          </cell>
          <cell r="I2181">
            <v>0</v>
          </cell>
          <cell r="J2181">
            <v>31012.38</v>
          </cell>
          <cell r="K2181" t="str">
            <v xml:space="preserve">          123611122                       2848                3390390000</v>
          </cell>
          <cell r="O2181">
            <v>57280</v>
          </cell>
          <cell r="Q2181">
            <v>54</v>
          </cell>
          <cell r="R2181">
            <v>3</v>
          </cell>
          <cell r="S2181">
            <v>4900</v>
          </cell>
        </row>
        <row r="2182">
          <cell r="A2182" t="str">
            <v>3384/11</v>
          </cell>
          <cell r="B2182" t="str">
            <v>ERNESTO DA COSTA FILHO TRANSPORTE</v>
          </cell>
          <cell r="D2182" t="str">
            <v>12.461.549/0001-62</v>
          </cell>
          <cell r="E2182" t="str">
            <v>3384/11</v>
          </cell>
          <cell r="I2182">
            <v>0</v>
          </cell>
          <cell r="J2182">
            <v>31418.52</v>
          </cell>
          <cell r="K2182" t="str">
            <v xml:space="preserve">          123611122                       2848                3390390000</v>
          </cell>
          <cell r="O2182">
            <v>57280</v>
          </cell>
          <cell r="Q2182">
            <v>54</v>
          </cell>
          <cell r="R2182">
            <v>3</v>
          </cell>
          <cell r="S2182">
            <v>5600</v>
          </cell>
        </row>
        <row r="2183">
          <cell r="A2183" t="str">
            <v>3329/11</v>
          </cell>
          <cell r="B2183" t="str">
            <v>COBRATE - COOPERATIVA BRASILEIRA DE TRANSPORTE</v>
          </cell>
          <cell r="D2183" t="str">
            <v>03.165.760/0001-47</v>
          </cell>
          <cell r="E2183" t="str">
            <v>3329/11</v>
          </cell>
          <cell r="I2183" t="str">
            <v>2011-0.309.022-0</v>
          </cell>
          <cell r="J2183">
            <v>206069.16</v>
          </cell>
          <cell r="K2183" t="str">
            <v xml:space="preserve">          123611122                       2848                3390390000</v>
          </cell>
          <cell r="O2183">
            <v>57280</v>
          </cell>
          <cell r="P2183">
            <v>38000</v>
          </cell>
          <cell r="Q2183">
            <v>54</v>
          </cell>
          <cell r="R2183">
            <v>3</v>
          </cell>
          <cell r="S2183">
            <v>56100</v>
          </cell>
        </row>
        <row r="2184">
          <cell r="A2184" t="str">
            <v>3148/11</v>
          </cell>
          <cell r="B2184" t="str">
            <v>JOSE DIVAL EVANGELISTA DE OLIVEIRA TRANSPORTE ME</v>
          </cell>
          <cell r="D2184" t="str">
            <v>03.620.544/0001-44</v>
          </cell>
          <cell r="E2184" t="str">
            <v>3148/11</v>
          </cell>
          <cell r="I2184" t="str">
            <v>2011-0.260.589-8</v>
          </cell>
          <cell r="J2184">
            <v>37607.879999999997</v>
          </cell>
          <cell r="K2184" t="str">
            <v xml:space="preserve">          123651121                       2847                 3390390000</v>
          </cell>
          <cell r="O2184">
            <v>29182</v>
          </cell>
          <cell r="P2184">
            <v>37960</v>
          </cell>
          <cell r="Q2184">
            <v>54</v>
          </cell>
          <cell r="R2184">
            <v>1</v>
          </cell>
          <cell r="S2184">
            <v>11500</v>
          </cell>
        </row>
        <row r="2185">
          <cell r="A2185" t="str">
            <v>2670/11</v>
          </cell>
          <cell r="E2185" t="str">
            <v>2670/11</v>
          </cell>
          <cell r="I2185" t="str">
            <v>2011-0.220.839-2</v>
          </cell>
          <cell r="J2185">
            <v>37607.879999999997</v>
          </cell>
          <cell r="K2185" t="str">
            <v xml:space="preserve">          123651121                       2847                 3390390000</v>
          </cell>
          <cell r="O2185">
            <v>29182</v>
          </cell>
          <cell r="P2185">
            <v>31779</v>
          </cell>
          <cell r="Q2185">
            <v>54</v>
          </cell>
          <cell r="R2185">
            <v>1</v>
          </cell>
          <cell r="S2185">
            <v>17600</v>
          </cell>
        </row>
        <row r="2186">
          <cell r="A2186" t="str">
            <v>1468/11</v>
          </cell>
          <cell r="B2186" t="str">
            <v>P R</v>
          </cell>
          <cell r="D2186" t="str">
            <v>12.003.681/0001-20</v>
          </cell>
          <cell r="E2186" t="str">
            <v>1468/11</v>
          </cell>
          <cell r="I2186" t="str">
            <v>2011-0.093.493-2</v>
          </cell>
          <cell r="K2186" t="str">
            <v xml:space="preserve">          123611122                       2848                3390390000</v>
          </cell>
          <cell r="O2186">
            <v>887</v>
          </cell>
          <cell r="S2186">
            <v>597.34</v>
          </cell>
        </row>
        <row r="2187">
          <cell r="A2187" t="str">
            <v>1408/11</v>
          </cell>
          <cell r="B2187" t="str">
            <v>DARIO</v>
          </cell>
          <cell r="D2187" t="str">
            <v>10.745.749/0001-11</v>
          </cell>
          <cell r="E2187" t="str">
            <v>1408/11</v>
          </cell>
          <cell r="I2187" t="str">
            <v>2011-0.079.786-2</v>
          </cell>
          <cell r="K2187" t="str">
            <v xml:space="preserve">          123651121                       2847                 3390390000</v>
          </cell>
          <cell r="O2187">
            <v>867</v>
          </cell>
          <cell r="S2187">
            <v>2699.55</v>
          </cell>
        </row>
        <row r="2188">
          <cell r="A2188" t="str">
            <v>1416/11</v>
          </cell>
          <cell r="B2188" t="str">
            <v xml:space="preserve">RJC </v>
          </cell>
          <cell r="D2188" t="str">
            <v>10.918.242/0001-12</v>
          </cell>
          <cell r="E2188" t="str">
            <v>1416/11</v>
          </cell>
          <cell r="I2188" t="str">
            <v>2011-0.079.838-9</v>
          </cell>
          <cell r="K2188" t="str">
            <v xml:space="preserve">          123651121                       2847                 3390390000</v>
          </cell>
          <cell r="O2188">
            <v>867</v>
          </cell>
          <cell r="S2188">
            <v>2448.9299999999998</v>
          </cell>
        </row>
        <row r="2189">
          <cell r="A2189" t="str">
            <v>1436/11</v>
          </cell>
          <cell r="B2189" t="str">
            <v>COOPER-x</v>
          </cell>
          <cell r="D2189" t="str">
            <v>08.468.071/0001-25</v>
          </cell>
          <cell r="E2189" t="str">
            <v>1436/11</v>
          </cell>
          <cell r="I2189" t="str">
            <v>2011-0.081.594-1</v>
          </cell>
          <cell r="K2189" t="str">
            <v xml:space="preserve">          123651121                       2847                 3390390000</v>
          </cell>
          <cell r="O2189">
            <v>867</v>
          </cell>
          <cell r="S2189">
            <v>1418.17</v>
          </cell>
        </row>
        <row r="2190">
          <cell r="A2190" t="str">
            <v>1418/11</v>
          </cell>
          <cell r="B2190" t="str">
            <v>FOX</v>
          </cell>
          <cell r="D2190" t="str">
            <v>05.263.131/0001-85</v>
          </cell>
          <cell r="E2190" t="str">
            <v>1418/11</v>
          </cell>
          <cell r="I2190" t="str">
            <v>2011-0.079.849-4</v>
          </cell>
          <cell r="K2190" t="str">
            <v xml:space="preserve">          123651121                       2847                 3390390000</v>
          </cell>
          <cell r="O2190">
            <v>867</v>
          </cell>
          <cell r="S2190">
            <v>1864.58</v>
          </cell>
        </row>
        <row r="2191">
          <cell r="A2191" t="str">
            <v>1438/11</v>
          </cell>
          <cell r="B2191" t="str">
            <v>COOPER-X</v>
          </cell>
          <cell r="D2191" t="str">
            <v>08.468.071/0001-25</v>
          </cell>
          <cell r="E2191" t="str">
            <v>1438/11</v>
          </cell>
          <cell r="I2191" t="str">
            <v>2011-0.081.603-4</v>
          </cell>
          <cell r="K2191" t="str">
            <v xml:space="preserve">          123651121                       2847                 3390390000</v>
          </cell>
          <cell r="O2191">
            <v>867</v>
          </cell>
          <cell r="S2191">
            <v>3726.49</v>
          </cell>
        </row>
        <row r="2192">
          <cell r="A2192" t="str">
            <v>1425/11</v>
          </cell>
          <cell r="B2192" t="str">
            <v>JAIME VITORIO DOS SANTOS NETO - ME</v>
          </cell>
          <cell r="D2192" t="str">
            <v>09.128.040/0001-98</v>
          </cell>
          <cell r="E2192" t="str">
            <v>1425/11</v>
          </cell>
          <cell r="I2192" t="str">
            <v>2011-0.079.908-3</v>
          </cell>
          <cell r="K2192" t="str">
            <v xml:space="preserve">          123651121                       2847                 3390390000</v>
          </cell>
          <cell r="O2192">
            <v>867</v>
          </cell>
          <cell r="S2192">
            <v>808.49</v>
          </cell>
        </row>
        <row r="2193">
          <cell r="A2193" t="str">
            <v>1633/11</v>
          </cell>
          <cell r="B2193" t="str">
            <v>TRANS HELLOS</v>
          </cell>
          <cell r="D2193" t="str">
            <v>07.205.054/0001-32</v>
          </cell>
          <cell r="E2193" t="str">
            <v>1633/11</v>
          </cell>
          <cell r="I2193" t="str">
            <v>2011-0.113.542-1</v>
          </cell>
          <cell r="K2193" t="str">
            <v xml:space="preserve">          123671125                       2863                3390390000</v>
          </cell>
          <cell r="O2193" t="str">
            <v>29190- R$ 5031,42</v>
          </cell>
          <cell r="S2193">
            <v>9075.1</v>
          </cell>
        </row>
        <row r="2194">
          <cell r="A2194" t="str">
            <v>1428/11</v>
          </cell>
          <cell r="B2194" t="str">
            <v>VIA LUZ</v>
          </cell>
          <cell r="D2194" t="str">
            <v>07.326.859/0001-34</v>
          </cell>
          <cell r="E2194" t="str">
            <v>1428/11</v>
          </cell>
          <cell r="I2194" t="str">
            <v>2011-0.079.923-7</v>
          </cell>
          <cell r="K2194" t="str">
            <v xml:space="preserve">          123671125                       2863                3390390000</v>
          </cell>
          <cell r="O2194">
            <v>41304</v>
          </cell>
          <cell r="S2194">
            <v>11012.68</v>
          </cell>
        </row>
        <row r="2195">
          <cell r="A2195" t="str">
            <v>1432/11</v>
          </cell>
          <cell r="B2195" t="str">
            <v>ROGERTRANS</v>
          </cell>
          <cell r="D2195" t="str">
            <v>12.462.095/0001-44</v>
          </cell>
          <cell r="E2195" t="str">
            <v>1432/11</v>
          </cell>
          <cell r="I2195" t="str">
            <v>2011-0.080.139-8</v>
          </cell>
          <cell r="K2195" t="str">
            <v xml:space="preserve">          123671125                       2863                3390390000</v>
          </cell>
          <cell r="O2195">
            <v>926</v>
          </cell>
          <cell r="S2195">
            <v>7000.09</v>
          </cell>
        </row>
        <row r="2196">
          <cell r="A2196" t="str">
            <v>1621/11</v>
          </cell>
          <cell r="B2196" t="str">
            <v>MILLA</v>
          </cell>
          <cell r="D2196" t="str">
            <v>03.858.810/0001-71</v>
          </cell>
          <cell r="E2196" t="str">
            <v>1621/11</v>
          </cell>
          <cell r="I2196" t="str">
            <v>2011-0.106.053-7</v>
          </cell>
          <cell r="K2196" t="str">
            <v xml:space="preserve">          123671125                       2863                3390390000</v>
          </cell>
          <cell r="O2196">
            <v>29190</v>
          </cell>
          <cell r="S2196">
            <v>12880.31</v>
          </cell>
        </row>
        <row r="2197">
          <cell r="A2197" t="str">
            <v>1619/11</v>
          </cell>
          <cell r="B2197" t="str">
            <v>TRANS COELHO TRANSPORTES ESCOLARES LTDA</v>
          </cell>
          <cell r="D2197" t="str">
            <v>11.114.233/0001-31</v>
          </cell>
          <cell r="E2197" t="str">
            <v>1619/11</v>
          </cell>
          <cell r="I2197" t="str">
            <v>2011-0.106.063-4</v>
          </cell>
          <cell r="K2197" t="str">
            <v xml:space="preserve">          123611122                       2848                3390390000</v>
          </cell>
          <cell r="O2197">
            <v>13288</v>
          </cell>
          <cell r="S2197">
            <v>2000</v>
          </cell>
        </row>
        <row r="2198">
          <cell r="A2198" t="str">
            <v>1620/11</v>
          </cell>
          <cell r="B2198" t="str">
            <v>MOURELLE TRANPORTE ESCOLAR S/C LTDA/ME</v>
          </cell>
          <cell r="D2198" t="str">
            <v>02.912.461/0001-66</v>
          </cell>
          <cell r="E2198" t="str">
            <v>1620/11</v>
          </cell>
          <cell r="I2198" t="str">
            <v>2011-0.106.058-8</v>
          </cell>
          <cell r="K2198" t="str">
            <v xml:space="preserve">          123611122                       2848                3390390000</v>
          </cell>
          <cell r="O2198">
            <v>13288</v>
          </cell>
          <cell r="S2198">
            <v>2526.62</v>
          </cell>
        </row>
        <row r="2199">
          <cell r="A2199" t="str">
            <v>1642/11</v>
          </cell>
          <cell r="B2199" t="str">
            <v>UNITER-TUR LOCADORA DE VEICULOS LTDA</v>
          </cell>
          <cell r="D2199" t="str">
            <v>04.322.464/0001-75</v>
          </cell>
          <cell r="E2199" t="str">
            <v>1642/11</v>
          </cell>
          <cell r="I2199" t="str">
            <v>2011-0.126.369-1</v>
          </cell>
          <cell r="K2199" t="str">
            <v xml:space="preserve">          123651121                       2847                 3390390000</v>
          </cell>
          <cell r="O2199">
            <v>867</v>
          </cell>
          <cell r="S2199">
            <v>1892.07</v>
          </cell>
        </row>
        <row r="2200">
          <cell r="A2200" t="str">
            <v>1627/11</v>
          </cell>
          <cell r="B2200" t="str">
            <v>COBRATE - COOPERATIVA BRASILEIRA DE TRANSPORTE</v>
          </cell>
          <cell r="D2200" t="str">
            <v>03.165.760/0001-47</v>
          </cell>
          <cell r="E2200" t="str">
            <v>1627/11</v>
          </cell>
          <cell r="I2200" t="str">
            <v>2011-0.106.078-2</v>
          </cell>
          <cell r="K2200" t="str">
            <v xml:space="preserve">          123651121                       2847                 3390390000</v>
          </cell>
          <cell r="O2200">
            <v>867</v>
          </cell>
          <cell r="S2200">
            <v>10000</v>
          </cell>
        </row>
        <row r="2201">
          <cell r="A2201" t="str">
            <v>1623/11</v>
          </cell>
          <cell r="B2201" t="str">
            <v>VIA LUZ TRANSPORTES DE PASSAGEIROS LTDA. ME.</v>
          </cell>
          <cell r="D2201" t="str">
            <v>07.326.859/0001-34</v>
          </cell>
          <cell r="E2201" t="str">
            <v>1623/11</v>
          </cell>
          <cell r="I2201" t="str">
            <v>2011-0.106.036-7</v>
          </cell>
          <cell r="K2201" t="str">
            <v xml:space="preserve">          123671125                       2863                3390390000</v>
          </cell>
          <cell r="O2201">
            <v>29190</v>
          </cell>
          <cell r="S2201">
            <v>13910.1</v>
          </cell>
        </row>
        <row r="2202">
          <cell r="A2202" t="str">
            <v>1678/11</v>
          </cell>
          <cell r="B2202" t="str">
            <v>COTERLESTE</v>
          </cell>
          <cell r="D2202" t="str">
            <v>04.712.348/0001-62</v>
          </cell>
          <cell r="E2202" t="str">
            <v>1678/11</v>
          </cell>
          <cell r="I2202" t="str">
            <v>2011-0.155.217-0</v>
          </cell>
          <cell r="K2202" t="str">
            <v xml:space="preserve">          123611122                       2848                3390390000</v>
          </cell>
          <cell r="O2202">
            <v>13288</v>
          </cell>
          <cell r="S2202">
            <v>5945.86</v>
          </cell>
        </row>
        <row r="2203">
          <cell r="A2203" t="str">
            <v>1666/11</v>
          </cell>
          <cell r="B2203" t="str">
            <v>COBRATE - COOPERATIVA BRASILEIRA DE TRANSPORTE</v>
          </cell>
          <cell r="D2203" t="str">
            <v>03.165.760/0001-47</v>
          </cell>
          <cell r="E2203" t="str">
            <v>1666/11</v>
          </cell>
          <cell r="I2203" t="str">
            <v>2011-0.134.033-5</v>
          </cell>
          <cell r="K2203" t="str">
            <v xml:space="preserve">          123651121                       2847                 3390390000</v>
          </cell>
          <cell r="O2203">
            <v>29182</v>
          </cell>
          <cell r="S2203">
            <v>100000</v>
          </cell>
        </row>
        <row r="2204">
          <cell r="A2204" t="str">
            <v>1667/11</v>
          </cell>
          <cell r="B2204" t="str">
            <v>VIA LUZ TRANSPORTES DE PASSAGEIROS LTDA. ME.</v>
          </cell>
          <cell r="D2204" t="str">
            <v>07.326.859/0001-34</v>
          </cell>
          <cell r="E2204" t="str">
            <v>1667/11</v>
          </cell>
          <cell r="I2204" t="str">
            <v>2011-0.133.993-0</v>
          </cell>
          <cell r="K2204" t="str">
            <v xml:space="preserve">          123671125                       2863                3390390000</v>
          </cell>
          <cell r="O2204">
            <v>29190</v>
          </cell>
          <cell r="S2204">
            <v>28406</v>
          </cell>
        </row>
        <row r="2205">
          <cell r="A2205" t="str">
            <v>1668/11</v>
          </cell>
          <cell r="B2205" t="str">
            <v>AZUL LOCADORA DE VEICULOS E TRANSPORTES LTDA</v>
          </cell>
          <cell r="D2205" t="str">
            <v>10.764.533/0001-01</v>
          </cell>
          <cell r="E2205" t="str">
            <v>1668/11</v>
          </cell>
          <cell r="I2205" t="str">
            <v>2011-0.134.002-5</v>
          </cell>
          <cell r="K2205" t="str">
            <v xml:space="preserve">          123671125                       2863                3390390000</v>
          </cell>
          <cell r="O2205">
            <v>13286</v>
          </cell>
          <cell r="S2205">
            <v>4151.51</v>
          </cell>
        </row>
        <row r="2206">
          <cell r="A2206" t="str">
            <v>1671/11</v>
          </cell>
          <cell r="B2206" t="str">
            <v>COOPER-X-COOPERATIVA</v>
          </cell>
          <cell r="D2206" t="str">
            <v>08.468.071/0001-25</v>
          </cell>
          <cell r="E2206" t="str">
            <v>1671/11</v>
          </cell>
          <cell r="I2206" t="str">
            <v>2011-0.134.020-3</v>
          </cell>
          <cell r="K2206" t="str">
            <v xml:space="preserve">          123671125                       2863                3390390000</v>
          </cell>
          <cell r="O2206">
            <v>29190</v>
          </cell>
          <cell r="S2206">
            <v>54000</v>
          </cell>
        </row>
        <row r="2207">
          <cell r="A2207" t="str">
            <v>1672/11</v>
          </cell>
          <cell r="B2207" t="str">
            <v>COOPERUNIAO BRASILEIRA</v>
          </cell>
          <cell r="D2207" t="str">
            <v>08.004.420/0001-58</v>
          </cell>
          <cell r="E2207" t="str">
            <v>1672/11</v>
          </cell>
          <cell r="I2207" t="str">
            <v>2011-0.134.025-4</v>
          </cell>
          <cell r="K2207" t="str">
            <v xml:space="preserve">          123671125                       2863                3390390000</v>
          </cell>
          <cell r="O2207" t="str">
            <v>41304-R$ 5977,15</v>
          </cell>
          <cell r="S2207">
            <v>50000</v>
          </cell>
        </row>
        <row r="2208">
          <cell r="A2208" t="str">
            <v>2633/11</v>
          </cell>
          <cell r="B2208" t="str">
            <v>ALEXSANDRA MARIA DE ASSIS TRANSPORTES ME</v>
          </cell>
          <cell r="D2208" t="str">
            <v>11.230.751/0001-10</v>
          </cell>
          <cell r="E2208" t="str">
            <v>2633/11</v>
          </cell>
          <cell r="I2208" t="str">
            <v>2011-0.210.488-0</v>
          </cell>
          <cell r="K2208" t="str">
            <v xml:space="preserve">          123611122                       2848                3390390000</v>
          </cell>
          <cell r="O2208">
            <v>13288</v>
          </cell>
          <cell r="S2208">
            <v>5000</v>
          </cell>
        </row>
        <row r="2209">
          <cell r="A2209" t="str">
            <v>1847/11</v>
          </cell>
          <cell r="B2209" t="str">
            <v>P.R.SELIS TRANSPORTE ME</v>
          </cell>
          <cell r="D2209" t="str">
            <v>12.003.681/0001-20</v>
          </cell>
          <cell r="E2209" t="str">
            <v>1847/11</v>
          </cell>
          <cell r="I2209" t="str">
            <v>2011-0.199.161-1</v>
          </cell>
          <cell r="K2209" t="str">
            <v xml:space="preserve">          123671125                       2863                3390390000</v>
          </cell>
          <cell r="O2209">
            <v>29190</v>
          </cell>
          <cell r="S2209">
            <v>36000</v>
          </cell>
        </row>
        <row r="2210">
          <cell r="A2210" t="str">
            <v>1872/11</v>
          </cell>
          <cell r="B2210" t="str">
            <v>BR 5 - COOPERATIVA DE TRANSPORTES DO BRASIL</v>
          </cell>
          <cell r="D2210" t="str">
            <v>10.886.408/0001-66</v>
          </cell>
          <cell r="E2210" t="str">
            <v>1872/11</v>
          </cell>
          <cell r="I2210" t="str">
            <v>2011-0.199.315-0</v>
          </cell>
          <cell r="K2210" t="str">
            <v xml:space="preserve">          123611122                       2848                3390390000</v>
          </cell>
          <cell r="O2210">
            <v>13288</v>
          </cell>
          <cell r="S2210">
            <v>10000</v>
          </cell>
        </row>
        <row r="2211">
          <cell r="A2211" t="str">
            <v>1865/11</v>
          </cell>
          <cell r="B2211" t="str">
            <v>P.R.SELIS TRANSPORTE ME</v>
          </cell>
          <cell r="D2211" t="str">
            <v>12.003.681/0001-20</v>
          </cell>
          <cell r="E2211" t="str">
            <v>1865/11</v>
          </cell>
          <cell r="I2211" t="str">
            <v>2011-0.199.290-1</v>
          </cell>
          <cell r="K2211" t="str">
            <v xml:space="preserve">          123611122                       2848                3390390000</v>
          </cell>
          <cell r="O2211">
            <v>13288</v>
          </cell>
          <cell r="S2211">
            <v>18000</v>
          </cell>
        </row>
        <row r="2212">
          <cell r="A2212" t="str">
            <v>3111/11</v>
          </cell>
          <cell r="B2212" t="str">
            <v>MAAIBUS TRANSPORTE ESCOLAR LTDA ME</v>
          </cell>
          <cell r="E2212" t="str">
            <v>3111/11</v>
          </cell>
          <cell r="K2212" t="str">
            <v xml:space="preserve">          123651121                       2847                 3390390000</v>
          </cell>
          <cell r="O2212">
            <v>29182</v>
          </cell>
          <cell r="S2212">
            <v>3515</v>
          </cell>
        </row>
        <row r="2213">
          <cell r="A2213" t="str">
            <v>2650/11</v>
          </cell>
          <cell r="B2213" t="str">
            <v>ONITUTAM TRANSPORTE ESCOLAR LTDA ME</v>
          </cell>
          <cell r="E2213" t="str">
            <v>2650/11</v>
          </cell>
          <cell r="K2213" t="str">
            <v xml:space="preserve">          123671125                       2863                3390390000</v>
          </cell>
          <cell r="O2213">
            <v>29190</v>
          </cell>
          <cell r="S2213">
            <v>2000</v>
          </cell>
        </row>
        <row r="2214">
          <cell r="A2214" t="str">
            <v>1852/11</v>
          </cell>
          <cell r="B2214" t="str">
            <v>CAVALCANTE TRANSPORTES ESC. E FRET. LTDA</v>
          </cell>
          <cell r="E2214" t="str">
            <v>1852/11</v>
          </cell>
          <cell r="K2214" t="str">
            <v xml:space="preserve">          123651121                       2847                 3390390000</v>
          </cell>
          <cell r="O2214">
            <v>867</v>
          </cell>
          <cell r="S2214">
            <v>5000</v>
          </cell>
        </row>
        <row r="2215">
          <cell r="A2215" t="str">
            <v>1854/11</v>
          </cell>
          <cell r="B2215" t="str">
            <v>VANDERLEI DA SILVA LOPES ME</v>
          </cell>
          <cell r="E2215" t="str">
            <v>1854/11</v>
          </cell>
          <cell r="K2215" t="str">
            <v xml:space="preserve">          123651121                       2847                 3390390000</v>
          </cell>
          <cell r="O2215">
            <v>57275</v>
          </cell>
          <cell r="S2215">
            <v>72000</v>
          </cell>
        </row>
        <row r="2216">
          <cell r="A2216" t="str">
            <v>3351/11</v>
          </cell>
          <cell r="B2216" t="str">
            <v>COOPER-X COOPERATIVA DE SERVICOS DE TRANSPORTE ESCOLAR DE SAO PAULO E REGIAO</v>
          </cell>
          <cell r="E2216" t="str">
            <v>3351/11</v>
          </cell>
          <cell r="K2216" t="str">
            <v>12.367.1125.2.863.3390.3900.00</v>
          </cell>
          <cell r="O2216">
            <v>29190</v>
          </cell>
          <cell r="S2216">
            <v>23500</v>
          </cell>
        </row>
        <row r="2217">
          <cell r="A2217" t="str">
            <v>3352/11</v>
          </cell>
          <cell r="B2217" t="str">
            <v>COOPERUNIAO BRASILEIRA</v>
          </cell>
          <cell r="E2217" t="str">
            <v>3352/11</v>
          </cell>
          <cell r="K2217" t="str">
            <v>12.367.1125.2.863.3390.3900.00</v>
          </cell>
          <cell r="O2217">
            <v>29190</v>
          </cell>
          <cell r="S2217">
            <v>8200</v>
          </cell>
        </row>
        <row r="2218">
          <cell r="A2218" t="str">
            <v>3353/11</v>
          </cell>
          <cell r="B2218" t="str">
            <v>COOPER-X COOPERATIVA DE SERVICOS DE TRANSPORTE ESCOLAR DE SAO PAULO E REGIAO</v>
          </cell>
          <cell r="E2218" t="str">
            <v>3353/11</v>
          </cell>
          <cell r="K2218" t="str">
            <v>12.367.1125.2.863.3390.3900.00</v>
          </cell>
          <cell r="O2218">
            <v>29190</v>
          </cell>
          <cell r="S2218">
            <v>9900</v>
          </cell>
        </row>
        <row r="2219">
          <cell r="A2219" t="str">
            <v>3354/11</v>
          </cell>
          <cell r="B2219" t="str">
            <v>COOPERATIVA BRASILEIRA DE TRANSPORTE - COBRATE</v>
          </cell>
          <cell r="E2219" t="str">
            <v>3354/11</v>
          </cell>
          <cell r="K2219" t="str">
            <v>12.367.1125.2.863.3390.3900.00 E 12.361.1122.2.848.3390.3900.00 E 12.365.1121.2.847.3390.3600.00</v>
          </cell>
          <cell r="O2219" t="str">
            <v>29190 - 49814,77  29186 - 49181,14 57275 R$ 141482,07 13287  r$ 49706,16</v>
          </cell>
          <cell r="S2219">
            <v>290184.14</v>
          </cell>
        </row>
        <row r="2220">
          <cell r="A2220" t="str">
            <v>3355/11</v>
          </cell>
          <cell r="B2220" t="str">
            <v>COOPERATIVA BRASILEIRA DE TRANSPORTE - COBRATE</v>
          </cell>
          <cell r="E2220" t="str">
            <v>3355/11</v>
          </cell>
          <cell r="K2220" t="str">
            <v>12.367.1125.2.863.3390.3900.00 E 12.361.1122.2.848.3390.3900.00 E 12.365.1121.2.847.3390.3600.00</v>
          </cell>
          <cell r="O2220">
            <v>57292</v>
          </cell>
          <cell r="S2220">
            <v>23800</v>
          </cell>
        </row>
        <row r="2221">
          <cell r="A2221" t="str">
            <v>3345/11</v>
          </cell>
          <cell r="B2221" t="str">
            <v>A DE P MOREIRA TRANSPORTES ME</v>
          </cell>
          <cell r="E2221" t="str">
            <v>3345/11</v>
          </cell>
          <cell r="K2221" t="str">
            <v>12.361.1122.2.848.3390.3900.00</v>
          </cell>
          <cell r="O2221">
            <v>13288</v>
          </cell>
          <cell r="S2221">
            <v>4442.3</v>
          </cell>
        </row>
        <row r="2222">
          <cell r="A2222" t="str">
            <v>3346/11</v>
          </cell>
          <cell r="B2222" t="str">
            <v>VIA LUZ TRANSPORTES DE PASSAGEIROS LTDA ME</v>
          </cell>
          <cell r="E2222" t="str">
            <v>3346/11</v>
          </cell>
          <cell r="K2222" t="str">
            <v>12.367.1125.2.863.3390.3900.00</v>
          </cell>
          <cell r="O2222">
            <v>29190</v>
          </cell>
          <cell r="S2222">
            <v>5900</v>
          </cell>
        </row>
        <row r="2223">
          <cell r="A2223" t="str">
            <v>3347/11</v>
          </cell>
          <cell r="B2223" t="str">
            <v>AZUL LOCADORA DE VEICULOS E TRANSPORTES LTDA</v>
          </cell>
          <cell r="E2223" t="str">
            <v>3347/11</v>
          </cell>
          <cell r="K2223" t="str">
            <v>12.367.1125.2.863.3390.3900.00</v>
          </cell>
          <cell r="O2223">
            <v>29190</v>
          </cell>
          <cell r="S2223">
            <v>5900</v>
          </cell>
        </row>
        <row r="2224">
          <cell r="A2224" t="str">
            <v>3348/11</v>
          </cell>
          <cell r="B2224" t="str">
            <v>JULIEDRY TRANSPORTES LTDA ME</v>
          </cell>
          <cell r="E2224" t="str">
            <v>3348/11</v>
          </cell>
          <cell r="K2224" t="str">
            <v>12.367.1125.2.863.3390.3900.00</v>
          </cell>
          <cell r="O2224">
            <v>29190</v>
          </cell>
          <cell r="S2224">
            <v>10000</v>
          </cell>
        </row>
        <row r="2225">
          <cell r="A2225" t="str">
            <v>3349/11</v>
          </cell>
          <cell r="B2225" t="str">
            <v xml:space="preserve">L &amp; M TUR LTDA ME </v>
          </cell>
          <cell r="E2225" t="str">
            <v>3349/11</v>
          </cell>
          <cell r="K2225" t="str">
            <v>12.361.1122.2.848.3390.3900.00</v>
          </cell>
          <cell r="O2225">
            <v>13288</v>
          </cell>
          <cell r="S2225">
            <v>3000</v>
          </cell>
        </row>
        <row r="2226">
          <cell r="A2226" t="str">
            <v>3350/11</v>
          </cell>
          <cell r="B2226" t="str">
            <v>SUN COSTA TRANSPORTES LTDA</v>
          </cell>
          <cell r="E2226" t="str">
            <v>3350/11</v>
          </cell>
          <cell r="K2226" t="str">
            <v>12.361.1122.2.848.3390.3900.00</v>
          </cell>
          <cell r="O2226">
            <v>29186</v>
          </cell>
          <cell r="S2226">
            <v>1800</v>
          </cell>
        </row>
        <row r="2227">
          <cell r="A2227" t="str">
            <v>3385/11</v>
          </cell>
          <cell r="B2227" t="str">
            <v>ROSEMEIRE TADEU PAGANI JORGE ME</v>
          </cell>
          <cell r="E2227" t="str">
            <v>3385/11</v>
          </cell>
          <cell r="K2227" t="str">
            <v>12.367.1125.2.863.3390.3600.00</v>
          </cell>
          <cell r="O2227" t="str">
            <v>926- R$ 1354,55 13286 r$ 4226,82</v>
          </cell>
          <cell r="S2227">
            <v>5581.37</v>
          </cell>
        </row>
        <row r="65386">
          <cell r="Y65386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DEMO"/>
      <sheetName val="LIQUIDAÇÃO"/>
      <sheetName val="OBSERVAÇÕES"/>
      <sheetName val="CONT VENC."/>
      <sheetName val="CONTRATOS VENC."/>
      <sheetName val="LIQUIDAÇÃO (2)"/>
      <sheetName val="TABELA"/>
      <sheetName val="Plan4"/>
      <sheetName val="Plan1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1">
          <cell r="A1">
            <v>201501971960</v>
          </cell>
          <cell r="B1">
            <v>23752</v>
          </cell>
        </row>
        <row r="2">
          <cell r="A2">
            <v>201501971995</v>
          </cell>
          <cell r="B2">
            <v>23781</v>
          </cell>
        </row>
      </sheetData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"/>
      <sheetName val="Plan4"/>
      <sheetName val="Plan1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ONTAMENTO CREDENCIAMENTO"/>
      <sheetName val="APELIDOS"/>
      <sheetName val="CONTINUA"/>
      <sheetName val="BASE C"/>
      <sheetName val="DEMO C"/>
      <sheetName val="ATESTE-LIQ-FIS"/>
      <sheetName val="DEMO FIS"/>
      <sheetName val="EMPRESA C"/>
      <sheetName val="ATESTADO C"/>
      <sheetName val="Planilha1"/>
      <sheetName val="ProcRel"/>
      <sheetName val="ProcRel1"/>
      <sheetName val="ATESTE-LIQ"/>
      <sheetName val="VALORES TABELA"/>
      <sheetName val="REVISAO"/>
      <sheetName val="Plan1"/>
      <sheetName val="Cálculo IRRF -Jan.2026"/>
      <sheetName val="IR Deduções Legais-Maio.2025"/>
      <sheetName val="IR Desc. Simplificado-Maio.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6"/>
  <dimension ref="A1:Y118"/>
  <sheetViews>
    <sheetView workbookViewId="0">
      <selection activeCell="K6" sqref="K6"/>
    </sheetView>
  </sheetViews>
  <sheetFormatPr defaultRowHeight="12.75" x14ac:dyDescent="0.2"/>
  <cols>
    <col min="1" max="1" width="12.42578125" bestFit="1" customWidth="1"/>
    <col min="2" max="2" width="10.140625" bestFit="1" customWidth="1"/>
    <col min="3" max="3" width="13.7109375" bestFit="1" customWidth="1"/>
    <col min="4" max="4" width="13.7109375" customWidth="1"/>
    <col min="5" max="5" width="9.28515625" bestFit="1" customWidth="1"/>
    <col min="6" max="6" width="13.7109375" customWidth="1"/>
    <col min="7" max="7" width="11.85546875" bestFit="1" customWidth="1"/>
    <col min="8" max="8" width="13.140625" bestFit="1" customWidth="1"/>
    <col min="9" max="9" width="13.140625" customWidth="1"/>
    <col min="10" max="10" width="8.42578125" customWidth="1"/>
    <col min="11" max="11" width="13" customWidth="1"/>
    <col min="12" max="12" width="12" bestFit="1" customWidth="1"/>
    <col min="13" max="13" width="13.7109375" customWidth="1"/>
    <col min="14" max="14" width="3" bestFit="1" customWidth="1"/>
    <col min="15" max="15" width="8" bestFit="1" customWidth="1"/>
    <col min="16" max="16" width="6.7109375" bestFit="1" customWidth="1"/>
    <col min="17" max="17" width="9.28515625" bestFit="1" customWidth="1"/>
    <col min="18" max="18" width="4.28515625" bestFit="1" customWidth="1"/>
    <col min="19" max="19" width="11.85546875" bestFit="1" customWidth="1"/>
    <col min="20" max="20" width="12.85546875" customWidth="1"/>
    <col min="21" max="21" width="7.28515625" bestFit="1" customWidth="1"/>
    <col min="22" max="22" width="9" bestFit="1" customWidth="1"/>
    <col min="23" max="23" width="4.7109375" bestFit="1" customWidth="1"/>
    <col min="24" max="24" width="5.28515625" bestFit="1" customWidth="1"/>
    <col min="25" max="25" width="12.85546875" bestFit="1" customWidth="1"/>
  </cols>
  <sheetData>
    <row r="1" spans="1:15" x14ac:dyDescent="0.2">
      <c r="A1" s="240" t="s">
        <v>29</v>
      </c>
      <c r="B1" s="240"/>
    </row>
    <row r="2" spans="1:15" x14ac:dyDescent="0.2">
      <c r="A2" s="43"/>
      <c r="B2" s="43" t="s">
        <v>30</v>
      </c>
      <c r="C2" t="s">
        <v>1</v>
      </c>
      <c r="D2" t="s">
        <v>31</v>
      </c>
    </row>
    <row r="3" spans="1:15" x14ac:dyDescent="0.2">
      <c r="A3" s="43" t="s">
        <v>32</v>
      </c>
      <c r="B3" s="43">
        <v>8.35</v>
      </c>
      <c r="C3">
        <v>1.08</v>
      </c>
      <c r="D3">
        <v>20</v>
      </c>
    </row>
    <row r="4" spans="1:15" x14ac:dyDescent="0.2">
      <c r="A4" s="43" t="s">
        <v>33</v>
      </c>
      <c r="B4" s="43">
        <v>48.7</v>
      </c>
      <c r="H4" s="69" t="s">
        <v>62</v>
      </c>
    </row>
    <row r="5" spans="1:15" x14ac:dyDescent="0.2">
      <c r="H5" s="5" t="s">
        <v>5</v>
      </c>
      <c r="I5" s="5" t="s">
        <v>12</v>
      </c>
      <c r="J5" s="5" t="s">
        <v>6</v>
      </c>
      <c r="K5" s="5" t="s">
        <v>23</v>
      </c>
      <c r="L5" s="5" t="s">
        <v>2</v>
      </c>
      <c r="M5" s="5" t="s">
        <v>3</v>
      </c>
    </row>
    <row r="6" spans="1:15" ht="15" x14ac:dyDescent="0.25">
      <c r="A6" s="44"/>
      <c r="B6" s="45" t="s">
        <v>4</v>
      </c>
      <c r="C6" s="45" t="s">
        <v>24</v>
      </c>
      <c r="D6" s="45" t="s">
        <v>6</v>
      </c>
      <c r="E6" s="45" t="s">
        <v>7</v>
      </c>
      <c r="H6" s="5">
        <v>8</v>
      </c>
      <c r="I6" s="5">
        <v>0</v>
      </c>
      <c r="J6" s="5">
        <v>1</v>
      </c>
      <c r="K6" s="92">
        <f>H6*C20/30*J6</f>
        <v>89.018666666666661</v>
      </c>
      <c r="L6" s="92">
        <f>I6*C28/30*J6</f>
        <v>0</v>
      </c>
      <c r="M6" s="93">
        <f>K6+L6</f>
        <v>89.018666666666661</v>
      </c>
    </row>
    <row r="7" spans="1:15" ht="15" x14ac:dyDescent="0.25">
      <c r="A7" s="46" t="s">
        <v>5</v>
      </c>
      <c r="B7" s="47">
        <v>18</v>
      </c>
      <c r="C7" s="48">
        <f>B7-A21</f>
        <v>2</v>
      </c>
      <c r="D7" s="47">
        <v>30</v>
      </c>
      <c r="E7" s="49">
        <f>C7*C20/30*D7</f>
        <v>667.64</v>
      </c>
      <c r="I7" t="s">
        <v>65</v>
      </c>
      <c r="J7" t="s">
        <v>6</v>
      </c>
      <c r="K7" t="s">
        <v>63</v>
      </c>
    </row>
    <row r="8" spans="1:15" x14ac:dyDescent="0.2">
      <c r="A8" s="5" t="s">
        <v>85</v>
      </c>
      <c r="B8" s="5">
        <v>1</v>
      </c>
      <c r="C8" s="5">
        <v>1</v>
      </c>
      <c r="D8" s="5">
        <v>30</v>
      </c>
      <c r="E8" s="5">
        <f>B8*C28/30*D8</f>
        <v>1947.9799999999998</v>
      </c>
      <c r="H8" t="s">
        <v>64</v>
      </c>
      <c r="I8" s="2">
        <v>10026.972666666668</v>
      </c>
      <c r="J8">
        <v>6</v>
      </c>
      <c r="K8" s="2">
        <f>I8/30*J8</f>
        <v>2005.3945333333336</v>
      </c>
    </row>
    <row r="9" spans="1:15" ht="15" x14ac:dyDescent="0.25">
      <c r="A9" s="46" t="s">
        <v>57</v>
      </c>
      <c r="B9" s="47">
        <v>0</v>
      </c>
      <c r="C9" s="48"/>
      <c r="D9" s="47">
        <v>30</v>
      </c>
      <c r="E9" s="49"/>
      <c r="H9" t="s">
        <v>13</v>
      </c>
      <c r="J9" t="s">
        <v>6</v>
      </c>
      <c r="K9" t="s">
        <v>63</v>
      </c>
    </row>
    <row r="10" spans="1:15" ht="15" x14ac:dyDescent="0.25">
      <c r="A10" s="46" t="s">
        <v>58</v>
      </c>
      <c r="B10" s="48"/>
      <c r="C10" s="48"/>
      <c r="D10" s="48"/>
      <c r="E10" s="49"/>
      <c r="H10">
        <v>8</v>
      </c>
      <c r="J10">
        <v>1</v>
      </c>
      <c r="K10" s="7">
        <f>H10*C46/30*J10</f>
        <v>143.53066666666666</v>
      </c>
      <c r="L10" s="7"/>
      <c r="M10" s="7">
        <f>K10/2</f>
        <v>71.765333333333331</v>
      </c>
      <c r="O10" s="7"/>
    </row>
    <row r="11" spans="1:15" ht="15" x14ac:dyDescent="0.25">
      <c r="A11" s="46" t="s">
        <v>25</v>
      </c>
      <c r="B11" s="50">
        <v>6492.53</v>
      </c>
      <c r="C11" s="48"/>
      <c r="D11" s="47">
        <f>D7</f>
        <v>30</v>
      </c>
      <c r="E11" s="49">
        <f>B11/30*D11</f>
        <v>6492.53</v>
      </c>
    </row>
    <row r="12" spans="1:15" ht="15" x14ac:dyDescent="0.25">
      <c r="A12" s="46" t="s">
        <v>15</v>
      </c>
      <c r="B12" s="48"/>
      <c r="C12" s="48"/>
      <c r="D12" s="48"/>
      <c r="E12" s="49">
        <f>SUM(E7:E11)</f>
        <v>9108.15</v>
      </c>
    </row>
    <row r="13" spans="1:15" ht="15" x14ac:dyDescent="0.25">
      <c r="A13" s="18"/>
      <c r="B13" s="18"/>
      <c r="C13" s="18"/>
      <c r="D13" s="18"/>
      <c r="E13" s="18"/>
      <c r="F13" s="95">
        <v>7956.74</v>
      </c>
      <c r="H13" s="2">
        <f>E12-F13</f>
        <v>1151.4099999999999</v>
      </c>
    </row>
    <row r="14" spans="1:15" ht="15" x14ac:dyDescent="0.25">
      <c r="A14" s="18"/>
      <c r="B14" s="18"/>
      <c r="C14" s="18"/>
      <c r="D14" s="18"/>
      <c r="E14" s="18"/>
      <c r="F14" s="95"/>
    </row>
    <row r="15" spans="1:15" ht="15" x14ac:dyDescent="0.25">
      <c r="A15" s="18"/>
      <c r="B15" s="18"/>
      <c r="C15" s="18"/>
      <c r="D15" s="18"/>
      <c r="E15" s="18"/>
      <c r="F15" s="95"/>
    </row>
    <row r="16" spans="1:15" ht="15" x14ac:dyDescent="0.25">
      <c r="A16" s="18"/>
      <c r="B16" s="18"/>
      <c r="C16" s="18"/>
      <c r="D16" s="18"/>
      <c r="E16" s="18"/>
      <c r="F16" s="95"/>
    </row>
    <row r="17" spans="1:25" ht="31.5" x14ac:dyDescent="0.2">
      <c r="A17" s="6" t="s">
        <v>34</v>
      </c>
      <c r="R17" s="51" t="s">
        <v>35</v>
      </c>
      <c r="S17" s="51" t="s">
        <v>36</v>
      </c>
      <c r="T17" s="51" t="s">
        <v>37</v>
      </c>
      <c r="U17" s="52" t="s">
        <v>38</v>
      </c>
      <c r="V17" s="52" t="s">
        <v>39</v>
      </c>
      <c r="W17" s="51" t="s">
        <v>40</v>
      </c>
      <c r="X17" s="51" t="s">
        <v>41</v>
      </c>
      <c r="Y17" s="51" t="s">
        <v>7</v>
      </c>
    </row>
    <row r="18" spans="1:25" ht="16.5" thickBot="1" x14ac:dyDescent="0.3">
      <c r="A18" s="6"/>
      <c r="R18" s="43">
        <f>V18-16</f>
        <v>27</v>
      </c>
      <c r="S18" s="53">
        <f>IF(R18&gt;=0,$B$22/30*X18,0)</f>
        <v>1298.5059999999999</v>
      </c>
      <c r="T18" s="53">
        <f>IF(R18&gt;=0,$C$20/30*R18*X18,$C$20/30*V18*X18)</f>
        <v>1802.6279999999999</v>
      </c>
      <c r="U18" s="54">
        <v>43</v>
      </c>
      <c r="V18" s="55">
        <f>U18</f>
        <v>43</v>
      </c>
      <c r="W18" s="54">
        <v>1</v>
      </c>
      <c r="X18" s="56">
        <f t="shared" ref="X18:X29" si="0">IF(W19=0,31-W18,W19-W18)</f>
        <v>6</v>
      </c>
      <c r="Y18" s="53">
        <f>S18+T18</f>
        <v>3101.134</v>
      </c>
    </row>
    <row r="19" spans="1:25" ht="15.75" thickBot="1" x14ac:dyDescent="0.3">
      <c r="A19" s="57" t="s">
        <v>8</v>
      </c>
      <c r="B19" s="45" t="s">
        <v>9</v>
      </c>
      <c r="C19" s="45" t="s">
        <v>10</v>
      </c>
      <c r="E19" s="241" t="s">
        <v>42</v>
      </c>
      <c r="F19" s="242"/>
      <c r="G19" s="242"/>
      <c r="H19" s="242"/>
      <c r="I19" s="243"/>
      <c r="L19" s="7"/>
      <c r="R19" s="43">
        <f t="shared" ref="R19:R30" si="1">V19-16</f>
        <v>26</v>
      </c>
      <c r="S19" s="53">
        <f t="shared" ref="S19:S30" si="2">IF(R19&gt;=0,$B$22/30*X19,0)</f>
        <v>0</v>
      </c>
      <c r="T19" s="53">
        <f t="shared" ref="T19:T30" si="3">IF(R19&gt;=0,$C$20/30*R19*X19,$C$20/30*V19*X19)</f>
        <v>0</v>
      </c>
      <c r="U19" s="54">
        <v>-1</v>
      </c>
      <c r="V19" s="55">
        <f>IF(U19=0,0,V18+U19)</f>
        <v>42</v>
      </c>
      <c r="W19" s="54">
        <v>7</v>
      </c>
      <c r="X19" s="56">
        <f t="shared" si="0"/>
        <v>0</v>
      </c>
      <c r="Y19" s="53">
        <f t="shared" ref="Y19:Y30" si="4">S19+T19</f>
        <v>0</v>
      </c>
    </row>
    <row r="20" spans="1:25" ht="15" x14ac:dyDescent="0.25">
      <c r="A20" s="58" t="s">
        <v>11</v>
      </c>
      <c r="B20" s="21">
        <v>0</v>
      </c>
      <c r="C20" s="21">
        <v>333.82</v>
      </c>
      <c r="E20" s="8"/>
      <c r="F20" s="9" t="s">
        <v>43</v>
      </c>
      <c r="G20" s="9" t="s">
        <v>22</v>
      </c>
      <c r="H20" s="10"/>
      <c r="I20" s="11"/>
      <c r="R20" s="43">
        <f t="shared" si="1"/>
        <v>28</v>
      </c>
      <c r="S20" s="53">
        <f t="shared" si="2"/>
        <v>1514.9236666666666</v>
      </c>
      <c r="T20" s="53">
        <f t="shared" si="3"/>
        <v>2180.9573333333333</v>
      </c>
      <c r="U20" s="54">
        <v>2</v>
      </c>
      <c r="V20" s="55">
        <f t="shared" ref="V20:V30" si="5">IF(U20=0,0,V19+U20)</f>
        <v>44</v>
      </c>
      <c r="W20" s="54">
        <v>7</v>
      </c>
      <c r="X20" s="56">
        <f t="shared" si="0"/>
        <v>7</v>
      </c>
      <c r="Y20" s="53">
        <f t="shared" si="4"/>
        <v>3695.8809999999999</v>
      </c>
    </row>
    <row r="21" spans="1:25" ht="15" x14ac:dyDescent="0.25">
      <c r="A21" s="58">
        <v>16</v>
      </c>
      <c r="B21" s="21">
        <v>6492.53</v>
      </c>
      <c r="C21" s="21">
        <v>0</v>
      </c>
      <c r="E21" s="12" t="s">
        <v>44</v>
      </c>
      <c r="F21" s="43">
        <v>14</v>
      </c>
      <c r="G21" s="59">
        <v>23</v>
      </c>
      <c r="H21" s="43">
        <f>F21-16</f>
        <v>-2</v>
      </c>
      <c r="I21" s="13"/>
      <c r="R21" s="43">
        <f t="shared" si="1"/>
        <v>29</v>
      </c>
      <c r="S21" s="53">
        <f t="shared" si="2"/>
        <v>1082.0883333333334</v>
      </c>
      <c r="T21" s="53">
        <f t="shared" si="3"/>
        <v>1613.4633333333331</v>
      </c>
      <c r="U21" s="54">
        <v>1</v>
      </c>
      <c r="V21" s="55">
        <f t="shared" si="5"/>
        <v>45</v>
      </c>
      <c r="W21" s="54">
        <v>14</v>
      </c>
      <c r="X21" s="56">
        <f t="shared" si="0"/>
        <v>5</v>
      </c>
      <c r="Y21" s="53">
        <f t="shared" si="4"/>
        <v>2695.5516666666663</v>
      </c>
    </row>
    <row r="22" spans="1:25" ht="15.75" thickBot="1" x14ac:dyDescent="0.3">
      <c r="A22" s="58" t="s">
        <v>14</v>
      </c>
      <c r="B22" s="21">
        <f>B21</f>
        <v>6492.53</v>
      </c>
      <c r="C22" s="21">
        <f>C20</f>
        <v>333.82</v>
      </c>
      <c r="E22" s="14" t="s">
        <v>45</v>
      </c>
      <c r="F22">
        <v>0</v>
      </c>
      <c r="G22">
        <f>D3</f>
        <v>20</v>
      </c>
      <c r="H22" s="15">
        <f>G22*F22*C3</f>
        <v>0</v>
      </c>
      <c r="I22" s="16"/>
      <c r="R22" s="43">
        <f t="shared" si="1"/>
        <v>28</v>
      </c>
      <c r="S22" s="53">
        <f t="shared" si="2"/>
        <v>216.41766666666666</v>
      </c>
      <c r="T22" s="53">
        <f t="shared" si="3"/>
        <v>311.56533333333334</v>
      </c>
      <c r="U22" s="54">
        <v>-1</v>
      </c>
      <c r="V22" s="55">
        <f t="shared" si="5"/>
        <v>44</v>
      </c>
      <c r="W22" s="54">
        <v>19</v>
      </c>
      <c r="X22" s="56">
        <f t="shared" si="0"/>
        <v>1</v>
      </c>
      <c r="Y22" s="53">
        <f t="shared" si="4"/>
        <v>527.98299999999995</v>
      </c>
    </row>
    <row r="23" spans="1:25" ht="15.75" thickBot="1" x14ac:dyDescent="0.3">
      <c r="A23" s="17"/>
      <c r="B23" s="17"/>
      <c r="C23" s="17"/>
      <c r="D23" s="18"/>
      <c r="E23" t="s">
        <v>46</v>
      </c>
      <c r="F23">
        <v>0</v>
      </c>
      <c r="H23" s="60">
        <f>F23*B3</f>
        <v>0</v>
      </c>
      <c r="I23" s="61" t="s">
        <v>47</v>
      </c>
      <c r="R23" s="43">
        <f t="shared" si="1"/>
        <v>29</v>
      </c>
      <c r="S23" s="53">
        <f t="shared" si="2"/>
        <v>2380.5943333333335</v>
      </c>
      <c r="T23" s="53">
        <f t="shared" si="3"/>
        <v>3549.6193333333331</v>
      </c>
      <c r="U23" s="54">
        <v>1</v>
      </c>
      <c r="V23" s="55">
        <f t="shared" si="5"/>
        <v>45</v>
      </c>
      <c r="W23" s="54">
        <v>20</v>
      </c>
      <c r="X23" s="56">
        <f t="shared" si="0"/>
        <v>11</v>
      </c>
      <c r="Y23" s="53">
        <f t="shared" si="4"/>
        <v>5930.2136666666665</v>
      </c>
    </row>
    <row r="24" spans="1:25" ht="15.75" thickBot="1" x14ac:dyDescent="0.3">
      <c r="A24" s="17"/>
      <c r="B24" s="17"/>
      <c r="C24" s="17"/>
      <c r="D24" s="18"/>
      <c r="E24" s="12"/>
      <c r="F24" s="62" t="s">
        <v>9</v>
      </c>
      <c r="G24" s="63" t="s">
        <v>28</v>
      </c>
      <c r="H24" s="244">
        <f>F25+G25+H22+H23</f>
        <v>3583.0013333333336</v>
      </c>
      <c r="I24" s="246" t="s">
        <v>48</v>
      </c>
      <c r="R24" s="43">
        <f t="shared" si="1"/>
        <v>-16</v>
      </c>
      <c r="S24" s="53">
        <f t="shared" si="2"/>
        <v>0</v>
      </c>
      <c r="T24" s="53">
        <f t="shared" si="3"/>
        <v>0</v>
      </c>
      <c r="U24" s="54"/>
      <c r="V24" s="55">
        <f t="shared" si="5"/>
        <v>0</v>
      </c>
      <c r="W24" s="54"/>
      <c r="X24" s="56">
        <f t="shared" si="0"/>
        <v>31</v>
      </c>
      <c r="Y24" s="53">
        <f t="shared" si="4"/>
        <v>0</v>
      </c>
    </row>
    <row r="25" spans="1:25" ht="15.75" thickBot="1" x14ac:dyDescent="0.3">
      <c r="A25" s="17"/>
      <c r="B25" s="17"/>
      <c r="C25" s="17"/>
      <c r="D25" s="18"/>
      <c r="E25" s="19"/>
      <c r="F25" s="64">
        <f>IF(H21&gt;=0,B22/30*G21,0)</f>
        <v>0</v>
      </c>
      <c r="G25" s="65">
        <f>IF(H21&gt;=0,C20/30*G21*H21,C20/30*F21*G21)</f>
        <v>3583.0013333333336</v>
      </c>
      <c r="H25" s="245"/>
      <c r="I25" s="247"/>
      <c r="R25" s="43">
        <f t="shared" si="1"/>
        <v>-16</v>
      </c>
      <c r="S25" s="53">
        <f t="shared" si="2"/>
        <v>0</v>
      </c>
      <c r="T25" s="53">
        <f t="shared" si="3"/>
        <v>0</v>
      </c>
      <c r="U25" s="54"/>
      <c r="V25" s="55">
        <f t="shared" si="5"/>
        <v>0</v>
      </c>
      <c r="W25" s="54"/>
      <c r="X25" s="56">
        <f t="shared" si="0"/>
        <v>31</v>
      </c>
      <c r="Y25" s="53">
        <f t="shared" si="4"/>
        <v>0</v>
      </c>
    </row>
    <row r="26" spans="1:25" ht="15.75" thickBot="1" x14ac:dyDescent="0.3">
      <c r="A26" s="17"/>
      <c r="B26" s="17"/>
      <c r="C26" s="17"/>
      <c r="D26" s="18"/>
      <c r="G26" s="20"/>
      <c r="R26" s="43">
        <f t="shared" si="1"/>
        <v>-16</v>
      </c>
      <c r="S26" s="53">
        <f t="shared" si="2"/>
        <v>0</v>
      </c>
      <c r="T26" s="53">
        <f t="shared" si="3"/>
        <v>0</v>
      </c>
      <c r="U26" s="54"/>
      <c r="V26" s="55">
        <f t="shared" si="5"/>
        <v>0</v>
      </c>
      <c r="W26" s="54"/>
      <c r="X26" s="56">
        <f t="shared" si="0"/>
        <v>31</v>
      </c>
      <c r="Y26" s="53">
        <f t="shared" si="4"/>
        <v>0</v>
      </c>
    </row>
    <row r="27" spans="1:25" ht="15.75" thickBot="1" x14ac:dyDescent="0.3">
      <c r="A27" s="66" t="s">
        <v>16</v>
      </c>
      <c r="B27" s="45" t="s">
        <v>9</v>
      </c>
      <c r="C27" s="45" t="s">
        <v>10</v>
      </c>
      <c r="D27" s="18"/>
      <c r="E27" s="241" t="s">
        <v>49</v>
      </c>
      <c r="F27" s="242"/>
      <c r="G27" s="242"/>
      <c r="H27" s="242"/>
      <c r="I27" s="243"/>
      <c r="R27" s="43">
        <f t="shared" si="1"/>
        <v>-16</v>
      </c>
      <c r="S27" s="53">
        <f t="shared" si="2"/>
        <v>0</v>
      </c>
      <c r="T27" s="53">
        <f t="shared" si="3"/>
        <v>0</v>
      </c>
      <c r="U27" s="54"/>
      <c r="V27" s="55">
        <f t="shared" si="5"/>
        <v>0</v>
      </c>
      <c r="W27" s="54"/>
      <c r="X27" s="56">
        <f t="shared" si="0"/>
        <v>31</v>
      </c>
      <c r="Y27" s="53">
        <f t="shared" si="4"/>
        <v>0</v>
      </c>
    </row>
    <row r="28" spans="1:25" ht="15" x14ac:dyDescent="0.25">
      <c r="A28" s="58">
        <v>1</v>
      </c>
      <c r="B28" s="21">
        <v>0</v>
      </c>
      <c r="C28" s="21">
        <v>1947.98</v>
      </c>
      <c r="D28" s="20"/>
      <c r="E28" s="22"/>
      <c r="F28" s="67" t="s">
        <v>43</v>
      </c>
      <c r="G28" s="67" t="s">
        <v>22</v>
      </c>
      <c r="H28" s="68"/>
      <c r="I28" s="23"/>
      <c r="R28" s="43">
        <f t="shared" si="1"/>
        <v>-16</v>
      </c>
      <c r="S28" s="53">
        <f t="shared" si="2"/>
        <v>0</v>
      </c>
      <c r="T28" s="53">
        <f t="shared" si="3"/>
        <v>0</v>
      </c>
      <c r="U28" s="54"/>
      <c r="V28" s="55">
        <f t="shared" si="5"/>
        <v>0</v>
      </c>
      <c r="W28" s="54"/>
      <c r="X28" s="56">
        <f t="shared" si="0"/>
        <v>31</v>
      </c>
      <c r="Y28" s="53">
        <f t="shared" si="4"/>
        <v>0</v>
      </c>
    </row>
    <row r="29" spans="1:25" ht="15.75" thickBot="1" x14ac:dyDescent="0.3">
      <c r="A29" s="58">
        <v>2</v>
      </c>
      <c r="B29" s="21">
        <v>6492.53</v>
      </c>
      <c r="C29" s="21">
        <v>0</v>
      </c>
      <c r="D29" s="20"/>
      <c r="E29" s="24" t="s">
        <v>2</v>
      </c>
      <c r="F29" s="43">
        <v>1</v>
      </c>
      <c r="G29" s="43">
        <v>30</v>
      </c>
      <c r="H29" s="69">
        <f>F29-2</f>
        <v>-1</v>
      </c>
      <c r="I29" s="70"/>
      <c r="R29" s="43">
        <f t="shared" si="1"/>
        <v>-16</v>
      </c>
      <c r="S29" s="53">
        <f t="shared" si="2"/>
        <v>0</v>
      </c>
      <c r="T29" s="53">
        <f t="shared" si="3"/>
        <v>0</v>
      </c>
      <c r="U29" s="54"/>
      <c r="V29" s="55">
        <f t="shared" si="5"/>
        <v>0</v>
      </c>
      <c r="W29" s="54"/>
      <c r="X29" s="56">
        <f t="shared" si="0"/>
        <v>31</v>
      </c>
      <c r="Y29" s="53">
        <f t="shared" si="4"/>
        <v>0</v>
      </c>
    </row>
    <row r="30" spans="1:25" ht="15.75" thickBot="1" x14ac:dyDescent="0.3">
      <c r="A30" s="58" t="s">
        <v>17</v>
      </c>
      <c r="B30" s="21">
        <f>B29</f>
        <v>6492.53</v>
      </c>
      <c r="C30" s="21">
        <f>C28</f>
        <v>1947.98</v>
      </c>
      <c r="D30" s="20"/>
      <c r="E30" s="12" t="s">
        <v>44</v>
      </c>
      <c r="F30" s="43">
        <v>18</v>
      </c>
      <c r="G30" s="71">
        <f>G29</f>
        <v>30</v>
      </c>
      <c r="H30" s="25">
        <f>F30*C22/30*G30</f>
        <v>6008.76</v>
      </c>
      <c r="I30" s="26" t="s">
        <v>48</v>
      </c>
      <c r="R30" s="43">
        <f t="shared" si="1"/>
        <v>-16</v>
      </c>
      <c r="S30" s="53">
        <f t="shared" si="2"/>
        <v>0</v>
      </c>
      <c r="T30" s="53">
        <f t="shared" si="3"/>
        <v>0</v>
      </c>
      <c r="U30" s="54"/>
      <c r="V30" s="55">
        <f t="shared" si="5"/>
        <v>0</v>
      </c>
      <c r="W30" s="54"/>
      <c r="X30" s="56">
        <f>IF(W31=0,31-W30,W31-W30)</f>
        <v>31</v>
      </c>
      <c r="Y30" s="53">
        <f t="shared" si="4"/>
        <v>0</v>
      </c>
    </row>
    <row r="31" spans="1:25" ht="15.75" thickBot="1" x14ac:dyDescent="0.3">
      <c r="A31" s="17"/>
      <c r="B31" s="17"/>
      <c r="C31" s="17"/>
      <c r="D31" s="18"/>
      <c r="E31" s="27"/>
      <c r="F31" s="62" t="s">
        <v>9</v>
      </c>
      <c r="G31" s="63" t="s">
        <v>28</v>
      </c>
      <c r="H31" s="28"/>
      <c r="I31" s="29"/>
      <c r="M31" s="7"/>
      <c r="R31" s="43"/>
      <c r="S31" s="43"/>
      <c r="T31" s="43"/>
      <c r="U31" s="56">
        <f>SUM(U18:U30)</f>
        <v>45</v>
      </c>
      <c r="V31" s="56"/>
      <c r="W31" s="56"/>
      <c r="X31" s="56">
        <f>SUM(X18:X30)</f>
        <v>247</v>
      </c>
      <c r="Y31" s="72">
        <f>SUM(Y18:Y30)</f>
        <v>15950.763333333332</v>
      </c>
    </row>
    <row r="32" spans="1:25" ht="15.75" thickBot="1" x14ac:dyDescent="0.3">
      <c r="A32" s="17"/>
      <c r="B32" s="17"/>
      <c r="C32" s="17"/>
      <c r="D32" s="18"/>
      <c r="E32" s="27"/>
      <c r="F32" s="73">
        <f>IF(H29&gt;=0,B38/30*G29,0)</f>
        <v>0</v>
      </c>
      <c r="G32" s="74">
        <f>IF(H29&gt;=0,C36/30*G29*H29,C36/30*F29*G29)</f>
        <v>1947.9799999999998</v>
      </c>
      <c r="H32" s="25">
        <f>F32+G32</f>
        <v>1947.9799999999998</v>
      </c>
      <c r="I32" s="26" t="s">
        <v>50</v>
      </c>
      <c r="R32" s="5"/>
      <c r="S32" s="248" t="s">
        <v>86</v>
      </c>
      <c r="T32" s="249"/>
      <c r="U32" s="250"/>
      <c r="V32" s="5"/>
      <c r="W32" s="5"/>
      <c r="X32" s="5"/>
      <c r="Y32" s="96">
        <v>116.9</v>
      </c>
    </row>
    <row r="33" spans="1:25" ht="15.75" thickBot="1" x14ac:dyDescent="0.3">
      <c r="A33" s="17"/>
      <c r="B33" s="17"/>
      <c r="C33" s="17"/>
      <c r="D33" s="18"/>
      <c r="E33" s="75"/>
      <c r="F33" s="43"/>
      <c r="G33" s="71"/>
      <c r="H33" s="255">
        <f>H30+H32</f>
        <v>7956.74</v>
      </c>
      <c r="I33" s="246" t="s">
        <v>51</v>
      </c>
      <c r="M33" s="7"/>
      <c r="W33" s="251" t="s">
        <v>61</v>
      </c>
      <c r="X33" s="251"/>
      <c r="Y33" s="97">
        <f>Y31+Y32</f>
        <v>16067.663333333332</v>
      </c>
    </row>
    <row r="34" spans="1:25" ht="15.75" thickBot="1" x14ac:dyDescent="0.3">
      <c r="A34" s="30"/>
      <c r="B34" s="30"/>
      <c r="C34" s="30"/>
      <c r="D34" s="18"/>
      <c r="E34" s="14"/>
      <c r="F34" s="43"/>
      <c r="G34" s="71"/>
      <c r="H34" s="256"/>
      <c r="I34" s="247"/>
    </row>
    <row r="35" spans="1:25" ht="15.75" thickBot="1" x14ac:dyDescent="0.3">
      <c r="A35" s="44"/>
      <c r="B35" s="44"/>
      <c r="C35" s="44" t="s">
        <v>10</v>
      </c>
      <c r="D35" s="18"/>
      <c r="E35" s="31"/>
      <c r="F35" s="32"/>
      <c r="G35" s="32"/>
      <c r="H35" s="32"/>
      <c r="I35" s="33"/>
      <c r="K35" s="76"/>
      <c r="M35" s="7"/>
    </row>
    <row r="36" spans="1:25" ht="15.75" thickBot="1" x14ac:dyDescent="0.3">
      <c r="A36" s="77" t="s">
        <v>18</v>
      </c>
      <c r="B36" s="44" t="s">
        <v>9</v>
      </c>
      <c r="C36" s="43">
        <f>C28</f>
        <v>1947.98</v>
      </c>
    </row>
    <row r="37" spans="1:25" ht="26.25" thickBot="1" x14ac:dyDescent="0.3">
      <c r="A37" s="77" t="s">
        <v>18</v>
      </c>
      <c r="B37" s="78">
        <v>6492.53</v>
      </c>
      <c r="C37" s="59" t="s">
        <v>59</v>
      </c>
      <c r="E37" s="252" t="s">
        <v>52</v>
      </c>
      <c r="F37" s="253"/>
      <c r="G37" s="253"/>
      <c r="H37" s="253"/>
      <c r="I37" s="254"/>
      <c r="M37" s="7"/>
      <c r="R37" s="51" t="s">
        <v>35</v>
      </c>
      <c r="S37" s="51" t="s">
        <v>36</v>
      </c>
      <c r="T37" s="51" t="s">
        <v>37</v>
      </c>
      <c r="U37" s="52" t="s">
        <v>38</v>
      </c>
      <c r="V37" s="52" t="s">
        <v>39</v>
      </c>
      <c r="W37" s="51" t="s">
        <v>40</v>
      </c>
      <c r="X37" s="51" t="s">
        <v>41</v>
      </c>
      <c r="Y37" s="51" t="s">
        <v>7</v>
      </c>
    </row>
    <row r="38" spans="1:25" ht="15" x14ac:dyDescent="0.25">
      <c r="A38" s="44"/>
      <c r="B38" s="59">
        <f>B21</f>
        <v>6492.53</v>
      </c>
      <c r="C38" s="44"/>
      <c r="E38" s="8" t="s">
        <v>36</v>
      </c>
      <c r="F38" s="34">
        <f>IF(H38=1,B11,0)</f>
        <v>6492.53</v>
      </c>
      <c r="G38" s="35"/>
      <c r="H38" s="10">
        <v>1</v>
      </c>
      <c r="R38" s="79">
        <f>V38-10</f>
        <v>3</v>
      </c>
      <c r="S38" s="53">
        <f>IF(R38&gt;=0,$B$22/30*X38,0)</f>
        <v>432.83533333333332</v>
      </c>
      <c r="T38" s="53">
        <f t="shared" ref="T38:T50" si="6">IF(R38&gt;=0,$C$46/30*R38*X38,$C$46/30*V38*X38)</f>
        <v>107.648</v>
      </c>
      <c r="U38" s="54">
        <v>13</v>
      </c>
      <c r="V38" s="55">
        <f>U38</f>
        <v>13</v>
      </c>
      <c r="W38" s="54">
        <v>26</v>
      </c>
      <c r="X38" s="56">
        <f t="shared" ref="X38:X50" si="7">IF(W39=0,31-W38,W39-W38)</f>
        <v>2</v>
      </c>
      <c r="Y38" s="53">
        <f>S38+T38</f>
        <v>540.48333333333335</v>
      </c>
    </row>
    <row r="39" spans="1:25" ht="15" x14ac:dyDescent="0.25">
      <c r="E39" s="24" t="s">
        <v>12</v>
      </c>
      <c r="F39" s="53">
        <f>H39*C28</f>
        <v>3895.96</v>
      </c>
      <c r="G39" s="36"/>
      <c r="H39" s="43">
        <v>2</v>
      </c>
      <c r="K39" s="18"/>
      <c r="P39" s="80"/>
      <c r="R39" s="79">
        <f t="shared" ref="R39:R50" si="8">V39-10</f>
        <v>9</v>
      </c>
      <c r="S39" s="53">
        <f t="shared" ref="S39:S50" si="9">IF(R39&gt;=0,$B$22/30*X39,0)</f>
        <v>216.41766666666666</v>
      </c>
      <c r="T39" s="53">
        <f t="shared" si="6"/>
        <v>161.47199999999998</v>
      </c>
      <c r="U39" s="54">
        <v>6</v>
      </c>
      <c r="V39" s="55">
        <f>IF(U39=0,0,V38+U39)</f>
        <v>19</v>
      </c>
      <c r="W39" s="54">
        <v>28</v>
      </c>
      <c r="X39" s="56">
        <f t="shared" si="7"/>
        <v>1</v>
      </c>
      <c r="Y39" s="53">
        <f t="shared" ref="Y39:Y50" si="10">S39+T39</f>
        <v>377.88966666666664</v>
      </c>
    </row>
    <row r="40" spans="1:25" ht="15" x14ac:dyDescent="0.25">
      <c r="E40" s="24" t="s">
        <v>53</v>
      </c>
      <c r="F40" s="53">
        <f>H40*C20</f>
        <v>2670.56</v>
      </c>
      <c r="G40" s="36"/>
      <c r="H40" s="43">
        <v>8</v>
      </c>
      <c r="R40" s="79">
        <f t="shared" si="8"/>
        <v>12</v>
      </c>
      <c r="S40" s="53">
        <f t="shared" si="9"/>
        <v>432.83533333333332</v>
      </c>
      <c r="T40" s="53">
        <f t="shared" si="6"/>
        <v>430.59199999999998</v>
      </c>
      <c r="U40" s="54">
        <v>3</v>
      </c>
      <c r="V40" s="55">
        <f t="shared" ref="V40:V50" si="11">IF(U40=0,0,V39+U40)</f>
        <v>22</v>
      </c>
      <c r="W40" s="54">
        <v>29</v>
      </c>
      <c r="X40" s="56">
        <f t="shared" si="7"/>
        <v>2</v>
      </c>
      <c r="Y40" s="53">
        <f t="shared" si="10"/>
        <v>863.42733333333331</v>
      </c>
    </row>
    <row r="41" spans="1:25" ht="15" x14ac:dyDescent="0.25">
      <c r="D41" s="20"/>
      <c r="E41" s="24" t="s">
        <v>54</v>
      </c>
      <c r="F41" s="53">
        <f>H41*B3</f>
        <v>0</v>
      </c>
      <c r="G41" s="36">
        <f>F39+F40</f>
        <v>6566.52</v>
      </c>
      <c r="H41" s="43">
        <v>0</v>
      </c>
      <c r="L41" s="37"/>
      <c r="M41" s="37"/>
      <c r="R41" s="79">
        <f t="shared" si="8"/>
        <v>-10</v>
      </c>
      <c r="S41" s="53">
        <f t="shared" si="9"/>
        <v>0</v>
      </c>
      <c r="T41" s="53">
        <f t="shared" si="6"/>
        <v>0</v>
      </c>
      <c r="U41" s="54"/>
      <c r="V41" s="55">
        <f t="shared" si="11"/>
        <v>0</v>
      </c>
      <c r="W41" s="54"/>
      <c r="X41" s="56">
        <f t="shared" si="7"/>
        <v>31</v>
      </c>
      <c r="Y41" s="53">
        <f t="shared" si="10"/>
        <v>0</v>
      </c>
    </row>
    <row r="42" spans="1:25" ht="15" x14ac:dyDescent="0.25">
      <c r="D42" s="81"/>
      <c r="E42" s="24"/>
      <c r="F42" s="53"/>
      <c r="G42" s="36"/>
      <c r="H42" s="43"/>
      <c r="R42" s="79">
        <f t="shared" si="8"/>
        <v>-10</v>
      </c>
      <c r="S42" s="53">
        <f t="shared" si="9"/>
        <v>0</v>
      </c>
      <c r="T42" s="53">
        <f t="shared" si="6"/>
        <v>0</v>
      </c>
      <c r="U42" s="54"/>
      <c r="V42" s="55">
        <f t="shared" si="11"/>
        <v>0</v>
      </c>
      <c r="W42" s="54"/>
      <c r="X42" s="56">
        <f t="shared" si="7"/>
        <v>31</v>
      </c>
      <c r="Y42" s="53">
        <f t="shared" si="10"/>
        <v>0</v>
      </c>
    </row>
    <row r="43" spans="1:25" ht="15.75" thickBot="1" x14ac:dyDescent="0.3">
      <c r="E43" s="38"/>
      <c r="F43" s="39">
        <f>F38+F39+F40+F41</f>
        <v>13059.05</v>
      </c>
      <c r="G43" s="40"/>
      <c r="H43" s="41"/>
      <c r="R43" s="79">
        <f t="shared" si="8"/>
        <v>-10</v>
      </c>
      <c r="S43" s="53">
        <f t="shared" si="9"/>
        <v>0</v>
      </c>
      <c r="T43" s="53">
        <f t="shared" si="6"/>
        <v>0</v>
      </c>
      <c r="U43" s="54"/>
      <c r="V43" s="55">
        <f t="shared" si="11"/>
        <v>0</v>
      </c>
      <c r="W43" s="54"/>
      <c r="X43" s="56">
        <f t="shared" si="7"/>
        <v>31</v>
      </c>
      <c r="Y43" s="53">
        <f t="shared" si="10"/>
        <v>0</v>
      </c>
    </row>
    <row r="44" spans="1:25" ht="15" x14ac:dyDescent="0.25">
      <c r="R44" s="79">
        <f t="shared" si="8"/>
        <v>-10</v>
      </c>
      <c r="S44" s="53">
        <f t="shared" si="9"/>
        <v>0</v>
      </c>
      <c r="T44" s="53">
        <f t="shared" si="6"/>
        <v>0</v>
      </c>
      <c r="U44" s="54"/>
      <c r="V44" s="55">
        <f t="shared" si="11"/>
        <v>0</v>
      </c>
      <c r="W44" s="54"/>
      <c r="X44" s="56">
        <f t="shared" si="7"/>
        <v>31</v>
      </c>
      <c r="Y44" s="53">
        <f t="shared" si="10"/>
        <v>0</v>
      </c>
    </row>
    <row r="45" spans="1:25" ht="15.75" thickBot="1" x14ac:dyDescent="0.3">
      <c r="A45" s="82" t="s">
        <v>19</v>
      </c>
      <c r="B45" s="45" t="s">
        <v>9</v>
      </c>
      <c r="C45" s="45" t="s">
        <v>10</v>
      </c>
      <c r="R45" s="79">
        <f t="shared" si="8"/>
        <v>-10</v>
      </c>
      <c r="S45" s="53">
        <f t="shared" si="9"/>
        <v>0</v>
      </c>
      <c r="T45" s="53">
        <f t="shared" si="6"/>
        <v>0</v>
      </c>
      <c r="U45" s="54"/>
      <c r="V45" s="55">
        <f t="shared" si="11"/>
        <v>0</v>
      </c>
      <c r="W45" s="54"/>
      <c r="X45" s="56">
        <f t="shared" si="7"/>
        <v>31</v>
      </c>
      <c r="Y45" s="53">
        <f t="shared" si="10"/>
        <v>0</v>
      </c>
    </row>
    <row r="46" spans="1:25" ht="15.75" thickBot="1" x14ac:dyDescent="0.3">
      <c r="A46" s="58" t="s">
        <v>20</v>
      </c>
      <c r="B46" s="21">
        <v>0</v>
      </c>
      <c r="C46" s="83">
        <v>538.24</v>
      </c>
      <c r="E46" s="241" t="s">
        <v>55</v>
      </c>
      <c r="F46" s="242"/>
      <c r="G46" s="242"/>
      <c r="H46" s="242"/>
      <c r="I46" s="243"/>
      <c r="R46" s="79">
        <f t="shared" si="8"/>
        <v>-10</v>
      </c>
      <c r="S46" s="53">
        <f t="shared" si="9"/>
        <v>0</v>
      </c>
      <c r="T46" s="53">
        <f t="shared" si="6"/>
        <v>0</v>
      </c>
      <c r="U46" s="54"/>
      <c r="V46" s="55">
        <f t="shared" si="11"/>
        <v>0</v>
      </c>
      <c r="W46" s="54"/>
      <c r="X46" s="56">
        <f t="shared" si="7"/>
        <v>31</v>
      </c>
      <c r="Y46" s="53">
        <f t="shared" si="10"/>
        <v>0</v>
      </c>
    </row>
    <row r="47" spans="1:25" ht="15" x14ac:dyDescent="0.25">
      <c r="A47" s="58">
        <v>10</v>
      </c>
      <c r="B47" s="21">
        <f>B38</f>
        <v>6492.53</v>
      </c>
      <c r="C47" s="21">
        <v>0</v>
      </c>
      <c r="E47" s="8"/>
      <c r="F47" s="9" t="s">
        <v>43</v>
      </c>
      <c r="G47" s="9" t="s">
        <v>22</v>
      </c>
      <c r="H47" s="10"/>
      <c r="I47" s="11"/>
      <c r="R47" s="79">
        <f t="shared" si="8"/>
        <v>-10</v>
      </c>
      <c r="S47" s="53">
        <f t="shared" si="9"/>
        <v>0</v>
      </c>
      <c r="T47" s="53">
        <f t="shared" si="6"/>
        <v>0</v>
      </c>
      <c r="U47" s="54"/>
      <c r="V47" s="55">
        <f t="shared" si="11"/>
        <v>0</v>
      </c>
      <c r="W47" s="54"/>
      <c r="X47" s="56">
        <f t="shared" si="7"/>
        <v>31</v>
      </c>
      <c r="Y47" s="53">
        <f t="shared" si="10"/>
        <v>0</v>
      </c>
    </row>
    <row r="48" spans="1:25" ht="15" x14ac:dyDescent="0.25">
      <c r="A48" s="58" t="s">
        <v>21</v>
      </c>
      <c r="B48" s="21">
        <f>B38</f>
        <v>6492.53</v>
      </c>
      <c r="C48" s="83">
        <f>C46</f>
        <v>538.24</v>
      </c>
      <c r="E48" s="12" t="s">
        <v>44</v>
      </c>
      <c r="F48" s="43">
        <v>11</v>
      </c>
      <c r="G48" s="59">
        <v>2</v>
      </c>
      <c r="H48" s="43">
        <f>F48-10</f>
        <v>1</v>
      </c>
      <c r="I48" s="13"/>
      <c r="R48" s="79">
        <f t="shared" si="8"/>
        <v>-10</v>
      </c>
      <c r="S48" s="53">
        <f t="shared" si="9"/>
        <v>0</v>
      </c>
      <c r="T48" s="53">
        <f t="shared" si="6"/>
        <v>0</v>
      </c>
      <c r="U48" s="54"/>
      <c r="V48" s="55">
        <f t="shared" si="11"/>
        <v>0</v>
      </c>
      <c r="W48" s="54"/>
      <c r="X48" s="56">
        <f t="shared" si="7"/>
        <v>31</v>
      </c>
      <c r="Y48" s="53">
        <f t="shared" si="10"/>
        <v>0</v>
      </c>
    </row>
    <row r="49" spans="1:25" ht="15" x14ac:dyDescent="0.25">
      <c r="E49" s="14" t="s">
        <v>45</v>
      </c>
      <c r="F49">
        <v>0</v>
      </c>
      <c r="G49">
        <f>D3</f>
        <v>20</v>
      </c>
      <c r="H49" s="15">
        <f>G49*F49*C3</f>
        <v>0</v>
      </c>
      <c r="I49" s="16"/>
      <c r="R49" s="79">
        <f t="shared" si="8"/>
        <v>-10</v>
      </c>
      <c r="S49" s="53">
        <f t="shared" si="9"/>
        <v>0</v>
      </c>
      <c r="T49" s="53">
        <f t="shared" si="6"/>
        <v>0</v>
      </c>
      <c r="U49" s="54"/>
      <c r="V49" s="55">
        <f t="shared" si="11"/>
        <v>0</v>
      </c>
      <c r="W49" s="54"/>
      <c r="X49" s="56">
        <f t="shared" si="7"/>
        <v>31</v>
      </c>
      <c r="Y49" s="53">
        <f t="shared" si="10"/>
        <v>0</v>
      </c>
    </row>
    <row r="50" spans="1:25" ht="15.75" thickBot="1" x14ac:dyDescent="0.3">
      <c r="E50" t="s">
        <v>46</v>
      </c>
      <c r="F50">
        <v>0</v>
      </c>
      <c r="H50" s="60">
        <f>F50*B3</f>
        <v>0</v>
      </c>
      <c r="I50" s="61" t="s">
        <v>47</v>
      </c>
      <c r="R50" s="79">
        <f t="shared" si="8"/>
        <v>-10</v>
      </c>
      <c r="S50" s="53">
        <f t="shared" si="9"/>
        <v>0</v>
      </c>
      <c r="T50" s="53">
        <f t="shared" si="6"/>
        <v>0</v>
      </c>
      <c r="U50" s="54"/>
      <c r="V50" s="55">
        <f t="shared" si="11"/>
        <v>0</v>
      </c>
      <c r="W50" s="54"/>
      <c r="X50" s="56">
        <f t="shared" si="7"/>
        <v>31</v>
      </c>
      <c r="Y50" s="53">
        <f t="shared" si="10"/>
        <v>0</v>
      </c>
    </row>
    <row r="51" spans="1:25" ht="15" x14ac:dyDescent="0.25">
      <c r="E51" s="12"/>
      <c r="F51" s="62" t="s">
        <v>9</v>
      </c>
      <c r="G51" s="63" t="s">
        <v>28</v>
      </c>
      <c r="H51" s="244">
        <f>F52+G52+H49+H50</f>
        <v>468.71799999999996</v>
      </c>
      <c r="I51" s="246" t="s">
        <v>48</v>
      </c>
      <c r="R51" s="43"/>
      <c r="S51" s="43"/>
      <c r="T51" s="43"/>
      <c r="U51" s="56">
        <f>SUM(U38:U50)</f>
        <v>22</v>
      </c>
      <c r="V51" s="56"/>
      <c r="W51" s="56"/>
      <c r="X51" s="56">
        <f>SUM(X38:X50)</f>
        <v>315</v>
      </c>
      <c r="Y51" s="72">
        <f>SUM(Y38:Y50)</f>
        <v>1781.8003333333334</v>
      </c>
    </row>
    <row r="52" spans="1:25" ht="15.75" thickBot="1" x14ac:dyDescent="0.3">
      <c r="E52" s="19"/>
      <c r="F52" s="64">
        <f>IF(H48&gt;=0,B48/30*G48,0)</f>
        <v>432.83533333333332</v>
      </c>
      <c r="G52" s="65">
        <f>IF(H48&gt;=0,C46/30*G48*H48,C46/30*F48*G48)</f>
        <v>35.882666666666665</v>
      </c>
      <c r="H52" s="245"/>
      <c r="I52" s="247"/>
      <c r="K52" s="80"/>
    </row>
    <row r="53" spans="1:25" x14ac:dyDescent="0.2">
      <c r="K53" s="42"/>
    </row>
    <row r="57" spans="1:25" x14ac:dyDescent="0.2">
      <c r="S57" s="3" t="s">
        <v>60</v>
      </c>
    </row>
    <row r="58" spans="1:25" ht="25.5" x14ac:dyDescent="0.2">
      <c r="G58" s="4">
        <v>45536</v>
      </c>
      <c r="R58" s="51" t="s">
        <v>35</v>
      </c>
      <c r="S58" s="51" t="s">
        <v>36</v>
      </c>
      <c r="T58" s="51" t="s">
        <v>37</v>
      </c>
      <c r="U58" s="52" t="s">
        <v>38</v>
      </c>
      <c r="V58" s="52" t="s">
        <v>39</v>
      </c>
      <c r="W58" s="51" t="s">
        <v>40</v>
      </c>
      <c r="X58" s="51" t="s">
        <v>41</v>
      </c>
      <c r="Y58" s="51" t="s">
        <v>7</v>
      </c>
    </row>
    <row r="59" spans="1:25" ht="15" x14ac:dyDescent="0.25">
      <c r="A59" s="57" t="s">
        <v>8</v>
      </c>
      <c r="B59" s="45" t="s">
        <v>9</v>
      </c>
      <c r="C59" s="45" t="s">
        <v>10</v>
      </c>
      <c r="G59" s="43"/>
      <c r="H59" s="43" t="s">
        <v>4</v>
      </c>
      <c r="I59" s="43" t="s">
        <v>24</v>
      </c>
      <c r="J59" s="43" t="s">
        <v>6</v>
      </c>
      <c r="K59" s="43" t="s">
        <v>7</v>
      </c>
      <c r="R59" s="79">
        <f>V59-10</f>
        <v>1</v>
      </c>
      <c r="S59" s="53">
        <f>IF(R59&gt;=0,$B$22/30*X59,0)</f>
        <v>216.41766666666666</v>
      </c>
      <c r="T59" s="53">
        <f t="shared" ref="T59:T71" si="12">IF(R59&gt;=0,$C$46/30*R59*X59,$C$46/30*V59*X59)</f>
        <v>17.941333333333333</v>
      </c>
      <c r="U59" s="54">
        <v>11</v>
      </c>
      <c r="V59" s="55">
        <f>U59</f>
        <v>11</v>
      </c>
      <c r="W59" s="54">
        <v>29</v>
      </c>
      <c r="X59" s="56">
        <f t="shared" ref="X59:X71" si="13">IF(W60=0,31-W59,W60-W59)</f>
        <v>1</v>
      </c>
      <c r="Y59" s="53">
        <f>S59+T59</f>
        <v>234.35899999999998</v>
      </c>
    </row>
    <row r="60" spans="1:25" ht="15" x14ac:dyDescent="0.25">
      <c r="A60" s="58" t="s">
        <v>11</v>
      </c>
      <c r="B60" s="21">
        <v>0</v>
      </c>
      <c r="C60" s="21">
        <v>333.82</v>
      </c>
      <c r="G60" s="43" t="s">
        <v>5</v>
      </c>
      <c r="H60" s="43">
        <v>10</v>
      </c>
      <c r="I60" s="43">
        <v>10</v>
      </c>
      <c r="J60" s="43">
        <v>30</v>
      </c>
      <c r="K60" s="84">
        <f>I60*C60/30*J60</f>
        <v>3338.2</v>
      </c>
      <c r="R60" s="79">
        <f t="shared" ref="R60:R71" si="14">V60-10</f>
        <v>4</v>
      </c>
      <c r="S60" s="53">
        <f t="shared" ref="S60:S71" si="15">IF(R60&gt;=0,$B$22/30*X60,0)</f>
        <v>216.41766666666666</v>
      </c>
      <c r="T60" s="53">
        <f t="shared" si="12"/>
        <v>71.765333333333331</v>
      </c>
      <c r="U60" s="54">
        <v>3</v>
      </c>
      <c r="V60" s="55">
        <f>IF(U60=0,0,V59+U60)</f>
        <v>14</v>
      </c>
      <c r="W60" s="54">
        <v>30</v>
      </c>
      <c r="X60" s="56">
        <f t="shared" si="13"/>
        <v>1</v>
      </c>
      <c r="Y60" s="53">
        <f t="shared" ref="Y60:Y71" si="16">S60+T60</f>
        <v>288.18299999999999</v>
      </c>
    </row>
    <row r="61" spans="1:25" ht="15" x14ac:dyDescent="0.25">
      <c r="A61" s="58">
        <v>16</v>
      </c>
      <c r="B61" s="21">
        <v>6492.53</v>
      </c>
      <c r="C61" s="21">
        <v>0</v>
      </c>
      <c r="G61" s="43" t="s">
        <v>12</v>
      </c>
      <c r="H61" s="43"/>
      <c r="I61" s="43"/>
      <c r="J61" s="43"/>
      <c r="K61" s="84">
        <f>I61*C68/30*J61</f>
        <v>0</v>
      </c>
      <c r="R61" s="79">
        <f t="shared" si="14"/>
        <v>-10</v>
      </c>
      <c r="S61" s="53">
        <f t="shared" si="15"/>
        <v>0</v>
      </c>
      <c r="T61" s="53">
        <f t="shared" si="12"/>
        <v>0</v>
      </c>
      <c r="U61" s="54"/>
      <c r="V61" s="55">
        <f t="shared" ref="V61:V71" si="17">IF(U61=0,0,V60+U61)</f>
        <v>0</v>
      </c>
      <c r="W61" s="54"/>
      <c r="X61" s="56">
        <f t="shared" si="13"/>
        <v>31</v>
      </c>
      <c r="Y61" s="53">
        <f t="shared" si="16"/>
        <v>0</v>
      </c>
    </row>
    <row r="62" spans="1:25" ht="15" x14ac:dyDescent="0.25">
      <c r="A62" s="58" t="s">
        <v>14</v>
      </c>
      <c r="B62" s="21">
        <f>B61</f>
        <v>6492.53</v>
      </c>
      <c r="C62" s="21">
        <f>C60</f>
        <v>333.82</v>
      </c>
      <c r="G62" s="43" t="s">
        <v>13</v>
      </c>
      <c r="H62" s="43"/>
      <c r="I62" s="43"/>
      <c r="J62" s="43"/>
      <c r="K62" s="84">
        <f>I62*C78/30*J62</f>
        <v>0</v>
      </c>
      <c r="R62" s="79">
        <f t="shared" si="14"/>
        <v>-10</v>
      </c>
      <c r="S62" s="53">
        <f t="shared" si="15"/>
        <v>0</v>
      </c>
      <c r="T62" s="53">
        <f t="shared" si="12"/>
        <v>0</v>
      </c>
      <c r="U62" s="54"/>
      <c r="V62" s="55">
        <f t="shared" si="17"/>
        <v>0</v>
      </c>
      <c r="W62" s="54"/>
      <c r="X62" s="56">
        <f t="shared" si="13"/>
        <v>31</v>
      </c>
      <c r="Y62" s="53">
        <f t="shared" si="16"/>
        <v>0</v>
      </c>
    </row>
    <row r="63" spans="1:25" ht="15" x14ac:dyDescent="0.25">
      <c r="G63" s="43" t="s">
        <v>25</v>
      </c>
      <c r="H63" s="43"/>
      <c r="I63" s="43"/>
      <c r="J63" s="43"/>
      <c r="K63" s="84">
        <f>H63/30*J63</f>
        <v>0</v>
      </c>
      <c r="R63" s="79">
        <f t="shared" si="14"/>
        <v>-10</v>
      </c>
      <c r="S63" s="53">
        <f t="shared" si="15"/>
        <v>0</v>
      </c>
      <c r="T63" s="53">
        <f t="shared" si="12"/>
        <v>0</v>
      </c>
      <c r="U63" s="54"/>
      <c r="V63" s="55">
        <f t="shared" si="17"/>
        <v>0</v>
      </c>
      <c r="W63" s="54"/>
      <c r="X63" s="56">
        <f t="shared" si="13"/>
        <v>31</v>
      </c>
      <c r="Y63" s="53">
        <f t="shared" si="16"/>
        <v>0</v>
      </c>
    </row>
    <row r="64" spans="1:25" ht="15" x14ac:dyDescent="0.25">
      <c r="G64" s="43" t="s">
        <v>56</v>
      </c>
      <c r="H64" s="43"/>
      <c r="I64" s="43"/>
      <c r="J64" s="43"/>
      <c r="K64" s="43"/>
      <c r="R64" s="79">
        <f t="shared" si="14"/>
        <v>-10</v>
      </c>
      <c r="S64" s="53">
        <f t="shared" si="15"/>
        <v>0</v>
      </c>
      <c r="T64" s="53">
        <f t="shared" si="12"/>
        <v>0</v>
      </c>
      <c r="U64" s="54"/>
      <c r="V64" s="55">
        <f t="shared" si="17"/>
        <v>0</v>
      </c>
      <c r="W64" s="54"/>
      <c r="X64" s="56">
        <f t="shared" si="13"/>
        <v>31</v>
      </c>
      <c r="Y64" s="53">
        <f t="shared" si="16"/>
        <v>0</v>
      </c>
    </row>
    <row r="65" spans="1:25" ht="15" x14ac:dyDescent="0.25">
      <c r="G65" s="43" t="s">
        <v>71</v>
      </c>
      <c r="H65" s="43"/>
      <c r="I65" s="43"/>
      <c r="J65" s="43"/>
      <c r="K65" s="43"/>
      <c r="R65" s="79">
        <f t="shared" si="14"/>
        <v>-10</v>
      </c>
      <c r="S65" s="53">
        <f t="shared" si="15"/>
        <v>0</v>
      </c>
      <c r="T65" s="53">
        <f t="shared" si="12"/>
        <v>0</v>
      </c>
      <c r="U65" s="54"/>
      <c r="V65" s="55">
        <f t="shared" si="17"/>
        <v>0</v>
      </c>
      <c r="W65" s="54"/>
      <c r="X65" s="56">
        <f t="shared" si="13"/>
        <v>31</v>
      </c>
      <c r="Y65" s="53">
        <f t="shared" si="16"/>
        <v>0</v>
      </c>
    </row>
    <row r="66" spans="1:25" ht="15" x14ac:dyDescent="0.25">
      <c r="G66" s="43" t="s">
        <v>15</v>
      </c>
      <c r="H66" s="43"/>
      <c r="I66" s="43"/>
      <c r="J66" s="43"/>
      <c r="K66" s="85">
        <f>K60+K61+K62+K63+K64+K65</f>
        <v>3338.2</v>
      </c>
      <c r="R66" s="79">
        <f t="shared" si="14"/>
        <v>-10</v>
      </c>
      <c r="S66" s="53">
        <f t="shared" si="15"/>
        <v>0</v>
      </c>
      <c r="T66" s="53">
        <f t="shared" si="12"/>
        <v>0</v>
      </c>
      <c r="U66" s="54"/>
      <c r="V66" s="55">
        <f t="shared" si="17"/>
        <v>0</v>
      </c>
      <c r="W66" s="54"/>
      <c r="X66" s="56">
        <f t="shared" si="13"/>
        <v>31</v>
      </c>
      <c r="Y66" s="53">
        <f t="shared" si="16"/>
        <v>0</v>
      </c>
    </row>
    <row r="67" spans="1:25" ht="15" x14ac:dyDescent="0.25">
      <c r="A67" s="66" t="s">
        <v>16</v>
      </c>
      <c r="B67" s="45" t="s">
        <v>9</v>
      </c>
      <c r="C67" s="45" t="s">
        <v>10</v>
      </c>
      <c r="G67" s="4"/>
      <c r="R67" s="79">
        <f t="shared" si="14"/>
        <v>-10</v>
      </c>
      <c r="S67" s="53">
        <f t="shared" si="15"/>
        <v>0</v>
      </c>
      <c r="T67" s="53">
        <f t="shared" si="12"/>
        <v>0</v>
      </c>
      <c r="U67" s="54"/>
      <c r="V67" s="55">
        <f t="shared" si="17"/>
        <v>0</v>
      </c>
      <c r="W67" s="54"/>
      <c r="X67" s="56">
        <f t="shared" si="13"/>
        <v>31</v>
      </c>
      <c r="Y67" s="53">
        <f t="shared" si="16"/>
        <v>0</v>
      </c>
    </row>
    <row r="68" spans="1:25" ht="15" x14ac:dyDescent="0.25">
      <c r="A68" s="58">
        <v>1</v>
      </c>
      <c r="B68" s="21">
        <v>0</v>
      </c>
      <c r="C68" s="21">
        <v>1947.98</v>
      </c>
      <c r="G68" s="4">
        <v>45554</v>
      </c>
      <c r="R68" s="79">
        <f t="shared" si="14"/>
        <v>-10</v>
      </c>
      <c r="S68" s="53">
        <f t="shared" si="15"/>
        <v>0</v>
      </c>
      <c r="T68" s="53">
        <f t="shared" si="12"/>
        <v>0</v>
      </c>
      <c r="U68" s="54"/>
      <c r="V68" s="55">
        <f t="shared" si="17"/>
        <v>0</v>
      </c>
      <c r="W68" s="54"/>
      <c r="X68" s="56">
        <f t="shared" si="13"/>
        <v>31</v>
      </c>
      <c r="Y68" s="53">
        <f t="shared" si="16"/>
        <v>0</v>
      </c>
    </row>
    <row r="69" spans="1:25" ht="15" x14ac:dyDescent="0.25">
      <c r="A69" s="58">
        <v>2</v>
      </c>
      <c r="B69" s="21">
        <v>6492.53</v>
      </c>
      <c r="C69" s="21">
        <v>0</v>
      </c>
      <c r="G69" s="43"/>
      <c r="H69" s="43"/>
      <c r="I69" s="43"/>
      <c r="J69" s="43"/>
      <c r="K69" s="43"/>
      <c r="R69" s="79">
        <f t="shared" si="14"/>
        <v>-10</v>
      </c>
      <c r="S69" s="53">
        <f t="shared" si="15"/>
        <v>0</v>
      </c>
      <c r="T69" s="53">
        <f t="shared" si="12"/>
        <v>0</v>
      </c>
      <c r="U69" s="54"/>
      <c r="V69" s="55">
        <f t="shared" si="17"/>
        <v>0</v>
      </c>
      <c r="W69" s="54"/>
      <c r="X69" s="56">
        <f t="shared" si="13"/>
        <v>31</v>
      </c>
      <c r="Y69" s="53">
        <f t="shared" si="16"/>
        <v>0</v>
      </c>
    </row>
    <row r="70" spans="1:25" ht="15" x14ac:dyDescent="0.25">
      <c r="A70" s="58" t="s">
        <v>17</v>
      </c>
      <c r="B70" s="21">
        <f>B69</f>
        <v>6492.53</v>
      </c>
      <c r="C70" s="21">
        <f>C68</f>
        <v>1947.98</v>
      </c>
      <c r="G70" s="43"/>
      <c r="H70" s="43" t="s">
        <v>4</v>
      </c>
      <c r="I70" s="43" t="s">
        <v>24</v>
      </c>
      <c r="J70" s="43" t="s">
        <v>6</v>
      </c>
      <c r="K70" s="43" t="s">
        <v>7</v>
      </c>
      <c r="R70" s="79">
        <f t="shared" si="14"/>
        <v>-10</v>
      </c>
      <c r="S70" s="53">
        <f t="shared" si="15"/>
        <v>0</v>
      </c>
      <c r="T70" s="53">
        <f t="shared" si="12"/>
        <v>0</v>
      </c>
      <c r="U70" s="54"/>
      <c r="V70" s="55">
        <f t="shared" si="17"/>
        <v>0</v>
      </c>
      <c r="W70" s="54"/>
      <c r="X70" s="56">
        <f t="shared" si="13"/>
        <v>31</v>
      </c>
      <c r="Y70" s="53">
        <f t="shared" si="16"/>
        <v>0</v>
      </c>
    </row>
    <row r="71" spans="1:25" ht="15" x14ac:dyDescent="0.25">
      <c r="G71" s="43" t="s">
        <v>5</v>
      </c>
      <c r="H71" s="43">
        <v>1</v>
      </c>
      <c r="I71" s="43">
        <v>1</v>
      </c>
      <c r="J71" s="43">
        <v>12</v>
      </c>
      <c r="K71" s="85">
        <f>H71*C60/30*J71</f>
        <v>133.52799999999999</v>
      </c>
      <c r="R71" s="79">
        <f t="shared" si="14"/>
        <v>-10</v>
      </c>
      <c r="S71" s="53">
        <f t="shared" si="15"/>
        <v>0</v>
      </c>
      <c r="T71" s="53">
        <f t="shared" si="12"/>
        <v>0</v>
      </c>
      <c r="U71" s="54"/>
      <c r="V71" s="55">
        <f t="shared" si="17"/>
        <v>0</v>
      </c>
      <c r="W71" s="54"/>
      <c r="X71" s="56">
        <f t="shared" si="13"/>
        <v>31</v>
      </c>
      <c r="Y71" s="53">
        <f t="shared" si="16"/>
        <v>0</v>
      </c>
    </row>
    <row r="72" spans="1:25" x14ac:dyDescent="0.2">
      <c r="H72" s="1"/>
      <c r="K72" s="2"/>
      <c r="R72" s="43"/>
      <c r="S72" s="43"/>
      <c r="T72" s="43"/>
      <c r="U72" s="56">
        <f>SUM(U59:U71)</f>
        <v>14</v>
      </c>
      <c r="V72" s="56"/>
      <c r="W72" s="56"/>
      <c r="X72" s="56">
        <f>SUM(X59:X71)</f>
        <v>343</v>
      </c>
      <c r="Y72" s="72">
        <f>SUM(Y59:Y71)</f>
        <v>522.54199999999992</v>
      </c>
    </row>
    <row r="73" spans="1:25" x14ac:dyDescent="0.2">
      <c r="G73" s="4"/>
    </row>
    <row r="74" spans="1:25" x14ac:dyDescent="0.2">
      <c r="A74" s="86" t="s">
        <v>18</v>
      </c>
      <c r="B74" s="43" t="s">
        <v>9</v>
      </c>
      <c r="C74" s="43" t="s">
        <v>10</v>
      </c>
      <c r="J74" t="s">
        <v>61</v>
      </c>
      <c r="K74" s="90">
        <f>K66+K71+K76+K81+K92</f>
        <v>3471.7279999999996</v>
      </c>
      <c r="M74" s="2">
        <f>K66+K71</f>
        <v>3471.7279999999996</v>
      </c>
    </row>
    <row r="75" spans="1:25" x14ac:dyDescent="0.2">
      <c r="A75" s="86" t="s">
        <v>18</v>
      </c>
      <c r="B75" s="87">
        <v>9935.3700000000008</v>
      </c>
      <c r="C75" s="87" t="s">
        <v>59</v>
      </c>
    </row>
    <row r="76" spans="1:25" x14ac:dyDescent="0.2">
      <c r="K76" s="2"/>
    </row>
    <row r="77" spans="1:25" x14ac:dyDescent="0.2">
      <c r="A77" s="88" t="s">
        <v>19</v>
      </c>
      <c r="B77" s="43" t="s">
        <v>9</v>
      </c>
      <c r="C77" s="43" t="s">
        <v>10</v>
      </c>
      <c r="H77" s="1"/>
    </row>
    <row r="78" spans="1:25" x14ac:dyDescent="0.2">
      <c r="A78" s="87" t="s">
        <v>20</v>
      </c>
      <c r="B78" s="87">
        <v>0</v>
      </c>
      <c r="C78" s="87">
        <v>538.24</v>
      </c>
      <c r="G78" s="4"/>
    </row>
    <row r="79" spans="1:25" x14ac:dyDescent="0.2">
      <c r="A79" s="87">
        <v>10</v>
      </c>
      <c r="B79" s="87">
        <v>6492.53</v>
      </c>
      <c r="C79" s="87">
        <v>0</v>
      </c>
    </row>
    <row r="80" spans="1:25" x14ac:dyDescent="0.2">
      <c r="A80" s="87" t="s">
        <v>21</v>
      </c>
      <c r="B80" s="87">
        <v>6492.53</v>
      </c>
      <c r="C80" s="87">
        <v>538.24</v>
      </c>
    </row>
    <row r="81" spans="1:11" x14ac:dyDescent="0.2">
      <c r="K81" s="2"/>
    </row>
    <row r="82" spans="1:11" x14ac:dyDescent="0.2">
      <c r="H82" s="1"/>
    </row>
    <row r="83" spans="1:11" x14ac:dyDescent="0.2">
      <c r="G83" s="4"/>
    </row>
    <row r="84" spans="1:11" x14ac:dyDescent="0.2">
      <c r="A84" s="43" t="s">
        <v>27</v>
      </c>
      <c r="B84" s="89"/>
      <c r="C84" s="43"/>
      <c r="D84" s="43" t="s">
        <v>3</v>
      </c>
    </row>
    <row r="85" spans="1:11" x14ac:dyDescent="0.2">
      <c r="A85" s="43" t="s">
        <v>23</v>
      </c>
      <c r="B85" s="89"/>
      <c r="C85" s="43">
        <v>8.35</v>
      </c>
      <c r="D85" s="43"/>
    </row>
    <row r="86" spans="1:11" x14ac:dyDescent="0.2">
      <c r="A86" s="43" t="s">
        <v>2</v>
      </c>
      <c r="B86" s="89"/>
      <c r="C86" s="43">
        <v>48.7</v>
      </c>
      <c r="D86" s="43"/>
    </row>
    <row r="90" spans="1:11" x14ac:dyDescent="0.2">
      <c r="G90" s="43"/>
      <c r="H90" s="43"/>
      <c r="I90" s="43"/>
      <c r="J90" s="43"/>
      <c r="K90" s="43"/>
    </row>
    <row r="91" spans="1:11" x14ac:dyDescent="0.2">
      <c r="G91" s="43"/>
      <c r="H91" s="43" t="s">
        <v>4</v>
      </c>
      <c r="I91" s="43" t="s">
        <v>24</v>
      </c>
      <c r="J91" s="43" t="s">
        <v>6</v>
      </c>
      <c r="K91" s="43" t="s">
        <v>7</v>
      </c>
    </row>
    <row r="92" spans="1:11" x14ac:dyDescent="0.2">
      <c r="G92" s="43" t="s">
        <v>5</v>
      </c>
      <c r="H92" s="43"/>
      <c r="I92" s="43"/>
      <c r="J92" s="43"/>
      <c r="K92" s="85">
        <f>C60/30*J92</f>
        <v>0</v>
      </c>
    </row>
    <row r="94" spans="1:11" x14ac:dyDescent="0.2">
      <c r="A94" s="3" t="s">
        <v>26</v>
      </c>
      <c r="B94" s="3"/>
      <c r="C94" s="3"/>
      <c r="D94" s="3"/>
      <c r="E94" s="3"/>
      <c r="F94" s="3"/>
      <c r="G94" s="3"/>
      <c r="H94" s="3"/>
    </row>
    <row r="103" spans="6:9" x14ac:dyDescent="0.2">
      <c r="F103" s="5" t="s">
        <v>66</v>
      </c>
    </row>
    <row r="104" spans="6:9" x14ac:dyDescent="0.2">
      <c r="F104" s="5"/>
      <c r="G104" s="5" t="s">
        <v>68</v>
      </c>
      <c r="H104" s="5" t="s">
        <v>22</v>
      </c>
      <c r="I104" s="5" t="s">
        <v>0</v>
      </c>
    </row>
    <row r="105" spans="6:9" x14ac:dyDescent="0.2">
      <c r="F105" s="5" t="s">
        <v>67</v>
      </c>
      <c r="G105" s="5">
        <v>7</v>
      </c>
      <c r="H105" s="5">
        <v>2</v>
      </c>
      <c r="I105" s="91">
        <f>G105*C60/30*H105</f>
        <v>155.78266666666664</v>
      </c>
    </row>
    <row r="106" spans="6:9" x14ac:dyDescent="0.2">
      <c r="F106" s="5" t="s">
        <v>69</v>
      </c>
      <c r="G106" s="5"/>
      <c r="H106" s="5"/>
      <c r="I106" s="91">
        <f>G106*C68/30*H106</f>
        <v>0</v>
      </c>
    </row>
    <row r="107" spans="6:9" x14ac:dyDescent="0.2">
      <c r="F107" s="5" t="s">
        <v>60</v>
      </c>
      <c r="G107" s="5">
        <v>3</v>
      </c>
      <c r="H107" s="5">
        <v>1</v>
      </c>
      <c r="I107" s="91">
        <f>G107*C78/30*H107</f>
        <v>53.823999999999998</v>
      </c>
    </row>
    <row r="110" spans="6:9" x14ac:dyDescent="0.2">
      <c r="F110" t="s">
        <v>70</v>
      </c>
      <c r="G110" s="2">
        <f>F118/30</f>
        <v>339.56015555555553</v>
      </c>
    </row>
    <row r="111" spans="6:9" x14ac:dyDescent="0.2">
      <c r="G111">
        <v>166.91</v>
      </c>
    </row>
    <row r="118" spans="6:6" x14ac:dyDescent="0.2">
      <c r="F118" s="2">
        <v>10186.804666666665</v>
      </c>
    </row>
  </sheetData>
  <mergeCells count="13">
    <mergeCell ref="S32:U32"/>
    <mergeCell ref="W33:X33"/>
    <mergeCell ref="E37:I37"/>
    <mergeCell ref="E46:I46"/>
    <mergeCell ref="H51:H52"/>
    <mergeCell ref="I51:I52"/>
    <mergeCell ref="H33:H34"/>
    <mergeCell ref="I33:I34"/>
    <mergeCell ref="A1:B1"/>
    <mergeCell ref="E19:I19"/>
    <mergeCell ref="H24:H25"/>
    <mergeCell ref="I24:I25"/>
    <mergeCell ref="E27:I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D4:F41"/>
  <sheetViews>
    <sheetView workbookViewId="0">
      <selection activeCell="I11" sqref="I11:I12"/>
    </sheetView>
  </sheetViews>
  <sheetFormatPr defaultRowHeight="12.75" x14ac:dyDescent="0.2"/>
  <cols>
    <col min="4" max="4" width="16.7109375" customWidth="1"/>
    <col min="5" max="5" width="10.140625" bestFit="1" customWidth="1"/>
  </cols>
  <sheetData>
    <row r="4" spans="4:6" x14ac:dyDescent="0.2">
      <c r="E4" t="s">
        <v>72</v>
      </c>
    </row>
    <row r="5" spans="4:6" x14ac:dyDescent="0.2">
      <c r="D5" s="94">
        <v>45597</v>
      </c>
      <c r="E5" s="1">
        <v>45625</v>
      </c>
    </row>
    <row r="8" spans="4:6" x14ac:dyDescent="0.2">
      <c r="D8" s="5"/>
      <c r="E8" s="5" t="s">
        <v>74</v>
      </c>
      <c r="F8" s="5" t="s">
        <v>75</v>
      </c>
    </row>
    <row r="9" spans="4:6" x14ac:dyDescent="0.2">
      <c r="D9" s="5"/>
      <c r="E9" s="5"/>
      <c r="F9" s="5"/>
    </row>
    <row r="10" spans="4:6" x14ac:dyDescent="0.2">
      <c r="D10" s="5" t="s">
        <v>73</v>
      </c>
      <c r="E10" s="5">
        <v>4541.18</v>
      </c>
      <c r="F10" s="5"/>
    </row>
    <row r="11" spans="4:6" x14ac:dyDescent="0.2">
      <c r="D11" s="5" t="s">
        <v>76</v>
      </c>
      <c r="E11" s="5">
        <v>4355.95</v>
      </c>
      <c r="F11" s="5"/>
    </row>
    <row r="12" spans="4:6" x14ac:dyDescent="0.2">
      <c r="D12" s="5" t="s">
        <v>76</v>
      </c>
      <c r="E12" s="5">
        <v>483.99</v>
      </c>
      <c r="F12" s="5"/>
    </row>
    <row r="13" spans="4:6" x14ac:dyDescent="0.2">
      <c r="D13" s="5" t="s">
        <v>77</v>
      </c>
      <c r="E13" s="5"/>
      <c r="F13" s="5">
        <v>1816.47</v>
      </c>
    </row>
    <row r="14" spans="4:6" x14ac:dyDescent="0.2">
      <c r="D14" s="5" t="s">
        <v>78</v>
      </c>
      <c r="E14" s="5"/>
      <c r="F14" s="5">
        <v>11.35</v>
      </c>
    </row>
    <row r="15" spans="4:6" x14ac:dyDescent="0.2">
      <c r="D15" s="5" t="s">
        <v>79</v>
      </c>
      <c r="E15" s="5"/>
      <c r="F15" s="5">
        <v>908.85</v>
      </c>
    </row>
    <row r="16" spans="4:6" x14ac:dyDescent="0.2">
      <c r="D16" s="5" t="s">
        <v>80</v>
      </c>
      <c r="E16" s="5"/>
      <c r="F16" s="5">
        <v>1433.87</v>
      </c>
    </row>
    <row r="17" spans="4:6" x14ac:dyDescent="0.2">
      <c r="D17" s="5"/>
      <c r="E17" s="5">
        <f>SUM(E10:E16)</f>
        <v>9381.1200000000008</v>
      </c>
      <c r="F17" s="5">
        <f>SUM(F13:F16)</f>
        <v>4170.54</v>
      </c>
    </row>
    <row r="18" spans="4:6" x14ac:dyDescent="0.2">
      <c r="D18" s="5"/>
      <c r="E18" s="5"/>
      <c r="F18" s="5"/>
    </row>
    <row r="19" spans="4:6" x14ac:dyDescent="0.2">
      <c r="D19" s="5" t="s">
        <v>81</v>
      </c>
      <c r="E19" s="5"/>
      <c r="F19" s="5">
        <f>E17-F17</f>
        <v>5210.5800000000008</v>
      </c>
    </row>
    <row r="23" spans="4:6" x14ac:dyDescent="0.2">
      <c r="D23" s="94">
        <v>45536</v>
      </c>
      <c r="E23" t="s">
        <v>82</v>
      </c>
    </row>
    <row r="24" spans="4:6" x14ac:dyDescent="0.2">
      <c r="E24" s="1">
        <v>45565</v>
      </c>
    </row>
    <row r="27" spans="4:6" x14ac:dyDescent="0.2">
      <c r="D27" s="5"/>
      <c r="E27" s="5" t="s">
        <v>74</v>
      </c>
      <c r="F27" s="5" t="s">
        <v>75</v>
      </c>
    </row>
    <row r="28" spans="4:6" x14ac:dyDescent="0.2">
      <c r="D28" s="5"/>
      <c r="E28" s="5"/>
      <c r="F28" s="5"/>
    </row>
    <row r="29" spans="4:6" x14ac:dyDescent="0.2">
      <c r="D29" s="5" t="s">
        <v>73</v>
      </c>
      <c r="E29" s="5">
        <v>4541.18</v>
      </c>
      <c r="F29" s="5"/>
    </row>
    <row r="30" spans="4:6" x14ac:dyDescent="0.2">
      <c r="D30" s="5" t="s">
        <v>77</v>
      </c>
      <c r="E30" s="5"/>
      <c r="F30" s="5">
        <v>1816.47</v>
      </c>
    </row>
    <row r="31" spans="4:6" x14ac:dyDescent="0.2">
      <c r="D31" s="5" t="s">
        <v>78</v>
      </c>
      <c r="E31" s="5"/>
      <c r="F31" s="5">
        <v>11.35</v>
      </c>
    </row>
    <row r="32" spans="4:6" x14ac:dyDescent="0.2">
      <c r="D32" s="5" t="s">
        <v>79</v>
      </c>
      <c r="E32" s="5"/>
      <c r="F32" s="5">
        <v>454.58</v>
      </c>
    </row>
    <row r="33" spans="4:6" x14ac:dyDescent="0.2">
      <c r="D33" s="5" t="s">
        <v>80</v>
      </c>
      <c r="E33" s="5"/>
      <c r="F33" s="5">
        <v>231.92</v>
      </c>
    </row>
    <row r="34" spans="4:6" x14ac:dyDescent="0.2">
      <c r="D34" s="5"/>
      <c r="E34" s="5">
        <f>SUM(E29:E33)</f>
        <v>4541.18</v>
      </c>
      <c r="F34" s="5">
        <f>SUM(F30:F33)</f>
        <v>2514.3200000000002</v>
      </c>
    </row>
    <row r="35" spans="4:6" x14ac:dyDescent="0.2">
      <c r="D35" s="5"/>
      <c r="E35" s="5"/>
      <c r="F35" s="5"/>
    </row>
    <row r="36" spans="4:6" x14ac:dyDescent="0.2">
      <c r="D36" s="5" t="s">
        <v>81</v>
      </c>
      <c r="E36" s="5"/>
      <c r="F36" s="5">
        <f>E34-F34</f>
        <v>2026.8600000000001</v>
      </c>
    </row>
    <row r="40" spans="4:6" x14ac:dyDescent="0.2">
      <c r="D40" t="s">
        <v>83</v>
      </c>
      <c r="E40">
        <f>F19-F36</f>
        <v>3183.7200000000007</v>
      </c>
    </row>
    <row r="41" spans="4:6" x14ac:dyDescent="0.2">
      <c r="D41" t="s">
        <v>84</v>
      </c>
      <c r="E41">
        <f>E40/3</f>
        <v>1061.2400000000002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ET173"/>
  <sheetViews>
    <sheetView tabSelected="1" topLeftCell="AA17" zoomScale="85" zoomScaleNormal="85" workbookViewId="0">
      <selection activeCell="AI33" sqref="AI33"/>
    </sheetView>
  </sheetViews>
  <sheetFormatPr defaultColWidth="9.140625" defaultRowHeight="15" x14ac:dyDescent="0.25"/>
  <cols>
    <col min="1" max="1" width="11.85546875" customWidth="1"/>
    <col min="2" max="2" width="21.28515625" customWidth="1"/>
    <col min="3" max="3" width="20.42578125" customWidth="1"/>
    <col min="4" max="4" width="16.28515625" customWidth="1"/>
    <col min="5" max="5" width="13.5703125" customWidth="1"/>
    <col min="6" max="11" width="12.7109375" customWidth="1"/>
    <col min="14" max="14" width="16.7109375" customWidth="1"/>
    <col min="15" max="15" width="13.28515625" bestFit="1" customWidth="1"/>
    <col min="16" max="16" width="11.5703125" bestFit="1" customWidth="1"/>
    <col min="17" max="17" width="13.42578125" style="98" customWidth="1"/>
    <col min="18" max="19" width="9.140625" style="98"/>
    <col min="20" max="20" width="13.28515625" style="98" bestFit="1" customWidth="1"/>
    <col min="21" max="21" width="9.140625" style="98"/>
    <col min="22" max="22" width="11.5703125" style="98" customWidth="1"/>
    <col min="23" max="29" width="9.140625" style="98"/>
    <col min="30" max="30" width="12.42578125" bestFit="1" customWidth="1"/>
    <col min="31" max="31" width="10.5703125" bestFit="1" customWidth="1"/>
    <col min="32" max="32" width="17.85546875" customWidth="1"/>
    <col min="33" max="33" width="13.7109375" customWidth="1"/>
    <col min="34" max="34" width="12.5703125" bestFit="1" customWidth="1"/>
    <col min="35" max="35" width="12.28515625" style="98" customWidth="1"/>
    <col min="36" max="37" width="9.140625" style="98"/>
    <col min="38" max="38" width="12.42578125" style="98" customWidth="1"/>
    <col min="39" max="42" width="9.140625" style="98"/>
    <col min="43" max="43" width="10.7109375" style="98" customWidth="1"/>
    <col min="44" max="45" width="9.140625" style="98"/>
    <col min="46" max="46" width="10.42578125" style="98" customWidth="1"/>
    <col min="47" max="49" width="9.140625" style="98"/>
    <col min="50" max="50" width="17.42578125" style="98" customWidth="1"/>
    <col min="51" max="51" width="13.28515625" style="98" customWidth="1"/>
    <col min="52" max="52" width="16.85546875" style="98" customWidth="1"/>
    <col min="53" max="53" width="12.5703125" style="98" customWidth="1"/>
    <col min="54" max="55" width="9.140625" style="98"/>
    <col min="56" max="56" width="15.85546875" style="98" bestFit="1" customWidth="1"/>
    <col min="57" max="57" width="8.140625" style="98" bestFit="1" customWidth="1"/>
    <col min="58" max="61" width="8.140625" style="98" customWidth="1"/>
    <col min="62" max="64" width="9" style="98" customWidth="1"/>
    <col min="65" max="65" width="11.140625" style="98" customWidth="1"/>
    <col min="66" max="66" width="9" style="98" bestFit="1" customWidth="1"/>
    <col min="67" max="16384" width="9.140625" style="98"/>
  </cols>
  <sheetData>
    <row r="1" spans="2:66" x14ac:dyDescent="0.25">
      <c r="AD1" s="98"/>
      <c r="AE1" s="98"/>
      <c r="AF1" s="98"/>
      <c r="AG1" s="98"/>
      <c r="AH1" s="98"/>
    </row>
    <row r="2" spans="2:66" x14ac:dyDescent="0.25">
      <c r="B2" s="104" t="s">
        <v>87</v>
      </c>
      <c r="C2" s="104" t="s">
        <v>88</v>
      </c>
      <c r="AD2" s="98"/>
      <c r="AE2" s="98"/>
      <c r="AF2" s="98"/>
      <c r="AG2" s="98"/>
      <c r="AH2" s="98"/>
    </row>
    <row r="3" spans="2:66" ht="30" x14ac:dyDescent="0.25">
      <c r="B3" s="99" t="s">
        <v>89</v>
      </c>
      <c r="C3" s="112">
        <v>385.23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</row>
    <row r="4" spans="2:66" ht="30" x14ac:dyDescent="0.25">
      <c r="B4" s="99" t="s">
        <v>90</v>
      </c>
      <c r="C4" s="112">
        <v>7492.52</v>
      </c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>
        <v>1</v>
      </c>
      <c r="BK4" s="113"/>
      <c r="BL4" s="113"/>
      <c r="BM4" s="113"/>
      <c r="BN4" s="113"/>
    </row>
    <row r="5" spans="2:66" ht="30" x14ac:dyDescent="0.25">
      <c r="B5" s="99" t="s">
        <v>33</v>
      </c>
      <c r="C5" s="112">
        <v>2043.65</v>
      </c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</row>
    <row r="6" spans="2:66" ht="30" x14ac:dyDescent="0.25">
      <c r="B6" s="99" t="s">
        <v>91</v>
      </c>
      <c r="C6" s="112">
        <v>621.14</v>
      </c>
      <c r="E6" s="113" t="s">
        <v>97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</row>
    <row r="7" spans="2:66" ht="30" x14ac:dyDescent="0.25">
      <c r="B7" s="99" t="s">
        <v>92</v>
      </c>
      <c r="C7" s="112">
        <v>11465.63</v>
      </c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</row>
    <row r="8" spans="2:66" ht="30" x14ac:dyDescent="0.25">
      <c r="B8" s="99" t="s">
        <v>93</v>
      </c>
      <c r="C8" s="112">
        <v>1.28</v>
      </c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</row>
    <row r="9" spans="2:66" x14ac:dyDescent="0.25">
      <c r="B9" s="99" t="s">
        <v>94</v>
      </c>
      <c r="C9" s="112">
        <v>9.64</v>
      </c>
      <c r="AD9" s="98"/>
      <c r="AE9" s="98"/>
      <c r="AF9" s="98"/>
      <c r="AG9" s="98"/>
      <c r="AH9" s="98"/>
    </row>
    <row r="10" spans="2:66" x14ac:dyDescent="0.25">
      <c r="B10" s="99" t="s">
        <v>95</v>
      </c>
      <c r="C10" s="112">
        <v>56.200375000000001</v>
      </c>
      <c r="AD10" s="98"/>
      <c r="AE10" s="98"/>
      <c r="AF10" s="98"/>
      <c r="AG10" s="98"/>
      <c r="AH10" s="98"/>
    </row>
    <row r="11" spans="2:66" x14ac:dyDescent="0.25">
      <c r="B11" s="99" t="s">
        <v>96</v>
      </c>
      <c r="C11" s="112">
        <v>7492.52</v>
      </c>
      <c r="AD11" s="98"/>
      <c r="AE11" s="98"/>
      <c r="AF11" s="98"/>
      <c r="AG11" s="98"/>
      <c r="AH11" s="98"/>
    </row>
    <row r="12" spans="2:66" x14ac:dyDescent="0.25">
      <c r="AD12" s="98"/>
      <c r="AE12" s="98"/>
      <c r="AF12" s="98"/>
      <c r="AG12" s="98"/>
      <c r="AH12" s="98"/>
    </row>
    <row r="13" spans="2:66" x14ac:dyDescent="0.25">
      <c r="Q13" s="18"/>
      <c r="R13" s="18"/>
      <c r="S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95"/>
    </row>
    <row r="14" spans="2:66" x14ac:dyDescent="0.25">
      <c r="Q14" s="18"/>
      <c r="R14" s="18"/>
      <c r="S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95"/>
    </row>
    <row r="15" spans="2:66" x14ac:dyDescent="0.25">
      <c r="Q15" s="18"/>
      <c r="R15" s="18"/>
      <c r="S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95"/>
    </row>
    <row r="16" spans="2:66" ht="25.5" x14ac:dyDescent="0.35">
      <c r="B16" s="237" t="s">
        <v>32</v>
      </c>
      <c r="C16" s="238"/>
      <c r="D16" s="238"/>
      <c r="E16" s="238"/>
      <c r="F16" s="238"/>
      <c r="G16" s="238"/>
      <c r="H16" s="238"/>
      <c r="I16" s="238"/>
      <c r="J16" s="238"/>
      <c r="K16" s="238"/>
      <c r="L16" s="239"/>
      <c r="N16" s="234" t="s">
        <v>106</v>
      </c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6"/>
      <c r="AE16" s="98"/>
      <c r="AF16" s="234" t="s">
        <v>100</v>
      </c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6"/>
      <c r="AW16"/>
      <c r="AX16" s="234" t="s">
        <v>107</v>
      </c>
      <c r="AY16" s="235"/>
      <c r="AZ16" s="235"/>
      <c r="BA16" s="235"/>
      <c r="BB16" s="235"/>
      <c r="BC16" s="235"/>
      <c r="BD16" s="235"/>
      <c r="BE16" s="235"/>
      <c r="BF16" s="235"/>
      <c r="BG16" s="235"/>
      <c r="BH16" s="235"/>
      <c r="BI16" s="235"/>
      <c r="BJ16" s="235"/>
      <c r="BK16" s="235"/>
      <c r="BL16" s="235"/>
      <c r="BM16" s="235"/>
      <c r="BN16" s="236"/>
    </row>
    <row r="17" spans="2:150" ht="35.25" customHeight="1" x14ac:dyDescent="0.25">
      <c r="B17" s="167"/>
      <c r="C17" s="164" t="s">
        <v>112</v>
      </c>
      <c r="D17" s="168" t="s">
        <v>111</v>
      </c>
      <c r="E17" s="169" t="s">
        <v>89</v>
      </c>
      <c r="F17" s="170" t="s">
        <v>90</v>
      </c>
      <c r="G17" s="168"/>
      <c r="H17" s="165"/>
      <c r="I17" s="165"/>
      <c r="J17" s="165"/>
      <c r="K17" s="165"/>
      <c r="L17" s="172"/>
      <c r="N17" s="167"/>
      <c r="O17" s="164" t="s">
        <v>112</v>
      </c>
      <c r="P17" s="168" t="s">
        <v>111</v>
      </c>
      <c r="Q17" s="169" t="s">
        <v>89</v>
      </c>
      <c r="R17" s="170" t="s">
        <v>90</v>
      </c>
      <c r="S17" s="170"/>
      <c r="T17" s="168"/>
      <c r="U17" s="192"/>
      <c r="V17" s="193"/>
      <c r="W17" s="193"/>
      <c r="X17" s="193"/>
      <c r="Y17" s="193"/>
      <c r="Z17" s="193"/>
      <c r="AA17" s="164"/>
      <c r="AB17" s="164"/>
      <c r="AC17" s="164"/>
      <c r="AD17" s="168"/>
      <c r="AE17" s="18"/>
      <c r="AF17" s="134"/>
      <c r="AG17" s="146" t="s">
        <v>112</v>
      </c>
      <c r="AH17" s="145" t="s">
        <v>111</v>
      </c>
      <c r="AI17" s="134" t="s">
        <v>99</v>
      </c>
      <c r="AJ17" s="135" t="s">
        <v>9</v>
      </c>
      <c r="AK17" s="135"/>
      <c r="AL17" s="145"/>
      <c r="AM17" s="151"/>
      <c r="AN17" s="149"/>
      <c r="AO17" s="149"/>
      <c r="AP17" s="149"/>
      <c r="AQ17" s="149"/>
      <c r="AR17" s="149"/>
      <c r="AS17" s="146"/>
      <c r="AT17" s="146"/>
      <c r="AU17" s="146"/>
      <c r="AV17" s="152"/>
      <c r="AW17"/>
      <c r="AX17" s="134"/>
      <c r="AY17" s="146" t="s">
        <v>112</v>
      </c>
      <c r="AZ17" s="145" t="s">
        <v>111</v>
      </c>
      <c r="BA17" s="146"/>
      <c r="BB17" s="146"/>
      <c r="BC17" s="146"/>
      <c r="BD17" s="146"/>
      <c r="BE17" s="146"/>
      <c r="BF17" s="146"/>
      <c r="BG17" s="149"/>
      <c r="BH17" s="149"/>
      <c r="BI17" s="149"/>
      <c r="BJ17" s="149"/>
      <c r="BK17" s="149"/>
      <c r="BL17" s="149"/>
      <c r="BM17" s="149"/>
      <c r="BN17" s="147"/>
    </row>
    <row r="18" spans="2:150" x14ac:dyDescent="0.25">
      <c r="B18" s="171" t="s">
        <v>45</v>
      </c>
      <c r="C18" s="3">
        <v>0</v>
      </c>
      <c r="D18" s="201">
        <v>0</v>
      </c>
      <c r="E18" s="171">
        <v>15</v>
      </c>
      <c r="F18" s="165">
        <v>15</v>
      </c>
      <c r="G18" s="173" t="s">
        <v>101</v>
      </c>
      <c r="H18" s="165"/>
      <c r="I18" s="165"/>
      <c r="J18" s="165"/>
      <c r="K18" s="165"/>
      <c r="L18" s="172"/>
      <c r="N18" s="171" t="s">
        <v>45</v>
      </c>
      <c r="O18" s="3">
        <v>0</v>
      </c>
      <c r="P18" s="201">
        <v>0</v>
      </c>
      <c r="Q18" s="171">
        <v>1</v>
      </c>
      <c r="R18" s="165">
        <v>1</v>
      </c>
      <c r="S18" s="165"/>
      <c r="T18" s="173" t="s">
        <v>101</v>
      </c>
      <c r="U18" s="194"/>
      <c r="V18" s="163"/>
      <c r="W18" s="163"/>
      <c r="X18" s="163"/>
      <c r="Y18" s="163"/>
      <c r="Z18" s="163"/>
      <c r="AA18" s="165"/>
      <c r="AB18" s="165"/>
      <c r="AC18" s="165"/>
      <c r="AD18" s="172"/>
      <c r="AE18" s="18"/>
      <c r="AF18" s="142" t="s">
        <v>45</v>
      </c>
      <c r="AG18" s="3">
        <v>0</v>
      </c>
      <c r="AH18" s="201">
        <v>0</v>
      </c>
      <c r="AI18" s="142">
        <v>9</v>
      </c>
      <c r="AJ18" s="114">
        <v>9</v>
      </c>
      <c r="AK18" s="114"/>
      <c r="AL18" s="153" t="s">
        <v>101</v>
      </c>
      <c r="AM18" s="154"/>
      <c r="AN18" s="129"/>
      <c r="AO18" s="129"/>
      <c r="AP18" s="129"/>
      <c r="AQ18" s="129"/>
      <c r="AR18" s="129"/>
      <c r="AS18" s="114"/>
      <c r="AT18" s="114"/>
      <c r="AU18" s="114"/>
      <c r="AV18" s="155"/>
      <c r="AW18"/>
      <c r="AX18" s="142" t="s">
        <v>45</v>
      </c>
      <c r="AY18" s="3">
        <v>0</v>
      </c>
      <c r="AZ18" s="201">
        <v>0</v>
      </c>
      <c r="BA18" s="114"/>
      <c r="BB18" s="114"/>
      <c r="BC18" s="114"/>
      <c r="BD18" s="114"/>
      <c r="BE18" s="114"/>
      <c r="BF18" s="114"/>
      <c r="BG18" s="129"/>
      <c r="BH18" s="129"/>
      <c r="BI18" s="129"/>
      <c r="BJ18" s="129"/>
      <c r="BK18" s="129"/>
      <c r="BL18" s="129"/>
      <c r="BM18" s="129"/>
      <c r="BN18" s="148"/>
    </row>
    <row r="19" spans="2:150" x14ac:dyDescent="0.25">
      <c r="B19" s="174" t="s">
        <v>94</v>
      </c>
      <c r="C19" s="3">
        <v>0</v>
      </c>
      <c r="D19" s="172"/>
      <c r="E19" s="171">
        <v>16</v>
      </c>
      <c r="F19" s="165">
        <v>16</v>
      </c>
      <c r="G19" s="173" t="s">
        <v>101</v>
      </c>
      <c r="H19" s="165"/>
      <c r="I19" s="165"/>
      <c r="J19" s="165"/>
      <c r="K19" s="165"/>
      <c r="L19" s="172"/>
      <c r="N19" s="174" t="s">
        <v>94</v>
      </c>
      <c r="O19" s="3">
        <v>0</v>
      </c>
      <c r="P19" s="172"/>
      <c r="Q19" s="171">
        <v>2</v>
      </c>
      <c r="R19" s="165">
        <v>2</v>
      </c>
      <c r="S19" s="165"/>
      <c r="T19" s="173" t="s">
        <v>101</v>
      </c>
      <c r="U19" s="194"/>
      <c r="V19" s="163"/>
      <c r="W19" s="163"/>
      <c r="X19" s="163"/>
      <c r="Y19" s="163"/>
      <c r="Z19" s="163"/>
      <c r="AA19" s="165"/>
      <c r="AB19" s="165"/>
      <c r="AC19" s="165"/>
      <c r="AD19" s="172"/>
      <c r="AE19" s="18"/>
      <c r="AF19" s="143" t="s">
        <v>94</v>
      </c>
      <c r="AG19" s="3">
        <v>0</v>
      </c>
      <c r="AH19" s="116"/>
      <c r="AI19" s="142">
        <v>10</v>
      </c>
      <c r="AJ19" s="114">
        <v>10</v>
      </c>
      <c r="AK19" s="114"/>
      <c r="AL19" s="153" t="s">
        <v>101</v>
      </c>
      <c r="AM19" s="154"/>
      <c r="AN19" s="129"/>
      <c r="AO19" s="129"/>
      <c r="AP19" s="129"/>
      <c r="AQ19" s="129"/>
      <c r="AR19" s="129"/>
      <c r="AS19" s="114"/>
      <c r="AT19" s="114"/>
      <c r="AU19" s="114"/>
      <c r="AV19" s="155"/>
      <c r="AW19"/>
      <c r="AX19" s="143" t="s">
        <v>94</v>
      </c>
      <c r="AY19" s="3">
        <v>0</v>
      </c>
      <c r="AZ19" s="116"/>
      <c r="BA19" s="114"/>
      <c r="BB19" s="114"/>
      <c r="BC19" s="114"/>
      <c r="BD19" s="114"/>
      <c r="BE19" s="114"/>
      <c r="BF19" s="114"/>
      <c r="BG19" s="129"/>
      <c r="BH19" s="129"/>
      <c r="BI19" s="129"/>
      <c r="BJ19" s="129"/>
      <c r="BK19" s="129"/>
      <c r="BL19" s="129"/>
      <c r="BM19" s="129"/>
      <c r="BN19" s="148"/>
    </row>
    <row r="20" spans="2:150" x14ac:dyDescent="0.25">
      <c r="B20" s="175" t="s">
        <v>95</v>
      </c>
      <c r="C20" s="117">
        <v>0</v>
      </c>
      <c r="D20" s="176"/>
      <c r="E20" s="177">
        <v>17</v>
      </c>
      <c r="F20" s="166">
        <v>17</v>
      </c>
      <c r="G20" s="178" t="s">
        <v>102</v>
      </c>
      <c r="H20" s="165"/>
      <c r="I20" s="165"/>
      <c r="J20" s="165"/>
      <c r="K20" s="165"/>
      <c r="L20" s="172"/>
      <c r="N20" s="175" t="s">
        <v>95</v>
      </c>
      <c r="O20" s="117">
        <v>0</v>
      </c>
      <c r="P20" s="176"/>
      <c r="Q20" s="177">
        <v>3</v>
      </c>
      <c r="R20" s="166">
        <v>3</v>
      </c>
      <c r="S20" s="166"/>
      <c r="T20" s="178" t="s">
        <v>102</v>
      </c>
      <c r="U20" s="195"/>
      <c r="V20" s="196"/>
      <c r="W20" s="196"/>
      <c r="X20" s="196"/>
      <c r="Y20" s="196"/>
      <c r="Z20" s="196"/>
      <c r="AA20" s="166"/>
      <c r="AB20" s="166"/>
      <c r="AC20" s="166"/>
      <c r="AD20" s="176"/>
      <c r="AE20" s="18"/>
      <c r="AF20" s="143" t="s">
        <v>95</v>
      </c>
      <c r="AG20" s="3">
        <v>0</v>
      </c>
      <c r="AH20" s="116"/>
      <c r="AI20" s="142">
        <v>11</v>
      </c>
      <c r="AJ20" s="114">
        <v>11</v>
      </c>
      <c r="AK20" s="114"/>
      <c r="AL20" s="153" t="s">
        <v>102</v>
      </c>
      <c r="AM20" s="156"/>
      <c r="AN20" s="150"/>
      <c r="AO20" s="150"/>
      <c r="AP20" s="150"/>
      <c r="AQ20" s="150"/>
      <c r="AR20" s="150"/>
      <c r="AS20" s="118"/>
      <c r="AT20" s="118"/>
      <c r="AU20" s="118"/>
      <c r="AV20" s="157"/>
      <c r="AW20"/>
      <c r="AX20" s="144" t="s">
        <v>95</v>
      </c>
      <c r="AY20" s="117">
        <v>0</v>
      </c>
      <c r="AZ20" s="115"/>
      <c r="BA20" s="118"/>
      <c r="BB20" s="118"/>
      <c r="BC20" s="118"/>
      <c r="BD20" s="118"/>
      <c r="BE20" s="118"/>
      <c r="BF20" s="118"/>
      <c r="BG20" s="150"/>
      <c r="BH20" s="150"/>
      <c r="BI20" s="150"/>
      <c r="BJ20" s="150"/>
      <c r="BK20" s="150"/>
      <c r="BL20" s="150"/>
      <c r="BM20" s="150"/>
      <c r="BN20" s="131"/>
    </row>
    <row r="21" spans="2:150" x14ac:dyDescent="0.25">
      <c r="B21" s="177"/>
      <c r="C21" s="166"/>
      <c r="D21" s="166"/>
      <c r="E21" s="203" t="s">
        <v>32</v>
      </c>
      <c r="F21" s="204"/>
      <c r="G21" s="205"/>
      <c r="H21" s="206" t="s">
        <v>118</v>
      </c>
      <c r="I21" s="207"/>
      <c r="J21" s="207"/>
      <c r="K21" s="166"/>
      <c r="L21" s="176"/>
      <c r="N21" s="187"/>
      <c r="O21" s="188"/>
      <c r="P21" s="198"/>
      <c r="Q21" s="203" t="s">
        <v>32</v>
      </c>
      <c r="R21" s="204"/>
      <c r="S21" s="205"/>
      <c r="T21" s="221" t="s">
        <v>106</v>
      </c>
      <c r="U21" s="232"/>
      <c r="V21" s="233"/>
      <c r="W21" s="229" t="s">
        <v>118</v>
      </c>
      <c r="X21" s="230"/>
      <c r="Y21" s="230"/>
      <c r="Z21" s="230"/>
      <c r="AA21" s="230"/>
      <c r="AB21" s="231"/>
      <c r="AC21" s="191"/>
      <c r="AD21" s="211" t="s">
        <v>105</v>
      </c>
      <c r="AF21" s="137"/>
      <c r="AG21" s="138"/>
      <c r="AH21" s="138"/>
      <c r="AI21" s="218" t="s">
        <v>32</v>
      </c>
      <c r="AJ21" s="219"/>
      <c r="AK21" s="220"/>
      <c r="AL21" s="221" t="s">
        <v>100</v>
      </c>
      <c r="AM21" s="222"/>
      <c r="AN21" s="223"/>
      <c r="AO21" s="206" t="s">
        <v>118</v>
      </c>
      <c r="AP21" s="207"/>
      <c r="AQ21" s="207"/>
      <c r="AR21" s="207"/>
      <c r="AS21" s="207"/>
      <c r="AT21" s="228"/>
      <c r="AU21" s="127"/>
      <c r="AV21" s="211" t="s">
        <v>105</v>
      </c>
      <c r="AX21" s="125"/>
      <c r="AY21" s="118"/>
      <c r="AZ21" s="126"/>
      <c r="BA21" s="218" t="s">
        <v>32</v>
      </c>
      <c r="BB21" s="219"/>
      <c r="BC21" s="220"/>
      <c r="BD21" s="215" t="s">
        <v>110</v>
      </c>
      <c r="BE21" s="216"/>
      <c r="BF21" s="217"/>
      <c r="BG21" s="206" t="s">
        <v>118</v>
      </c>
      <c r="BH21" s="207"/>
      <c r="BI21" s="207"/>
      <c r="BJ21" s="207"/>
      <c r="BK21" s="207"/>
      <c r="BL21" s="228"/>
      <c r="BM21" s="213" t="s">
        <v>120</v>
      </c>
      <c r="BN21" s="211" t="s">
        <v>105</v>
      </c>
    </row>
    <row r="22" spans="2:150" ht="51" x14ac:dyDescent="0.25">
      <c r="B22" s="182" t="s">
        <v>98</v>
      </c>
      <c r="C22" s="182" t="s">
        <v>36</v>
      </c>
      <c r="D22" s="182" t="s">
        <v>37</v>
      </c>
      <c r="E22" s="124" t="s">
        <v>103</v>
      </c>
      <c r="F22" s="124" t="s">
        <v>104</v>
      </c>
      <c r="G22" s="124" t="s">
        <v>122</v>
      </c>
      <c r="H22" s="208" t="s">
        <v>32</v>
      </c>
      <c r="I22" s="209"/>
      <c r="J22" s="210"/>
      <c r="K22" s="162" t="s">
        <v>120</v>
      </c>
      <c r="L22" s="211" t="s">
        <v>105</v>
      </c>
      <c r="N22" s="182" t="s">
        <v>98</v>
      </c>
      <c r="O22" s="182" t="s">
        <v>36</v>
      </c>
      <c r="P22" s="182" t="s">
        <v>37</v>
      </c>
      <c r="Q22" s="124" t="s">
        <v>103</v>
      </c>
      <c r="R22" s="124" t="s">
        <v>38</v>
      </c>
      <c r="S22" s="124" t="s">
        <v>122</v>
      </c>
      <c r="T22" s="124" t="s">
        <v>103</v>
      </c>
      <c r="U22" s="124" t="s">
        <v>38</v>
      </c>
      <c r="V22" s="124" t="s">
        <v>122</v>
      </c>
      <c r="W22" s="208" t="s">
        <v>32</v>
      </c>
      <c r="X22" s="209"/>
      <c r="Y22" s="210"/>
      <c r="Z22" s="221" t="s">
        <v>106</v>
      </c>
      <c r="AA22" s="222"/>
      <c r="AB22" s="223"/>
      <c r="AC22" s="162" t="s">
        <v>120</v>
      </c>
      <c r="AD22" s="227"/>
      <c r="AF22" s="128" t="s">
        <v>98</v>
      </c>
      <c r="AG22" s="128" t="s">
        <v>36</v>
      </c>
      <c r="AH22" s="128" t="s">
        <v>37</v>
      </c>
      <c r="AI22" s="121" t="s">
        <v>103</v>
      </c>
      <c r="AJ22" s="121" t="s">
        <v>121</v>
      </c>
      <c r="AK22" s="121" t="s">
        <v>122</v>
      </c>
      <c r="AL22" s="121" t="s">
        <v>103</v>
      </c>
      <c r="AM22" s="121" t="s">
        <v>121</v>
      </c>
      <c r="AN22" s="121" t="s">
        <v>122</v>
      </c>
      <c r="AO22" s="208" t="s">
        <v>32</v>
      </c>
      <c r="AP22" s="209"/>
      <c r="AQ22" s="210"/>
      <c r="AR22" s="221" t="s">
        <v>100</v>
      </c>
      <c r="AS22" s="222"/>
      <c r="AT22" s="223"/>
      <c r="AU22" s="162" t="s">
        <v>120</v>
      </c>
      <c r="AV22" s="227"/>
      <c r="AX22" s="128" t="s">
        <v>98</v>
      </c>
      <c r="AY22" s="128" t="s">
        <v>36</v>
      </c>
      <c r="AZ22" s="128" t="s">
        <v>37</v>
      </c>
      <c r="BA22" s="121" t="s">
        <v>103</v>
      </c>
      <c r="BB22" s="121" t="s">
        <v>121</v>
      </c>
      <c r="BC22" s="121" t="s">
        <v>122</v>
      </c>
      <c r="BD22" s="121" t="s">
        <v>103</v>
      </c>
      <c r="BE22" s="121" t="s">
        <v>121</v>
      </c>
      <c r="BF22" s="121" t="s">
        <v>122</v>
      </c>
      <c r="BG22" s="208" t="s">
        <v>32</v>
      </c>
      <c r="BH22" s="209"/>
      <c r="BI22" s="210"/>
      <c r="BJ22" s="224" t="s">
        <v>115</v>
      </c>
      <c r="BK22" s="225"/>
      <c r="BL22" s="226"/>
      <c r="BM22" s="214"/>
      <c r="BN22" s="227"/>
    </row>
    <row r="23" spans="2:150" ht="45" customHeight="1" x14ac:dyDescent="0.25">
      <c r="B23" s="165"/>
      <c r="C23" s="165"/>
      <c r="D23" s="165"/>
      <c r="E23" s="165"/>
      <c r="F23" s="165"/>
      <c r="G23" s="163"/>
      <c r="H23" s="130" t="s">
        <v>116</v>
      </c>
      <c r="I23" s="130" t="s">
        <v>117</v>
      </c>
      <c r="J23" s="130" t="s">
        <v>119</v>
      </c>
      <c r="K23" s="197"/>
      <c r="L23" s="212"/>
      <c r="N23" s="165"/>
      <c r="O23" s="165"/>
      <c r="P23" s="165"/>
      <c r="Q23" s="163"/>
      <c r="R23" s="163"/>
      <c r="S23" s="163"/>
      <c r="T23" s="163"/>
      <c r="U23" s="163"/>
      <c r="V23" s="163"/>
      <c r="W23" s="130" t="s">
        <v>116</v>
      </c>
      <c r="X23" s="130" t="s">
        <v>117</v>
      </c>
      <c r="Y23" s="130" t="s">
        <v>119</v>
      </c>
      <c r="Z23" s="130" t="s">
        <v>116</v>
      </c>
      <c r="AA23" s="130" t="s">
        <v>117</v>
      </c>
      <c r="AB23" s="130" t="s">
        <v>119</v>
      </c>
      <c r="AC23" s="131"/>
      <c r="AD23" s="212"/>
      <c r="AF23" s="114"/>
      <c r="AG23" s="114"/>
      <c r="AH23" s="114"/>
      <c r="AI23" s="129"/>
      <c r="AJ23" s="129"/>
      <c r="AK23" s="129"/>
      <c r="AL23" s="129"/>
      <c r="AM23" s="129"/>
      <c r="AN23" s="129"/>
      <c r="AO23" s="130" t="s">
        <v>116</v>
      </c>
      <c r="AP23" s="130" t="s">
        <v>117</v>
      </c>
      <c r="AQ23" s="130" t="s">
        <v>119</v>
      </c>
      <c r="AR23" s="130" t="s">
        <v>116</v>
      </c>
      <c r="AS23" s="130" t="s">
        <v>117</v>
      </c>
      <c r="AT23" s="130" t="s">
        <v>119</v>
      </c>
      <c r="AU23" s="131"/>
      <c r="AV23" s="212"/>
      <c r="AX23" s="129"/>
      <c r="AY23" s="129"/>
      <c r="AZ23" s="129"/>
      <c r="BA23" s="129"/>
      <c r="BB23" s="129"/>
      <c r="BC23" s="129"/>
      <c r="BD23" s="129"/>
      <c r="BE23" s="129"/>
      <c r="BF23" s="129"/>
      <c r="BG23" s="130" t="s">
        <v>116</v>
      </c>
      <c r="BH23" s="130" t="s">
        <v>117</v>
      </c>
      <c r="BI23" s="130" t="s">
        <v>119</v>
      </c>
      <c r="BJ23" s="130" t="s">
        <v>116</v>
      </c>
      <c r="BK23" s="130" t="s">
        <v>117</v>
      </c>
      <c r="BL23" s="130" t="s">
        <v>119</v>
      </c>
      <c r="BM23" s="131"/>
      <c r="BN23" s="212"/>
    </row>
    <row r="24" spans="2:150" x14ac:dyDescent="0.25">
      <c r="B24" s="183">
        <f>IF((F24-J24)&lt;=$E$18,(F24-J24)*$D$65/30,IF((F24-J24)=$E$19,(F24-J24)*$D$66/30,((F24-J24)-$E$20+1)*$D$67/30))</f>
        <v>141.25100000000003</v>
      </c>
      <c r="C24" s="183">
        <f t="shared" ref="C24:C53" si="0">IF(F24&lt;=$F$18,F24*($C$65/30),IF(F24=$F$19,($C$66/30),($C$67/30)))</f>
        <v>0</v>
      </c>
      <c r="D24" s="184">
        <f t="shared" ref="D24:D53" si="1">IF(K24=1,0,C24+B24)</f>
        <v>141.25100000000003</v>
      </c>
      <c r="E24" s="160">
        <f>SUM(Planilha1!Q3:Q5)+SUM(Planilha1!S3:S5)</f>
        <v>11</v>
      </c>
      <c r="F24" s="179">
        <f>E24</f>
        <v>11</v>
      </c>
      <c r="G24" s="181">
        <f>F24-J24</f>
        <v>11</v>
      </c>
      <c r="H24" s="160">
        <v>0</v>
      </c>
      <c r="I24" s="160">
        <v>0</v>
      </c>
      <c r="J24" s="122">
        <f>(H24*1)+(I24*0.5)</f>
        <v>0</v>
      </c>
      <c r="K24" s="161"/>
      <c r="L24" s="179">
        <v>1</v>
      </c>
      <c r="N24" s="183">
        <f t="shared" ref="N24:N53" si="2">IF((U24-AB24)&lt;=$Q$18,(U24-AB24)*$P$65/30,IF((U24-AB24)=$Q$19,(U24-AB24)*$P$66/30,((U24-AB24)-$Q$20+1)*$P$67/30))+((R24-Y24)*$D$65/30)</f>
        <v>51.364000000000004</v>
      </c>
      <c r="O24" s="183">
        <f t="shared" ref="O24:O53" si="3">IF(U24&lt;=$R$18,U24*($O$65/30),IF(U24=$R$19,($O$66/30),($O$67/30)))</f>
        <v>0</v>
      </c>
      <c r="P24" s="184">
        <f>IF(AC24=1,0,O24+N24)</f>
        <v>51.364000000000004</v>
      </c>
      <c r="Q24" s="160">
        <f>SUM(Planilha1!R3:R5)+SUM(Planilha1!T3:T5)</f>
        <v>4</v>
      </c>
      <c r="R24" s="179">
        <f>Q24</f>
        <v>4</v>
      </c>
      <c r="S24" s="181">
        <f>R24-Y24</f>
        <v>4</v>
      </c>
      <c r="T24" s="202">
        <v>0</v>
      </c>
      <c r="U24" s="179">
        <f>T24</f>
        <v>0</v>
      </c>
      <c r="V24" s="122">
        <f>U24-AB24</f>
        <v>0</v>
      </c>
      <c r="W24" s="160">
        <v>0</v>
      </c>
      <c r="X24" s="160">
        <v>0</v>
      </c>
      <c r="Y24" s="122">
        <f>(W24*1)+(X24*0.5)</f>
        <v>0</v>
      </c>
      <c r="Z24" s="202">
        <v>0</v>
      </c>
      <c r="AA24" s="202">
        <v>0</v>
      </c>
      <c r="AB24" s="122">
        <f>(Z24*1)+(AA24*0.5)</f>
        <v>0</v>
      </c>
      <c r="AC24" s="161"/>
      <c r="AD24" s="179">
        <v>1</v>
      </c>
      <c r="AF24" s="132">
        <f t="shared" ref="AF24:AF53" si="4">IF((AM24-AT24)&lt;=$AI$18,(AM24-AT24)*$AH$65/30,IF((AM24-AT24)=$AI$19,(AM24-AT24)*$AH$66/30,((AM24-AT24)-$AI$20+1)*$AH$67/30))+((AJ24-AQ24)*$D$65/30)</f>
        <v>115.569</v>
      </c>
      <c r="AG24" s="132">
        <f>IF((AM24-AT24)&lt;=$AJ$18,(AM24-AT24)*($AG$65/30),IF((AM24-AT24)=$AJ$19,($AG$66/30),($AG$67/30)))</f>
        <v>0</v>
      </c>
      <c r="AH24" s="133">
        <f>IF(AU24=1,0,AG24+AF24)</f>
        <v>115.569</v>
      </c>
      <c r="AI24" s="160">
        <v>9</v>
      </c>
      <c r="AJ24" s="120">
        <f>AI24</f>
        <v>9</v>
      </c>
      <c r="AK24" s="122">
        <f>AJ24-AQ24</f>
        <v>9</v>
      </c>
      <c r="AL24" s="202">
        <v>0</v>
      </c>
      <c r="AM24" s="120">
        <f>AL24</f>
        <v>0</v>
      </c>
      <c r="AN24" s="122">
        <f>AM24-AT24</f>
        <v>0</v>
      </c>
      <c r="AO24" s="160">
        <v>0</v>
      </c>
      <c r="AP24" s="160">
        <v>0</v>
      </c>
      <c r="AQ24" s="122">
        <f>(AO24*1)+(AP24*0.5)</f>
        <v>0</v>
      </c>
      <c r="AR24" s="202">
        <v>0</v>
      </c>
      <c r="AS24" s="202">
        <v>0</v>
      </c>
      <c r="AT24" s="122">
        <f>(AR24*1)+(AS24*0.5)</f>
        <v>0</v>
      </c>
      <c r="AU24" s="161"/>
      <c r="AV24" s="179">
        <v>1</v>
      </c>
      <c r="AX24" s="132">
        <f>($AY$65/30*(BB24-BI24))+($AZ$65/30*(BE24-BL24))</f>
        <v>0</v>
      </c>
      <c r="AY24" s="132">
        <f t="shared" ref="AY24:AY53" si="5">IF((BB24+BE24)&gt;0,$AX$65/30,0)</f>
        <v>0</v>
      </c>
      <c r="AZ24" s="133">
        <f t="shared" ref="AZ24:AZ53" si="6">IF(BM24=1,0,AY24+AX24)</f>
        <v>0</v>
      </c>
      <c r="BA24" s="160">
        <v>0</v>
      </c>
      <c r="BB24" s="122">
        <f>BB23+BA24</f>
        <v>0</v>
      </c>
      <c r="BC24" s="122">
        <f>BB24-BI24</f>
        <v>0</v>
      </c>
      <c r="BD24" s="159">
        <v>0</v>
      </c>
      <c r="BE24" s="120">
        <f>BD24</f>
        <v>0</v>
      </c>
      <c r="BF24" s="122">
        <f>BE24-BL24</f>
        <v>0</v>
      </c>
      <c r="BG24" s="119"/>
      <c r="BH24" s="119"/>
      <c r="BI24" s="122">
        <f>(BG24*1)+(BH24*0.5)</f>
        <v>0</v>
      </c>
      <c r="BJ24" s="202">
        <v>0</v>
      </c>
      <c r="BK24" s="202">
        <v>0</v>
      </c>
      <c r="BL24" s="122">
        <f>(BJ24*1)+(BK24*0.5)</f>
        <v>0</v>
      </c>
      <c r="BM24" s="161"/>
      <c r="BN24" s="179">
        <v>1</v>
      </c>
      <c r="ET24" s="98">
        <v>1</v>
      </c>
    </row>
    <row r="25" spans="2:150" x14ac:dyDescent="0.25">
      <c r="B25" s="183">
        <f t="shared" ref="B25:B53" si="7">IF((F25-J25)&lt;=$E$18,(F25-J25)*$D$65/30,IF((F25-J25)=$E$19,(F25-J25)*$D$66/30,((F25-J25)-$E$20+1)*$D$67/30))</f>
        <v>141.25100000000003</v>
      </c>
      <c r="C25" s="183">
        <f t="shared" si="0"/>
        <v>0</v>
      </c>
      <c r="D25" s="184">
        <f t="shared" si="1"/>
        <v>141.25100000000003</v>
      </c>
      <c r="E25" s="160">
        <v>0</v>
      </c>
      <c r="F25" s="179">
        <f>F24+E25</f>
        <v>11</v>
      </c>
      <c r="G25" s="181">
        <f t="shared" ref="G25:G53" si="8">F25-J25</f>
        <v>11</v>
      </c>
      <c r="H25" s="160">
        <v>0</v>
      </c>
      <c r="I25" s="160">
        <v>0</v>
      </c>
      <c r="J25" s="122">
        <f t="shared" ref="J25:J53" si="9">(H25*1)+(I25*0.5)</f>
        <v>0</v>
      </c>
      <c r="K25" s="161"/>
      <c r="L25" s="179">
        <f>+L24+1</f>
        <v>2</v>
      </c>
      <c r="N25" s="183">
        <f t="shared" si="2"/>
        <v>51.364000000000004</v>
      </c>
      <c r="O25" s="183">
        <f t="shared" si="3"/>
        <v>0</v>
      </c>
      <c r="P25" s="184">
        <f t="shared" ref="P25:P53" si="10">IF(AC25=1,0,O25+N25)</f>
        <v>51.364000000000004</v>
      </c>
      <c r="Q25" s="160">
        <v>0</v>
      </c>
      <c r="R25" s="179">
        <f t="shared" ref="R25:R53" si="11">R24+Q25</f>
        <v>4</v>
      </c>
      <c r="S25" s="181">
        <f t="shared" ref="S25:S53" si="12">R25-Y25</f>
        <v>4</v>
      </c>
      <c r="T25" s="202">
        <v>0</v>
      </c>
      <c r="U25" s="179">
        <f>U24+T25</f>
        <v>0</v>
      </c>
      <c r="V25" s="122">
        <f t="shared" ref="V25:V53" si="13">U25-AB25</f>
        <v>0</v>
      </c>
      <c r="W25" s="160">
        <v>0</v>
      </c>
      <c r="X25" s="160">
        <v>0</v>
      </c>
      <c r="Y25" s="122">
        <f t="shared" ref="Y25:Y53" si="14">(W25*1)+(X25*0.5)</f>
        <v>0</v>
      </c>
      <c r="Z25" s="202">
        <v>0</v>
      </c>
      <c r="AA25" s="202">
        <v>0</v>
      </c>
      <c r="AB25" s="122">
        <f t="shared" ref="AB25:AB53" si="15">(Z25*1)+(AA25*0.5)</f>
        <v>0</v>
      </c>
      <c r="AC25" s="161"/>
      <c r="AD25" s="179">
        <f t="shared" ref="AD25:AD53" si="16">+AD24+1</f>
        <v>2</v>
      </c>
      <c r="AF25" s="132">
        <f t="shared" si="4"/>
        <v>115.569</v>
      </c>
      <c r="AG25" s="132">
        <f t="shared" ref="AG25:AG53" si="17">IF((AM25-AT25)&lt;=$AJ$18,(AM25-AT25)*($AG$65/30),IF((AM25-AT25)=$AJ$19,($AG$66/30),($AG$67/30)))</f>
        <v>0</v>
      </c>
      <c r="AH25" s="133">
        <f>IF(AU25=1,0,AG25+AF25)</f>
        <v>115.569</v>
      </c>
      <c r="AI25" s="160">
        <v>9</v>
      </c>
      <c r="AJ25" s="120">
        <f t="shared" ref="AJ25:AJ53" si="18">AI25</f>
        <v>9</v>
      </c>
      <c r="AK25" s="122">
        <f t="shared" ref="AK25:AK53" si="19">AJ25-AQ25</f>
        <v>9</v>
      </c>
      <c r="AL25" s="202">
        <v>0</v>
      </c>
      <c r="AM25" s="120">
        <f t="shared" ref="AM25:AM31" si="20">AM24+AL25</f>
        <v>0</v>
      </c>
      <c r="AN25" s="122">
        <f t="shared" ref="AN25:AN53" si="21">AM25-AT25</f>
        <v>0</v>
      </c>
      <c r="AO25" s="160">
        <v>0</v>
      </c>
      <c r="AP25" s="160">
        <v>0</v>
      </c>
      <c r="AQ25" s="122">
        <f t="shared" ref="AQ25:AQ53" si="22">(AO25*1)+(AP25*0.5)</f>
        <v>0</v>
      </c>
      <c r="AR25" s="202">
        <v>0</v>
      </c>
      <c r="AS25" s="202">
        <v>0</v>
      </c>
      <c r="AT25" s="122">
        <f t="shared" ref="AT25:AT53" si="23">(AR25*1)+(AS25*0.5)</f>
        <v>0</v>
      </c>
      <c r="AU25" s="161"/>
      <c r="AV25" s="179">
        <f>+AV24+1</f>
        <v>2</v>
      </c>
      <c r="AX25" s="132">
        <f t="shared" ref="AX25:AX53" si="24">($AY$65/30*BB25)+($AZ$65/30*BE25)</f>
        <v>0</v>
      </c>
      <c r="AY25" s="132">
        <f t="shared" si="5"/>
        <v>0</v>
      </c>
      <c r="AZ25" s="133">
        <f t="shared" si="6"/>
        <v>0</v>
      </c>
      <c r="BA25" s="160">
        <v>0</v>
      </c>
      <c r="BB25" s="120">
        <f t="shared" ref="BB25:BB53" si="25">BB24+BA25-BI25</f>
        <v>0</v>
      </c>
      <c r="BC25" s="122">
        <f t="shared" ref="BC25:BC53" si="26">BB25-BI25</f>
        <v>0</v>
      </c>
      <c r="BD25" s="159">
        <v>0</v>
      </c>
      <c r="BE25" s="120">
        <f t="shared" ref="BE25:BE31" si="27">BE24+BD25</f>
        <v>0</v>
      </c>
      <c r="BF25" s="122">
        <f t="shared" ref="BF25:BF53" si="28">BE25-BL25</f>
        <v>0</v>
      </c>
      <c r="BG25" s="119"/>
      <c r="BH25" s="119"/>
      <c r="BI25" s="122">
        <f t="shared" ref="BI25:BI53" si="29">(BG25*1)+(BH25*0.5)</f>
        <v>0</v>
      </c>
      <c r="BJ25" s="202">
        <v>0</v>
      </c>
      <c r="BK25" s="202">
        <v>0</v>
      </c>
      <c r="BL25" s="122">
        <f t="shared" ref="BL25:BL53" si="30">(BJ25*1)+(BK25*0.5)</f>
        <v>0</v>
      </c>
      <c r="BM25" s="161"/>
      <c r="BN25" s="179">
        <f>+BN24+1</f>
        <v>2</v>
      </c>
    </row>
    <row r="26" spans="2:150" x14ac:dyDescent="0.25">
      <c r="B26" s="183">
        <f t="shared" si="7"/>
        <v>141.25100000000003</v>
      </c>
      <c r="C26" s="183">
        <f t="shared" si="0"/>
        <v>0</v>
      </c>
      <c r="D26" s="184">
        <f t="shared" si="1"/>
        <v>141.25100000000003</v>
      </c>
      <c r="E26" s="160">
        <v>0</v>
      </c>
      <c r="F26" s="179">
        <f t="shared" ref="F26:F53" si="31">F25+E26</f>
        <v>11</v>
      </c>
      <c r="G26" s="181">
        <f t="shared" si="8"/>
        <v>11</v>
      </c>
      <c r="H26" s="160">
        <v>0</v>
      </c>
      <c r="I26" s="160">
        <v>0</v>
      </c>
      <c r="J26" s="122">
        <f t="shared" si="9"/>
        <v>0</v>
      </c>
      <c r="K26" s="161"/>
      <c r="L26" s="179">
        <f t="shared" ref="L26:L53" si="32">+L25+1</f>
        <v>3</v>
      </c>
      <c r="N26" s="183">
        <f t="shared" si="2"/>
        <v>51.364000000000004</v>
      </c>
      <c r="O26" s="183">
        <f t="shared" si="3"/>
        <v>0</v>
      </c>
      <c r="P26" s="184">
        <f t="shared" si="10"/>
        <v>51.364000000000004</v>
      </c>
      <c r="Q26" s="160">
        <v>0</v>
      </c>
      <c r="R26" s="179">
        <f t="shared" si="11"/>
        <v>4</v>
      </c>
      <c r="S26" s="181">
        <f t="shared" si="12"/>
        <v>4</v>
      </c>
      <c r="T26" s="202">
        <v>0</v>
      </c>
      <c r="U26" s="179">
        <f t="shared" ref="U26:U53" si="33">U25+T26</f>
        <v>0</v>
      </c>
      <c r="V26" s="122">
        <f t="shared" si="13"/>
        <v>0</v>
      </c>
      <c r="W26" s="160">
        <v>0</v>
      </c>
      <c r="X26" s="160">
        <v>0</v>
      </c>
      <c r="Y26" s="122">
        <f t="shared" si="14"/>
        <v>0</v>
      </c>
      <c r="Z26" s="202">
        <v>0</v>
      </c>
      <c r="AA26" s="202">
        <v>0</v>
      </c>
      <c r="AB26" s="122">
        <f t="shared" si="15"/>
        <v>0</v>
      </c>
      <c r="AC26" s="161"/>
      <c r="AD26" s="179">
        <f t="shared" si="16"/>
        <v>3</v>
      </c>
      <c r="AF26" s="132">
        <f t="shared" si="4"/>
        <v>115.569</v>
      </c>
      <c r="AG26" s="132">
        <f t="shared" si="17"/>
        <v>0</v>
      </c>
      <c r="AH26" s="133">
        <f t="shared" ref="AH26:AH53" si="34">IF(AU26=1,0,AG26+AF26)</f>
        <v>115.569</v>
      </c>
      <c r="AI26" s="160">
        <v>9</v>
      </c>
      <c r="AJ26" s="120">
        <f t="shared" si="18"/>
        <v>9</v>
      </c>
      <c r="AK26" s="122">
        <f t="shared" si="19"/>
        <v>9</v>
      </c>
      <c r="AL26" s="202">
        <v>0</v>
      </c>
      <c r="AM26" s="120">
        <f t="shared" si="20"/>
        <v>0</v>
      </c>
      <c r="AN26" s="122">
        <f t="shared" si="21"/>
        <v>0</v>
      </c>
      <c r="AO26" s="160">
        <v>0</v>
      </c>
      <c r="AP26" s="160">
        <v>0</v>
      </c>
      <c r="AQ26" s="122">
        <f t="shared" si="22"/>
        <v>0</v>
      </c>
      <c r="AR26" s="202">
        <v>0</v>
      </c>
      <c r="AS26" s="202">
        <v>0</v>
      </c>
      <c r="AT26" s="122">
        <f t="shared" si="23"/>
        <v>0</v>
      </c>
      <c r="AU26" s="161"/>
      <c r="AV26" s="179">
        <f t="shared" ref="AV26:AV53" si="35">+AV25+1</f>
        <v>3</v>
      </c>
      <c r="AX26" s="132">
        <f t="shared" si="24"/>
        <v>0</v>
      </c>
      <c r="AY26" s="132">
        <f t="shared" si="5"/>
        <v>0</v>
      </c>
      <c r="AZ26" s="133">
        <f t="shared" si="6"/>
        <v>0</v>
      </c>
      <c r="BA26" s="160">
        <v>0</v>
      </c>
      <c r="BB26" s="120">
        <f t="shared" si="25"/>
        <v>0</v>
      </c>
      <c r="BC26" s="122">
        <f t="shared" si="26"/>
        <v>0</v>
      </c>
      <c r="BD26" s="159">
        <v>0</v>
      </c>
      <c r="BE26" s="120">
        <f t="shared" si="27"/>
        <v>0</v>
      </c>
      <c r="BF26" s="122">
        <f t="shared" si="28"/>
        <v>0</v>
      </c>
      <c r="BG26" s="119"/>
      <c r="BH26" s="119"/>
      <c r="BI26" s="122">
        <f t="shared" si="29"/>
        <v>0</v>
      </c>
      <c r="BJ26" s="202">
        <v>0</v>
      </c>
      <c r="BK26" s="202">
        <v>0</v>
      </c>
      <c r="BL26" s="122">
        <f t="shared" si="30"/>
        <v>0</v>
      </c>
      <c r="BM26" s="161"/>
      <c r="BN26" s="179">
        <f t="shared" ref="BN26:BN53" si="36">+BN25+1</f>
        <v>3</v>
      </c>
    </row>
    <row r="27" spans="2:150" x14ac:dyDescent="0.25">
      <c r="B27" s="183">
        <f t="shared" si="7"/>
        <v>141.25100000000003</v>
      </c>
      <c r="C27" s="183">
        <f t="shared" si="0"/>
        <v>0</v>
      </c>
      <c r="D27" s="184">
        <f t="shared" si="1"/>
        <v>141.25100000000003</v>
      </c>
      <c r="E27" s="160">
        <v>0</v>
      </c>
      <c r="F27" s="179">
        <f t="shared" si="31"/>
        <v>11</v>
      </c>
      <c r="G27" s="181">
        <f t="shared" si="8"/>
        <v>11</v>
      </c>
      <c r="H27" s="160">
        <v>0</v>
      </c>
      <c r="I27" s="160">
        <v>0</v>
      </c>
      <c r="J27" s="122">
        <f t="shared" si="9"/>
        <v>0</v>
      </c>
      <c r="K27" s="161"/>
      <c r="L27" s="179">
        <f t="shared" si="32"/>
        <v>4</v>
      </c>
      <c r="N27" s="183">
        <f t="shared" si="2"/>
        <v>51.364000000000004</v>
      </c>
      <c r="O27" s="183">
        <f t="shared" si="3"/>
        <v>0</v>
      </c>
      <c r="P27" s="184">
        <f t="shared" si="10"/>
        <v>51.364000000000004</v>
      </c>
      <c r="Q27" s="160">
        <v>0</v>
      </c>
      <c r="R27" s="179">
        <f t="shared" si="11"/>
        <v>4</v>
      </c>
      <c r="S27" s="181">
        <f t="shared" si="12"/>
        <v>4</v>
      </c>
      <c r="T27" s="202">
        <v>0</v>
      </c>
      <c r="U27" s="179">
        <f t="shared" si="33"/>
        <v>0</v>
      </c>
      <c r="V27" s="122">
        <f t="shared" si="13"/>
        <v>0</v>
      </c>
      <c r="W27" s="160">
        <v>0</v>
      </c>
      <c r="X27" s="160">
        <v>0</v>
      </c>
      <c r="Y27" s="122">
        <f t="shared" si="14"/>
        <v>0</v>
      </c>
      <c r="Z27" s="202">
        <v>0</v>
      </c>
      <c r="AA27" s="202">
        <v>0</v>
      </c>
      <c r="AB27" s="122">
        <f t="shared" si="15"/>
        <v>0</v>
      </c>
      <c r="AC27" s="161"/>
      <c r="AD27" s="179">
        <f t="shared" si="16"/>
        <v>4</v>
      </c>
      <c r="AF27" s="132">
        <f t="shared" si="4"/>
        <v>115.569</v>
      </c>
      <c r="AG27" s="132">
        <f t="shared" si="17"/>
        <v>0</v>
      </c>
      <c r="AH27" s="133">
        <f t="shared" si="34"/>
        <v>115.569</v>
      </c>
      <c r="AI27" s="160">
        <v>9</v>
      </c>
      <c r="AJ27" s="120">
        <f t="shared" si="18"/>
        <v>9</v>
      </c>
      <c r="AK27" s="122">
        <f t="shared" si="19"/>
        <v>9</v>
      </c>
      <c r="AL27" s="202">
        <v>0</v>
      </c>
      <c r="AM27" s="120">
        <f t="shared" si="20"/>
        <v>0</v>
      </c>
      <c r="AN27" s="122">
        <f t="shared" si="21"/>
        <v>0</v>
      </c>
      <c r="AO27" s="160">
        <v>0</v>
      </c>
      <c r="AP27" s="160">
        <v>0</v>
      </c>
      <c r="AQ27" s="122">
        <f t="shared" si="22"/>
        <v>0</v>
      </c>
      <c r="AR27" s="202">
        <v>0</v>
      </c>
      <c r="AS27" s="202">
        <v>0</v>
      </c>
      <c r="AT27" s="122">
        <f t="shared" si="23"/>
        <v>0</v>
      </c>
      <c r="AU27" s="161"/>
      <c r="AV27" s="179">
        <f t="shared" si="35"/>
        <v>4</v>
      </c>
      <c r="AX27" s="132">
        <f t="shared" si="24"/>
        <v>0</v>
      </c>
      <c r="AY27" s="132">
        <f t="shared" si="5"/>
        <v>0</v>
      </c>
      <c r="AZ27" s="133">
        <f t="shared" si="6"/>
        <v>0</v>
      </c>
      <c r="BA27" s="160">
        <v>0</v>
      </c>
      <c r="BB27" s="120">
        <f t="shared" si="25"/>
        <v>0</v>
      </c>
      <c r="BC27" s="122">
        <f t="shared" si="26"/>
        <v>0</v>
      </c>
      <c r="BD27" s="159">
        <v>0</v>
      </c>
      <c r="BE27" s="120">
        <f t="shared" si="27"/>
        <v>0</v>
      </c>
      <c r="BF27" s="122">
        <f t="shared" si="28"/>
        <v>0</v>
      </c>
      <c r="BG27" s="119"/>
      <c r="BH27" s="119"/>
      <c r="BI27" s="122">
        <f t="shared" si="29"/>
        <v>0</v>
      </c>
      <c r="BJ27" s="202">
        <v>0</v>
      </c>
      <c r="BK27" s="202">
        <v>0</v>
      </c>
      <c r="BL27" s="122">
        <f t="shared" si="30"/>
        <v>0</v>
      </c>
      <c r="BM27" s="161"/>
      <c r="BN27" s="179">
        <f t="shared" si="36"/>
        <v>4</v>
      </c>
    </row>
    <row r="28" spans="2:150" x14ac:dyDescent="0.25">
      <c r="B28" s="183">
        <f t="shared" si="7"/>
        <v>141.25100000000003</v>
      </c>
      <c r="C28" s="183">
        <f t="shared" si="0"/>
        <v>0</v>
      </c>
      <c r="D28" s="184">
        <f t="shared" si="1"/>
        <v>141.25100000000003</v>
      </c>
      <c r="E28" s="160">
        <v>0</v>
      </c>
      <c r="F28" s="179">
        <f t="shared" si="31"/>
        <v>11</v>
      </c>
      <c r="G28" s="181">
        <f t="shared" si="8"/>
        <v>11</v>
      </c>
      <c r="H28" s="160">
        <v>0</v>
      </c>
      <c r="I28" s="160">
        <v>0</v>
      </c>
      <c r="J28" s="122">
        <f t="shared" si="9"/>
        <v>0</v>
      </c>
      <c r="K28" s="161"/>
      <c r="L28" s="179">
        <f t="shared" si="32"/>
        <v>5</v>
      </c>
      <c r="N28" s="183">
        <f t="shared" si="2"/>
        <v>51.364000000000004</v>
      </c>
      <c r="O28" s="183">
        <f t="shared" si="3"/>
        <v>0</v>
      </c>
      <c r="P28" s="184">
        <f t="shared" si="10"/>
        <v>51.364000000000004</v>
      </c>
      <c r="Q28" s="160">
        <v>0</v>
      </c>
      <c r="R28" s="179">
        <f t="shared" si="11"/>
        <v>4</v>
      </c>
      <c r="S28" s="181">
        <f t="shared" si="12"/>
        <v>4</v>
      </c>
      <c r="T28" s="202">
        <v>0</v>
      </c>
      <c r="U28" s="179">
        <f t="shared" si="33"/>
        <v>0</v>
      </c>
      <c r="V28" s="122">
        <f t="shared" si="13"/>
        <v>0</v>
      </c>
      <c r="W28" s="160">
        <v>0</v>
      </c>
      <c r="X28" s="160">
        <v>0</v>
      </c>
      <c r="Y28" s="122">
        <f t="shared" si="14"/>
        <v>0</v>
      </c>
      <c r="Z28" s="202">
        <v>0</v>
      </c>
      <c r="AA28" s="202">
        <v>0</v>
      </c>
      <c r="AB28" s="122">
        <f t="shared" si="15"/>
        <v>0</v>
      </c>
      <c r="AC28" s="161"/>
      <c r="AD28" s="179">
        <f t="shared" si="16"/>
        <v>5</v>
      </c>
      <c r="AF28" s="132">
        <f t="shared" si="4"/>
        <v>115.569</v>
      </c>
      <c r="AG28" s="132">
        <f t="shared" si="17"/>
        <v>0</v>
      </c>
      <c r="AH28" s="133">
        <f t="shared" si="34"/>
        <v>115.569</v>
      </c>
      <c r="AI28" s="160">
        <v>9</v>
      </c>
      <c r="AJ28" s="120">
        <f t="shared" si="18"/>
        <v>9</v>
      </c>
      <c r="AK28" s="122">
        <f t="shared" si="19"/>
        <v>9</v>
      </c>
      <c r="AL28" s="202">
        <v>0</v>
      </c>
      <c r="AM28" s="120">
        <f t="shared" si="20"/>
        <v>0</v>
      </c>
      <c r="AN28" s="122">
        <f t="shared" si="21"/>
        <v>0</v>
      </c>
      <c r="AO28" s="160">
        <v>0</v>
      </c>
      <c r="AP28" s="160">
        <v>0</v>
      </c>
      <c r="AQ28" s="122">
        <f t="shared" si="22"/>
        <v>0</v>
      </c>
      <c r="AR28" s="202">
        <v>0</v>
      </c>
      <c r="AS28" s="202">
        <v>0</v>
      </c>
      <c r="AT28" s="122">
        <f t="shared" si="23"/>
        <v>0</v>
      </c>
      <c r="AU28" s="161"/>
      <c r="AV28" s="179">
        <f t="shared" si="35"/>
        <v>5</v>
      </c>
      <c r="AX28" s="132">
        <f t="shared" si="24"/>
        <v>0</v>
      </c>
      <c r="AY28" s="132">
        <f t="shared" si="5"/>
        <v>0</v>
      </c>
      <c r="AZ28" s="133">
        <f t="shared" si="6"/>
        <v>0</v>
      </c>
      <c r="BA28" s="160">
        <v>0</v>
      </c>
      <c r="BB28" s="120">
        <f t="shared" si="25"/>
        <v>0</v>
      </c>
      <c r="BC28" s="122">
        <f t="shared" si="26"/>
        <v>0</v>
      </c>
      <c r="BD28" s="159">
        <v>0</v>
      </c>
      <c r="BE28" s="120">
        <f t="shared" si="27"/>
        <v>0</v>
      </c>
      <c r="BF28" s="122">
        <f t="shared" si="28"/>
        <v>0</v>
      </c>
      <c r="BG28" s="119"/>
      <c r="BH28" s="119"/>
      <c r="BI28" s="122">
        <f t="shared" si="29"/>
        <v>0</v>
      </c>
      <c r="BJ28" s="202">
        <v>0</v>
      </c>
      <c r="BK28" s="202">
        <v>0</v>
      </c>
      <c r="BL28" s="122">
        <f t="shared" si="30"/>
        <v>0</v>
      </c>
      <c r="BM28" s="161"/>
      <c r="BN28" s="179">
        <f t="shared" si="36"/>
        <v>5</v>
      </c>
    </row>
    <row r="29" spans="2:150" x14ac:dyDescent="0.25">
      <c r="B29" s="183">
        <f t="shared" si="7"/>
        <v>141.25100000000003</v>
      </c>
      <c r="C29" s="183">
        <f t="shared" si="0"/>
        <v>0</v>
      </c>
      <c r="D29" s="184">
        <f t="shared" si="1"/>
        <v>141.25100000000003</v>
      </c>
      <c r="E29" s="160">
        <v>0</v>
      </c>
      <c r="F29" s="179">
        <f t="shared" si="31"/>
        <v>11</v>
      </c>
      <c r="G29" s="181">
        <f t="shared" si="8"/>
        <v>11</v>
      </c>
      <c r="H29" s="160">
        <v>0</v>
      </c>
      <c r="I29" s="160">
        <v>0</v>
      </c>
      <c r="J29" s="122">
        <f t="shared" si="9"/>
        <v>0</v>
      </c>
      <c r="K29" s="161"/>
      <c r="L29" s="179">
        <f t="shared" si="32"/>
        <v>6</v>
      </c>
      <c r="N29" s="183">
        <f t="shared" si="2"/>
        <v>51.364000000000004</v>
      </c>
      <c r="O29" s="183">
        <f t="shared" si="3"/>
        <v>0</v>
      </c>
      <c r="P29" s="184">
        <f t="shared" si="10"/>
        <v>51.364000000000004</v>
      </c>
      <c r="Q29" s="160">
        <v>0</v>
      </c>
      <c r="R29" s="179">
        <f t="shared" si="11"/>
        <v>4</v>
      </c>
      <c r="S29" s="181">
        <f t="shared" si="12"/>
        <v>4</v>
      </c>
      <c r="T29" s="202">
        <v>0</v>
      </c>
      <c r="U29" s="179">
        <f t="shared" si="33"/>
        <v>0</v>
      </c>
      <c r="V29" s="122">
        <f t="shared" si="13"/>
        <v>0</v>
      </c>
      <c r="W29" s="160">
        <v>0</v>
      </c>
      <c r="X29" s="160">
        <v>0</v>
      </c>
      <c r="Y29" s="122">
        <f t="shared" si="14"/>
        <v>0</v>
      </c>
      <c r="Z29" s="202">
        <v>0</v>
      </c>
      <c r="AA29" s="202">
        <v>0</v>
      </c>
      <c r="AB29" s="122">
        <f t="shared" si="15"/>
        <v>0</v>
      </c>
      <c r="AC29" s="161"/>
      <c r="AD29" s="179">
        <f t="shared" si="16"/>
        <v>6</v>
      </c>
      <c r="AF29" s="132">
        <f t="shared" si="4"/>
        <v>115.569</v>
      </c>
      <c r="AG29" s="132">
        <f t="shared" si="17"/>
        <v>0</v>
      </c>
      <c r="AH29" s="133">
        <f t="shared" si="34"/>
        <v>115.569</v>
      </c>
      <c r="AI29" s="160">
        <v>9</v>
      </c>
      <c r="AJ29" s="120">
        <f t="shared" si="18"/>
        <v>9</v>
      </c>
      <c r="AK29" s="122">
        <f t="shared" si="19"/>
        <v>9</v>
      </c>
      <c r="AL29" s="202">
        <v>0</v>
      </c>
      <c r="AM29" s="120">
        <f t="shared" si="20"/>
        <v>0</v>
      </c>
      <c r="AN29" s="122">
        <f t="shared" si="21"/>
        <v>0</v>
      </c>
      <c r="AO29" s="160">
        <v>0</v>
      </c>
      <c r="AP29" s="160">
        <v>0</v>
      </c>
      <c r="AQ29" s="122">
        <f t="shared" si="22"/>
        <v>0</v>
      </c>
      <c r="AR29" s="202">
        <v>0</v>
      </c>
      <c r="AS29" s="202">
        <v>0</v>
      </c>
      <c r="AT29" s="122">
        <f t="shared" si="23"/>
        <v>0</v>
      </c>
      <c r="AU29" s="161"/>
      <c r="AV29" s="179">
        <f t="shared" si="35"/>
        <v>6</v>
      </c>
      <c r="AX29" s="132">
        <f t="shared" si="24"/>
        <v>0</v>
      </c>
      <c r="AY29" s="132">
        <f t="shared" si="5"/>
        <v>0</v>
      </c>
      <c r="AZ29" s="133">
        <f t="shared" si="6"/>
        <v>0</v>
      </c>
      <c r="BA29" s="160">
        <v>0</v>
      </c>
      <c r="BB29" s="120">
        <f t="shared" si="25"/>
        <v>0</v>
      </c>
      <c r="BC29" s="122">
        <f t="shared" si="26"/>
        <v>0</v>
      </c>
      <c r="BD29" s="159">
        <v>0</v>
      </c>
      <c r="BE29" s="120">
        <f t="shared" si="27"/>
        <v>0</v>
      </c>
      <c r="BF29" s="122">
        <f t="shared" si="28"/>
        <v>0</v>
      </c>
      <c r="BG29" s="119"/>
      <c r="BH29" s="119"/>
      <c r="BI29" s="122">
        <f t="shared" si="29"/>
        <v>0</v>
      </c>
      <c r="BJ29" s="202">
        <v>0</v>
      </c>
      <c r="BK29" s="202">
        <v>0</v>
      </c>
      <c r="BL29" s="122">
        <f t="shared" si="30"/>
        <v>0</v>
      </c>
      <c r="BM29" s="161"/>
      <c r="BN29" s="179">
        <f t="shared" si="36"/>
        <v>6</v>
      </c>
    </row>
    <row r="30" spans="2:150" x14ac:dyDescent="0.25">
      <c r="B30" s="183">
        <f t="shared" si="7"/>
        <v>141.25100000000003</v>
      </c>
      <c r="C30" s="183">
        <f t="shared" si="0"/>
        <v>0</v>
      </c>
      <c r="D30" s="184">
        <f t="shared" si="1"/>
        <v>141.25100000000003</v>
      </c>
      <c r="E30" s="160">
        <v>0</v>
      </c>
      <c r="F30" s="179">
        <f t="shared" si="31"/>
        <v>11</v>
      </c>
      <c r="G30" s="181">
        <f t="shared" si="8"/>
        <v>11</v>
      </c>
      <c r="H30" s="160">
        <v>0</v>
      </c>
      <c r="I30" s="160">
        <v>0</v>
      </c>
      <c r="J30" s="122">
        <f t="shared" si="9"/>
        <v>0</v>
      </c>
      <c r="K30" s="161"/>
      <c r="L30" s="179">
        <f t="shared" si="32"/>
        <v>7</v>
      </c>
      <c r="N30" s="183">
        <f t="shared" si="2"/>
        <v>51.364000000000004</v>
      </c>
      <c r="O30" s="183">
        <f t="shared" si="3"/>
        <v>0</v>
      </c>
      <c r="P30" s="184">
        <f t="shared" si="10"/>
        <v>51.364000000000004</v>
      </c>
      <c r="Q30" s="160">
        <v>0</v>
      </c>
      <c r="R30" s="179">
        <f t="shared" si="11"/>
        <v>4</v>
      </c>
      <c r="S30" s="181">
        <f t="shared" si="12"/>
        <v>4</v>
      </c>
      <c r="T30" s="202">
        <v>0</v>
      </c>
      <c r="U30" s="179">
        <f t="shared" si="33"/>
        <v>0</v>
      </c>
      <c r="V30" s="122">
        <f t="shared" si="13"/>
        <v>0</v>
      </c>
      <c r="W30" s="160">
        <v>0</v>
      </c>
      <c r="X30" s="160">
        <v>0</v>
      </c>
      <c r="Y30" s="122">
        <f t="shared" si="14"/>
        <v>0</v>
      </c>
      <c r="Z30" s="202">
        <v>0</v>
      </c>
      <c r="AA30" s="202">
        <v>0</v>
      </c>
      <c r="AB30" s="122">
        <f t="shared" si="15"/>
        <v>0</v>
      </c>
      <c r="AC30" s="161"/>
      <c r="AD30" s="179">
        <f t="shared" si="16"/>
        <v>7</v>
      </c>
      <c r="AF30" s="132">
        <f t="shared" si="4"/>
        <v>115.569</v>
      </c>
      <c r="AG30" s="132">
        <f t="shared" si="17"/>
        <v>0</v>
      </c>
      <c r="AH30" s="133">
        <f t="shared" si="34"/>
        <v>115.569</v>
      </c>
      <c r="AI30" s="160">
        <v>9</v>
      </c>
      <c r="AJ30" s="120">
        <f t="shared" si="18"/>
        <v>9</v>
      </c>
      <c r="AK30" s="122">
        <f t="shared" si="19"/>
        <v>9</v>
      </c>
      <c r="AL30" s="202">
        <v>0</v>
      </c>
      <c r="AM30" s="120">
        <f t="shared" si="20"/>
        <v>0</v>
      </c>
      <c r="AN30" s="122">
        <f t="shared" si="21"/>
        <v>0</v>
      </c>
      <c r="AO30" s="160">
        <v>0</v>
      </c>
      <c r="AP30" s="160">
        <v>0</v>
      </c>
      <c r="AQ30" s="122">
        <f t="shared" si="22"/>
        <v>0</v>
      </c>
      <c r="AR30" s="202">
        <v>0</v>
      </c>
      <c r="AS30" s="202">
        <v>0</v>
      </c>
      <c r="AT30" s="122">
        <f t="shared" si="23"/>
        <v>0</v>
      </c>
      <c r="AU30" s="161"/>
      <c r="AV30" s="179">
        <f t="shared" si="35"/>
        <v>7</v>
      </c>
      <c r="AX30" s="132">
        <f t="shared" si="24"/>
        <v>0</v>
      </c>
      <c r="AY30" s="132">
        <f t="shared" si="5"/>
        <v>0</v>
      </c>
      <c r="AZ30" s="133">
        <f t="shared" si="6"/>
        <v>0</v>
      </c>
      <c r="BA30" s="160">
        <v>0</v>
      </c>
      <c r="BB30" s="120">
        <f t="shared" si="25"/>
        <v>0</v>
      </c>
      <c r="BC30" s="122">
        <f t="shared" si="26"/>
        <v>0</v>
      </c>
      <c r="BD30" s="159">
        <v>0</v>
      </c>
      <c r="BE30" s="120">
        <f t="shared" si="27"/>
        <v>0</v>
      </c>
      <c r="BF30" s="122">
        <f t="shared" si="28"/>
        <v>0</v>
      </c>
      <c r="BG30" s="119"/>
      <c r="BH30" s="119"/>
      <c r="BI30" s="122">
        <f t="shared" si="29"/>
        <v>0</v>
      </c>
      <c r="BJ30" s="202">
        <v>0</v>
      </c>
      <c r="BK30" s="202">
        <v>0</v>
      </c>
      <c r="BL30" s="122">
        <f t="shared" si="30"/>
        <v>0</v>
      </c>
      <c r="BM30" s="161"/>
      <c r="BN30" s="179">
        <f t="shared" si="36"/>
        <v>7</v>
      </c>
    </row>
    <row r="31" spans="2:150" x14ac:dyDescent="0.25">
      <c r="B31" s="183">
        <f t="shared" si="7"/>
        <v>141.25100000000003</v>
      </c>
      <c r="C31" s="183">
        <f t="shared" si="0"/>
        <v>0</v>
      </c>
      <c r="D31" s="184">
        <f t="shared" si="1"/>
        <v>141.25100000000003</v>
      </c>
      <c r="E31" s="160">
        <v>0</v>
      </c>
      <c r="F31" s="179">
        <f t="shared" si="31"/>
        <v>11</v>
      </c>
      <c r="G31" s="181">
        <f t="shared" si="8"/>
        <v>11</v>
      </c>
      <c r="H31" s="160">
        <v>0</v>
      </c>
      <c r="I31" s="160">
        <v>0</v>
      </c>
      <c r="J31" s="122">
        <f t="shared" si="9"/>
        <v>0</v>
      </c>
      <c r="K31" s="161"/>
      <c r="L31" s="179">
        <f t="shared" si="32"/>
        <v>8</v>
      </c>
      <c r="N31" s="183">
        <f t="shared" si="2"/>
        <v>51.364000000000004</v>
      </c>
      <c r="O31" s="183">
        <f t="shared" si="3"/>
        <v>0</v>
      </c>
      <c r="P31" s="184">
        <f t="shared" si="10"/>
        <v>51.364000000000004</v>
      </c>
      <c r="Q31" s="160">
        <v>0</v>
      </c>
      <c r="R31" s="179">
        <f t="shared" si="11"/>
        <v>4</v>
      </c>
      <c r="S31" s="181">
        <f t="shared" si="12"/>
        <v>4</v>
      </c>
      <c r="T31" s="202">
        <v>0</v>
      </c>
      <c r="U31" s="179">
        <f t="shared" si="33"/>
        <v>0</v>
      </c>
      <c r="V31" s="122">
        <f t="shared" si="13"/>
        <v>0</v>
      </c>
      <c r="W31" s="160">
        <v>0</v>
      </c>
      <c r="X31" s="160">
        <v>0</v>
      </c>
      <c r="Y31" s="122">
        <f t="shared" si="14"/>
        <v>0</v>
      </c>
      <c r="Z31" s="202">
        <v>0</v>
      </c>
      <c r="AA31" s="202">
        <v>0</v>
      </c>
      <c r="AB31" s="122">
        <f t="shared" si="15"/>
        <v>0</v>
      </c>
      <c r="AC31" s="161"/>
      <c r="AD31" s="179">
        <f t="shared" si="16"/>
        <v>8</v>
      </c>
      <c r="AF31" s="132">
        <f t="shared" si="4"/>
        <v>115.569</v>
      </c>
      <c r="AG31" s="132">
        <f t="shared" si="17"/>
        <v>0</v>
      </c>
      <c r="AH31" s="133">
        <f t="shared" si="34"/>
        <v>115.569</v>
      </c>
      <c r="AI31" s="160">
        <v>9</v>
      </c>
      <c r="AJ31" s="120">
        <f t="shared" si="18"/>
        <v>9</v>
      </c>
      <c r="AK31" s="122">
        <f t="shared" si="19"/>
        <v>9</v>
      </c>
      <c r="AL31" s="202">
        <v>0</v>
      </c>
      <c r="AM31" s="120">
        <f t="shared" si="20"/>
        <v>0</v>
      </c>
      <c r="AN31" s="122">
        <f t="shared" si="21"/>
        <v>0</v>
      </c>
      <c r="AO31" s="160">
        <v>0</v>
      </c>
      <c r="AP31" s="160">
        <v>0</v>
      </c>
      <c r="AQ31" s="122">
        <f t="shared" si="22"/>
        <v>0</v>
      </c>
      <c r="AR31" s="202">
        <v>0</v>
      </c>
      <c r="AS31" s="202">
        <v>0</v>
      </c>
      <c r="AT31" s="122">
        <f t="shared" si="23"/>
        <v>0</v>
      </c>
      <c r="AU31" s="161"/>
      <c r="AV31" s="179">
        <f t="shared" si="35"/>
        <v>8</v>
      </c>
      <c r="AX31" s="132">
        <f t="shared" si="24"/>
        <v>0</v>
      </c>
      <c r="AY31" s="132">
        <f t="shared" si="5"/>
        <v>0</v>
      </c>
      <c r="AZ31" s="133">
        <f t="shared" si="6"/>
        <v>0</v>
      </c>
      <c r="BA31" s="160">
        <v>0</v>
      </c>
      <c r="BB31" s="120">
        <f t="shared" si="25"/>
        <v>0</v>
      </c>
      <c r="BC31" s="122">
        <f t="shared" si="26"/>
        <v>0</v>
      </c>
      <c r="BD31" s="159">
        <v>0</v>
      </c>
      <c r="BE31" s="120">
        <f t="shared" si="27"/>
        <v>0</v>
      </c>
      <c r="BF31" s="122">
        <f t="shared" si="28"/>
        <v>0</v>
      </c>
      <c r="BG31" s="119"/>
      <c r="BH31" s="119"/>
      <c r="BI31" s="122">
        <f t="shared" si="29"/>
        <v>0</v>
      </c>
      <c r="BJ31" s="202">
        <v>0</v>
      </c>
      <c r="BK31" s="202">
        <v>0</v>
      </c>
      <c r="BL31" s="122">
        <f t="shared" si="30"/>
        <v>0</v>
      </c>
      <c r="BM31" s="161"/>
      <c r="BN31" s="179">
        <f t="shared" si="36"/>
        <v>8</v>
      </c>
    </row>
    <row r="32" spans="2:150" x14ac:dyDescent="0.25">
      <c r="B32" s="183">
        <f t="shared" si="7"/>
        <v>141.25100000000003</v>
      </c>
      <c r="C32" s="183">
        <f t="shared" si="0"/>
        <v>0</v>
      </c>
      <c r="D32" s="184">
        <f t="shared" si="1"/>
        <v>141.25100000000003</v>
      </c>
      <c r="E32" s="160">
        <v>0</v>
      </c>
      <c r="F32" s="179">
        <f t="shared" si="31"/>
        <v>11</v>
      </c>
      <c r="G32" s="181">
        <f t="shared" si="8"/>
        <v>11</v>
      </c>
      <c r="H32" s="160">
        <v>0</v>
      </c>
      <c r="I32" s="160">
        <v>0</v>
      </c>
      <c r="J32" s="122">
        <f t="shared" si="9"/>
        <v>0</v>
      </c>
      <c r="K32" s="161"/>
      <c r="L32" s="179">
        <f t="shared" si="32"/>
        <v>9</v>
      </c>
      <c r="N32" s="183">
        <f t="shared" si="2"/>
        <v>51.364000000000004</v>
      </c>
      <c r="O32" s="183">
        <f t="shared" si="3"/>
        <v>0</v>
      </c>
      <c r="P32" s="184">
        <f t="shared" si="10"/>
        <v>51.364000000000004</v>
      </c>
      <c r="Q32" s="160">
        <v>0</v>
      </c>
      <c r="R32" s="179">
        <f t="shared" si="11"/>
        <v>4</v>
      </c>
      <c r="S32" s="181">
        <f t="shared" si="12"/>
        <v>4</v>
      </c>
      <c r="T32" s="202">
        <v>0</v>
      </c>
      <c r="U32" s="179">
        <f t="shared" si="33"/>
        <v>0</v>
      </c>
      <c r="V32" s="122">
        <f t="shared" si="13"/>
        <v>0</v>
      </c>
      <c r="W32" s="160">
        <v>0</v>
      </c>
      <c r="X32" s="160">
        <v>0</v>
      </c>
      <c r="Y32" s="122">
        <f t="shared" si="14"/>
        <v>0</v>
      </c>
      <c r="Z32" s="202">
        <v>0</v>
      </c>
      <c r="AA32" s="202">
        <v>0</v>
      </c>
      <c r="AB32" s="122">
        <f t="shared" si="15"/>
        <v>0</v>
      </c>
      <c r="AC32" s="161"/>
      <c r="AD32" s="179">
        <f t="shared" si="16"/>
        <v>9</v>
      </c>
      <c r="AF32" s="132">
        <f t="shared" si="4"/>
        <v>115.569</v>
      </c>
      <c r="AG32" s="132">
        <f t="shared" si="17"/>
        <v>0</v>
      </c>
      <c r="AH32" s="133">
        <f t="shared" si="34"/>
        <v>115.569</v>
      </c>
      <c r="AI32" s="160">
        <v>9</v>
      </c>
      <c r="AJ32" s="120">
        <f t="shared" si="18"/>
        <v>9</v>
      </c>
      <c r="AK32" s="122">
        <f t="shared" si="19"/>
        <v>9</v>
      </c>
      <c r="AL32" s="202">
        <v>0</v>
      </c>
      <c r="AM32" s="120">
        <f t="shared" ref="AM32:AM53" si="37">AM31+AL32</f>
        <v>0</v>
      </c>
      <c r="AN32" s="122">
        <f t="shared" si="21"/>
        <v>0</v>
      </c>
      <c r="AO32" s="160">
        <v>0</v>
      </c>
      <c r="AP32" s="160">
        <v>0</v>
      </c>
      <c r="AQ32" s="122">
        <f t="shared" si="22"/>
        <v>0</v>
      </c>
      <c r="AR32" s="202">
        <v>0</v>
      </c>
      <c r="AS32" s="202">
        <v>0</v>
      </c>
      <c r="AT32" s="122">
        <f t="shared" si="23"/>
        <v>0</v>
      </c>
      <c r="AU32" s="161"/>
      <c r="AV32" s="179">
        <f t="shared" si="35"/>
        <v>9</v>
      </c>
      <c r="AX32" s="132">
        <f t="shared" si="24"/>
        <v>0</v>
      </c>
      <c r="AY32" s="132">
        <f t="shared" si="5"/>
        <v>0</v>
      </c>
      <c r="AZ32" s="133">
        <f t="shared" si="6"/>
        <v>0</v>
      </c>
      <c r="BA32" s="160">
        <v>0</v>
      </c>
      <c r="BB32" s="120">
        <f t="shared" si="25"/>
        <v>0</v>
      </c>
      <c r="BC32" s="122">
        <f t="shared" si="26"/>
        <v>0</v>
      </c>
      <c r="BD32" s="159">
        <v>0</v>
      </c>
      <c r="BE32" s="120">
        <f t="shared" ref="BE32:BE53" si="38">BE31+BD32</f>
        <v>0</v>
      </c>
      <c r="BF32" s="122">
        <f t="shared" si="28"/>
        <v>0</v>
      </c>
      <c r="BG32" s="119"/>
      <c r="BH32" s="119"/>
      <c r="BI32" s="122">
        <f t="shared" si="29"/>
        <v>0</v>
      </c>
      <c r="BJ32" s="202">
        <v>0</v>
      </c>
      <c r="BK32" s="202">
        <v>0</v>
      </c>
      <c r="BL32" s="122">
        <f t="shared" si="30"/>
        <v>0</v>
      </c>
      <c r="BM32" s="161"/>
      <c r="BN32" s="179">
        <f t="shared" si="36"/>
        <v>9</v>
      </c>
    </row>
    <row r="33" spans="2:66" x14ac:dyDescent="0.25">
      <c r="B33" s="183">
        <f t="shared" si="7"/>
        <v>141.25100000000003</v>
      </c>
      <c r="C33" s="183">
        <f t="shared" si="0"/>
        <v>0</v>
      </c>
      <c r="D33" s="184">
        <f t="shared" si="1"/>
        <v>141.25100000000003</v>
      </c>
      <c r="E33" s="160">
        <v>0</v>
      </c>
      <c r="F33" s="179">
        <f t="shared" si="31"/>
        <v>11</v>
      </c>
      <c r="G33" s="181">
        <f t="shared" si="8"/>
        <v>11</v>
      </c>
      <c r="H33" s="160">
        <v>0</v>
      </c>
      <c r="I33" s="160">
        <v>0</v>
      </c>
      <c r="J33" s="122">
        <f t="shared" si="9"/>
        <v>0</v>
      </c>
      <c r="K33" s="161"/>
      <c r="L33" s="179">
        <f t="shared" si="32"/>
        <v>10</v>
      </c>
      <c r="N33" s="183">
        <f t="shared" si="2"/>
        <v>51.364000000000004</v>
      </c>
      <c r="O33" s="183">
        <f t="shared" si="3"/>
        <v>0</v>
      </c>
      <c r="P33" s="184">
        <f t="shared" si="10"/>
        <v>51.364000000000004</v>
      </c>
      <c r="Q33" s="160">
        <v>0</v>
      </c>
      <c r="R33" s="179">
        <f t="shared" si="11"/>
        <v>4</v>
      </c>
      <c r="S33" s="181">
        <f t="shared" si="12"/>
        <v>4</v>
      </c>
      <c r="T33" s="202">
        <v>0</v>
      </c>
      <c r="U33" s="179">
        <f t="shared" si="33"/>
        <v>0</v>
      </c>
      <c r="V33" s="122">
        <f t="shared" si="13"/>
        <v>0</v>
      </c>
      <c r="W33" s="160">
        <v>0</v>
      </c>
      <c r="X33" s="160">
        <v>0</v>
      </c>
      <c r="Y33" s="122">
        <f t="shared" si="14"/>
        <v>0</v>
      </c>
      <c r="Z33" s="202">
        <v>0</v>
      </c>
      <c r="AA33" s="202">
        <v>0</v>
      </c>
      <c r="AB33" s="122">
        <f t="shared" si="15"/>
        <v>0</v>
      </c>
      <c r="AC33" s="161"/>
      <c r="AD33" s="179">
        <f t="shared" si="16"/>
        <v>10</v>
      </c>
      <c r="AF33" s="132">
        <f t="shared" si="4"/>
        <v>198.38766666666666</v>
      </c>
      <c r="AG33" s="132">
        <f t="shared" si="17"/>
        <v>0</v>
      </c>
      <c r="AH33" s="133">
        <f t="shared" si="34"/>
        <v>198.38766666666666</v>
      </c>
      <c r="AI33" s="160">
        <v>9</v>
      </c>
      <c r="AJ33" s="120">
        <f t="shared" si="18"/>
        <v>9</v>
      </c>
      <c r="AK33" s="122">
        <f t="shared" si="19"/>
        <v>9</v>
      </c>
      <c r="AL33" s="202">
        <v>4</v>
      </c>
      <c r="AM33" s="120">
        <f t="shared" si="37"/>
        <v>4</v>
      </c>
      <c r="AN33" s="122">
        <f t="shared" si="21"/>
        <v>4</v>
      </c>
      <c r="AO33" s="160">
        <v>0</v>
      </c>
      <c r="AP33" s="160">
        <v>0</v>
      </c>
      <c r="AQ33" s="122">
        <f t="shared" si="22"/>
        <v>0</v>
      </c>
      <c r="AR33" s="202">
        <v>0</v>
      </c>
      <c r="AS33" s="202">
        <v>0</v>
      </c>
      <c r="AT33" s="122">
        <f t="shared" si="23"/>
        <v>0</v>
      </c>
      <c r="AU33" s="161"/>
      <c r="AV33" s="179">
        <f t="shared" si="35"/>
        <v>10</v>
      </c>
      <c r="AX33" s="132">
        <f t="shared" si="24"/>
        <v>0</v>
      </c>
      <c r="AY33" s="132">
        <f t="shared" si="5"/>
        <v>0</v>
      </c>
      <c r="AZ33" s="133">
        <f t="shared" si="6"/>
        <v>0</v>
      </c>
      <c r="BA33" s="160">
        <v>0</v>
      </c>
      <c r="BB33" s="120">
        <f t="shared" si="25"/>
        <v>0</v>
      </c>
      <c r="BC33" s="122">
        <f t="shared" si="26"/>
        <v>0</v>
      </c>
      <c r="BD33" s="159">
        <v>0</v>
      </c>
      <c r="BE33" s="120">
        <f t="shared" si="38"/>
        <v>0</v>
      </c>
      <c r="BF33" s="122">
        <f t="shared" si="28"/>
        <v>0</v>
      </c>
      <c r="BG33" s="119"/>
      <c r="BH33" s="119"/>
      <c r="BI33" s="122">
        <f t="shared" si="29"/>
        <v>0</v>
      </c>
      <c r="BJ33" s="202">
        <v>0</v>
      </c>
      <c r="BK33" s="202">
        <v>0</v>
      </c>
      <c r="BL33" s="122">
        <f t="shared" si="30"/>
        <v>0</v>
      </c>
      <c r="BM33" s="161"/>
      <c r="BN33" s="179">
        <f t="shared" si="36"/>
        <v>10</v>
      </c>
    </row>
    <row r="34" spans="2:66" x14ac:dyDescent="0.25">
      <c r="B34" s="183">
        <f t="shared" si="7"/>
        <v>141.25100000000003</v>
      </c>
      <c r="C34" s="183">
        <f t="shared" si="0"/>
        <v>0</v>
      </c>
      <c r="D34" s="184">
        <f t="shared" si="1"/>
        <v>141.25100000000003</v>
      </c>
      <c r="E34" s="160">
        <v>0</v>
      </c>
      <c r="F34" s="179">
        <f t="shared" si="31"/>
        <v>11</v>
      </c>
      <c r="G34" s="181">
        <f t="shared" si="8"/>
        <v>11</v>
      </c>
      <c r="H34" s="160">
        <v>0</v>
      </c>
      <c r="I34" s="160">
        <v>0</v>
      </c>
      <c r="J34" s="122">
        <f t="shared" si="9"/>
        <v>0</v>
      </c>
      <c r="K34" s="161"/>
      <c r="L34" s="179">
        <f t="shared" si="32"/>
        <v>11</v>
      </c>
      <c r="N34" s="183">
        <f t="shared" si="2"/>
        <v>51.364000000000004</v>
      </c>
      <c r="O34" s="183">
        <f t="shared" si="3"/>
        <v>0</v>
      </c>
      <c r="P34" s="184">
        <f t="shared" si="10"/>
        <v>51.364000000000004</v>
      </c>
      <c r="Q34" s="160">
        <v>0</v>
      </c>
      <c r="R34" s="179">
        <f t="shared" si="11"/>
        <v>4</v>
      </c>
      <c r="S34" s="181">
        <f t="shared" si="12"/>
        <v>4</v>
      </c>
      <c r="T34" s="202">
        <v>0</v>
      </c>
      <c r="U34" s="179">
        <f t="shared" si="33"/>
        <v>0</v>
      </c>
      <c r="V34" s="122">
        <f t="shared" si="13"/>
        <v>0</v>
      </c>
      <c r="W34" s="160">
        <v>0</v>
      </c>
      <c r="X34" s="160">
        <v>0</v>
      </c>
      <c r="Y34" s="122">
        <f t="shared" si="14"/>
        <v>0</v>
      </c>
      <c r="Z34" s="202">
        <v>0</v>
      </c>
      <c r="AA34" s="202">
        <v>0</v>
      </c>
      <c r="AB34" s="122">
        <f t="shared" si="15"/>
        <v>0</v>
      </c>
      <c r="AC34" s="161"/>
      <c r="AD34" s="179">
        <f t="shared" si="16"/>
        <v>11</v>
      </c>
      <c r="AF34" s="132">
        <f t="shared" si="4"/>
        <v>198.38766666666666</v>
      </c>
      <c r="AG34" s="132">
        <f t="shared" si="17"/>
        <v>0</v>
      </c>
      <c r="AH34" s="133">
        <f t="shared" si="34"/>
        <v>198.38766666666666</v>
      </c>
      <c r="AI34" s="160">
        <v>9</v>
      </c>
      <c r="AJ34" s="120">
        <f t="shared" si="18"/>
        <v>9</v>
      </c>
      <c r="AK34" s="122">
        <f t="shared" si="19"/>
        <v>9</v>
      </c>
      <c r="AL34" s="202">
        <v>0</v>
      </c>
      <c r="AM34" s="120">
        <f t="shared" si="37"/>
        <v>4</v>
      </c>
      <c r="AN34" s="122">
        <f t="shared" si="21"/>
        <v>4</v>
      </c>
      <c r="AO34" s="160">
        <v>0</v>
      </c>
      <c r="AP34" s="160">
        <v>0</v>
      </c>
      <c r="AQ34" s="122">
        <f t="shared" si="22"/>
        <v>0</v>
      </c>
      <c r="AR34" s="202">
        <v>0</v>
      </c>
      <c r="AS34" s="202">
        <v>0</v>
      </c>
      <c r="AT34" s="122">
        <f t="shared" si="23"/>
        <v>0</v>
      </c>
      <c r="AU34" s="161"/>
      <c r="AV34" s="179">
        <f t="shared" si="35"/>
        <v>11</v>
      </c>
      <c r="AX34" s="132">
        <f t="shared" si="24"/>
        <v>0</v>
      </c>
      <c r="AY34" s="132">
        <f t="shared" si="5"/>
        <v>0</v>
      </c>
      <c r="AZ34" s="133">
        <f t="shared" si="6"/>
        <v>0</v>
      </c>
      <c r="BA34" s="160">
        <v>0</v>
      </c>
      <c r="BB34" s="120">
        <f t="shared" si="25"/>
        <v>0</v>
      </c>
      <c r="BC34" s="122">
        <f t="shared" si="26"/>
        <v>0</v>
      </c>
      <c r="BD34" s="159">
        <v>0</v>
      </c>
      <c r="BE34" s="120">
        <f t="shared" si="38"/>
        <v>0</v>
      </c>
      <c r="BF34" s="122">
        <f t="shared" si="28"/>
        <v>0</v>
      </c>
      <c r="BG34" s="119"/>
      <c r="BH34" s="119"/>
      <c r="BI34" s="122">
        <f t="shared" si="29"/>
        <v>0</v>
      </c>
      <c r="BJ34" s="202">
        <v>0</v>
      </c>
      <c r="BK34" s="202">
        <v>0</v>
      </c>
      <c r="BL34" s="122">
        <f t="shared" si="30"/>
        <v>0</v>
      </c>
      <c r="BM34" s="161"/>
      <c r="BN34" s="179">
        <f t="shared" si="36"/>
        <v>11</v>
      </c>
    </row>
    <row r="35" spans="2:66" x14ac:dyDescent="0.25">
      <c r="B35" s="183">
        <f t="shared" si="7"/>
        <v>141.25100000000003</v>
      </c>
      <c r="C35" s="183">
        <f t="shared" si="0"/>
        <v>0</v>
      </c>
      <c r="D35" s="184">
        <f t="shared" si="1"/>
        <v>141.25100000000003</v>
      </c>
      <c r="E35" s="160">
        <v>0</v>
      </c>
      <c r="F35" s="179">
        <f t="shared" si="31"/>
        <v>11</v>
      </c>
      <c r="G35" s="181">
        <f t="shared" si="8"/>
        <v>11</v>
      </c>
      <c r="H35" s="160">
        <v>0</v>
      </c>
      <c r="I35" s="160">
        <v>0</v>
      </c>
      <c r="J35" s="122">
        <f t="shared" si="9"/>
        <v>0</v>
      </c>
      <c r="K35" s="161"/>
      <c r="L35" s="179">
        <f t="shared" si="32"/>
        <v>12</v>
      </c>
      <c r="N35" s="183">
        <f t="shared" si="2"/>
        <v>51.364000000000004</v>
      </c>
      <c r="O35" s="183">
        <f t="shared" si="3"/>
        <v>0</v>
      </c>
      <c r="P35" s="184">
        <f t="shared" si="10"/>
        <v>51.364000000000004</v>
      </c>
      <c r="Q35" s="160">
        <v>0</v>
      </c>
      <c r="R35" s="179">
        <f t="shared" si="11"/>
        <v>4</v>
      </c>
      <c r="S35" s="181">
        <f t="shared" si="12"/>
        <v>4</v>
      </c>
      <c r="T35" s="202">
        <v>0</v>
      </c>
      <c r="U35" s="179">
        <f t="shared" si="33"/>
        <v>0</v>
      </c>
      <c r="V35" s="122">
        <f t="shared" si="13"/>
        <v>0</v>
      </c>
      <c r="W35" s="160">
        <v>0</v>
      </c>
      <c r="X35" s="160">
        <v>0</v>
      </c>
      <c r="Y35" s="122">
        <f t="shared" si="14"/>
        <v>0</v>
      </c>
      <c r="Z35" s="202">
        <v>0</v>
      </c>
      <c r="AA35" s="202">
        <v>0</v>
      </c>
      <c r="AB35" s="122">
        <f t="shared" si="15"/>
        <v>0</v>
      </c>
      <c r="AC35" s="161"/>
      <c r="AD35" s="179">
        <f t="shared" si="16"/>
        <v>12</v>
      </c>
      <c r="AF35" s="132">
        <f t="shared" si="4"/>
        <v>198.38766666666666</v>
      </c>
      <c r="AG35" s="132">
        <f t="shared" si="17"/>
        <v>0</v>
      </c>
      <c r="AH35" s="133">
        <f t="shared" si="34"/>
        <v>198.38766666666666</v>
      </c>
      <c r="AI35" s="160">
        <v>9</v>
      </c>
      <c r="AJ35" s="120">
        <f t="shared" si="18"/>
        <v>9</v>
      </c>
      <c r="AK35" s="122">
        <f t="shared" si="19"/>
        <v>9</v>
      </c>
      <c r="AL35" s="202">
        <v>0</v>
      </c>
      <c r="AM35" s="120">
        <f t="shared" si="37"/>
        <v>4</v>
      </c>
      <c r="AN35" s="122">
        <f t="shared" si="21"/>
        <v>4</v>
      </c>
      <c r="AO35" s="160">
        <v>0</v>
      </c>
      <c r="AP35" s="160">
        <v>0</v>
      </c>
      <c r="AQ35" s="122">
        <f t="shared" si="22"/>
        <v>0</v>
      </c>
      <c r="AR35" s="202">
        <v>0</v>
      </c>
      <c r="AS35" s="202">
        <v>0</v>
      </c>
      <c r="AT35" s="122">
        <f t="shared" si="23"/>
        <v>0</v>
      </c>
      <c r="AU35" s="161"/>
      <c r="AV35" s="179">
        <f t="shared" si="35"/>
        <v>12</v>
      </c>
      <c r="AX35" s="132">
        <f t="shared" si="24"/>
        <v>0</v>
      </c>
      <c r="AY35" s="132">
        <f t="shared" si="5"/>
        <v>0</v>
      </c>
      <c r="AZ35" s="133">
        <f t="shared" si="6"/>
        <v>0</v>
      </c>
      <c r="BA35" s="160">
        <v>0</v>
      </c>
      <c r="BB35" s="120">
        <f t="shared" si="25"/>
        <v>0</v>
      </c>
      <c r="BC35" s="122">
        <f t="shared" si="26"/>
        <v>0</v>
      </c>
      <c r="BD35" s="159">
        <v>0</v>
      </c>
      <c r="BE35" s="120">
        <f t="shared" si="38"/>
        <v>0</v>
      </c>
      <c r="BF35" s="122">
        <f t="shared" si="28"/>
        <v>0</v>
      </c>
      <c r="BG35" s="119"/>
      <c r="BH35" s="119"/>
      <c r="BI35" s="122">
        <f t="shared" si="29"/>
        <v>0</v>
      </c>
      <c r="BJ35" s="202">
        <v>0</v>
      </c>
      <c r="BK35" s="202">
        <v>0</v>
      </c>
      <c r="BL35" s="122">
        <f t="shared" si="30"/>
        <v>0</v>
      </c>
      <c r="BM35" s="161"/>
      <c r="BN35" s="179">
        <f t="shared" si="36"/>
        <v>12</v>
      </c>
    </row>
    <row r="36" spans="2:66" x14ac:dyDescent="0.25">
      <c r="B36" s="183">
        <f t="shared" si="7"/>
        <v>141.25100000000003</v>
      </c>
      <c r="C36" s="183">
        <f t="shared" si="0"/>
        <v>0</v>
      </c>
      <c r="D36" s="184">
        <f t="shared" si="1"/>
        <v>141.25100000000003</v>
      </c>
      <c r="E36" s="160">
        <v>0</v>
      </c>
      <c r="F36" s="179">
        <f t="shared" si="31"/>
        <v>11</v>
      </c>
      <c r="G36" s="181">
        <f t="shared" si="8"/>
        <v>11</v>
      </c>
      <c r="H36" s="160">
        <v>0</v>
      </c>
      <c r="I36" s="160">
        <v>0</v>
      </c>
      <c r="J36" s="122">
        <f t="shared" si="9"/>
        <v>0</v>
      </c>
      <c r="K36" s="161"/>
      <c r="L36" s="179">
        <f t="shared" si="32"/>
        <v>13</v>
      </c>
      <c r="N36" s="183">
        <f t="shared" si="2"/>
        <v>51.364000000000004</v>
      </c>
      <c r="O36" s="183">
        <f t="shared" si="3"/>
        <v>0</v>
      </c>
      <c r="P36" s="184">
        <f t="shared" si="10"/>
        <v>51.364000000000004</v>
      </c>
      <c r="Q36" s="160">
        <v>0</v>
      </c>
      <c r="R36" s="179">
        <f t="shared" si="11"/>
        <v>4</v>
      </c>
      <c r="S36" s="181">
        <f t="shared" si="12"/>
        <v>4</v>
      </c>
      <c r="T36" s="202">
        <v>0</v>
      </c>
      <c r="U36" s="179">
        <f t="shared" si="33"/>
        <v>0</v>
      </c>
      <c r="V36" s="122">
        <f t="shared" si="13"/>
        <v>0</v>
      </c>
      <c r="W36" s="160">
        <v>0</v>
      </c>
      <c r="X36" s="160">
        <v>0</v>
      </c>
      <c r="Y36" s="122">
        <f t="shared" si="14"/>
        <v>0</v>
      </c>
      <c r="Z36" s="202">
        <v>0</v>
      </c>
      <c r="AA36" s="202">
        <v>0</v>
      </c>
      <c r="AB36" s="122">
        <f t="shared" si="15"/>
        <v>0</v>
      </c>
      <c r="AC36" s="161"/>
      <c r="AD36" s="179">
        <f t="shared" si="16"/>
        <v>13</v>
      </c>
      <c r="AF36" s="132">
        <f t="shared" si="4"/>
        <v>198.38766666666666</v>
      </c>
      <c r="AG36" s="132">
        <f t="shared" si="17"/>
        <v>0</v>
      </c>
      <c r="AH36" s="133">
        <f t="shared" si="34"/>
        <v>198.38766666666666</v>
      </c>
      <c r="AI36" s="160">
        <v>9</v>
      </c>
      <c r="AJ36" s="120">
        <f t="shared" si="18"/>
        <v>9</v>
      </c>
      <c r="AK36" s="122">
        <f t="shared" si="19"/>
        <v>9</v>
      </c>
      <c r="AL36" s="202">
        <v>0</v>
      </c>
      <c r="AM36" s="120">
        <f t="shared" si="37"/>
        <v>4</v>
      </c>
      <c r="AN36" s="122">
        <f t="shared" si="21"/>
        <v>4</v>
      </c>
      <c r="AO36" s="160">
        <v>0</v>
      </c>
      <c r="AP36" s="160">
        <v>0</v>
      </c>
      <c r="AQ36" s="122">
        <f t="shared" si="22"/>
        <v>0</v>
      </c>
      <c r="AR36" s="202">
        <v>0</v>
      </c>
      <c r="AS36" s="202">
        <v>0</v>
      </c>
      <c r="AT36" s="122">
        <f t="shared" si="23"/>
        <v>0</v>
      </c>
      <c r="AU36" s="161"/>
      <c r="AV36" s="179">
        <f t="shared" si="35"/>
        <v>13</v>
      </c>
      <c r="AX36" s="132">
        <f t="shared" si="24"/>
        <v>0</v>
      </c>
      <c r="AY36" s="132">
        <f t="shared" si="5"/>
        <v>0</v>
      </c>
      <c r="AZ36" s="133">
        <f t="shared" si="6"/>
        <v>0</v>
      </c>
      <c r="BA36" s="160">
        <v>0</v>
      </c>
      <c r="BB36" s="120">
        <f t="shared" si="25"/>
        <v>0</v>
      </c>
      <c r="BC36" s="122">
        <f t="shared" si="26"/>
        <v>0</v>
      </c>
      <c r="BD36" s="159">
        <v>0</v>
      </c>
      <c r="BE36" s="120">
        <f t="shared" si="38"/>
        <v>0</v>
      </c>
      <c r="BF36" s="122">
        <f t="shared" si="28"/>
        <v>0</v>
      </c>
      <c r="BG36" s="119"/>
      <c r="BH36" s="119"/>
      <c r="BI36" s="122">
        <f t="shared" si="29"/>
        <v>0</v>
      </c>
      <c r="BJ36" s="202">
        <v>0</v>
      </c>
      <c r="BK36" s="202">
        <v>0</v>
      </c>
      <c r="BL36" s="122">
        <f t="shared" si="30"/>
        <v>0</v>
      </c>
      <c r="BM36" s="161"/>
      <c r="BN36" s="179">
        <f t="shared" si="36"/>
        <v>13</v>
      </c>
    </row>
    <row r="37" spans="2:66" x14ac:dyDescent="0.25">
      <c r="B37" s="183">
        <f t="shared" si="7"/>
        <v>141.25100000000003</v>
      </c>
      <c r="C37" s="183">
        <f t="shared" si="0"/>
        <v>0</v>
      </c>
      <c r="D37" s="184">
        <f t="shared" si="1"/>
        <v>141.25100000000003</v>
      </c>
      <c r="E37" s="160">
        <v>0</v>
      </c>
      <c r="F37" s="179">
        <f t="shared" si="31"/>
        <v>11</v>
      </c>
      <c r="G37" s="181">
        <f t="shared" si="8"/>
        <v>11</v>
      </c>
      <c r="H37" s="160">
        <v>0</v>
      </c>
      <c r="I37" s="160">
        <v>0</v>
      </c>
      <c r="J37" s="122">
        <f t="shared" si="9"/>
        <v>0</v>
      </c>
      <c r="K37" s="161"/>
      <c r="L37" s="179">
        <f t="shared" si="32"/>
        <v>14</v>
      </c>
      <c r="N37" s="183">
        <f t="shared" si="2"/>
        <v>51.364000000000004</v>
      </c>
      <c r="O37" s="183">
        <f t="shared" si="3"/>
        <v>0</v>
      </c>
      <c r="P37" s="184">
        <f t="shared" si="10"/>
        <v>51.364000000000004</v>
      </c>
      <c r="Q37" s="160">
        <v>0</v>
      </c>
      <c r="R37" s="179">
        <f t="shared" si="11"/>
        <v>4</v>
      </c>
      <c r="S37" s="181">
        <f t="shared" si="12"/>
        <v>4</v>
      </c>
      <c r="T37" s="202">
        <v>0</v>
      </c>
      <c r="U37" s="179">
        <f t="shared" si="33"/>
        <v>0</v>
      </c>
      <c r="V37" s="122">
        <f t="shared" si="13"/>
        <v>0</v>
      </c>
      <c r="W37" s="160">
        <v>0</v>
      </c>
      <c r="X37" s="160">
        <v>0</v>
      </c>
      <c r="Y37" s="122">
        <f t="shared" si="14"/>
        <v>0</v>
      </c>
      <c r="Z37" s="202">
        <v>0</v>
      </c>
      <c r="AA37" s="202">
        <v>0</v>
      </c>
      <c r="AB37" s="122">
        <f t="shared" si="15"/>
        <v>0</v>
      </c>
      <c r="AC37" s="161"/>
      <c r="AD37" s="179">
        <f t="shared" si="16"/>
        <v>14</v>
      </c>
      <c r="AF37" s="132">
        <f t="shared" si="4"/>
        <v>239.79700000000003</v>
      </c>
      <c r="AG37" s="132">
        <f t="shared" si="17"/>
        <v>0</v>
      </c>
      <c r="AH37" s="133">
        <f t="shared" si="34"/>
        <v>239.79700000000003</v>
      </c>
      <c r="AI37" s="160">
        <v>9</v>
      </c>
      <c r="AJ37" s="120">
        <f t="shared" si="18"/>
        <v>9</v>
      </c>
      <c r="AK37" s="122">
        <f t="shared" si="19"/>
        <v>9</v>
      </c>
      <c r="AL37" s="202">
        <v>2</v>
      </c>
      <c r="AM37" s="120">
        <f t="shared" si="37"/>
        <v>6</v>
      </c>
      <c r="AN37" s="122">
        <f t="shared" si="21"/>
        <v>6</v>
      </c>
      <c r="AO37" s="160">
        <v>0</v>
      </c>
      <c r="AP37" s="160">
        <v>0</v>
      </c>
      <c r="AQ37" s="122">
        <f t="shared" si="22"/>
        <v>0</v>
      </c>
      <c r="AR37" s="202">
        <v>0</v>
      </c>
      <c r="AS37" s="202">
        <v>0</v>
      </c>
      <c r="AT37" s="122">
        <f t="shared" si="23"/>
        <v>0</v>
      </c>
      <c r="AU37" s="161"/>
      <c r="AV37" s="179">
        <f t="shared" si="35"/>
        <v>14</v>
      </c>
      <c r="AX37" s="132">
        <f t="shared" si="24"/>
        <v>0</v>
      </c>
      <c r="AY37" s="132">
        <f t="shared" si="5"/>
        <v>0</v>
      </c>
      <c r="AZ37" s="133">
        <f t="shared" si="6"/>
        <v>0</v>
      </c>
      <c r="BA37" s="160">
        <v>0</v>
      </c>
      <c r="BB37" s="120">
        <f t="shared" si="25"/>
        <v>0</v>
      </c>
      <c r="BC37" s="122">
        <f t="shared" si="26"/>
        <v>0</v>
      </c>
      <c r="BD37" s="159">
        <v>0</v>
      </c>
      <c r="BE37" s="120">
        <f t="shared" si="38"/>
        <v>0</v>
      </c>
      <c r="BF37" s="122">
        <f t="shared" si="28"/>
        <v>0</v>
      </c>
      <c r="BG37" s="119"/>
      <c r="BH37" s="119"/>
      <c r="BI37" s="122">
        <f t="shared" si="29"/>
        <v>0</v>
      </c>
      <c r="BJ37" s="202">
        <v>0</v>
      </c>
      <c r="BK37" s="202">
        <v>0</v>
      </c>
      <c r="BL37" s="122">
        <f t="shared" si="30"/>
        <v>0</v>
      </c>
      <c r="BM37" s="161"/>
      <c r="BN37" s="179">
        <f t="shared" si="36"/>
        <v>14</v>
      </c>
    </row>
    <row r="38" spans="2:66" x14ac:dyDescent="0.25">
      <c r="B38" s="183">
        <f t="shared" si="7"/>
        <v>141.25100000000003</v>
      </c>
      <c r="C38" s="183">
        <f t="shared" si="0"/>
        <v>0</v>
      </c>
      <c r="D38" s="184">
        <f t="shared" si="1"/>
        <v>141.25100000000003</v>
      </c>
      <c r="E38" s="160">
        <v>0</v>
      </c>
      <c r="F38" s="179">
        <f t="shared" si="31"/>
        <v>11</v>
      </c>
      <c r="G38" s="181">
        <f t="shared" si="8"/>
        <v>11</v>
      </c>
      <c r="H38" s="160">
        <v>0</v>
      </c>
      <c r="I38" s="160">
        <v>0</v>
      </c>
      <c r="J38" s="122">
        <f t="shared" si="9"/>
        <v>0</v>
      </c>
      <c r="K38" s="161"/>
      <c r="L38" s="179">
        <f t="shared" si="32"/>
        <v>15</v>
      </c>
      <c r="N38" s="183">
        <f t="shared" si="2"/>
        <v>51.364000000000004</v>
      </c>
      <c r="O38" s="183">
        <f t="shared" si="3"/>
        <v>0</v>
      </c>
      <c r="P38" s="184">
        <f t="shared" si="10"/>
        <v>51.364000000000004</v>
      </c>
      <c r="Q38" s="160">
        <v>0</v>
      </c>
      <c r="R38" s="179">
        <f t="shared" si="11"/>
        <v>4</v>
      </c>
      <c r="S38" s="181">
        <f t="shared" si="12"/>
        <v>4</v>
      </c>
      <c r="T38" s="202">
        <v>0</v>
      </c>
      <c r="U38" s="179">
        <f t="shared" si="33"/>
        <v>0</v>
      </c>
      <c r="V38" s="122">
        <f t="shared" si="13"/>
        <v>0</v>
      </c>
      <c r="W38" s="160">
        <v>0</v>
      </c>
      <c r="X38" s="160">
        <v>0</v>
      </c>
      <c r="Y38" s="122">
        <f t="shared" si="14"/>
        <v>0</v>
      </c>
      <c r="Z38" s="202">
        <v>0</v>
      </c>
      <c r="AA38" s="202">
        <v>0</v>
      </c>
      <c r="AB38" s="122">
        <f t="shared" si="15"/>
        <v>0</v>
      </c>
      <c r="AC38" s="161"/>
      <c r="AD38" s="179">
        <f t="shared" si="16"/>
        <v>15</v>
      </c>
      <c r="AF38" s="132">
        <f t="shared" si="4"/>
        <v>260.50166666666667</v>
      </c>
      <c r="AG38" s="132">
        <f t="shared" si="17"/>
        <v>0</v>
      </c>
      <c r="AH38" s="133">
        <f t="shared" si="34"/>
        <v>260.50166666666667</v>
      </c>
      <c r="AI38" s="160">
        <v>9</v>
      </c>
      <c r="AJ38" s="120">
        <f t="shared" si="18"/>
        <v>9</v>
      </c>
      <c r="AK38" s="122">
        <f t="shared" si="19"/>
        <v>9</v>
      </c>
      <c r="AL38" s="202">
        <v>1</v>
      </c>
      <c r="AM38" s="120">
        <f t="shared" si="37"/>
        <v>7</v>
      </c>
      <c r="AN38" s="122">
        <f t="shared" si="21"/>
        <v>7</v>
      </c>
      <c r="AO38" s="160">
        <v>0</v>
      </c>
      <c r="AP38" s="160">
        <v>0</v>
      </c>
      <c r="AQ38" s="122">
        <f t="shared" si="22"/>
        <v>0</v>
      </c>
      <c r="AR38" s="202">
        <v>0</v>
      </c>
      <c r="AS38" s="202">
        <v>0</v>
      </c>
      <c r="AT38" s="122">
        <f t="shared" si="23"/>
        <v>0</v>
      </c>
      <c r="AU38" s="161"/>
      <c r="AV38" s="179">
        <f t="shared" si="35"/>
        <v>15</v>
      </c>
      <c r="AX38" s="132">
        <f t="shared" si="24"/>
        <v>0</v>
      </c>
      <c r="AY38" s="132">
        <f t="shared" si="5"/>
        <v>0</v>
      </c>
      <c r="AZ38" s="133">
        <f t="shared" si="6"/>
        <v>0</v>
      </c>
      <c r="BA38" s="160">
        <v>0</v>
      </c>
      <c r="BB38" s="120">
        <f t="shared" si="25"/>
        <v>0</v>
      </c>
      <c r="BC38" s="122">
        <f t="shared" si="26"/>
        <v>0</v>
      </c>
      <c r="BD38" s="159">
        <v>0</v>
      </c>
      <c r="BE38" s="120">
        <f t="shared" si="38"/>
        <v>0</v>
      </c>
      <c r="BF38" s="122">
        <f t="shared" si="28"/>
        <v>0</v>
      </c>
      <c r="BG38" s="119"/>
      <c r="BH38" s="119"/>
      <c r="BI38" s="122">
        <f t="shared" si="29"/>
        <v>0</v>
      </c>
      <c r="BJ38" s="202">
        <v>0</v>
      </c>
      <c r="BK38" s="202">
        <v>0</v>
      </c>
      <c r="BL38" s="122">
        <f t="shared" si="30"/>
        <v>0</v>
      </c>
      <c r="BM38" s="161"/>
      <c r="BN38" s="179">
        <f t="shared" si="36"/>
        <v>15</v>
      </c>
    </row>
    <row r="39" spans="2:66" x14ac:dyDescent="0.25">
      <c r="B39" s="183">
        <f t="shared" si="7"/>
        <v>141.25100000000003</v>
      </c>
      <c r="C39" s="183">
        <f t="shared" si="0"/>
        <v>0</v>
      </c>
      <c r="D39" s="184">
        <f t="shared" si="1"/>
        <v>141.25100000000003</v>
      </c>
      <c r="E39" s="160">
        <v>0</v>
      </c>
      <c r="F39" s="179">
        <f t="shared" si="31"/>
        <v>11</v>
      </c>
      <c r="G39" s="181">
        <f t="shared" si="8"/>
        <v>11</v>
      </c>
      <c r="H39" s="160">
        <v>0</v>
      </c>
      <c r="I39" s="160">
        <v>0</v>
      </c>
      <c r="J39" s="122">
        <f t="shared" si="9"/>
        <v>0</v>
      </c>
      <c r="K39" s="161"/>
      <c r="L39" s="179">
        <f t="shared" si="32"/>
        <v>16</v>
      </c>
      <c r="N39" s="183">
        <f t="shared" si="2"/>
        <v>51.364000000000004</v>
      </c>
      <c r="O39" s="183">
        <f t="shared" si="3"/>
        <v>0</v>
      </c>
      <c r="P39" s="184">
        <f t="shared" si="10"/>
        <v>51.364000000000004</v>
      </c>
      <c r="Q39" s="160">
        <v>0</v>
      </c>
      <c r="R39" s="179">
        <f t="shared" si="11"/>
        <v>4</v>
      </c>
      <c r="S39" s="181">
        <f t="shared" si="12"/>
        <v>4</v>
      </c>
      <c r="T39" s="202">
        <v>0</v>
      </c>
      <c r="U39" s="179">
        <f t="shared" si="33"/>
        <v>0</v>
      </c>
      <c r="V39" s="122">
        <f t="shared" si="13"/>
        <v>0</v>
      </c>
      <c r="W39" s="160">
        <v>0</v>
      </c>
      <c r="X39" s="160">
        <v>0</v>
      </c>
      <c r="Y39" s="122">
        <f t="shared" si="14"/>
        <v>0</v>
      </c>
      <c r="Z39" s="202">
        <v>0</v>
      </c>
      <c r="AA39" s="202">
        <v>0</v>
      </c>
      <c r="AB39" s="122">
        <f t="shared" si="15"/>
        <v>0</v>
      </c>
      <c r="AC39" s="161"/>
      <c r="AD39" s="179">
        <f t="shared" si="16"/>
        <v>16</v>
      </c>
      <c r="AF39" s="132">
        <f t="shared" si="4"/>
        <v>260.50166666666667</v>
      </c>
      <c r="AG39" s="132">
        <f t="shared" si="17"/>
        <v>0</v>
      </c>
      <c r="AH39" s="133">
        <f t="shared" si="34"/>
        <v>260.50166666666667</v>
      </c>
      <c r="AI39" s="160">
        <v>9</v>
      </c>
      <c r="AJ39" s="120">
        <f t="shared" si="18"/>
        <v>9</v>
      </c>
      <c r="AK39" s="122">
        <f t="shared" si="19"/>
        <v>9</v>
      </c>
      <c r="AL39" s="202">
        <v>0</v>
      </c>
      <c r="AM39" s="120">
        <f t="shared" si="37"/>
        <v>7</v>
      </c>
      <c r="AN39" s="122">
        <f t="shared" si="21"/>
        <v>7</v>
      </c>
      <c r="AO39" s="160">
        <v>0</v>
      </c>
      <c r="AP39" s="160">
        <v>0</v>
      </c>
      <c r="AQ39" s="122">
        <f t="shared" si="22"/>
        <v>0</v>
      </c>
      <c r="AR39" s="202">
        <v>0</v>
      </c>
      <c r="AS39" s="202">
        <v>0</v>
      </c>
      <c r="AT39" s="122">
        <f t="shared" si="23"/>
        <v>0</v>
      </c>
      <c r="AU39" s="161"/>
      <c r="AV39" s="179">
        <f t="shared" si="35"/>
        <v>16</v>
      </c>
      <c r="AX39" s="132">
        <f t="shared" si="24"/>
        <v>0</v>
      </c>
      <c r="AY39" s="132">
        <f t="shared" si="5"/>
        <v>0</v>
      </c>
      <c r="AZ39" s="133">
        <f t="shared" si="6"/>
        <v>0</v>
      </c>
      <c r="BA39" s="160">
        <v>0</v>
      </c>
      <c r="BB39" s="120">
        <f t="shared" si="25"/>
        <v>0</v>
      </c>
      <c r="BC39" s="122">
        <f t="shared" si="26"/>
        <v>0</v>
      </c>
      <c r="BD39" s="159">
        <v>0</v>
      </c>
      <c r="BE39" s="120">
        <f t="shared" si="38"/>
        <v>0</v>
      </c>
      <c r="BF39" s="122">
        <f t="shared" si="28"/>
        <v>0</v>
      </c>
      <c r="BG39" s="119"/>
      <c r="BH39" s="119"/>
      <c r="BI39" s="122">
        <f t="shared" si="29"/>
        <v>0</v>
      </c>
      <c r="BJ39" s="202">
        <v>0</v>
      </c>
      <c r="BK39" s="202">
        <v>0</v>
      </c>
      <c r="BL39" s="122">
        <f t="shared" si="30"/>
        <v>0</v>
      </c>
      <c r="BM39" s="161"/>
      <c r="BN39" s="179">
        <f t="shared" si="36"/>
        <v>16</v>
      </c>
    </row>
    <row r="40" spans="2:66" x14ac:dyDescent="0.25">
      <c r="B40" s="183">
        <f t="shared" si="7"/>
        <v>141.25100000000003</v>
      </c>
      <c r="C40" s="183">
        <f t="shared" si="0"/>
        <v>0</v>
      </c>
      <c r="D40" s="184">
        <f t="shared" si="1"/>
        <v>141.25100000000003</v>
      </c>
      <c r="E40" s="160">
        <v>0</v>
      </c>
      <c r="F40" s="179">
        <f t="shared" si="31"/>
        <v>11</v>
      </c>
      <c r="G40" s="181">
        <f t="shared" si="8"/>
        <v>11</v>
      </c>
      <c r="H40" s="160">
        <v>0</v>
      </c>
      <c r="I40" s="160">
        <v>0</v>
      </c>
      <c r="J40" s="122">
        <f t="shared" si="9"/>
        <v>0</v>
      </c>
      <c r="K40" s="161"/>
      <c r="L40" s="179">
        <f t="shared" si="32"/>
        <v>17</v>
      </c>
      <c r="N40" s="183">
        <f t="shared" si="2"/>
        <v>51.364000000000004</v>
      </c>
      <c r="O40" s="183">
        <f t="shared" si="3"/>
        <v>0</v>
      </c>
      <c r="P40" s="184">
        <f t="shared" si="10"/>
        <v>51.364000000000004</v>
      </c>
      <c r="Q40" s="160">
        <v>0</v>
      </c>
      <c r="R40" s="179">
        <f t="shared" si="11"/>
        <v>4</v>
      </c>
      <c r="S40" s="181">
        <f t="shared" si="12"/>
        <v>4</v>
      </c>
      <c r="T40" s="202">
        <v>0</v>
      </c>
      <c r="U40" s="179">
        <f t="shared" si="33"/>
        <v>0</v>
      </c>
      <c r="V40" s="122">
        <f t="shared" si="13"/>
        <v>0</v>
      </c>
      <c r="W40" s="160">
        <v>0</v>
      </c>
      <c r="X40" s="160">
        <v>0</v>
      </c>
      <c r="Y40" s="122">
        <f t="shared" si="14"/>
        <v>0</v>
      </c>
      <c r="Z40" s="202">
        <v>0</v>
      </c>
      <c r="AA40" s="202">
        <v>0</v>
      </c>
      <c r="AB40" s="122">
        <f t="shared" si="15"/>
        <v>0</v>
      </c>
      <c r="AC40" s="161"/>
      <c r="AD40" s="179">
        <f t="shared" si="16"/>
        <v>17</v>
      </c>
      <c r="AF40" s="132">
        <f t="shared" si="4"/>
        <v>281.2063333333333</v>
      </c>
      <c r="AG40" s="132">
        <f t="shared" si="17"/>
        <v>0</v>
      </c>
      <c r="AH40" s="133">
        <f t="shared" si="34"/>
        <v>281.2063333333333</v>
      </c>
      <c r="AI40" s="160">
        <v>9</v>
      </c>
      <c r="AJ40" s="120">
        <f t="shared" si="18"/>
        <v>9</v>
      </c>
      <c r="AK40" s="122">
        <f t="shared" si="19"/>
        <v>9</v>
      </c>
      <c r="AL40" s="202">
        <v>1</v>
      </c>
      <c r="AM40" s="120">
        <f t="shared" si="37"/>
        <v>8</v>
      </c>
      <c r="AN40" s="122">
        <f t="shared" si="21"/>
        <v>8</v>
      </c>
      <c r="AO40" s="160">
        <v>0</v>
      </c>
      <c r="AP40" s="160">
        <v>0</v>
      </c>
      <c r="AQ40" s="122">
        <f t="shared" si="22"/>
        <v>0</v>
      </c>
      <c r="AR40" s="202">
        <v>0</v>
      </c>
      <c r="AS40" s="202">
        <v>0</v>
      </c>
      <c r="AT40" s="122">
        <f t="shared" si="23"/>
        <v>0</v>
      </c>
      <c r="AU40" s="161"/>
      <c r="AV40" s="179">
        <f t="shared" si="35"/>
        <v>17</v>
      </c>
      <c r="AX40" s="132">
        <f t="shared" si="24"/>
        <v>0</v>
      </c>
      <c r="AY40" s="132">
        <f t="shared" si="5"/>
        <v>0</v>
      </c>
      <c r="AZ40" s="133">
        <f t="shared" si="6"/>
        <v>0</v>
      </c>
      <c r="BA40" s="160">
        <v>0</v>
      </c>
      <c r="BB40" s="120">
        <f t="shared" si="25"/>
        <v>0</v>
      </c>
      <c r="BC40" s="122">
        <f t="shared" si="26"/>
        <v>0</v>
      </c>
      <c r="BD40" s="159">
        <v>0</v>
      </c>
      <c r="BE40" s="120">
        <f t="shared" si="38"/>
        <v>0</v>
      </c>
      <c r="BF40" s="122">
        <f t="shared" si="28"/>
        <v>0</v>
      </c>
      <c r="BG40" s="119"/>
      <c r="BH40" s="119"/>
      <c r="BI40" s="122">
        <f t="shared" si="29"/>
        <v>0</v>
      </c>
      <c r="BJ40" s="202">
        <v>0</v>
      </c>
      <c r="BK40" s="202">
        <v>0</v>
      </c>
      <c r="BL40" s="122">
        <f t="shared" si="30"/>
        <v>0</v>
      </c>
      <c r="BM40" s="161"/>
      <c r="BN40" s="179">
        <f t="shared" si="36"/>
        <v>17</v>
      </c>
    </row>
    <row r="41" spans="2:66" x14ac:dyDescent="0.25">
      <c r="B41" s="183">
        <f t="shared" si="7"/>
        <v>141.25100000000003</v>
      </c>
      <c r="C41" s="183">
        <f t="shared" si="0"/>
        <v>0</v>
      </c>
      <c r="D41" s="184">
        <f t="shared" si="1"/>
        <v>141.25100000000003</v>
      </c>
      <c r="E41" s="160">
        <v>0</v>
      </c>
      <c r="F41" s="179">
        <f t="shared" si="31"/>
        <v>11</v>
      </c>
      <c r="G41" s="181">
        <f t="shared" si="8"/>
        <v>11</v>
      </c>
      <c r="H41" s="160">
        <v>0</v>
      </c>
      <c r="I41" s="160">
        <v>0</v>
      </c>
      <c r="J41" s="122">
        <f t="shared" si="9"/>
        <v>0</v>
      </c>
      <c r="K41" s="161"/>
      <c r="L41" s="179">
        <f t="shared" si="32"/>
        <v>18</v>
      </c>
      <c r="N41" s="183">
        <f t="shared" si="2"/>
        <v>51.364000000000004</v>
      </c>
      <c r="O41" s="183">
        <f t="shared" si="3"/>
        <v>0</v>
      </c>
      <c r="P41" s="184">
        <f t="shared" si="10"/>
        <v>51.364000000000004</v>
      </c>
      <c r="Q41" s="160">
        <v>0</v>
      </c>
      <c r="R41" s="179">
        <f t="shared" si="11"/>
        <v>4</v>
      </c>
      <c r="S41" s="181">
        <f t="shared" si="12"/>
        <v>4</v>
      </c>
      <c r="T41" s="202">
        <v>0</v>
      </c>
      <c r="U41" s="179">
        <f t="shared" si="33"/>
        <v>0</v>
      </c>
      <c r="V41" s="122">
        <f t="shared" si="13"/>
        <v>0</v>
      </c>
      <c r="W41" s="160">
        <v>0</v>
      </c>
      <c r="X41" s="160">
        <v>0</v>
      </c>
      <c r="Y41" s="122">
        <f t="shared" si="14"/>
        <v>0</v>
      </c>
      <c r="Z41" s="202">
        <v>0</v>
      </c>
      <c r="AA41" s="202">
        <v>0</v>
      </c>
      <c r="AB41" s="122">
        <f t="shared" si="15"/>
        <v>0</v>
      </c>
      <c r="AC41" s="161"/>
      <c r="AD41" s="179">
        <f t="shared" si="16"/>
        <v>18</v>
      </c>
      <c r="AF41" s="132">
        <f t="shared" si="4"/>
        <v>281.2063333333333</v>
      </c>
      <c r="AG41" s="132">
        <f t="shared" si="17"/>
        <v>0</v>
      </c>
      <c r="AH41" s="133">
        <f t="shared" si="34"/>
        <v>281.2063333333333</v>
      </c>
      <c r="AI41" s="160">
        <v>9</v>
      </c>
      <c r="AJ41" s="120">
        <f t="shared" si="18"/>
        <v>9</v>
      </c>
      <c r="AK41" s="122">
        <f t="shared" si="19"/>
        <v>9</v>
      </c>
      <c r="AL41" s="202">
        <v>0</v>
      </c>
      <c r="AM41" s="120">
        <f t="shared" si="37"/>
        <v>8</v>
      </c>
      <c r="AN41" s="122">
        <f t="shared" si="21"/>
        <v>8</v>
      </c>
      <c r="AO41" s="160">
        <v>0</v>
      </c>
      <c r="AP41" s="160">
        <v>0</v>
      </c>
      <c r="AQ41" s="122">
        <f t="shared" si="22"/>
        <v>0</v>
      </c>
      <c r="AR41" s="202">
        <v>0</v>
      </c>
      <c r="AS41" s="202">
        <v>0</v>
      </c>
      <c r="AT41" s="122">
        <f t="shared" si="23"/>
        <v>0</v>
      </c>
      <c r="AU41" s="161"/>
      <c r="AV41" s="179">
        <f t="shared" si="35"/>
        <v>18</v>
      </c>
      <c r="AX41" s="132">
        <f t="shared" si="24"/>
        <v>0</v>
      </c>
      <c r="AY41" s="132">
        <f t="shared" si="5"/>
        <v>0</v>
      </c>
      <c r="AZ41" s="133">
        <f t="shared" si="6"/>
        <v>0</v>
      </c>
      <c r="BA41" s="160">
        <v>0</v>
      </c>
      <c r="BB41" s="120">
        <f t="shared" si="25"/>
        <v>0</v>
      </c>
      <c r="BC41" s="122">
        <f t="shared" si="26"/>
        <v>0</v>
      </c>
      <c r="BD41" s="159">
        <v>0</v>
      </c>
      <c r="BE41" s="120">
        <f t="shared" si="38"/>
        <v>0</v>
      </c>
      <c r="BF41" s="122">
        <f t="shared" si="28"/>
        <v>0</v>
      </c>
      <c r="BG41" s="119"/>
      <c r="BH41" s="119"/>
      <c r="BI41" s="122">
        <f t="shared" si="29"/>
        <v>0</v>
      </c>
      <c r="BJ41" s="202">
        <v>0</v>
      </c>
      <c r="BK41" s="202">
        <v>0</v>
      </c>
      <c r="BL41" s="122">
        <f t="shared" si="30"/>
        <v>0</v>
      </c>
      <c r="BM41" s="161"/>
      <c r="BN41" s="179">
        <f t="shared" si="36"/>
        <v>18</v>
      </c>
    </row>
    <row r="42" spans="2:66" x14ac:dyDescent="0.25">
      <c r="B42" s="183">
        <f t="shared" si="7"/>
        <v>141.25100000000003</v>
      </c>
      <c r="C42" s="183">
        <f t="shared" si="0"/>
        <v>0</v>
      </c>
      <c r="D42" s="184">
        <f t="shared" si="1"/>
        <v>141.25100000000003</v>
      </c>
      <c r="E42" s="160">
        <v>0</v>
      </c>
      <c r="F42" s="179">
        <f t="shared" si="31"/>
        <v>11</v>
      </c>
      <c r="G42" s="181">
        <f t="shared" si="8"/>
        <v>11</v>
      </c>
      <c r="H42" s="160">
        <v>0</v>
      </c>
      <c r="I42" s="160">
        <v>0</v>
      </c>
      <c r="J42" s="122">
        <f t="shared" si="9"/>
        <v>0</v>
      </c>
      <c r="K42" s="161"/>
      <c r="L42" s="179">
        <f t="shared" si="32"/>
        <v>19</v>
      </c>
      <c r="N42" s="183">
        <f t="shared" si="2"/>
        <v>51.364000000000004</v>
      </c>
      <c r="O42" s="183">
        <f t="shared" si="3"/>
        <v>0</v>
      </c>
      <c r="P42" s="184">
        <f t="shared" si="10"/>
        <v>51.364000000000004</v>
      </c>
      <c r="Q42" s="160">
        <v>0</v>
      </c>
      <c r="R42" s="179">
        <f t="shared" si="11"/>
        <v>4</v>
      </c>
      <c r="S42" s="181">
        <f t="shared" si="12"/>
        <v>4</v>
      </c>
      <c r="T42" s="202">
        <v>0</v>
      </c>
      <c r="U42" s="179">
        <f t="shared" si="33"/>
        <v>0</v>
      </c>
      <c r="V42" s="122">
        <f t="shared" si="13"/>
        <v>0</v>
      </c>
      <c r="W42" s="160">
        <v>0</v>
      </c>
      <c r="X42" s="160">
        <v>0</v>
      </c>
      <c r="Y42" s="122">
        <f t="shared" si="14"/>
        <v>0</v>
      </c>
      <c r="Z42" s="202">
        <v>0</v>
      </c>
      <c r="AA42" s="202">
        <v>0</v>
      </c>
      <c r="AB42" s="122">
        <f t="shared" si="15"/>
        <v>0</v>
      </c>
      <c r="AC42" s="161"/>
      <c r="AD42" s="179">
        <f t="shared" si="16"/>
        <v>19</v>
      </c>
      <c r="AF42" s="132">
        <f t="shared" si="4"/>
        <v>281.2063333333333</v>
      </c>
      <c r="AG42" s="132">
        <f t="shared" si="17"/>
        <v>0</v>
      </c>
      <c r="AH42" s="133">
        <f t="shared" si="34"/>
        <v>281.2063333333333</v>
      </c>
      <c r="AI42" s="160">
        <v>9</v>
      </c>
      <c r="AJ42" s="120">
        <f t="shared" si="18"/>
        <v>9</v>
      </c>
      <c r="AK42" s="122">
        <f t="shared" si="19"/>
        <v>9</v>
      </c>
      <c r="AL42" s="202">
        <v>0</v>
      </c>
      <c r="AM42" s="120">
        <f t="shared" si="37"/>
        <v>8</v>
      </c>
      <c r="AN42" s="122">
        <f t="shared" si="21"/>
        <v>8</v>
      </c>
      <c r="AO42" s="160">
        <v>0</v>
      </c>
      <c r="AP42" s="160">
        <v>0</v>
      </c>
      <c r="AQ42" s="122">
        <f t="shared" si="22"/>
        <v>0</v>
      </c>
      <c r="AR42" s="202">
        <v>0</v>
      </c>
      <c r="AS42" s="202">
        <v>0</v>
      </c>
      <c r="AT42" s="122">
        <f t="shared" si="23"/>
        <v>0</v>
      </c>
      <c r="AU42" s="161"/>
      <c r="AV42" s="179">
        <f t="shared" si="35"/>
        <v>19</v>
      </c>
      <c r="AX42" s="132">
        <f t="shared" si="24"/>
        <v>0</v>
      </c>
      <c r="AY42" s="132">
        <f t="shared" si="5"/>
        <v>0</v>
      </c>
      <c r="AZ42" s="133">
        <f t="shared" si="6"/>
        <v>0</v>
      </c>
      <c r="BA42" s="160">
        <v>0</v>
      </c>
      <c r="BB42" s="120">
        <f t="shared" si="25"/>
        <v>0</v>
      </c>
      <c r="BC42" s="122">
        <f t="shared" si="26"/>
        <v>0</v>
      </c>
      <c r="BD42" s="159">
        <v>0</v>
      </c>
      <c r="BE42" s="120">
        <f t="shared" si="38"/>
        <v>0</v>
      </c>
      <c r="BF42" s="122">
        <f t="shared" si="28"/>
        <v>0</v>
      </c>
      <c r="BG42" s="119"/>
      <c r="BH42" s="119"/>
      <c r="BI42" s="122">
        <f t="shared" si="29"/>
        <v>0</v>
      </c>
      <c r="BJ42" s="202">
        <v>0</v>
      </c>
      <c r="BK42" s="202">
        <v>0</v>
      </c>
      <c r="BL42" s="122">
        <f t="shared" si="30"/>
        <v>0</v>
      </c>
      <c r="BM42" s="161"/>
      <c r="BN42" s="179">
        <f t="shared" si="36"/>
        <v>19</v>
      </c>
    </row>
    <row r="43" spans="2:66" x14ac:dyDescent="0.25">
      <c r="B43" s="183">
        <f t="shared" si="7"/>
        <v>141.25100000000003</v>
      </c>
      <c r="C43" s="183">
        <f t="shared" si="0"/>
        <v>0</v>
      </c>
      <c r="D43" s="184">
        <f t="shared" si="1"/>
        <v>141.25100000000003</v>
      </c>
      <c r="E43" s="160">
        <v>0</v>
      </c>
      <c r="F43" s="179">
        <f t="shared" si="31"/>
        <v>11</v>
      </c>
      <c r="G43" s="181">
        <f t="shared" si="8"/>
        <v>11</v>
      </c>
      <c r="H43" s="160">
        <v>0</v>
      </c>
      <c r="I43" s="160">
        <v>0</v>
      </c>
      <c r="J43" s="122">
        <f t="shared" si="9"/>
        <v>0</v>
      </c>
      <c r="K43" s="161"/>
      <c r="L43" s="179">
        <f t="shared" si="32"/>
        <v>20</v>
      </c>
      <c r="N43" s="183">
        <f t="shared" si="2"/>
        <v>51.364000000000004</v>
      </c>
      <c r="O43" s="183">
        <f t="shared" si="3"/>
        <v>0</v>
      </c>
      <c r="P43" s="184">
        <f t="shared" si="10"/>
        <v>51.364000000000004</v>
      </c>
      <c r="Q43" s="160">
        <v>0</v>
      </c>
      <c r="R43" s="179">
        <f t="shared" si="11"/>
        <v>4</v>
      </c>
      <c r="S43" s="181">
        <f t="shared" si="12"/>
        <v>4</v>
      </c>
      <c r="T43" s="202">
        <v>0</v>
      </c>
      <c r="U43" s="179">
        <f t="shared" si="33"/>
        <v>0</v>
      </c>
      <c r="V43" s="122">
        <f t="shared" si="13"/>
        <v>0</v>
      </c>
      <c r="W43" s="160">
        <v>0</v>
      </c>
      <c r="X43" s="160">
        <v>0</v>
      </c>
      <c r="Y43" s="122">
        <f t="shared" si="14"/>
        <v>0</v>
      </c>
      <c r="Z43" s="202">
        <v>0</v>
      </c>
      <c r="AA43" s="202">
        <v>0</v>
      </c>
      <c r="AB43" s="122">
        <f t="shared" si="15"/>
        <v>0</v>
      </c>
      <c r="AC43" s="161"/>
      <c r="AD43" s="179">
        <f t="shared" si="16"/>
        <v>20</v>
      </c>
      <c r="AF43" s="132">
        <f t="shared" si="4"/>
        <v>281.2063333333333</v>
      </c>
      <c r="AG43" s="132">
        <f t="shared" si="17"/>
        <v>0</v>
      </c>
      <c r="AH43" s="133">
        <f t="shared" si="34"/>
        <v>281.2063333333333</v>
      </c>
      <c r="AI43" s="160">
        <v>9</v>
      </c>
      <c r="AJ43" s="120">
        <f t="shared" si="18"/>
        <v>9</v>
      </c>
      <c r="AK43" s="122">
        <f t="shared" si="19"/>
        <v>9</v>
      </c>
      <c r="AL43" s="202">
        <v>0</v>
      </c>
      <c r="AM43" s="120">
        <f t="shared" si="37"/>
        <v>8</v>
      </c>
      <c r="AN43" s="122">
        <f t="shared" si="21"/>
        <v>8</v>
      </c>
      <c r="AO43" s="160">
        <v>0</v>
      </c>
      <c r="AP43" s="160">
        <v>0</v>
      </c>
      <c r="AQ43" s="122">
        <f t="shared" si="22"/>
        <v>0</v>
      </c>
      <c r="AR43" s="202">
        <v>0</v>
      </c>
      <c r="AS43" s="202">
        <v>0</v>
      </c>
      <c r="AT43" s="122">
        <f t="shared" si="23"/>
        <v>0</v>
      </c>
      <c r="AU43" s="161"/>
      <c r="AV43" s="179">
        <f t="shared" si="35"/>
        <v>20</v>
      </c>
      <c r="AX43" s="132">
        <f t="shared" si="24"/>
        <v>0</v>
      </c>
      <c r="AY43" s="132">
        <f t="shared" si="5"/>
        <v>0</v>
      </c>
      <c r="AZ43" s="133">
        <f t="shared" si="6"/>
        <v>0</v>
      </c>
      <c r="BA43" s="160">
        <v>0</v>
      </c>
      <c r="BB43" s="120">
        <f t="shared" si="25"/>
        <v>0</v>
      </c>
      <c r="BC43" s="122">
        <f t="shared" si="26"/>
        <v>0</v>
      </c>
      <c r="BD43" s="159">
        <v>0</v>
      </c>
      <c r="BE43" s="120">
        <f t="shared" si="38"/>
        <v>0</v>
      </c>
      <c r="BF43" s="122">
        <f t="shared" si="28"/>
        <v>0</v>
      </c>
      <c r="BG43" s="119"/>
      <c r="BH43" s="119"/>
      <c r="BI43" s="122">
        <f t="shared" si="29"/>
        <v>0</v>
      </c>
      <c r="BJ43" s="202">
        <v>0</v>
      </c>
      <c r="BK43" s="202">
        <v>0</v>
      </c>
      <c r="BL43" s="122">
        <f t="shared" si="30"/>
        <v>0</v>
      </c>
      <c r="BM43" s="161"/>
      <c r="BN43" s="179">
        <f t="shared" si="36"/>
        <v>20</v>
      </c>
    </row>
    <row r="44" spans="2:66" x14ac:dyDescent="0.25">
      <c r="B44" s="183">
        <f t="shared" si="7"/>
        <v>141.25100000000003</v>
      </c>
      <c r="C44" s="183">
        <f t="shared" si="0"/>
        <v>0</v>
      </c>
      <c r="D44" s="184">
        <f t="shared" si="1"/>
        <v>141.25100000000003</v>
      </c>
      <c r="E44" s="160">
        <v>0</v>
      </c>
      <c r="F44" s="179">
        <f t="shared" si="31"/>
        <v>11</v>
      </c>
      <c r="G44" s="181">
        <f t="shared" si="8"/>
        <v>11</v>
      </c>
      <c r="H44" s="160">
        <v>0</v>
      </c>
      <c r="I44" s="160">
        <v>0</v>
      </c>
      <c r="J44" s="122">
        <f t="shared" si="9"/>
        <v>0</v>
      </c>
      <c r="K44" s="161"/>
      <c r="L44" s="179">
        <f t="shared" si="32"/>
        <v>21</v>
      </c>
      <c r="N44" s="183">
        <f t="shared" si="2"/>
        <v>51.364000000000004</v>
      </c>
      <c r="O44" s="183">
        <f t="shared" si="3"/>
        <v>0</v>
      </c>
      <c r="P44" s="184">
        <f t="shared" si="10"/>
        <v>51.364000000000004</v>
      </c>
      <c r="Q44" s="160">
        <v>0</v>
      </c>
      <c r="R44" s="179">
        <f t="shared" si="11"/>
        <v>4</v>
      </c>
      <c r="S44" s="181">
        <f t="shared" si="12"/>
        <v>4</v>
      </c>
      <c r="T44" s="202">
        <v>0</v>
      </c>
      <c r="U44" s="179">
        <f t="shared" si="33"/>
        <v>0</v>
      </c>
      <c r="V44" s="122">
        <f t="shared" si="13"/>
        <v>0</v>
      </c>
      <c r="W44" s="160">
        <v>0</v>
      </c>
      <c r="X44" s="160">
        <v>0</v>
      </c>
      <c r="Y44" s="122">
        <f t="shared" si="14"/>
        <v>0</v>
      </c>
      <c r="Z44" s="202">
        <v>0</v>
      </c>
      <c r="AA44" s="202">
        <v>0</v>
      </c>
      <c r="AB44" s="122">
        <f t="shared" si="15"/>
        <v>0</v>
      </c>
      <c r="AC44" s="161"/>
      <c r="AD44" s="179">
        <f t="shared" si="16"/>
        <v>21</v>
      </c>
      <c r="AF44" s="132">
        <f t="shared" si="4"/>
        <v>281.2063333333333</v>
      </c>
      <c r="AG44" s="132">
        <f t="shared" si="17"/>
        <v>0</v>
      </c>
      <c r="AH44" s="133">
        <f t="shared" si="34"/>
        <v>281.2063333333333</v>
      </c>
      <c r="AI44" s="160">
        <v>9</v>
      </c>
      <c r="AJ44" s="120">
        <f t="shared" si="18"/>
        <v>9</v>
      </c>
      <c r="AK44" s="122">
        <f t="shared" si="19"/>
        <v>9</v>
      </c>
      <c r="AL44" s="202">
        <v>0</v>
      </c>
      <c r="AM44" s="120">
        <f t="shared" si="37"/>
        <v>8</v>
      </c>
      <c r="AN44" s="122">
        <f t="shared" si="21"/>
        <v>8</v>
      </c>
      <c r="AO44" s="160">
        <v>0</v>
      </c>
      <c r="AP44" s="160">
        <v>0</v>
      </c>
      <c r="AQ44" s="122">
        <f t="shared" si="22"/>
        <v>0</v>
      </c>
      <c r="AR44" s="202">
        <v>0</v>
      </c>
      <c r="AS44" s="202">
        <v>0</v>
      </c>
      <c r="AT44" s="122">
        <f t="shared" si="23"/>
        <v>0</v>
      </c>
      <c r="AU44" s="161"/>
      <c r="AV44" s="179">
        <f t="shared" si="35"/>
        <v>21</v>
      </c>
      <c r="AX44" s="132">
        <f t="shared" si="24"/>
        <v>0</v>
      </c>
      <c r="AY44" s="132">
        <f t="shared" si="5"/>
        <v>0</v>
      </c>
      <c r="AZ44" s="133">
        <f t="shared" si="6"/>
        <v>0</v>
      </c>
      <c r="BA44" s="160">
        <v>0</v>
      </c>
      <c r="BB44" s="120">
        <f t="shared" si="25"/>
        <v>0</v>
      </c>
      <c r="BC44" s="122">
        <f t="shared" si="26"/>
        <v>0</v>
      </c>
      <c r="BD44" s="159">
        <v>0</v>
      </c>
      <c r="BE44" s="120">
        <f t="shared" si="38"/>
        <v>0</v>
      </c>
      <c r="BF44" s="122">
        <f t="shared" si="28"/>
        <v>0</v>
      </c>
      <c r="BG44" s="119"/>
      <c r="BH44" s="119"/>
      <c r="BI44" s="122">
        <f t="shared" si="29"/>
        <v>0</v>
      </c>
      <c r="BJ44" s="202">
        <v>0</v>
      </c>
      <c r="BK44" s="202">
        <v>0</v>
      </c>
      <c r="BL44" s="122">
        <f t="shared" si="30"/>
        <v>0</v>
      </c>
      <c r="BM44" s="161"/>
      <c r="BN44" s="179">
        <f t="shared" si="36"/>
        <v>21</v>
      </c>
    </row>
    <row r="45" spans="2:66" x14ac:dyDescent="0.25">
      <c r="B45" s="183">
        <f t="shared" si="7"/>
        <v>141.25100000000003</v>
      </c>
      <c r="C45" s="183">
        <f t="shared" si="0"/>
        <v>0</v>
      </c>
      <c r="D45" s="184">
        <f t="shared" si="1"/>
        <v>141.25100000000003</v>
      </c>
      <c r="E45" s="160">
        <v>0</v>
      </c>
      <c r="F45" s="179">
        <f t="shared" si="31"/>
        <v>11</v>
      </c>
      <c r="G45" s="181">
        <f t="shared" si="8"/>
        <v>11</v>
      </c>
      <c r="H45" s="160">
        <v>0</v>
      </c>
      <c r="I45" s="160">
        <v>0</v>
      </c>
      <c r="J45" s="122">
        <f t="shared" si="9"/>
        <v>0</v>
      </c>
      <c r="K45" s="161"/>
      <c r="L45" s="179">
        <f t="shared" si="32"/>
        <v>22</v>
      </c>
      <c r="N45" s="183">
        <f t="shared" si="2"/>
        <v>51.364000000000004</v>
      </c>
      <c r="O45" s="183">
        <f t="shared" si="3"/>
        <v>0</v>
      </c>
      <c r="P45" s="184">
        <f t="shared" si="10"/>
        <v>51.364000000000004</v>
      </c>
      <c r="Q45" s="160">
        <v>0</v>
      </c>
      <c r="R45" s="179">
        <f t="shared" si="11"/>
        <v>4</v>
      </c>
      <c r="S45" s="181">
        <f t="shared" si="12"/>
        <v>4</v>
      </c>
      <c r="T45" s="202">
        <v>0</v>
      </c>
      <c r="U45" s="179">
        <f t="shared" si="33"/>
        <v>0</v>
      </c>
      <c r="V45" s="122">
        <f t="shared" si="13"/>
        <v>0</v>
      </c>
      <c r="W45" s="160">
        <v>0</v>
      </c>
      <c r="X45" s="160">
        <v>0</v>
      </c>
      <c r="Y45" s="122">
        <f t="shared" si="14"/>
        <v>0</v>
      </c>
      <c r="Z45" s="202">
        <v>0</v>
      </c>
      <c r="AA45" s="202">
        <v>0</v>
      </c>
      <c r="AB45" s="122">
        <f t="shared" si="15"/>
        <v>0</v>
      </c>
      <c r="AC45" s="161"/>
      <c r="AD45" s="179">
        <f t="shared" si="16"/>
        <v>22</v>
      </c>
      <c r="AF45" s="132">
        <f t="shared" si="4"/>
        <v>115.569</v>
      </c>
      <c r="AG45" s="132">
        <f t="shared" si="17"/>
        <v>249.75066666666669</v>
      </c>
      <c r="AH45" s="133">
        <f t="shared" si="34"/>
        <v>365.31966666666671</v>
      </c>
      <c r="AI45" s="160">
        <v>9</v>
      </c>
      <c r="AJ45" s="120">
        <f t="shared" si="18"/>
        <v>9</v>
      </c>
      <c r="AK45" s="122">
        <f t="shared" si="19"/>
        <v>9</v>
      </c>
      <c r="AL45" s="202">
        <v>2</v>
      </c>
      <c r="AM45" s="120">
        <f t="shared" si="37"/>
        <v>10</v>
      </c>
      <c r="AN45" s="122">
        <f t="shared" si="21"/>
        <v>10</v>
      </c>
      <c r="AO45" s="160">
        <v>0</v>
      </c>
      <c r="AP45" s="160">
        <v>0</v>
      </c>
      <c r="AQ45" s="122">
        <f t="shared" si="22"/>
        <v>0</v>
      </c>
      <c r="AR45" s="202">
        <v>0</v>
      </c>
      <c r="AS45" s="202">
        <v>0</v>
      </c>
      <c r="AT45" s="122">
        <f t="shared" si="23"/>
        <v>0</v>
      </c>
      <c r="AU45" s="161"/>
      <c r="AV45" s="179">
        <f t="shared" si="35"/>
        <v>22</v>
      </c>
      <c r="AX45" s="132">
        <f t="shared" si="24"/>
        <v>0</v>
      </c>
      <c r="AY45" s="132">
        <f t="shared" si="5"/>
        <v>0</v>
      </c>
      <c r="AZ45" s="133">
        <f t="shared" si="6"/>
        <v>0</v>
      </c>
      <c r="BA45" s="160">
        <v>0</v>
      </c>
      <c r="BB45" s="120">
        <f t="shared" si="25"/>
        <v>0</v>
      </c>
      <c r="BC45" s="122">
        <f t="shared" si="26"/>
        <v>0</v>
      </c>
      <c r="BD45" s="159">
        <v>0</v>
      </c>
      <c r="BE45" s="120">
        <f t="shared" si="38"/>
        <v>0</v>
      </c>
      <c r="BF45" s="122">
        <f t="shared" si="28"/>
        <v>0</v>
      </c>
      <c r="BG45" s="119"/>
      <c r="BH45" s="119"/>
      <c r="BI45" s="122">
        <f t="shared" si="29"/>
        <v>0</v>
      </c>
      <c r="BJ45" s="202">
        <v>0</v>
      </c>
      <c r="BK45" s="202">
        <v>0</v>
      </c>
      <c r="BL45" s="122">
        <f t="shared" si="30"/>
        <v>0</v>
      </c>
      <c r="BM45" s="161"/>
      <c r="BN45" s="179">
        <f t="shared" si="36"/>
        <v>22</v>
      </c>
    </row>
    <row r="46" spans="2:66" x14ac:dyDescent="0.25">
      <c r="B46" s="183">
        <f t="shared" si="7"/>
        <v>141.25100000000003</v>
      </c>
      <c r="C46" s="183">
        <f t="shared" si="0"/>
        <v>0</v>
      </c>
      <c r="D46" s="184">
        <f t="shared" si="1"/>
        <v>141.25100000000003</v>
      </c>
      <c r="E46" s="160">
        <v>0</v>
      </c>
      <c r="F46" s="179">
        <f t="shared" si="31"/>
        <v>11</v>
      </c>
      <c r="G46" s="181">
        <f t="shared" si="8"/>
        <v>11</v>
      </c>
      <c r="H46" s="160">
        <v>0</v>
      </c>
      <c r="I46" s="160">
        <v>0</v>
      </c>
      <c r="J46" s="122">
        <f t="shared" si="9"/>
        <v>0</v>
      </c>
      <c r="K46" s="161"/>
      <c r="L46" s="179">
        <f t="shared" si="32"/>
        <v>23</v>
      </c>
      <c r="N46" s="183">
        <f t="shared" si="2"/>
        <v>51.364000000000004</v>
      </c>
      <c r="O46" s="183">
        <f t="shared" si="3"/>
        <v>0</v>
      </c>
      <c r="P46" s="184">
        <f t="shared" si="10"/>
        <v>51.364000000000004</v>
      </c>
      <c r="Q46" s="160">
        <v>0</v>
      </c>
      <c r="R46" s="179">
        <f t="shared" si="11"/>
        <v>4</v>
      </c>
      <c r="S46" s="181">
        <f t="shared" si="12"/>
        <v>4</v>
      </c>
      <c r="T46" s="202">
        <v>0</v>
      </c>
      <c r="U46" s="179">
        <f t="shared" si="33"/>
        <v>0</v>
      </c>
      <c r="V46" s="122">
        <f t="shared" si="13"/>
        <v>0</v>
      </c>
      <c r="W46" s="160">
        <v>0</v>
      </c>
      <c r="X46" s="160">
        <v>0</v>
      </c>
      <c r="Y46" s="122">
        <f t="shared" si="14"/>
        <v>0</v>
      </c>
      <c r="Z46" s="202">
        <v>0</v>
      </c>
      <c r="AA46" s="202">
        <v>0</v>
      </c>
      <c r="AB46" s="122">
        <f t="shared" si="15"/>
        <v>0</v>
      </c>
      <c r="AC46" s="161"/>
      <c r="AD46" s="179">
        <f t="shared" si="16"/>
        <v>23</v>
      </c>
      <c r="AF46" s="132">
        <f t="shared" si="4"/>
        <v>115.569</v>
      </c>
      <c r="AG46" s="132">
        <f t="shared" si="17"/>
        <v>249.75066666666669</v>
      </c>
      <c r="AH46" s="133">
        <f t="shared" si="34"/>
        <v>365.31966666666671</v>
      </c>
      <c r="AI46" s="160">
        <v>9</v>
      </c>
      <c r="AJ46" s="120">
        <f t="shared" si="18"/>
        <v>9</v>
      </c>
      <c r="AK46" s="122">
        <f t="shared" si="19"/>
        <v>9</v>
      </c>
      <c r="AL46" s="202">
        <v>0</v>
      </c>
      <c r="AM46" s="120">
        <f t="shared" si="37"/>
        <v>10</v>
      </c>
      <c r="AN46" s="122">
        <f t="shared" si="21"/>
        <v>10</v>
      </c>
      <c r="AO46" s="160">
        <v>0</v>
      </c>
      <c r="AP46" s="160">
        <v>0</v>
      </c>
      <c r="AQ46" s="122">
        <f t="shared" si="22"/>
        <v>0</v>
      </c>
      <c r="AR46" s="202">
        <v>0</v>
      </c>
      <c r="AS46" s="202">
        <v>0</v>
      </c>
      <c r="AT46" s="122">
        <f t="shared" si="23"/>
        <v>0</v>
      </c>
      <c r="AU46" s="161"/>
      <c r="AV46" s="179">
        <f t="shared" si="35"/>
        <v>23</v>
      </c>
      <c r="AX46" s="132">
        <f t="shared" si="24"/>
        <v>0</v>
      </c>
      <c r="AY46" s="132">
        <f t="shared" si="5"/>
        <v>0</v>
      </c>
      <c r="AZ46" s="133">
        <f t="shared" si="6"/>
        <v>0</v>
      </c>
      <c r="BA46" s="160">
        <v>0</v>
      </c>
      <c r="BB46" s="120">
        <f t="shared" si="25"/>
        <v>0</v>
      </c>
      <c r="BC46" s="122">
        <f t="shared" si="26"/>
        <v>0</v>
      </c>
      <c r="BD46" s="159">
        <v>0</v>
      </c>
      <c r="BE46" s="120">
        <f t="shared" si="38"/>
        <v>0</v>
      </c>
      <c r="BF46" s="122">
        <f t="shared" si="28"/>
        <v>0</v>
      </c>
      <c r="BG46" s="119"/>
      <c r="BH46" s="119"/>
      <c r="BI46" s="122">
        <f t="shared" si="29"/>
        <v>0</v>
      </c>
      <c r="BJ46" s="202">
        <v>0</v>
      </c>
      <c r="BK46" s="202">
        <v>0</v>
      </c>
      <c r="BL46" s="122">
        <f t="shared" si="30"/>
        <v>0</v>
      </c>
      <c r="BM46" s="161"/>
      <c r="BN46" s="179">
        <f t="shared" si="36"/>
        <v>23</v>
      </c>
    </row>
    <row r="47" spans="2:66" x14ac:dyDescent="0.25">
      <c r="B47" s="183">
        <f t="shared" si="7"/>
        <v>141.25100000000003</v>
      </c>
      <c r="C47" s="183">
        <f t="shared" si="0"/>
        <v>0</v>
      </c>
      <c r="D47" s="184">
        <f t="shared" si="1"/>
        <v>141.25100000000003</v>
      </c>
      <c r="E47" s="160">
        <v>0</v>
      </c>
      <c r="F47" s="179">
        <f t="shared" si="31"/>
        <v>11</v>
      </c>
      <c r="G47" s="181">
        <f t="shared" si="8"/>
        <v>11</v>
      </c>
      <c r="H47" s="160">
        <v>0</v>
      </c>
      <c r="I47" s="160">
        <v>0</v>
      </c>
      <c r="J47" s="122">
        <f t="shared" si="9"/>
        <v>0</v>
      </c>
      <c r="K47" s="161"/>
      <c r="L47" s="179">
        <f t="shared" si="32"/>
        <v>24</v>
      </c>
      <c r="N47" s="183">
        <f t="shared" si="2"/>
        <v>51.364000000000004</v>
      </c>
      <c r="O47" s="183">
        <f t="shared" si="3"/>
        <v>0</v>
      </c>
      <c r="P47" s="184">
        <f t="shared" si="10"/>
        <v>51.364000000000004</v>
      </c>
      <c r="Q47" s="160">
        <v>0</v>
      </c>
      <c r="R47" s="179">
        <f t="shared" si="11"/>
        <v>4</v>
      </c>
      <c r="S47" s="181">
        <f t="shared" si="12"/>
        <v>4</v>
      </c>
      <c r="T47" s="202">
        <v>0</v>
      </c>
      <c r="U47" s="179">
        <f t="shared" si="33"/>
        <v>0</v>
      </c>
      <c r="V47" s="122">
        <f t="shared" si="13"/>
        <v>0</v>
      </c>
      <c r="W47" s="160">
        <v>0</v>
      </c>
      <c r="X47" s="160">
        <v>0</v>
      </c>
      <c r="Y47" s="122">
        <f t="shared" si="14"/>
        <v>0</v>
      </c>
      <c r="Z47" s="202">
        <v>0</v>
      </c>
      <c r="AA47" s="202">
        <v>0</v>
      </c>
      <c r="AB47" s="122">
        <f t="shared" si="15"/>
        <v>0</v>
      </c>
      <c r="AC47" s="161"/>
      <c r="AD47" s="179">
        <f t="shared" si="16"/>
        <v>24</v>
      </c>
      <c r="AF47" s="132">
        <f t="shared" si="4"/>
        <v>115.569</v>
      </c>
      <c r="AG47" s="132">
        <f t="shared" si="17"/>
        <v>249.75066666666669</v>
      </c>
      <c r="AH47" s="133">
        <f t="shared" si="34"/>
        <v>365.31966666666671</v>
      </c>
      <c r="AI47" s="160">
        <v>9</v>
      </c>
      <c r="AJ47" s="120">
        <f t="shared" si="18"/>
        <v>9</v>
      </c>
      <c r="AK47" s="122">
        <f t="shared" si="19"/>
        <v>9</v>
      </c>
      <c r="AL47" s="202">
        <v>0</v>
      </c>
      <c r="AM47" s="120">
        <f t="shared" si="37"/>
        <v>10</v>
      </c>
      <c r="AN47" s="122">
        <f t="shared" si="21"/>
        <v>10</v>
      </c>
      <c r="AO47" s="160">
        <v>0</v>
      </c>
      <c r="AP47" s="160">
        <v>0</v>
      </c>
      <c r="AQ47" s="122">
        <f t="shared" si="22"/>
        <v>0</v>
      </c>
      <c r="AR47" s="202">
        <v>0</v>
      </c>
      <c r="AS47" s="202">
        <v>0</v>
      </c>
      <c r="AT47" s="122">
        <f t="shared" si="23"/>
        <v>0</v>
      </c>
      <c r="AU47" s="161"/>
      <c r="AV47" s="179">
        <f t="shared" si="35"/>
        <v>24</v>
      </c>
      <c r="AX47" s="132">
        <f t="shared" si="24"/>
        <v>0</v>
      </c>
      <c r="AY47" s="132">
        <f t="shared" si="5"/>
        <v>0</v>
      </c>
      <c r="AZ47" s="133">
        <f t="shared" si="6"/>
        <v>0</v>
      </c>
      <c r="BA47" s="160">
        <v>0</v>
      </c>
      <c r="BB47" s="120">
        <f t="shared" si="25"/>
        <v>0</v>
      </c>
      <c r="BC47" s="122">
        <f t="shared" si="26"/>
        <v>0</v>
      </c>
      <c r="BD47" s="159">
        <v>0</v>
      </c>
      <c r="BE47" s="120">
        <f t="shared" si="38"/>
        <v>0</v>
      </c>
      <c r="BF47" s="122">
        <f t="shared" si="28"/>
        <v>0</v>
      </c>
      <c r="BG47" s="119"/>
      <c r="BH47" s="119"/>
      <c r="BI47" s="122">
        <f t="shared" si="29"/>
        <v>0</v>
      </c>
      <c r="BJ47" s="202">
        <v>0</v>
      </c>
      <c r="BK47" s="202">
        <v>0</v>
      </c>
      <c r="BL47" s="122">
        <f t="shared" si="30"/>
        <v>0</v>
      </c>
      <c r="BM47" s="161"/>
      <c r="BN47" s="179">
        <f t="shared" si="36"/>
        <v>24</v>
      </c>
    </row>
    <row r="48" spans="2:66" x14ac:dyDescent="0.25">
      <c r="B48" s="183">
        <f t="shared" si="7"/>
        <v>141.25100000000003</v>
      </c>
      <c r="C48" s="183">
        <f t="shared" si="0"/>
        <v>0</v>
      </c>
      <c r="D48" s="184">
        <f t="shared" si="1"/>
        <v>141.25100000000003</v>
      </c>
      <c r="E48" s="160">
        <v>0</v>
      </c>
      <c r="F48" s="179">
        <f t="shared" si="31"/>
        <v>11</v>
      </c>
      <c r="G48" s="181">
        <f t="shared" si="8"/>
        <v>11</v>
      </c>
      <c r="H48" s="160">
        <v>0</v>
      </c>
      <c r="I48" s="160">
        <v>0</v>
      </c>
      <c r="J48" s="122">
        <f t="shared" si="9"/>
        <v>0</v>
      </c>
      <c r="K48" s="161"/>
      <c r="L48" s="179">
        <f t="shared" si="32"/>
        <v>25</v>
      </c>
      <c r="N48" s="183">
        <f t="shared" si="2"/>
        <v>51.364000000000004</v>
      </c>
      <c r="O48" s="183">
        <f t="shared" si="3"/>
        <v>0</v>
      </c>
      <c r="P48" s="184">
        <f t="shared" si="10"/>
        <v>51.364000000000004</v>
      </c>
      <c r="Q48" s="160">
        <v>0</v>
      </c>
      <c r="R48" s="179">
        <f t="shared" si="11"/>
        <v>4</v>
      </c>
      <c r="S48" s="181">
        <f t="shared" si="12"/>
        <v>4</v>
      </c>
      <c r="T48" s="202">
        <v>0</v>
      </c>
      <c r="U48" s="179">
        <f t="shared" si="33"/>
        <v>0</v>
      </c>
      <c r="V48" s="122">
        <f t="shared" si="13"/>
        <v>0</v>
      </c>
      <c r="W48" s="160">
        <v>0</v>
      </c>
      <c r="X48" s="160">
        <v>0</v>
      </c>
      <c r="Y48" s="122">
        <f t="shared" si="14"/>
        <v>0</v>
      </c>
      <c r="Z48" s="202">
        <v>0</v>
      </c>
      <c r="AA48" s="202">
        <v>0</v>
      </c>
      <c r="AB48" s="122">
        <f t="shared" si="15"/>
        <v>0</v>
      </c>
      <c r="AC48" s="161"/>
      <c r="AD48" s="179">
        <f t="shared" si="16"/>
        <v>25</v>
      </c>
      <c r="AF48" s="132">
        <f t="shared" si="4"/>
        <v>115.569</v>
      </c>
      <c r="AG48" s="132">
        <f t="shared" si="17"/>
        <v>249.75066666666669</v>
      </c>
      <c r="AH48" s="133">
        <f t="shared" si="34"/>
        <v>365.31966666666671</v>
      </c>
      <c r="AI48" s="160">
        <v>9</v>
      </c>
      <c r="AJ48" s="120">
        <f t="shared" si="18"/>
        <v>9</v>
      </c>
      <c r="AK48" s="122">
        <f t="shared" si="19"/>
        <v>9</v>
      </c>
      <c r="AL48" s="202">
        <v>0</v>
      </c>
      <c r="AM48" s="120">
        <f t="shared" si="37"/>
        <v>10</v>
      </c>
      <c r="AN48" s="122">
        <f t="shared" si="21"/>
        <v>10</v>
      </c>
      <c r="AO48" s="160">
        <v>0</v>
      </c>
      <c r="AP48" s="160">
        <v>0</v>
      </c>
      <c r="AQ48" s="122">
        <f t="shared" si="22"/>
        <v>0</v>
      </c>
      <c r="AR48" s="202">
        <v>0</v>
      </c>
      <c r="AS48" s="202">
        <v>0</v>
      </c>
      <c r="AT48" s="122">
        <f t="shared" si="23"/>
        <v>0</v>
      </c>
      <c r="AU48" s="161"/>
      <c r="AV48" s="179">
        <f t="shared" si="35"/>
        <v>25</v>
      </c>
      <c r="AX48" s="132">
        <f t="shared" si="24"/>
        <v>0</v>
      </c>
      <c r="AY48" s="132">
        <f t="shared" si="5"/>
        <v>0</v>
      </c>
      <c r="AZ48" s="133">
        <f t="shared" si="6"/>
        <v>0</v>
      </c>
      <c r="BA48" s="160">
        <v>0</v>
      </c>
      <c r="BB48" s="120">
        <f t="shared" si="25"/>
        <v>0</v>
      </c>
      <c r="BC48" s="122">
        <f t="shared" si="26"/>
        <v>0</v>
      </c>
      <c r="BD48" s="159">
        <v>0</v>
      </c>
      <c r="BE48" s="120">
        <f t="shared" si="38"/>
        <v>0</v>
      </c>
      <c r="BF48" s="122">
        <f t="shared" si="28"/>
        <v>0</v>
      </c>
      <c r="BG48" s="119"/>
      <c r="BH48" s="119"/>
      <c r="BI48" s="122">
        <f t="shared" si="29"/>
        <v>0</v>
      </c>
      <c r="BJ48" s="202">
        <v>0</v>
      </c>
      <c r="BK48" s="202">
        <v>0</v>
      </c>
      <c r="BL48" s="122">
        <f t="shared" si="30"/>
        <v>0</v>
      </c>
      <c r="BM48" s="161"/>
      <c r="BN48" s="179">
        <f t="shared" si="36"/>
        <v>25</v>
      </c>
    </row>
    <row r="49" spans="2:66" x14ac:dyDescent="0.25">
      <c r="B49" s="183">
        <f t="shared" si="7"/>
        <v>141.25100000000003</v>
      </c>
      <c r="C49" s="183">
        <f t="shared" si="0"/>
        <v>0</v>
      </c>
      <c r="D49" s="184">
        <f t="shared" si="1"/>
        <v>141.25100000000003</v>
      </c>
      <c r="E49" s="160">
        <v>0</v>
      </c>
      <c r="F49" s="179">
        <f t="shared" si="31"/>
        <v>11</v>
      </c>
      <c r="G49" s="181">
        <f t="shared" si="8"/>
        <v>11</v>
      </c>
      <c r="H49" s="160">
        <v>0</v>
      </c>
      <c r="I49" s="160">
        <v>0</v>
      </c>
      <c r="J49" s="122">
        <f t="shared" si="9"/>
        <v>0</v>
      </c>
      <c r="K49" s="161"/>
      <c r="L49" s="179">
        <f t="shared" si="32"/>
        <v>26</v>
      </c>
      <c r="N49" s="183">
        <f t="shared" si="2"/>
        <v>51.364000000000004</v>
      </c>
      <c r="O49" s="183">
        <f t="shared" si="3"/>
        <v>0</v>
      </c>
      <c r="P49" s="184">
        <f t="shared" si="10"/>
        <v>51.364000000000004</v>
      </c>
      <c r="Q49" s="160">
        <v>0</v>
      </c>
      <c r="R49" s="179">
        <f t="shared" si="11"/>
        <v>4</v>
      </c>
      <c r="S49" s="181">
        <f t="shared" si="12"/>
        <v>4</v>
      </c>
      <c r="T49" s="202">
        <v>0</v>
      </c>
      <c r="U49" s="179">
        <f t="shared" si="33"/>
        <v>0</v>
      </c>
      <c r="V49" s="122">
        <f t="shared" si="13"/>
        <v>0</v>
      </c>
      <c r="W49" s="160">
        <v>0</v>
      </c>
      <c r="X49" s="160">
        <v>0</v>
      </c>
      <c r="Y49" s="122">
        <f t="shared" si="14"/>
        <v>0</v>
      </c>
      <c r="Z49" s="202">
        <v>0</v>
      </c>
      <c r="AA49" s="202">
        <v>0</v>
      </c>
      <c r="AB49" s="122">
        <f t="shared" si="15"/>
        <v>0</v>
      </c>
      <c r="AC49" s="161"/>
      <c r="AD49" s="179">
        <f t="shared" si="16"/>
        <v>26</v>
      </c>
      <c r="AF49" s="132">
        <f t="shared" si="4"/>
        <v>115.569</v>
      </c>
      <c r="AG49" s="132">
        <f t="shared" si="17"/>
        <v>249.75066666666669</v>
      </c>
      <c r="AH49" s="133">
        <f t="shared" si="34"/>
        <v>365.31966666666671</v>
      </c>
      <c r="AI49" s="160">
        <v>9</v>
      </c>
      <c r="AJ49" s="120">
        <f t="shared" si="18"/>
        <v>9</v>
      </c>
      <c r="AK49" s="122">
        <f t="shared" si="19"/>
        <v>9</v>
      </c>
      <c r="AL49" s="202">
        <v>0</v>
      </c>
      <c r="AM49" s="120">
        <f t="shared" si="37"/>
        <v>10</v>
      </c>
      <c r="AN49" s="122">
        <f t="shared" si="21"/>
        <v>10</v>
      </c>
      <c r="AO49" s="160">
        <v>0</v>
      </c>
      <c r="AP49" s="160">
        <v>0</v>
      </c>
      <c r="AQ49" s="122">
        <f t="shared" si="22"/>
        <v>0</v>
      </c>
      <c r="AR49" s="202">
        <v>0</v>
      </c>
      <c r="AS49" s="202">
        <v>0</v>
      </c>
      <c r="AT49" s="122">
        <f t="shared" si="23"/>
        <v>0</v>
      </c>
      <c r="AU49" s="161"/>
      <c r="AV49" s="179">
        <f t="shared" si="35"/>
        <v>26</v>
      </c>
      <c r="AX49" s="132">
        <f t="shared" si="24"/>
        <v>0</v>
      </c>
      <c r="AY49" s="132">
        <f t="shared" si="5"/>
        <v>0</v>
      </c>
      <c r="AZ49" s="133">
        <f t="shared" si="6"/>
        <v>0</v>
      </c>
      <c r="BA49" s="160">
        <v>0</v>
      </c>
      <c r="BB49" s="120">
        <f t="shared" si="25"/>
        <v>0</v>
      </c>
      <c r="BC49" s="122">
        <f t="shared" si="26"/>
        <v>0</v>
      </c>
      <c r="BD49" s="159">
        <v>0</v>
      </c>
      <c r="BE49" s="120">
        <f t="shared" si="38"/>
        <v>0</v>
      </c>
      <c r="BF49" s="122">
        <f t="shared" si="28"/>
        <v>0</v>
      </c>
      <c r="BG49" s="119"/>
      <c r="BH49" s="119"/>
      <c r="BI49" s="122">
        <f t="shared" si="29"/>
        <v>0</v>
      </c>
      <c r="BJ49" s="202">
        <v>0</v>
      </c>
      <c r="BK49" s="202">
        <v>0</v>
      </c>
      <c r="BL49" s="122">
        <f t="shared" si="30"/>
        <v>0</v>
      </c>
      <c r="BM49" s="161"/>
      <c r="BN49" s="179">
        <f t="shared" si="36"/>
        <v>26</v>
      </c>
    </row>
    <row r="50" spans="2:66" x14ac:dyDescent="0.25">
      <c r="B50" s="183">
        <f t="shared" si="7"/>
        <v>141.25100000000003</v>
      </c>
      <c r="C50" s="183">
        <f t="shared" si="0"/>
        <v>0</v>
      </c>
      <c r="D50" s="184">
        <f t="shared" si="1"/>
        <v>141.25100000000003</v>
      </c>
      <c r="E50" s="160">
        <v>0</v>
      </c>
      <c r="F50" s="179">
        <f t="shared" si="31"/>
        <v>11</v>
      </c>
      <c r="G50" s="181">
        <f t="shared" si="8"/>
        <v>11</v>
      </c>
      <c r="H50" s="160">
        <v>0</v>
      </c>
      <c r="I50" s="160">
        <v>0</v>
      </c>
      <c r="J50" s="122">
        <f t="shared" si="9"/>
        <v>0</v>
      </c>
      <c r="K50" s="161"/>
      <c r="L50" s="179">
        <f t="shared" si="32"/>
        <v>27</v>
      </c>
      <c r="N50" s="183">
        <f t="shared" si="2"/>
        <v>51.364000000000004</v>
      </c>
      <c r="O50" s="183">
        <f t="shared" si="3"/>
        <v>0</v>
      </c>
      <c r="P50" s="184">
        <f t="shared" si="10"/>
        <v>51.364000000000004</v>
      </c>
      <c r="Q50" s="160">
        <v>0</v>
      </c>
      <c r="R50" s="179">
        <f t="shared" si="11"/>
        <v>4</v>
      </c>
      <c r="S50" s="181">
        <f t="shared" si="12"/>
        <v>4</v>
      </c>
      <c r="T50" s="202">
        <v>0</v>
      </c>
      <c r="U50" s="179">
        <f t="shared" si="33"/>
        <v>0</v>
      </c>
      <c r="V50" s="122">
        <f t="shared" si="13"/>
        <v>0</v>
      </c>
      <c r="W50" s="160">
        <v>0</v>
      </c>
      <c r="X50" s="160">
        <v>0</v>
      </c>
      <c r="Y50" s="122">
        <f t="shared" si="14"/>
        <v>0</v>
      </c>
      <c r="Z50" s="202">
        <v>0</v>
      </c>
      <c r="AA50" s="202">
        <v>0</v>
      </c>
      <c r="AB50" s="122">
        <f t="shared" si="15"/>
        <v>0</v>
      </c>
      <c r="AC50" s="161"/>
      <c r="AD50" s="179">
        <f t="shared" si="16"/>
        <v>27</v>
      </c>
      <c r="AF50" s="132">
        <f t="shared" si="4"/>
        <v>115.569</v>
      </c>
      <c r="AG50" s="132">
        <f t="shared" si="17"/>
        <v>249.75066666666669</v>
      </c>
      <c r="AH50" s="133">
        <f t="shared" si="34"/>
        <v>365.31966666666671</v>
      </c>
      <c r="AI50" s="160">
        <v>9</v>
      </c>
      <c r="AJ50" s="120">
        <f t="shared" si="18"/>
        <v>9</v>
      </c>
      <c r="AK50" s="122">
        <f t="shared" si="19"/>
        <v>9</v>
      </c>
      <c r="AL50" s="202">
        <v>0</v>
      </c>
      <c r="AM50" s="120">
        <f t="shared" si="37"/>
        <v>10</v>
      </c>
      <c r="AN50" s="122">
        <f t="shared" si="21"/>
        <v>10</v>
      </c>
      <c r="AO50" s="160">
        <v>0</v>
      </c>
      <c r="AP50" s="160">
        <v>0</v>
      </c>
      <c r="AQ50" s="122">
        <f t="shared" si="22"/>
        <v>0</v>
      </c>
      <c r="AR50" s="202">
        <v>0</v>
      </c>
      <c r="AS50" s="202">
        <v>0</v>
      </c>
      <c r="AT50" s="122">
        <f t="shared" si="23"/>
        <v>0</v>
      </c>
      <c r="AU50" s="161"/>
      <c r="AV50" s="179">
        <f t="shared" si="35"/>
        <v>27</v>
      </c>
      <c r="AX50" s="132">
        <f t="shared" si="24"/>
        <v>0</v>
      </c>
      <c r="AY50" s="132">
        <f t="shared" si="5"/>
        <v>0</v>
      </c>
      <c r="AZ50" s="133">
        <f t="shared" si="6"/>
        <v>0</v>
      </c>
      <c r="BA50" s="160">
        <v>0</v>
      </c>
      <c r="BB50" s="120">
        <f t="shared" si="25"/>
        <v>0</v>
      </c>
      <c r="BC50" s="122">
        <f t="shared" si="26"/>
        <v>0</v>
      </c>
      <c r="BD50" s="159">
        <v>0</v>
      </c>
      <c r="BE50" s="120">
        <f t="shared" si="38"/>
        <v>0</v>
      </c>
      <c r="BF50" s="122">
        <f t="shared" si="28"/>
        <v>0</v>
      </c>
      <c r="BG50" s="119"/>
      <c r="BH50" s="119"/>
      <c r="BI50" s="122">
        <f t="shared" si="29"/>
        <v>0</v>
      </c>
      <c r="BJ50" s="202">
        <v>0</v>
      </c>
      <c r="BK50" s="202">
        <v>0</v>
      </c>
      <c r="BL50" s="122">
        <f t="shared" si="30"/>
        <v>0</v>
      </c>
      <c r="BM50" s="161"/>
      <c r="BN50" s="179">
        <f t="shared" si="36"/>
        <v>27</v>
      </c>
    </row>
    <row r="51" spans="2:66" x14ac:dyDescent="0.25">
      <c r="B51" s="183">
        <f t="shared" si="7"/>
        <v>141.25100000000003</v>
      </c>
      <c r="C51" s="183">
        <f t="shared" si="0"/>
        <v>0</v>
      </c>
      <c r="D51" s="184">
        <f t="shared" si="1"/>
        <v>141.25100000000003</v>
      </c>
      <c r="E51" s="160">
        <v>0</v>
      </c>
      <c r="F51" s="179">
        <f t="shared" si="31"/>
        <v>11</v>
      </c>
      <c r="G51" s="181">
        <f t="shared" si="8"/>
        <v>11</v>
      </c>
      <c r="H51" s="160">
        <v>0</v>
      </c>
      <c r="I51" s="160">
        <v>0</v>
      </c>
      <c r="J51" s="122">
        <f t="shared" si="9"/>
        <v>0</v>
      </c>
      <c r="K51" s="161"/>
      <c r="L51" s="179">
        <f t="shared" si="32"/>
        <v>28</v>
      </c>
      <c r="N51" s="183">
        <f t="shared" si="2"/>
        <v>51.364000000000004</v>
      </c>
      <c r="O51" s="183">
        <f t="shared" si="3"/>
        <v>0</v>
      </c>
      <c r="P51" s="184">
        <f t="shared" si="10"/>
        <v>51.364000000000004</v>
      </c>
      <c r="Q51" s="160">
        <v>0</v>
      </c>
      <c r="R51" s="179">
        <f t="shared" si="11"/>
        <v>4</v>
      </c>
      <c r="S51" s="181">
        <f t="shared" si="12"/>
        <v>4</v>
      </c>
      <c r="T51" s="202">
        <v>0</v>
      </c>
      <c r="U51" s="179">
        <f t="shared" si="33"/>
        <v>0</v>
      </c>
      <c r="V51" s="122">
        <f t="shared" si="13"/>
        <v>0</v>
      </c>
      <c r="W51" s="160">
        <v>0</v>
      </c>
      <c r="X51" s="160">
        <v>0</v>
      </c>
      <c r="Y51" s="122">
        <f t="shared" si="14"/>
        <v>0</v>
      </c>
      <c r="Z51" s="202">
        <v>0</v>
      </c>
      <c r="AA51" s="202">
        <v>0</v>
      </c>
      <c r="AB51" s="122">
        <f t="shared" si="15"/>
        <v>0</v>
      </c>
      <c r="AC51" s="161"/>
      <c r="AD51" s="179">
        <f t="shared" si="16"/>
        <v>28</v>
      </c>
      <c r="AF51" s="132">
        <f t="shared" si="4"/>
        <v>115.569</v>
      </c>
      <c r="AG51" s="132">
        <f t="shared" si="17"/>
        <v>249.75066666666669</v>
      </c>
      <c r="AH51" s="133">
        <f t="shared" si="34"/>
        <v>365.31966666666671</v>
      </c>
      <c r="AI51" s="160">
        <v>9</v>
      </c>
      <c r="AJ51" s="120">
        <f t="shared" si="18"/>
        <v>9</v>
      </c>
      <c r="AK51" s="122">
        <f t="shared" si="19"/>
        <v>9</v>
      </c>
      <c r="AL51" s="202">
        <v>0</v>
      </c>
      <c r="AM51" s="120">
        <f t="shared" si="37"/>
        <v>10</v>
      </c>
      <c r="AN51" s="122">
        <f t="shared" si="21"/>
        <v>10</v>
      </c>
      <c r="AO51" s="160">
        <v>0</v>
      </c>
      <c r="AP51" s="160">
        <v>0</v>
      </c>
      <c r="AQ51" s="122">
        <f t="shared" si="22"/>
        <v>0</v>
      </c>
      <c r="AR51" s="202">
        <v>0</v>
      </c>
      <c r="AS51" s="202">
        <v>0</v>
      </c>
      <c r="AT51" s="122">
        <f t="shared" si="23"/>
        <v>0</v>
      </c>
      <c r="AU51" s="161"/>
      <c r="AV51" s="179">
        <f t="shared" si="35"/>
        <v>28</v>
      </c>
      <c r="AX51" s="132">
        <f t="shared" si="24"/>
        <v>0</v>
      </c>
      <c r="AY51" s="132">
        <f t="shared" si="5"/>
        <v>0</v>
      </c>
      <c r="AZ51" s="133">
        <f t="shared" si="6"/>
        <v>0</v>
      </c>
      <c r="BA51" s="160">
        <v>0</v>
      </c>
      <c r="BB51" s="120">
        <f t="shared" si="25"/>
        <v>0</v>
      </c>
      <c r="BC51" s="122">
        <f t="shared" si="26"/>
        <v>0</v>
      </c>
      <c r="BD51" s="159">
        <v>0</v>
      </c>
      <c r="BE51" s="120">
        <f t="shared" si="38"/>
        <v>0</v>
      </c>
      <c r="BF51" s="122">
        <f t="shared" si="28"/>
        <v>0</v>
      </c>
      <c r="BG51" s="119"/>
      <c r="BH51" s="119"/>
      <c r="BI51" s="122">
        <f t="shared" si="29"/>
        <v>0</v>
      </c>
      <c r="BJ51" s="202">
        <v>0</v>
      </c>
      <c r="BK51" s="202">
        <v>0</v>
      </c>
      <c r="BL51" s="122">
        <f t="shared" si="30"/>
        <v>0</v>
      </c>
      <c r="BM51" s="161"/>
      <c r="BN51" s="179">
        <f t="shared" si="36"/>
        <v>28</v>
      </c>
    </row>
    <row r="52" spans="2:66" x14ac:dyDescent="0.25">
      <c r="B52" s="183">
        <f t="shared" si="7"/>
        <v>141.25100000000003</v>
      </c>
      <c r="C52" s="183">
        <f t="shared" si="0"/>
        <v>0</v>
      </c>
      <c r="D52" s="184">
        <f t="shared" si="1"/>
        <v>141.25100000000003</v>
      </c>
      <c r="E52" s="160">
        <v>0</v>
      </c>
      <c r="F52" s="179">
        <f t="shared" si="31"/>
        <v>11</v>
      </c>
      <c r="G52" s="181">
        <f t="shared" si="8"/>
        <v>11</v>
      </c>
      <c r="H52" s="160">
        <v>0</v>
      </c>
      <c r="I52" s="160">
        <v>0</v>
      </c>
      <c r="J52" s="122">
        <f t="shared" si="9"/>
        <v>0</v>
      </c>
      <c r="K52" s="161"/>
      <c r="L52" s="179">
        <f t="shared" si="32"/>
        <v>29</v>
      </c>
      <c r="N52" s="183">
        <f t="shared" si="2"/>
        <v>51.364000000000004</v>
      </c>
      <c r="O52" s="183">
        <f t="shared" si="3"/>
        <v>0</v>
      </c>
      <c r="P52" s="184">
        <f t="shared" si="10"/>
        <v>51.364000000000004</v>
      </c>
      <c r="Q52" s="160">
        <v>0</v>
      </c>
      <c r="R52" s="179">
        <f t="shared" si="11"/>
        <v>4</v>
      </c>
      <c r="S52" s="181">
        <f t="shared" si="12"/>
        <v>4</v>
      </c>
      <c r="T52" s="202">
        <v>0</v>
      </c>
      <c r="U52" s="179">
        <f t="shared" si="33"/>
        <v>0</v>
      </c>
      <c r="V52" s="122">
        <f t="shared" si="13"/>
        <v>0</v>
      </c>
      <c r="W52" s="160">
        <v>0</v>
      </c>
      <c r="X52" s="160">
        <v>0</v>
      </c>
      <c r="Y52" s="122">
        <f t="shared" si="14"/>
        <v>0</v>
      </c>
      <c r="Z52" s="202">
        <v>0</v>
      </c>
      <c r="AA52" s="202">
        <v>0</v>
      </c>
      <c r="AB52" s="122">
        <f t="shared" si="15"/>
        <v>0</v>
      </c>
      <c r="AC52" s="161"/>
      <c r="AD52" s="179">
        <f t="shared" si="16"/>
        <v>29</v>
      </c>
      <c r="AF52" s="132">
        <f t="shared" si="4"/>
        <v>136.27366666666666</v>
      </c>
      <c r="AG52" s="132">
        <f t="shared" si="17"/>
        <v>249.75066666666669</v>
      </c>
      <c r="AH52" s="133">
        <f t="shared" si="34"/>
        <v>386.02433333333335</v>
      </c>
      <c r="AI52" s="160">
        <v>9</v>
      </c>
      <c r="AJ52" s="120">
        <f t="shared" si="18"/>
        <v>9</v>
      </c>
      <c r="AK52" s="122">
        <f t="shared" si="19"/>
        <v>9</v>
      </c>
      <c r="AL52" s="202">
        <v>1</v>
      </c>
      <c r="AM52" s="120">
        <f t="shared" si="37"/>
        <v>11</v>
      </c>
      <c r="AN52" s="122">
        <f t="shared" si="21"/>
        <v>11</v>
      </c>
      <c r="AO52" s="160">
        <v>0</v>
      </c>
      <c r="AP52" s="160">
        <v>0</v>
      </c>
      <c r="AQ52" s="122">
        <f t="shared" si="22"/>
        <v>0</v>
      </c>
      <c r="AR52" s="202">
        <v>0</v>
      </c>
      <c r="AS52" s="202">
        <v>0</v>
      </c>
      <c r="AT52" s="122">
        <f t="shared" si="23"/>
        <v>0</v>
      </c>
      <c r="AU52" s="161"/>
      <c r="AV52" s="179">
        <f t="shared" si="35"/>
        <v>29</v>
      </c>
      <c r="AX52" s="132">
        <f t="shared" si="24"/>
        <v>0</v>
      </c>
      <c r="AY52" s="132">
        <f t="shared" si="5"/>
        <v>0</v>
      </c>
      <c r="AZ52" s="133">
        <f t="shared" si="6"/>
        <v>0</v>
      </c>
      <c r="BA52" s="160">
        <v>0</v>
      </c>
      <c r="BB52" s="120">
        <f t="shared" si="25"/>
        <v>0</v>
      </c>
      <c r="BC52" s="122">
        <f t="shared" si="26"/>
        <v>0</v>
      </c>
      <c r="BD52" s="159">
        <v>0</v>
      </c>
      <c r="BE52" s="120">
        <f t="shared" si="38"/>
        <v>0</v>
      </c>
      <c r="BF52" s="122">
        <f t="shared" si="28"/>
        <v>0</v>
      </c>
      <c r="BG52" s="119"/>
      <c r="BH52" s="119"/>
      <c r="BI52" s="122">
        <f t="shared" si="29"/>
        <v>0</v>
      </c>
      <c r="BJ52" s="202">
        <v>0</v>
      </c>
      <c r="BK52" s="202">
        <v>0</v>
      </c>
      <c r="BL52" s="122">
        <f t="shared" si="30"/>
        <v>0</v>
      </c>
      <c r="BM52" s="161"/>
      <c r="BN52" s="179">
        <f t="shared" si="36"/>
        <v>29</v>
      </c>
    </row>
    <row r="53" spans="2:66" x14ac:dyDescent="0.25">
      <c r="B53" s="183">
        <f t="shared" si="7"/>
        <v>141.25100000000003</v>
      </c>
      <c r="C53" s="183">
        <f t="shared" si="0"/>
        <v>0</v>
      </c>
      <c r="D53" s="184">
        <f t="shared" si="1"/>
        <v>141.25100000000003</v>
      </c>
      <c r="E53" s="160">
        <v>0</v>
      </c>
      <c r="F53" s="179">
        <f t="shared" si="31"/>
        <v>11</v>
      </c>
      <c r="G53" s="181">
        <f t="shared" si="8"/>
        <v>11</v>
      </c>
      <c r="H53" s="160">
        <v>0</v>
      </c>
      <c r="I53" s="160">
        <v>0</v>
      </c>
      <c r="J53" s="122">
        <f t="shared" si="9"/>
        <v>0</v>
      </c>
      <c r="K53" s="161"/>
      <c r="L53" s="179">
        <f t="shared" si="32"/>
        <v>30</v>
      </c>
      <c r="N53" s="183">
        <f t="shared" si="2"/>
        <v>51.364000000000004</v>
      </c>
      <c r="O53" s="183">
        <f t="shared" si="3"/>
        <v>0</v>
      </c>
      <c r="P53" s="184">
        <f t="shared" si="10"/>
        <v>51.364000000000004</v>
      </c>
      <c r="Q53" s="160">
        <v>0</v>
      </c>
      <c r="R53" s="179">
        <f t="shared" si="11"/>
        <v>4</v>
      </c>
      <c r="S53" s="181">
        <f t="shared" si="12"/>
        <v>4</v>
      </c>
      <c r="T53" s="202">
        <v>0</v>
      </c>
      <c r="U53" s="179">
        <f t="shared" si="33"/>
        <v>0</v>
      </c>
      <c r="V53" s="122">
        <f t="shared" si="13"/>
        <v>0</v>
      </c>
      <c r="W53" s="160">
        <v>0</v>
      </c>
      <c r="X53" s="160">
        <v>0</v>
      </c>
      <c r="Y53" s="122">
        <f t="shared" si="14"/>
        <v>0</v>
      </c>
      <c r="Z53" s="202">
        <v>0</v>
      </c>
      <c r="AA53" s="202">
        <v>0</v>
      </c>
      <c r="AB53" s="122">
        <f t="shared" si="15"/>
        <v>0</v>
      </c>
      <c r="AC53" s="161"/>
      <c r="AD53" s="179">
        <f t="shared" si="16"/>
        <v>30</v>
      </c>
      <c r="AF53" s="132">
        <f t="shared" si="4"/>
        <v>136.27366666666666</v>
      </c>
      <c r="AG53" s="132">
        <f t="shared" si="17"/>
        <v>249.75066666666669</v>
      </c>
      <c r="AH53" s="133">
        <f t="shared" si="34"/>
        <v>386.02433333333335</v>
      </c>
      <c r="AI53" s="160">
        <v>9</v>
      </c>
      <c r="AJ53" s="120">
        <f t="shared" si="18"/>
        <v>9</v>
      </c>
      <c r="AK53" s="122">
        <f t="shared" si="19"/>
        <v>9</v>
      </c>
      <c r="AL53" s="202">
        <v>0</v>
      </c>
      <c r="AM53" s="120">
        <f t="shared" si="37"/>
        <v>11</v>
      </c>
      <c r="AN53" s="122">
        <f t="shared" si="21"/>
        <v>11</v>
      </c>
      <c r="AO53" s="160">
        <v>0</v>
      </c>
      <c r="AP53" s="160">
        <v>0</v>
      </c>
      <c r="AQ53" s="122">
        <f t="shared" si="22"/>
        <v>0</v>
      </c>
      <c r="AR53" s="202">
        <v>0</v>
      </c>
      <c r="AS53" s="202">
        <v>0</v>
      </c>
      <c r="AT53" s="122">
        <f t="shared" si="23"/>
        <v>0</v>
      </c>
      <c r="AU53" s="161"/>
      <c r="AV53" s="179">
        <f t="shared" si="35"/>
        <v>30</v>
      </c>
      <c r="AX53" s="132">
        <f t="shared" si="24"/>
        <v>0</v>
      </c>
      <c r="AY53" s="132">
        <f t="shared" si="5"/>
        <v>0</v>
      </c>
      <c r="AZ53" s="133">
        <f t="shared" si="6"/>
        <v>0</v>
      </c>
      <c r="BA53" s="160">
        <v>0</v>
      </c>
      <c r="BB53" s="120">
        <f t="shared" si="25"/>
        <v>0</v>
      </c>
      <c r="BC53" s="122">
        <f t="shared" si="26"/>
        <v>0</v>
      </c>
      <c r="BD53" s="159">
        <v>0</v>
      </c>
      <c r="BE53" s="120">
        <f t="shared" si="38"/>
        <v>0</v>
      </c>
      <c r="BF53" s="122">
        <f t="shared" si="28"/>
        <v>0</v>
      </c>
      <c r="BG53" s="119"/>
      <c r="BH53" s="119"/>
      <c r="BI53" s="122">
        <f t="shared" si="29"/>
        <v>0</v>
      </c>
      <c r="BJ53" s="202">
        <v>0</v>
      </c>
      <c r="BK53" s="202">
        <v>0</v>
      </c>
      <c r="BL53" s="122">
        <f t="shared" si="30"/>
        <v>0</v>
      </c>
      <c r="BM53" s="161"/>
      <c r="BN53" s="179">
        <f t="shared" si="36"/>
        <v>30</v>
      </c>
    </row>
    <row r="54" spans="2:66" x14ac:dyDescent="0.25">
      <c r="B54" s="165"/>
      <c r="C54" s="165"/>
      <c r="D54" s="165"/>
      <c r="E54" s="165"/>
      <c r="F54" s="165"/>
      <c r="G54" s="165"/>
      <c r="H54" s="114"/>
      <c r="I54" s="114"/>
      <c r="J54" s="114"/>
      <c r="K54" s="161"/>
      <c r="L54" s="165"/>
      <c r="N54" s="165"/>
      <c r="O54" s="165"/>
      <c r="P54" s="165"/>
      <c r="Q54" s="165"/>
      <c r="R54" s="165"/>
      <c r="S54" s="165"/>
      <c r="T54" s="165"/>
      <c r="U54" s="165"/>
      <c r="V54" s="114"/>
      <c r="W54" s="114"/>
      <c r="X54" s="114"/>
      <c r="Y54" s="114"/>
      <c r="Z54" s="114"/>
      <c r="AA54" s="114"/>
      <c r="AB54" s="114"/>
      <c r="AC54" s="114"/>
      <c r="AD54" s="165"/>
      <c r="AF54" s="114"/>
      <c r="AG54" s="114"/>
      <c r="AH54" s="114"/>
      <c r="AI54"/>
      <c r="AJ54"/>
      <c r="AK54"/>
      <c r="AL5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X54" s="114"/>
      <c r="AY54" s="114"/>
      <c r="AZ54" s="114"/>
      <c r="BA54" s="114"/>
      <c r="BB54" s="114"/>
      <c r="BC54" s="114"/>
      <c r="BD54" s="114"/>
      <c r="BE54" s="120"/>
      <c r="BF54" s="141"/>
      <c r="BG54" s="114"/>
      <c r="BH54" s="114"/>
      <c r="BI54" s="114"/>
      <c r="BJ54" s="114"/>
      <c r="BK54" s="114"/>
      <c r="BL54" s="114"/>
      <c r="BM54" s="114"/>
      <c r="BN54" s="165"/>
    </row>
    <row r="55" spans="2:66" ht="19.5" customHeight="1" x14ac:dyDescent="0.25">
      <c r="B55" s="180">
        <f>SUM(B24:B53)</f>
        <v>4237.5300000000025</v>
      </c>
      <c r="C55" s="180">
        <f>SUM(C24:C53)</f>
        <v>0</v>
      </c>
      <c r="D55" s="180">
        <f>SUM(D24:D53)</f>
        <v>4237.5300000000025</v>
      </c>
      <c r="E55" s="180"/>
      <c r="F55" s="179">
        <f>F53</f>
        <v>11</v>
      </c>
      <c r="G55" s="179"/>
      <c r="H55" s="120"/>
      <c r="I55" s="120"/>
      <c r="J55" s="120"/>
      <c r="K55" s="137"/>
      <c r="L55" s="179"/>
      <c r="N55" s="180">
        <f>SUM(N24:N53)</f>
        <v>1540.9200000000008</v>
      </c>
      <c r="O55" s="180">
        <f>SUM(O24:O53)</f>
        <v>0</v>
      </c>
      <c r="P55" s="180">
        <f>SUM(P24:P53)</f>
        <v>1540.9200000000008</v>
      </c>
      <c r="Q55" s="179"/>
      <c r="R55" s="179"/>
      <c r="S55" s="179"/>
      <c r="T55" s="180"/>
      <c r="U55" s="179">
        <f>U53</f>
        <v>0</v>
      </c>
      <c r="V55" s="120"/>
      <c r="W55" s="120"/>
      <c r="X55" s="120"/>
      <c r="Y55" s="120"/>
      <c r="Z55" s="120"/>
      <c r="AA55" s="120"/>
      <c r="AB55" s="120"/>
      <c r="AC55" s="120"/>
      <c r="AD55" s="179"/>
      <c r="AF55" s="123">
        <f>SUM(AF24:AF53)</f>
        <v>5082.0340000000042</v>
      </c>
      <c r="AG55" s="123">
        <f>SUM(AG24:AG53)</f>
        <v>2247.7560000000008</v>
      </c>
      <c r="AH55" s="123">
        <f>SUM(AH24:AH53)</f>
        <v>7329.7899999999991</v>
      </c>
      <c r="AI55" s="100"/>
      <c r="AJ55" s="100"/>
      <c r="AK55" s="100"/>
      <c r="AL55" s="108"/>
      <c r="AM55" s="120">
        <f>AM53</f>
        <v>11</v>
      </c>
      <c r="AN55" s="120"/>
      <c r="AO55" s="120"/>
      <c r="AP55" s="120"/>
      <c r="AQ55" s="120"/>
      <c r="AR55" s="120"/>
      <c r="AS55" s="120"/>
      <c r="AT55" s="120"/>
      <c r="AU55" s="120"/>
      <c r="AV55" s="200"/>
      <c r="AW55"/>
      <c r="AX55" s="123">
        <f>SUM(AX24:AX53)</f>
        <v>0</v>
      </c>
      <c r="AY55" s="123">
        <f>SUM(AY24:AY53)</f>
        <v>0</v>
      </c>
      <c r="AZ55" s="123">
        <f>SUM(AZ24:AZ53)</f>
        <v>0</v>
      </c>
      <c r="BA55" s="123"/>
      <c r="BB55" s="120">
        <f>BB53</f>
        <v>0</v>
      </c>
      <c r="BC55" s="120"/>
      <c r="BD55" s="123"/>
      <c r="BE55" s="120">
        <f>BE53</f>
        <v>0</v>
      </c>
      <c r="BF55" s="120"/>
      <c r="BG55" s="120"/>
      <c r="BH55" s="120"/>
      <c r="BI55" s="120"/>
      <c r="BJ55" s="120"/>
      <c r="BK55" s="120"/>
      <c r="BL55" s="120"/>
      <c r="BM55" s="120"/>
      <c r="BN55" s="179"/>
    </row>
    <row r="56" spans="2:66" x14ac:dyDescent="0.25">
      <c r="B56" s="167" t="s">
        <v>113</v>
      </c>
      <c r="C56" s="185"/>
      <c r="D56" s="186">
        <f>$C$8*C18*D18</f>
        <v>0</v>
      </c>
      <c r="H56" s="98"/>
      <c r="I56" s="98"/>
      <c r="J56" s="98"/>
      <c r="N56" s="167" t="s">
        <v>113</v>
      </c>
      <c r="O56" s="185"/>
      <c r="P56" s="186">
        <f>$C$8*O18*P18</f>
        <v>0</v>
      </c>
      <c r="AF56" s="134" t="s">
        <v>113</v>
      </c>
      <c r="AG56" s="135"/>
      <c r="AH56" s="136">
        <f>$C$8*AG18*AH18</f>
        <v>0</v>
      </c>
      <c r="AX56" s="134" t="s">
        <v>113</v>
      </c>
      <c r="AY56" s="135"/>
      <c r="AZ56" s="136">
        <f>$C$8*AY18*AZ18</f>
        <v>0</v>
      </c>
    </row>
    <row r="57" spans="2:66" x14ac:dyDescent="0.25">
      <c r="B57" s="187" t="s">
        <v>114</v>
      </c>
      <c r="C57" s="188" t="s">
        <v>94</v>
      </c>
      <c r="D57" s="189">
        <f>$C$9*C19</f>
        <v>0</v>
      </c>
      <c r="H57" s="98"/>
      <c r="I57" s="98"/>
      <c r="J57" s="98"/>
      <c r="K57" s="98"/>
      <c r="N57" s="187" t="s">
        <v>114</v>
      </c>
      <c r="O57" s="188" t="s">
        <v>94</v>
      </c>
      <c r="P57" s="189">
        <f>$C$9*O19</f>
        <v>0</v>
      </c>
      <c r="AF57" s="137" t="s">
        <v>114</v>
      </c>
      <c r="AG57" s="138" t="s">
        <v>94</v>
      </c>
      <c r="AH57" s="139">
        <f>$C$9*AG19</f>
        <v>0</v>
      </c>
      <c r="AX57" s="137" t="s">
        <v>114</v>
      </c>
      <c r="AY57" s="138" t="s">
        <v>94</v>
      </c>
      <c r="AZ57" s="139">
        <f>$C$9*AY19</f>
        <v>0</v>
      </c>
    </row>
    <row r="58" spans="2:66" x14ac:dyDescent="0.25">
      <c r="B58" s="187" t="s">
        <v>114</v>
      </c>
      <c r="C58" s="190" t="s">
        <v>95</v>
      </c>
      <c r="D58" s="189">
        <f>$C$10*C20</f>
        <v>0</v>
      </c>
      <c r="H58" s="98"/>
      <c r="I58" s="98"/>
      <c r="J58" s="98"/>
      <c r="N58" s="187" t="s">
        <v>114</v>
      </c>
      <c r="O58" s="190" t="s">
        <v>95</v>
      </c>
      <c r="P58" s="189">
        <f>$C$10*O20</f>
        <v>0</v>
      </c>
      <c r="AF58" s="137" t="s">
        <v>114</v>
      </c>
      <c r="AG58" s="140" t="s">
        <v>95</v>
      </c>
      <c r="AH58" s="139">
        <f>$C$10*AG20</f>
        <v>0</v>
      </c>
      <c r="AX58" s="137" t="s">
        <v>114</v>
      </c>
      <c r="AY58" s="140" t="s">
        <v>95</v>
      </c>
      <c r="AZ58" s="139">
        <f>$C$10*AY20</f>
        <v>0</v>
      </c>
      <c r="BA58"/>
      <c r="BD58"/>
    </row>
    <row r="59" spans="2:66" x14ac:dyDescent="0.25">
      <c r="B59" s="177" t="s">
        <v>61</v>
      </c>
      <c r="C59" s="166"/>
      <c r="D59" s="158">
        <f>SUM(D55:D58)</f>
        <v>4237.5300000000025</v>
      </c>
      <c r="H59" s="98"/>
      <c r="I59" s="98"/>
      <c r="J59" s="98"/>
      <c r="N59" s="177" t="s">
        <v>61</v>
      </c>
      <c r="O59" s="166"/>
      <c r="P59" s="158">
        <f>SUM(P55:P58)</f>
        <v>1540.9200000000008</v>
      </c>
      <c r="AF59" s="125" t="s">
        <v>61</v>
      </c>
      <c r="AG59" s="118"/>
      <c r="AH59" s="158">
        <f>SUM(AH55:AH58)</f>
        <v>7329.7899999999991</v>
      </c>
      <c r="AX59" s="125" t="s">
        <v>61</v>
      </c>
      <c r="AY59" s="118"/>
      <c r="AZ59" s="158">
        <f>SUM(AZ55:AZ58)</f>
        <v>0</v>
      </c>
    </row>
    <row r="60" spans="2:66" x14ac:dyDescent="0.25">
      <c r="H60" s="98"/>
      <c r="I60" s="98"/>
      <c r="J60" s="98"/>
      <c r="AF60" s="98"/>
      <c r="AG60" s="98"/>
      <c r="AH60" s="98"/>
    </row>
    <row r="61" spans="2:66" x14ac:dyDescent="0.25">
      <c r="E61" s="18"/>
      <c r="F61" s="98"/>
      <c r="G61" s="98"/>
      <c r="H61" s="98"/>
      <c r="I61" s="98"/>
      <c r="J61" s="98"/>
      <c r="K61" s="98"/>
      <c r="L61" s="98"/>
      <c r="P61" s="105"/>
    </row>
    <row r="62" spans="2:66" x14ac:dyDescent="0.25">
      <c r="E62" s="18"/>
      <c r="F62" s="98"/>
      <c r="G62" s="98"/>
      <c r="H62" s="98"/>
      <c r="I62" s="98"/>
      <c r="J62" s="98"/>
      <c r="K62" s="98"/>
      <c r="L62" s="98"/>
    </row>
    <row r="63" spans="2:66" x14ac:dyDescent="0.25">
      <c r="E63" s="18"/>
      <c r="L63" s="98"/>
      <c r="AX63"/>
      <c r="AY63"/>
      <c r="AZ63"/>
    </row>
    <row r="64" spans="2:66" ht="26.25" x14ac:dyDescent="0.25">
      <c r="B64" s="101" t="s">
        <v>8</v>
      </c>
      <c r="C64" s="45" t="s">
        <v>9</v>
      </c>
      <c r="D64" s="45" t="s">
        <v>10</v>
      </c>
      <c r="L64" s="98"/>
      <c r="N64" s="102" t="s">
        <v>16</v>
      </c>
      <c r="O64" s="45" t="s">
        <v>9</v>
      </c>
      <c r="P64" s="45" t="s">
        <v>10</v>
      </c>
      <c r="AE64" s="98"/>
      <c r="AF64" s="103" t="s">
        <v>19</v>
      </c>
      <c r="AG64" s="5" t="s">
        <v>9</v>
      </c>
      <c r="AH64" s="5" t="s">
        <v>10</v>
      </c>
      <c r="AX64" s="199" t="s">
        <v>9</v>
      </c>
      <c r="AY64" s="107" t="s">
        <v>108</v>
      </c>
      <c r="AZ64" s="107" t="s">
        <v>109</v>
      </c>
    </row>
    <row r="65" spans="2:52" x14ac:dyDescent="0.25">
      <c r="B65" s="58" t="s">
        <v>11</v>
      </c>
      <c r="C65" s="110">
        <v>0</v>
      </c>
      <c r="D65" s="110">
        <f>C3</f>
        <v>385.23</v>
      </c>
      <c r="L65" s="98"/>
      <c r="N65" s="58">
        <v>1</v>
      </c>
      <c r="O65" s="110">
        <v>0</v>
      </c>
      <c r="P65" s="110">
        <f>C5</f>
        <v>2043.65</v>
      </c>
      <c r="AD65" s="98"/>
      <c r="AE65" s="98"/>
      <c r="AF65" s="58" t="s">
        <v>20</v>
      </c>
      <c r="AG65" s="110">
        <v>0</v>
      </c>
      <c r="AH65" s="110">
        <f>C6</f>
        <v>621.14</v>
      </c>
      <c r="AX65" s="109">
        <v>11465.63</v>
      </c>
      <c r="AY65" s="110">
        <v>385.23</v>
      </c>
      <c r="AZ65" s="111">
        <v>2043.65</v>
      </c>
    </row>
    <row r="66" spans="2:52" x14ac:dyDescent="0.25">
      <c r="B66" s="58">
        <v>16</v>
      </c>
      <c r="C66" s="110">
        <f>C4</f>
        <v>7492.52</v>
      </c>
      <c r="D66" s="110">
        <v>0</v>
      </c>
      <c r="L66" s="98"/>
      <c r="N66" s="58">
        <v>2</v>
      </c>
      <c r="O66" s="110">
        <f>C4</f>
        <v>7492.52</v>
      </c>
      <c r="P66" s="110">
        <v>0</v>
      </c>
      <c r="AD66" s="98"/>
      <c r="AE66" s="98"/>
      <c r="AF66" s="58">
        <v>10</v>
      </c>
      <c r="AG66" s="110">
        <f>O67</f>
        <v>7492.52</v>
      </c>
      <c r="AH66" s="110">
        <v>0</v>
      </c>
    </row>
    <row r="67" spans="2:52" x14ac:dyDescent="0.25">
      <c r="B67" s="58" t="s">
        <v>14</v>
      </c>
      <c r="C67" s="110">
        <f>C66</f>
        <v>7492.52</v>
      </c>
      <c r="D67" s="110">
        <f>D65</f>
        <v>385.23</v>
      </c>
      <c r="L67" s="98"/>
      <c r="N67" s="58" t="s">
        <v>17</v>
      </c>
      <c r="O67" s="110">
        <f>O66</f>
        <v>7492.52</v>
      </c>
      <c r="P67" s="110">
        <f>P65</f>
        <v>2043.65</v>
      </c>
      <c r="T67" s="106"/>
      <c r="AD67" s="98"/>
      <c r="AE67" s="98"/>
      <c r="AF67" s="58" t="s">
        <v>21</v>
      </c>
      <c r="AG67" s="110">
        <f>O67</f>
        <v>7492.52</v>
      </c>
      <c r="AH67" s="110">
        <f>AH65</f>
        <v>621.14</v>
      </c>
    </row>
    <row r="68" spans="2:52" x14ac:dyDescent="0.25">
      <c r="L68" s="98"/>
      <c r="AD68" s="98"/>
      <c r="AF68" s="98"/>
    </row>
    <row r="69" spans="2:52" x14ac:dyDescent="0.25">
      <c r="L69" s="98"/>
    </row>
    <row r="70" spans="2:52" x14ac:dyDescent="0.25">
      <c r="L70" s="98"/>
    </row>
    <row r="71" spans="2:52" x14ac:dyDescent="0.25">
      <c r="L71" s="98"/>
    </row>
    <row r="72" spans="2:52" x14ac:dyDescent="0.25">
      <c r="L72" s="98"/>
    </row>
    <row r="73" spans="2:52" x14ac:dyDescent="0.25">
      <c r="L73" s="98"/>
    </row>
    <row r="74" spans="2:52" x14ac:dyDescent="0.25">
      <c r="B74" s="98"/>
      <c r="C74" s="98"/>
      <c r="D74" s="98"/>
      <c r="L74" s="98"/>
    </row>
    <row r="75" spans="2:52" x14ac:dyDescent="0.25">
      <c r="B75" s="98"/>
      <c r="L75" s="98"/>
    </row>
    <row r="76" spans="2:52" x14ac:dyDescent="0.25">
      <c r="B76" s="98"/>
      <c r="L76" s="98"/>
    </row>
    <row r="77" spans="2:52" x14ac:dyDescent="0.25">
      <c r="B77" s="98"/>
      <c r="E77" s="98"/>
      <c r="F77" s="98"/>
      <c r="G77" s="98"/>
      <c r="H77" s="98"/>
      <c r="I77" s="98"/>
      <c r="J77" s="98"/>
      <c r="K77" s="98"/>
      <c r="L77" s="98"/>
    </row>
    <row r="78" spans="2:52" x14ac:dyDescent="0.25">
      <c r="B78" s="98"/>
      <c r="E78" s="98"/>
      <c r="F78" s="98"/>
      <c r="G78" s="98"/>
      <c r="H78" s="98"/>
      <c r="I78" s="98"/>
      <c r="J78" s="98"/>
      <c r="K78" s="98"/>
      <c r="L78" s="98"/>
    </row>
    <row r="79" spans="2:52" x14ac:dyDescent="0.25">
      <c r="B79" s="98"/>
      <c r="E79" s="98"/>
      <c r="F79" s="98"/>
      <c r="G79" s="98"/>
      <c r="H79" s="98"/>
      <c r="I79" s="98"/>
      <c r="J79" s="98"/>
      <c r="K79" s="98"/>
      <c r="L79" s="98"/>
    </row>
    <row r="80" spans="2:52" x14ac:dyDescent="0.25">
      <c r="B80" s="98"/>
      <c r="E80" s="98"/>
      <c r="F80" s="98"/>
      <c r="G80" s="98"/>
      <c r="H80" s="98"/>
      <c r="I80" s="98"/>
      <c r="J80" s="98"/>
      <c r="K80" s="98"/>
      <c r="L80" s="98"/>
    </row>
    <row r="81" spans="2:12" x14ac:dyDescent="0.25">
      <c r="B81" s="98"/>
      <c r="E81" s="98"/>
      <c r="F81" s="98"/>
      <c r="G81" s="98"/>
      <c r="H81" s="98"/>
      <c r="I81" s="98"/>
      <c r="J81" s="98"/>
      <c r="K81" s="98"/>
      <c r="L81" s="98"/>
    </row>
    <row r="82" spans="2:12" x14ac:dyDescent="0.25">
      <c r="B82" s="98"/>
      <c r="E82" s="98"/>
      <c r="F82" s="98"/>
      <c r="G82" s="98"/>
      <c r="H82" s="98"/>
      <c r="I82" s="98"/>
      <c r="J82" s="98"/>
      <c r="K82" s="98"/>
      <c r="L82" s="98"/>
    </row>
    <row r="83" spans="2:12" x14ac:dyDescent="0.25">
      <c r="B83" s="98"/>
      <c r="E83" s="98"/>
      <c r="F83" s="98"/>
      <c r="G83" s="98"/>
      <c r="H83" s="98"/>
      <c r="I83" s="98"/>
      <c r="J83" s="98"/>
      <c r="K83" s="98"/>
      <c r="L83" s="98"/>
    </row>
    <row r="84" spans="2:12" x14ac:dyDescent="0.25">
      <c r="B84" s="98"/>
      <c r="E84" s="98"/>
      <c r="F84" s="98"/>
      <c r="G84" s="98"/>
      <c r="H84" s="98"/>
      <c r="I84" s="98"/>
      <c r="J84" s="98"/>
      <c r="K84" s="98"/>
      <c r="L84" s="98"/>
    </row>
    <row r="85" spans="2:12" x14ac:dyDescent="0.25"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</row>
    <row r="86" spans="2:12" x14ac:dyDescent="0.25"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</row>
    <row r="87" spans="2:12" x14ac:dyDescent="0.25"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</row>
    <row r="88" spans="2:12" x14ac:dyDescent="0.25"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</row>
    <row r="89" spans="2:12" x14ac:dyDescent="0.25"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</row>
    <row r="90" spans="2:12" x14ac:dyDescent="0.25"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</row>
    <row r="91" spans="2:12" x14ac:dyDescent="0.25"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</row>
    <row r="92" spans="2:12" x14ac:dyDescent="0.25"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</row>
    <row r="93" spans="2:12" x14ac:dyDescent="0.25"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</row>
    <row r="94" spans="2:12" x14ac:dyDescent="0.25"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</row>
    <row r="95" spans="2:12" x14ac:dyDescent="0.25"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</row>
    <row r="96" spans="2:12" x14ac:dyDescent="0.25"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</row>
    <row r="97" spans="2:12" x14ac:dyDescent="0.25"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</row>
    <row r="98" spans="2:12" x14ac:dyDescent="0.25">
      <c r="E98" s="105"/>
    </row>
    <row r="122" spans="30:34" x14ac:dyDescent="0.25">
      <c r="AE122" s="98"/>
      <c r="AF122" s="98"/>
      <c r="AG122" s="98"/>
      <c r="AH122" s="3"/>
    </row>
    <row r="123" spans="30:34" x14ac:dyDescent="0.25">
      <c r="AD123" s="98"/>
      <c r="AE123" s="98"/>
      <c r="AF123" s="98"/>
      <c r="AG123" s="98"/>
    </row>
    <row r="124" spans="30:34" x14ac:dyDescent="0.25">
      <c r="AD124" s="98"/>
      <c r="AE124" s="98"/>
      <c r="AF124" s="98"/>
      <c r="AG124" s="98"/>
    </row>
    <row r="125" spans="30:34" x14ac:dyDescent="0.25">
      <c r="AD125" s="98"/>
      <c r="AE125" s="98"/>
      <c r="AF125" s="98"/>
      <c r="AG125" s="98"/>
    </row>
    <row r="126" spans="30:34" x14ac:dyDescent="0.25">
      <c r="AD126" s="98"/>
      <c r="AE126" s="98"/>
      <c r="AF126" s="98"/>
      <c r="AG126" s="98"/>
    </row>
    <row r="127" spans="30:34" x14ac:dyDescent="0.25">
      <c r="AD127" s="98"/>
      <c r="AE127" s="98"/>
      <c r="AF127" s="98"/>
      <c r="AG127" s="98"/>
    </row>
    <row r="128" spans="30:34" x14ac:dyDescent="0.25">
      <c r="AD128" s="98"/>
      <c r="AE128" s="98"/>
      <c r="AF128" s="98"/>
      <c r="AG128" s="98"/>
    </row>
    <row r="129" spans="2:33" x14ac:dyDescent="0.25">
      <c r="AD129" s="98"/>
      <c r="AE129" s="98"/>
      <c r="AF129" s="98"/>
      <c r="AG129" s="98"/>
    </row>
    <row r="130" spans="2:33" x14ac:dyDescent="0.25">
      <c r="AD130" s="98"/>
      <c r="AE130" s="98"/>
      <c r="AF130" s="98"/>
      <c r="AG130" s="98"/>
    </row>
    <row r="131" spans="2:33" x14ac:dyDescent="0.25">
      <c r="AD131" s="98"/>
      <c r="AE131" s="98"/>
      <c r="AF131" s="98"/>
      <c r="AG131" s="98"/>
    </row>
    <row r="132" spans="2:33" x14ac:dyDescent="0.25">
      <c r="AD132" s="98"/>
      <c r="AE132" s="98"/>
      <c r="AF132" s="98"/>
      <c r="AG132" s="98"/>
    </row>
    <row r="133" spans="2:33" x14ac:dyDescent="0.25">
      <c r="AD133" s="98"/>
      <c r="AE133" s="98"/>
      <c r="AF133" s="98"/>
      <c r="AG133" s="98"/>
    </row>
    <row r="134" spans="2:33" x14ac:dyDescent="0.25">
      <c r="AD134" s="98"/>
      <c r="AE134" s="98"/>
      <c r="AF134" s="98"/>
      <c r="AG134" s="98"/>
    </row>
    <row r="135" spans="2:33" x14ac:dyDescent="0.25"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AD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AE140" s="98"/>
      <c r="AF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AD141" s="98"/>
      <c r="AE141" s="98"/>
      <c r="AF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AD142" s="98"/>
      <c r="AE142" s="98"/>
      <c r="AF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AD143" s="98"/>
      <c r="AE143" s="98"/>
      <c r="AF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</row>
    <row r="145" spans="2:16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</row>
    <row r="146" spans="2:16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</row>
    <row r="147" spans="2:16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</row>
    <row r="148" spans="2:16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</row>
    <row r="149" spans="2:16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</row>
    <row r="150" spans="2:16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</row>
    <row r="151" spans="2:16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</row>
    <row r="152" spans="2:16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</row>
    <row r="153" spans="2:16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</row>
    <row r="154" spans="2:16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</row>
    <row r="155" spans="2:16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</row>
    <row r="156" spans="2:16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</row>
    <row r="157" spans="2:16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</row>
    <row r="158" spans="2:16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</row>
    <row r="159" spans="2:16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</row>
    <row r="160" spans="2:16" x14ac:dyDescent="0.25"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</row>
    <row r="161" spans="2:16" x14ac:dyDescent="0.25"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</row>
    <row r="162" spans="2:16" x14ac:dyDescent="0.25"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</row>
    <row r="163" spans="2:16" x14ac:dyDescent="0.25"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</row>
    <row r="164" spans="2:16" x14ac:dyDescent="0.25"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</row>
    <row r="165" spans="2:16" x14ac:dyDescent="0.25"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</row>
    <row r="166" spans="2:16" x14ac:dyDescent="0.25"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</row>
    <row r="167" spans="2:16" x14ac:dyDescent="0.25"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</row>
    <row r="168" spans="2:16" x14ac:dyDescent="0.25"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</row>
    <row r="169" spans="2:16" x14ac:dyDescent="0.25"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</row>
    <row r="170" spans="2:16" x14ac:dyDescent="0.25"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</row>
    <row r="173" spans="2:16" x14ac:dyDescent="0.25"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</row>
  </sheetData>
  <mergeCells count="27">
    <mergeCell ref="BN21:BN23"/>
    <mergeCell ref="AF16:AV16"/>
    <mergeCell ref="AX16:BN16"/>
    <mergeCell ref="B16:L16"/>
    <mergeCell ref="N16:AD16"/>
    <mergeCell ref="Q21:S21"/>
    <mergeCell ref="W22:Y22"/>
    <mergeCell ref="Z22:AB22"/>
    <mergeCell ref="T21:V21"/>
    <mergeCell ref="AD21:AD23"/>
    <mergeCell ref="BG21:BL21"/>
    <mergeCell ref="E21:G21"/>
    <mergeCell ref="H21:J21"/>
    <mergeCell ref="H22:J22"/>
    <mergeCell ref="L22:L23"/>
    <mergeCell ref="BM21:BM22"/>
    <mergeCell ref="BD21:BF21"/>
    <mergeCell ref="BA21:BC21"/>
    <mergeCell ref="AO22:AQ22"/>
    <mergeCell ref="AR22:AT22"/>
    <mergeCell ref="BG22:BI22"/>
    <mergeCell ref="BJ22:BL22"/>
    <mergeCell ref="AV21:AV23"/>
    <mergeCell ref="AI21:AK21"/>
    <mergeCell ref="AL21:AN21"/>
    <mergeCell ref="AO21:AT21"/>
    <mergeCell ref="W21:AB2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505B-C6AF-4156-8A99-56C8B5CF9938}">
  <dimension ref="A1:IC7"/>
  <sheetViews>
    <sheetView workbookViewId="0">
      <selection activeCell="L21" sqref="L21"/>
    </sheetView>
  </sheetViews>
  <sheetFormatPr defaultRowHeight="12.75" x14ac:dyDescent="0.2"/>
  <sheetData>
    <row r="1" spans="1:237" s="367" customFormat="1" ht="78.75" customHeight="1" x14ac:dyDescent="0.2">
      <c r="A1" s="339" t="s">
        <v>134</v>
      </c>
      <c r="B1" s="339" t="s">
        <v>135</v>
      </c>
      <c r="C1" s="339" t="s">
        <v>136</v>
      </c>
      <c r="D1" s="339" t="s">
        <v>137</v>
      </c>
      <c r="E1" s="339" t="s">
        <v>138</v>
      </c>
      <c r="F1" s="339" t="s">
        <v>139</v>
      </c>
      <c r="G1" s="339"/>
      <c r="H1" s="340" t="s">
        <v>140</v>
      </c>
      <c r="I1" s="341" t="s">
        <v>141</v>
      </c>
      <c r="J1" s="342" t="s">
        <v>142</v>
      </c>
      <c r="K1" s="343" t="s">
        <v>143</v>
      </c>
      <c r="L1" s="343" t="s">
        <v>144</v>
      </c>
      <c r="M1" s="343" t="s">
        <v>145</v>
      </c>
      <c r="N1" s="344" t="s">
        <v>1</v>
      </c>
      <c r="O1" s="345" t="s">
        <v>146</v>
      </c>
      <c r="P1" s="345" t="s">
        <v>147</v>
      </c>
      <c r="Q1" s="346" t="s">
        <v>124</v>
      </c>
      <c r="R1" s="347"/>
      <c r="S1" s="347"/>
      <c r="T1" s="348"/>
      <c r="U1" s="349">
        <v>46114</v>
      </c>
      <c r="V1" s="349"/>
      <c r="W1" s="349"/>
      <c r="X1" s="349"/>
      <c r="Y1" s="349">
        <v>46115</v>
      </c>
      <c r="Z1" s="349"/>
      <c r="AA1" s="349"/>
      <c r="AB1" s="349"/>
      <c r="AC1" s="349">
        <v>46116</v>
      </c>
      <c r="AD1" s="349"/>
      <c r="AE1" s="349"/>
      <c r="AF1" s="349"/>
      <c r="AG1" s="349">
        <v>46117</v>
      </c>
      <c r="AH1" s="349"/>
      <c r="AI1" s="349"/>
      <c r="AJ1" s="349"/>
      <c r="AK1" s="349">
        <v>46118</v>
      </c>
      <c r="AL1" s="349"/>
      <c r="AM1" s="349"/>
      <c r="AN1" s="349"/>
      <c r="AO1" s="349">
        <v>46119</v>
      </c>
      <c r="AP1" s="349"/>
      <c r="AQ1" s="349"/>
      <c r="AR1" s="349"/>
      <c r="AS1" s="349">
        <v>46120</v>
      </c>
      <c r="AT1" s="349"/>
      <c r="AU1" s="349"/>
      <c r="AV1" s="349"/>
      <c r="AW1" s="349">
        <v>46121</v>
      </c>
      <c r="AX1" s="349"/>
      <c r="AY1" s="349"/>
      <c r="AZ1" s="349"/>
      <c r="BA1" s="349">
        <v>46122</v>
      </c>
      <c r="BB1" s="349"/>
      <c r="BC1" s="349"/>
      <c r="BD1" s="349"/>
      <c r="BE1" s="349">
        <v>46123</v>
      </c>
      <c r="BF1" s="349"/>
      <c r="BG1" s="349"/>
      <c r="BH1" s="349"/>
      <c r="BI1" s="349">
        <v>46124</v>
      </c>
      <c r="BJ1" s="349"/>
      <c r="BK1" s="349"/>
      <c r="BL1" s="349"/>
      <c r="BM1" s="349">
        <v>46125</v>
      </c>
      <c r="BN1" s="349"/>
      <c r="BO1" s="349"/>
      <c r="BP1" s="349"/>
      <c r="BQ1" s="349">
        <v>46126</v>
      </c>
      <c r="BR1" s="349"/>
      <c r="BS1" s="349"/>
      <c r="BT1" s="349"/>
      <c r="BU1" s="349">
        <v>46127</v>
      </c>
      <c r="BV1" s="349"/>
      <c r="BW1" s="349"/>
      <c r="BX1" s="349"/>
      <c r="BY1" s="349">
        <v>46128</v>
      </c>
      <c r="BZ1" s="349"/>
      <c r="CA1" s="349"/>
      <c r="CB1" s="349"/>
      <c r="CC1" s="349">
        <v>46129</v>
      </c>
      <c r="CD1" s="349"/>
      <c r="CE1" s="349"/>
      <c r="CF1" s="349"/>
      <c r="CG1" s="349">
        <v>46130</v>
      </c>
      <c r="CH1" s="349"/>
      <c r="CI1" s="349"/>
      <c r="CJ1" s="349"/>
      <c r="CK1" s="349">
        <v>46131</v>
      </c>
      <c r="CL1" s="349"/>
      <c r="CM1" s="349"/>
      <c r="CN1" s="349"/>
      <c r="CO1" s="349">
        <v>46132</v>
      </c>
      <c r="CP1" s="349"/>
      <c r="CQ1" s="349"/>
      <c r="CR1" s="349"/>
      <c r="CS1" s="349">
        <v>46133</v>
      </c>
      <c r="CT1" s="349"/>
      <c r="CU1" s="349"/>
      <c r="CV1" s="349"/>
      <c r="CW1" s="349">
        <v>46134</v>
      </c>
      <c r="CX1" s="349"/>
      <c r="CY1" s="349"/>
      <c r="CZ1" s="349"/>
      <c r="DA1" s="349">
        <v>46135</v>
      </c>
      <c r="DB1" s="349"/>
      <c r="DC1" s="349"/>
      <c r="DD1" s="349"/>
      <c r="DE1" s="349">
        <v>46136</v>
      </c>
      <c r="DF1" s="349"/>
      <c r="DG1" s="349"/>
      <c r="DH1" s="349"/>
      <c r="DI1" s="349">
        <v>46137</v>
      </c>
      <c r="DJ1" s="349"/>
      <c r="DK1" s="349"/>
      <c r="DL1" s="349"/>
      <c r="DM1" s="349">
        <v>46138</v>
      </c>
      <c r="DN1" s="349"/>
      <c r="DO1" s="349"/>
      <c r="DP1" s="349"/>
      <c r="DQ1" s="349">
        <v>46139</v>
      </c>
      <c r="DR1" s="349"/>
      <c r="DS1" s="349"/>
      <c r="DT1" s="349"/>
      <c r="DU1" s="349">
        <v>46140</v>
      </c>
      <c r="DV1" s="349"/>
      <c r="DW1" s="349"/>
      <c r="DX1" s="349"/>
      <c r="DY1" s="349">
        <v>46141</v>
      </c>
      <c r="DZ1" s="349"/>
      <c r="EA1" s="349"/>
      <c r="EB1" s="349"/>
      <c r="EC1" s="349">
        <v>46142</v>
      </c>
      <c r="ED1" s="349"/>
      <c r="EE1" s="349"/>
      <c r="EF1" s="349"/>
      <c r="EG1" s="349"/>
      <c r="EH1" s="349"/>
      <c r="EI1" s="349"/>
      <c r="EJ1" s="349"/>
      <c r="EK1" s="350" t="s">
        <v>148</v>
      </c>
      <c r="EL1" s="351" t="s">
        <v>149</v>
      </c>
      <c r="EM1" s="352" t="s">
        <v>150</v>
      </c>
      <c r="EN1" s="352" t="s">
        <v>151</v>
      </c>
      <c r="EO1" s="353" t="s">
        <v>152</v>
      </c>
      <c r="EP1" s="354" t="s">
        <v>153</v>
      </c>
      <c r="EQ1" s="354" t="s">
        <v>154</v>
      </c>
      <c r="ER1" s="354" t="s">
        <v>155</v>
      </c>
      <c r="ES1" s="355" t="s">
        <v>156</v>
      </c>
      <c r="ET1" s="355" t="s">
        <v>157</v>
      </c>
      <c r="EU1" s="355" t="s">
        <v>158</v>
      </c>
      <c r="EV1" s="356" t="s">
        <v>159</v>
      </c>
      <c r="EW1" s="357" t="s">
        <v>160</v>
      </c>
      <c r="EX1" s="358" t="s">
        <v>161</v>
      </c>
      <c r="EY1" s="358" t="s">
        <v>162</v>
      </c>
      <c r="EZ1" s="358" t="s">
        <v>163</v>
      </c>
      <c r="FA1" s="358" t="s">
        <v>164</v>
      </c>
      <c r="FB1" s="358" t="s">
        <v>133</v>
      </c>
      <c r="FC1" s="359" t="s">
        <v>165</v>
      </c>
      <c r="FD1" s="353" t="s">
        <v>166</v>
      </c>
      <c r="FE1" s="360" t="s">
        <v>167</v>
      </c>
      <c r="FF1" s="361">
        <v>30</v>
      </c>
      <c r="FG1" s="362">
        <v>29</v>
      </c>
      <c r="FH1" s="362">
        <v>28</v>
      </c>
      <c r="FI1" s="362">
        <v>27</v>
      </c>
      <c r="FJ1" s="362">
        <v>26</v>
      </c>
      <c r="FK1" s="362">
        <v>25</v>
      </c>
      <c r="FL1" s="362">
        <v>24</v>
      </c>
      <c r="FM1" s="362">
        <v>23</v>
      </c>
      <c r="FN1" s="362">
        <v>22</v>
      </c>
      <c r="FO1" s="362">
        <v>21</v>
      </c>
      <c r="FP1" s="362">
        <v>20</v>
      </c>
      <c r="FQ1" s="362">
        <v>19</v>
      </c>
      <c r="FR1" s="362">
        <v>18</v>
      </c>
      <c r="FS1" s="362">
        <v>17</v>
      </c>
      <c r="FT1" s="362">
        <v>16</v>
      </c>
      <c r="FU1" s="362">
        <v>15</v>
      </c>
      <c r="FV1" s="362">
        <v>14</v>
      </c>
      <c r="FW1" s="362">
        <v>13</v>
      </c>
      <c r="FX1" s="362">
        <v>12</v>
      </c>
      <c r="FY1" s="362">
        <v>11</v>
      </c>
      <c r="FZ1" s="362">
        <v>10</v>
      </c>
      <c r="GA1" s="362">
        <v>9</v>
      </c>
      <c r="GB1" s="362">
        <v>8</v>
      </c>
      <c r="GC1" s="362">
        <v>7</v>
      </c>
      <c r="GD1" s="362">
        <v>6</v>
      </c>
      <c r="GE1" s="362">
        <v>5</v>
      </c>
      <c r="GF1" s="362">
        <v>4</v>
      </c>
      <c r="GG1" s="362">
        <v>3</v>
      </c>
      <c r="GH1" s="362">
        <v>2</v>
      </c>
      <c r="GI1" s="362">
        <v>1</v>
      </c>
      <c r="GJ1" s="363">
        <v>1</v>
      </c>
      <c r="GK1" s="364" t="s">
        <v>168</v>
      </c>
      <c r="GL1" s="365" t="s">
        <v>169</v>
      </c>
      <c r="GM1" s="365" t="s">
        <v>22</v>
      </c>
      <c r="GN1" s="366">
        <v>29</v>
      </c>
      <c r="GO1" s="366">
        <v>28</v>
      </c>
      <c r="GP1" s="366">
        <v>27</v>
      </c>
      <c r="GQ1" s="366">
        <v>26</v>
      </c>
      <c r="GR1" s="366">
        <v>25</v>
      </c>
      <c r="GS1" s="366">
        <v>24</v>
      </c>
      <c r="GT1" s="366">
        <v>23</v>
      </c>
      <c r="GU1" s="366">
        <v>22</v>
      </c>
      <c r="GV1" s="366">
        <v>21</v>
      </c>
      <c r="GW1" s="366">
        <v>20</v>
      </c>
      <c r="GX1" s="366">
        <v>19</v>
      </c>
      <c r="GY1" s="366">
        <v>18</v>
      </c>
      <c r="GZ1" s="366">
        <v>17</v>
      </c>
      <c r="HA1" s="366">
        <v>16</v>
      </c>
      <c r="HB1" s="366">
        <v>15</v>
      </c>
      <c r="HC1" s="366">
        <v>14</v>
      </c>
      <c r="HD1" s="366">
        <v>13</v>
      </c>
      <c r="HE1" s="366">
        <v>12</v>
      </c>
      <c r="HF1" s="366">
        <v>11</v>
      </c>
      <c r="HG1" s="366">
        <v>10</v>
      </c>
      <c r="HH1" s="366">
        <v>9</v>
      </c>
      <c r="HI1" s="366">
        <v>8</v>
      </c>
      <c r="HJ1" s="366">
        <v>7</v>
      </c>
      <c r="HK1" s="366">
        <v>6</v>
      </c>
      <c r="HL1" s="366">
        <v>5</v>
      </c>
      <c r="HM1" s="366">
        <v>4</v>
      </c>
      <c r="HN1" s="366">
        <v>3</v>
      </c>
      <c r="HO1" s="366">
        <v>2</v>
      </c>
      <c r="HP1" s="366">
        <v>1</v>
      </c>
      <c r="HW1" s="360" t="s">
        <v>167</v>
      </c>
      <c r="HY1" s="368" t="s">
        <v>150</v>
      </c>
      <c r="HZ1" s="368" t="s">
        <v>151</v>
      </c>
      <c r="IA1" s="369" t="s">
        <v>152</v>
      </c>
    </row>
    <row r="2" spans="1:237" s="392" customFormat="1" ht="19.5" customHeight="1" x14ac:dyDescent="0.2">
      <c r="A2" s="353"/>
      <c r="B2" s="370"/>
      <c r="C2" s="370"/>
      <c r="D2" s="370"/>
      <c r="E2" s="370"/>
      <c r="F2" s="371" t="s">
        <v>124</v>
      </c>
      <c r="G2" s="372" t="s">
        <v>125</v>
      </c>
      <c r="H2" s="373"/>
      <c r="I2" s="374"/>
      <c r="J2" s="375"/>
      <c r="K2" s="375"/>
      <c r="L2" s="375"/>
      <c r="M2" s="375"/>
      <c r="N2" s="376"/>
      <c r="O2" s="377"/>
      <c r="P2" s="377"/>
      <c r="Q2" s="378" t="s">
        <v>170</v>
      </c>
      <c r="R2" s="379" t="s">
        <v>171</v>
      </c>
      <c r="S2" s="378" t="s">
        <v>172</v>
      </c>
      <c r="T2" s="379" t="s">
        <v>173</v>
      </c>
      <c r="U2" s="378" t="s">
        <v>170</v>
      </c>
      <c r="V2" s="379" t="s">
        <v>171</v>
      </c>
      <c r="W2" s="378" t="s">
        <v>172</v>
      </c>
      <c r="X2" s="379" t="s">
        <v>173</v>
      </c>
      <c r="Y2" s="378" t="s">
        <v>170</v>
      </c>
      <c r="Z2" s="379" t="s">
        <v>171</v>
      </c>
      <c r="AA2" s="378" t="s">
        <v>172</v>
      </c>
      <c r="AB2" s="379" t="s">
        <v>173</v>
      </c>
      <c r="AC2" s="378" t="s">
        <v>170</v>
      </c>
      <c r="AD2" s="379" t="s">
        <v>171</v>
      </c>
      <c r="AE2" s="378" t="s">
        <v>172</v>
      </c>
      <c r="AF2" s="379" t="s">
        <v>173</v>
      </c>
      <c r="AG2" s="378" t="s">
        <v>170</v>
      </c>
      <c r="AH2" s="379" t="s">
        <v>171</v>
      </c>
      <c r="AI2" s="378" t="s">
        <v>172</v>
      </c>
      <c r="AJ2" s="379" t="s">
        <v>173</v>
      </c>
      <c r="AK2" s="378" t="s">
        <v>170</v>
      </c>
      <c r="AL2" s="379" t="s">
        <v>171</v>
      </c>
      <c r="AM2" s="378" t="s">
        <v>172</v>
      </c>
      <c r="AN2" s="379" t="s">
        <v>173</v>
      </c>
      <c r="AO2" s="378" t="s">
        <v>170</v>
      </c>
      <c r="AP2" s="379" t="s">
        <v>171</v>
      </c>
      <c r="AQ2" s="378" t="s">
        <v>172</v>
      </c>
      <c r="AR2" s="379" t="s">
        <v>173</v>
      </c>
      <c r="AS2" s="378" t="s">
        <v>170</v>
      </c>
      <c r="AT2" s="379" t="s">
        <v>171</v>
      </c>
      <c r="AU2" s="378" t="s">
        <v>172</v>
      </c>
      <c r="AV2" s="379" t="s">
        <v>173</v>
      </c>
      <c r="AW2" s="378" t="s">
        <v>170</v>
      </c>
      <c r="AX2" s="379" t="s">
        <v>171</v>
      </c>
      <c r="AY2" s="378" t="s">
        <v>172</v>
      </c>
      <c r="AZ2" s="379" t="s">
        <v>173</v>
      </c>
      <c r="BA2" s="378" t="s">
        <v>170</v>
      </c>
      <c r="BB2" s="379" t="s">
        <v>171</v>
      </c>
      <c r="BC2" s="378" t="s">
        <v>172</v>
      </c>
      <c r="BD2" s="379" t="s">
        <v>173</v>
      </c>
      <c r="BE2" s="378" t="s">
        <v>170</v>
      </c>
      <c r="BF2" s="379" t="s">
        <v>171</v>
      </c>
      <c r="BG2" s="378" t="s">
        <v>172</v>
      </c>
      <c r="BH2" s="379" t="s">
        <v>173</v>
      </c>
      <c r="BI2" s="378" t="s">
        <v>170</v>
      </c>
      <c r="BJ2" s="379" t="s">
        <v>171</v>
      </c>
      <c r="BK2" s="378" t="s">
        <v>172</v>
      </c>
      <c r="BL2" s="379" t="s">
        <v>173</v>
      </c>
      <c r="BM2" s="378" t="s">
        <v>170</v>
      </c>
      <c r="BN2" s="379" t="s">
        <v>171</v>
      </c>
      <c r="BO2" s="378" t="s">
        <v>172</v>
      </c>
      <c r="BP2" s="379" t="s">
        <v>173</v>
      </c>
      <c r="BQ2" s="378" t="s">
        <v>170</v>
      </c>
      <c r="BR2" s="379" t="s">
        <v>171</v>
      </c>
      <c r="BS2" s="378" t="s">
        <v>172</v>
      </c>
      <c r="BT2" s="379" t="s">
        <v>173</v>
      </c>
      <c r="BU2" s="378" t="s">
        <v>170</v>
      </c>
      <c r="BV2" s="379" t="s">
        <v>171</v>
      </c>
      <c r="BW2" s="378" t="s">
        <v>172</v>
      </c>
      <c r="BX2" s="379" t="s">
        <v>173</v>
      </c>
      <c r="BY2" s="378" t="s">
        <v>170</v>
      </c>
      <c r="BZ2" s="379" t="s">
        <v>171</v>
      </c>
      <c r="CA2" s="378" t="s">
        <v>172</v>
      </c>
      <c r="CB2" s="379" t="s">
        <v>173</v>
      </c>
      <c r="CC2" s="378" t="s">
        <v>170</v>
      </c>
      <c r="CD2" s="379" t="s">
        <v>171</v>
      </c>
      <c r="CE2" s="378" t="s">
        <v>172</v>
      </c>
      <c r="CF2" s="379" t="s">
        <v>173</v>
      </c>
      <c r="CG2" s="378" t="s">
        <v>170</v>
      </c>
      <c r="CH2" s="379" t="s">
        <v>171</v>
      </c>
      <c r="CI2" s="378" t="s">
        <v>172</v>
      </c>
      <c r="CJ2" s="379" t="s">
        <v>173</v>
      </c>
      <c r="CK2" s="378" t="s">
        <v>170</v>
      </c>
      <c r="CL2" s="379" t="s">
        <v>171</v>
      </c>
      <c r="CM2" s="378" t="s">
        <v>172</v>
      </c>
      <c r="CN2" s="379" t="s">
        <v>173</v>
      </c>
      <c r="CO2" s="378" t="s">
        <v>170</v>
      </c>
      <c r="CP2" s="379" t="s">
        <v>171</v>
      </c>
      <c r="CQ2" s="378" t="s">
        <v>172</v>
      </c>
      <c r="CR2" s="379" t="s">
        <v>173</v>
      </c>
      <c r="CS2" s="378" t="s">
        <v>170</v>
      </c>
      <c r="CT2" s="379" t="s">
        <v>171</v>
      </c>
      <c r="CU2" s="378" t="s">
        <v>172</v>
      </c>
      <c r="CV2" s="379" t="s">
        <v>173</v>
      </c>
      <c r="CW2" s="378" t="s">
        <v>170</v>
      </c>
      <c r="CX2" s="379" t="s">
        <v>171</v>
      </c>
      <c r="CY2" s="378" t="s">
        <v>172</v>
      </c>
      <c r="CZ2" s="379" t="s">
        <v>173</v>
      </c>
      <c r="DA2" s="378" t="s">
        <v>170</v>
      </c>
      <c r="DB2" s="379" t="s">
        <v>171</v>
      </c>
      <c r="DC2" s="378" t="s">
        <v>172</v>
      </c>
      <c r="DD2" s="379" t="s">
        <v>173</v>
      </c>
      <c r="DE2" s="378" t="s">
        <v>170</v>
      </c>
      <c r="DF2" s="379" t="s">
        <v>171</v>
      </c>
      <c r="DG2" s="378" t="s">
        <v>172</v>
      </c>
      <c r="DH2" s="379" t="s">
        <v>173</v>
      </c>
      <c r="DI2" s="378" t="s">
        <v>170</v>
      </c>
      <c r="DJ2" s="379" t="s">
        <v>171</v>
      </c>
      <c r="DK2" s="378" t="s">
        <v>172</v>
      </c>
      <c r="DL2" s="379" t="s">
        <v>173</v>
      </c>
      <c r="DM2" s="378" t="s">
        <v>170</v>
      </c>
      <c r="DN2" s="379" t="s">
        <v>171</v>
      </c>
      <c r="DO2" s="378" t="s">
        <v>172</v>
      </c>
      <c r="DP2" s="379" t="s">
        <v>173</v>
      </c>
      <c r="DQ2" s="378" t="s">
        <v>170</v>
      </c>
      <c r="DR2" s="379" t="s">
        <v>171</v>
      </c>
      <c r="DS2" s="378" t="s">
        <v>172</v>
      </c>
      <c r="DT2" s="379" t="s">
        <v>173</v>
      </c>
      <c r="DU2" s="378" t="s">
        <v>170</v>
      </c>
      <c r="DV2" s="379" t="s">
        <v>171</v>
      </c>
      <c r="DW2" s="378" t="s">
        <v>172</v>
      </c>
      <c r="DX2" s="379" t="s">
        <v>173</v>
      </c>
      <c r="DY2" s="378" t="s">
        <v>170</v>
      </c>
      <c r="DZ2" s="379" t="s">
        <v>171</v>
      </c>
      <c r="EA2" s="378" t="s">
        <v>172</v>
      </c>
      <c r="EB2" s="379" t="s">
        <v>173</v>
      </c>
      <c r="EC2" s="378" t="s">
        <v>170</v>
      </c>
      <c r="ED2" s="379" t="s">
        <v>171</v>
      </c>
      <c r="EE2" s="378" t="s">
        <v>172</v>
      </c>
      <c r="EF2" s="379" t="s">
        <v>173</v>
      </c>
      <c r="EG2" s="378" t="s">
        <v>170</v>
      </c>
      <c r="EH2" s="379" t="s">
        <v>171</v>
      </c>
      <c r="EI2" s="378" t="s">
        <v>172</v>
      </c>
      <c r="EJ2" s="379" t="s">
        <v>173</v>
      </c>
      <c r="EK2" s="380"/>
      <c r="EL2" s="381"/>
      <c r="EM2" s="352"/>
      <c r="EN2" s="352"/>
      <c r="EO2" s="353"/>
      <c r="EP2" s="382"/>
      <c r="EQ2" s="382"/>
      <c r="ER2" s="383"/>
      <c r="ES2" s="383"/>
      <c r="ET2" s="383"/>
      <c r="EU2" s="383"/>
      <c r="EV2" s="356"/>
      <c r="EW2" s="384"/>
      <c r="EX2" s="359"/>
      <c r="EY2" s="385"/>
      <c r="EZ2" s="385"/>
      <c r="FA2" s="385"/>
      <c r="FB2" s="385"/>
      <c r="FC2" s="386"/>
      <c r="FD2" s="387"/>
      <c r="FE2" s="388"/>
      <c r="FF2" s="389"/>
      <c r="FG2" s="389"/>
      <c r="FH2" s="389"/>
      <c r="FI2" s="389"/>
      <c r="FJ2" s="389"/>
      <c r="FK2" s="389"/>
      <c r="FL2" s="389"/>
      <c r="FM2" s="389"/>
      <c r="FN2" s="389"/>
      <c r="FO2" s="389"/>
      <c r="FP2" s="389"/>
      <c r="FQ2" s="389"/>
      <c r="FR2" s="389"/>
      <c r="FS2" s="389"/>
      <c r="FT2" s="389"/>
      <c r="FU2" s="389"/>
      <c r="FV2" s="389"/>
      <c r="FW2" s="389"/>
      <c r="FX2" s="389"/>
      <c r="FY2" s="389"/>
      <c r="FZ2" s="389"/>
      <c r="GA2" s="389"/>
      <c r="GB2" s="389"/>
      <c r="GC2" s="389"/>
      <c r="GD2" s="389"/>
      <c r="GE2" s="389"/>
      <c r="GF2" s="389"/>
      <c r="GG2" s="389"/>
      <c r="GH2" s="389"/>
      <c r="GI2" s="389"/>
      <c r="GJ2" s="389"/>
      <c r="GK2" s="390"/>
      <c r="GL2" s="391"/>
      <c r="GM2" s="391"/>
      <c r="HW2" s="388"/>
      <c r="HY2" s="393"/>
      <c r="HZ2" s="393"/>
      <c r="IA2" s="394"/>
    </row>
    <row r="3" spans="1:237" s="291" customFormat="1" ht="22.5" customHeight="1" x14ac:dyDescent="0.25">
      <c r="A3" s="257" t="s">
        <v>175</v>
      </c>
      <c r="B3" s="258" t="s">
        <v>176</v>
      </c>
      <c r="C3" s="259">
        <v>2</v>
      </c>
      <c r="D3" s="260" t="s">
        <v>123</v>
      </c>
      <c r="E3" s="260" t="s">
        <v>177</v>
      </c>
      <c r="F3" s="261" t="s">
        <v>124</v>
      </c>
      <c r="G3" s="261" t="s">
        <v>125</v>
      </c>
      <c r="H3" s="262" t="s">
        <v>126</v>
      </c>
      <c r="I3" s="263" t="s">
        <v>178</v>
      </c>
      <c r="J3" s="264" t="s">
        <v>179</v>
      </c>
      <c r="K3" s="265" t="s">
        <v>127</v>
      </c>
      <c r="L3" s="266">
        <v>0</v>
      </c>
      <c r="M3" s="266">
        <v>0</v>
      </c>
      <c r="N3" s="267"/>
      <c r="O3" s="268" t="s">
        <v>128</v>
      </c>
      <c r="P3" s="269" t="s">
        <v>129</v>
      </c>
      <c r="Q3" s="270">
        <v>2</v>
      </c>
      <c r="R3" s="270">
        <v>1</v>
      </c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70"/>
      <c r="AX3" s="270"/>
      <c r="AY3" s="270"/>
      <c r="AZ3" s="270"/>
      <c r="BA3" s="270"/>
      <c r="BB3" s="270"/>
      <c r="BC3" s="270"/>
      <c r="BD3" s="270"/>
      <c r="BE3" s="270"/>
      <c r="BF3" s="270"/>
      <c r="BG3" s="270"/>
      <c r="BH3" s="270"/>
      <c r="BI3" s="270"/>
      <c r="BJ3" s="270"/>
      <c r="BK3" s="270"/>
      <c r="BL3" s="270"/>
      <c r="BM3" s="270"/>
      <c r="BN3" s="270"/>
      <c r="BO3" s="270"/>
      <c r="BP3" s="270"/>
      <c r="BQ3" s="270"/>
      <c r="BR3" s="270"/>
      <c r="BS3" s="270"/>
      <c r="BT3" s="270"/>
      <c r="BU3" s="270"/>
      <c r="BV3" s="270"/>
      <c r="BW3" s="270"/>
      <c r="BX3" s="270"/>
      <c r="BY3" s="270"/>
      <c r="BZ3" s="270"/>
      <c r="CA3" s="270"/>
      <c r="CB3" s="270"/>
      <c r="CC3" s="270"/>
      <c r="CD3" s="270"/>
      <c r="CE3" s="270"/>
      <c r="CF3" s="270"/>
      <c r="CG3" s="270"/>
      <c r="CH3" s="270"/>
      <c r="CI3" s="270"/>
      <c r="CJ3" s="270"/>
      <c r="CK3" s="270"/>
      <c r="CL3" s="270"/>
      <c r="CM3" s="270"/>
      <c r="CN3" s="270"/>
      <c r="CO3" s="270"/>
      <c r="CP3" s="270"/>
      <c r="CQ3" s="270"/>
      <c r="CR3" s="270"/>
      <c r="CS3" s="270"/>
      <c r="CT3" s="270"/>
      <c r="CU3" s="270"/>
      <c r="CV3" s="270"/>
      <c r="CW3" s="270"/>
      <c r="CX3" s="270"/>
      <c r="CY3" s="270"/>
      <c r="CZ3" s="270"/>
      <c r="DA3" s="270"/>
      <c r="DB3" s="270"/>
      <c r="DC3" s="270"/>
      <c r="DD3" s="270"/>
      <c r="DE3" s="270"/>
      <c r="DF3" s="270"/>
      <c r="DG3" s="270"/>
      <c r="DH3" s="270"/>
      <c r="DI3" s="270"/>
      <c r="DJ3" s="270"/>
      <c r="DK3" s="270"/>
      <c r="DL3" s="270"/>
      <c r="DM3" s="270"/>
      <c r="DN3" s="270"/>
      <c r="DO3" s="270"/>
      <c r="DP3" s="270"/>
      <c r="DQ3" s="270"/>
      <c r="DR3" s="270"/>
      <c r="DS3" s="270"/>
      <c r="DT3" s="270"/>
      <c r="DU3" s="270"/>
      <c r="DV3" s="270"/>
      <c r="DW3" s="270"/>
      <c r="DX3" s="270"/>
      <c r="DY3" s="270"/>
      <c r="DZ3" s="270"/>
      <c r="EA3" s="270"/>
      <c r="EB3" s="270"/>
      <c r="EC3" s="270"/>
      <c r="ED3" s="270"/>
      <c r="EE3" s="270"/>
      <c r="EF3" s="270"/>
      <c r="EG3" s="270"/>
      <c r="EH3" s="270"/>
      <c r="EI3" s="270"/>
      <c r="EJ3" s="271"/>
      <c r="EK3" s="272"/>
      <c r="EL3" s="273"/>
      <c r="EM3" s="274"/>
      <c r="EN3" s="274"/>
      <c r="EO3" s="274"/>
      <c r="EP3" s="275">
        <v>2</v>
      </c>
      <c r="EQ3" s="275">
        <v>0</v>
      </c>
      <c r="ER3" s="275">
        <v>0</v>
      </c>
      <c r="ES3" s="275">
        <v>1</v>
      </c>
      <c r="ET3" s="275">
        <v>0</v>
      </c>
      <c r="EU3" s="275">
        <v>0</v>
      </c>
      <c r="EV3" s="276">
        <v>3</v>
      </c>
      <c r="EW3" s="277">
        <v>0</v>
      </c>
      <c r="EX3" s="278">
        <v>15817.35</v>
      </c>
      <c r="EY3" s="279">
        <v>0</v>
      </c>
      <c r="EZ3" s="280">
        <v>0</v>
      </c>
      <c r="FA3" s="280">
        <v>0</v>
      </c>
      <c r="FB3" s="279">
        <v>0</v>
      </c>
      <c r="FC3" s="281">
        <v>0</v>
      </c>
      <c r="FD3" s="282">
        <v>0</v>
      </c>
      <c r="FE3" s="283">
        <v>15884.83</v>
      </c>
      <c r="FF3" s="284">
        <v>15817.35</v>
      </c>
      <c r="FG3" s="284">
        <v>0</v>
      </c>
      <c r="FH3" s="284">
        <v>0</v>
      </c>
      <c r="FI3" s="284">
        <v>0</v>
      </c>
      <c r="FJ3" s="284">
        <v>0</v>
      </c>
      <c r="FK3" s="284">
        <v>0</v>
      </c>
      <c r="FL3" s="284">
        <v>0</v>
      </c>
      <c r="FM3" s="284">
        <v>0</v>
      </c>
      <c r="FN3" s="284">
        <v>0</v>
      </c>
      <c r="FO3" s="284">
        <v>0</v>
      </c>
      <c r="FP3" s="284">
        <v>0</v>
      </c>
      <c r="FQ3" s="284">
        <v>0</v>
      </c>
      <c r="FR3" s="284">
        <v>0</v>
      </c>
      <c r="FS3" s="284">
        <v>0</v>
      </c>
      <c r="FT3" s="284">
        <v>0</v>
      </c>
      <c r="FU3" s="284">
        <v>0</v>
      </c>
      <c r="FV3" s="284">
        <v>0</v>
      </c>
      <c r="FW3" s="284">
        <v>0</v>
      </c>
      <c r="FX3" s="284">
        <v>0</v>
      </c>
      <c r="FY3" s="284">
        <v>0</v>
      </c>
      <c r="FZ3" s="284">
        <v>0</v>
      </c>
      <c r="GA3" s="284">
        <v>0</v>
      </c>
      <c r="GB3" s="284">
        <v>0</v>
      </c>
      <c r="GC3" s="284">
        <v>0</v>
      </c>
      <c r="GD3" s="284">
        <v>0</v>
      </c>
      <c r="GE3" s="284">
        <v>0</v>
      </c>
      <c r="GF3" s="284">
        <v>0</v>
      </c>
      <c r="GG3" s="284">
        <v>0</v>
      </c>
      <c r="GH3" s="284">
        <v>0</v>
      </c>
      <c r="GI3" s="284">
        <v>0</v>
      </c>
      <c r="GJ3" s="284">
        <v>0</v>
      </c>
      <c r="GK3" s="285"/>
      <c r="GL3" s="286">
        <v>0</v>
      </c>
      <c r="GM3" s="287"/>
      <c r="GN3" s="288">
        <v>0</v>
      </c>
      <c r="GO3" s="288">
        <v>0</v>
      </c>
      <c r="GP3" s="288">
        <v>0</v>
      </c>
      <c r="GQ3" s="288">
        <v>0</v>
      </c>
      <c r="GR3" s="288">
        <v>0</v>
      </c>
      <c r="GS3" s="288">
        <v>0</v>
      </c>
      <c r="GT3" s="288">
        <v>0</v>
      </c>
      <c r="GU3" s="288">
        <v>0</v>
      </c>
      <c r="GV3" s="288">
        <v>0</v>
      </c>
      <c r="GW3" s="288">
        <v>0</v>
      </c>
      <c r="GX3" s="288">
        <v>0</v>
      </c>
      <c r="GY3" s="288">
        <v>0</v>
      </c>
      <c r="GZ3" s="288">
        <v>0</v>
      </c>
      <c r="HA3" s="288">
        <v>0</v>
      </c>
      <c r="HB3" s="288">
        <v>0</v>
      </c>
      <c r="HC3" s="288">
        <v>0</v>
      </c>
      <c r="HD3" s="288">
        <v>0</v>
      </c>
      <c r="HE3" s="288">
        <v>0</v>
      </c>
      <c r="HF3" s="288">
        <v>0</v>
      </c>
      <c r="HG3" s="288">
        <v>0</v>
      </c>
      <c r="HH3" s="288">
        <v>0</v>
      </c>
      <c r="HI3" s="288">
        <v>0</v>
      </c>
      <c r="HJ3" s="288">
        <v>0</v>
      </c>
      <c r="HK3" s="288">
        <v>0</v>
      </c>
      <c r="HL3" s="288">
        <v>0</v>
      </c>
      <c r="HM3" s="288">
        <v>0</v>
      </c>
      <c r="HN3" s="288">
        <v>0</v>
      </c>
      <c r="HO3" s="288">
        <v>0</v>
      </c>
      <c r="HP3" s="288">
        <v>0</v>
      </c>
      <c r="HQ3" s="289"/>
      <c r="HR3" s="289"/>
      <c r="HS3" s="289"/>
      <c r="HT3" s="289"/>
      <c r="HU3" s="289"/>
      <c r="HV3" s="289"/>
      <c r="HW3" s="283">
        <v>17629.309999999998</v>
      </c>
      <c r="HX3" s="289"/>
      <c r="HY3" s="290">
        <v>0</v>
      </c>
      <c r="HZ3" s="290">
        <v>0</v>
      </c>
      <c r="IA3" s="290">
        <v>0</v>
      </c>
      <c r="IB3" s="289" t="b">
        <v>0</v>
      </c>
      <c r="IC3" s="289"/>
    </row>
    <row r="4" spans="1:237" s="291" customFormat="1" ht="22.5" customHeight="1" x14ac:dyDescent="0.25">
      <c r="A4" s="292" t="s">
        <v>175</v>
      </c>
      <c r="B4" s="293" t="s">
        <v>176</v>
      </c>
      <c r="C4" s="294" t="s">
        <v>174</v>
      </c>
      <c r="D4" s="295" t="s">
        <v>123</v>
      </c>
      <c r="E4" s="295" t="s">
        <v>177</v>
      </c>
      <c r="F4" s="296" t="s">
        <v>124</v>
      </c>
      <c r="G4" s="296" t="s">
        <v>125</v>
      </c>
      <c r="H4" s="297" t="s">
        <v>126</v>
      </c>
      <c r="I4" s="263" t="s">
        <v>178</v>
      </c>
      <c r="J4" s="298" t="s">
        <v>179</v>
      </c>
      <c r="K4" s="298" t="s">
        <v>130</v>
      </c>
      <c r="L4" s="266">
        <v>7</v>
      </c>
      <c r="M4" s="266">
        <v>0</v>
      </c>
      <c r="N4" s="267"/>
      <c r="O4" s="268" t="s">
        <v>128</v>
      </c>
      <c r="P4" s="269" t="s">
        <v>129</v>
      </c>
      <c r="Q4" s="270">
        <v>8</v>
      </c>
      <c r="R4" s="270">
        <v>2</v>
      </c>
      <c r="S4" s="270">
        <v>1</v>
      </c>
      <c r="T4" s="270">
        <v>1</v>
      </c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70"/>
      <c r="AK4" s="270"/>
      <c r="AL4" s="270"/>
      <c r="AM4" s="270"/>
      <c r="AN4" s="270"/>
      <c r="AO4" s="270"/>
      <c r="AP4" s="270"/>
      <c r="AQ4" s="270"/>
      <c r="AR4" s="270"/>
      <c r="AS4" s="270"/>
      <c r="AT4" s="270"/>
      <c r="AU4" s="270"/>
      <c r="AV4" s="270"/>
      <c r="AW4" s="270"/>
      <c r="AX4" s="270"/>
      <c r="AY4" s="270"/>
      <c r="AZ4" s="270"/>
      <c r="BA4" s="270"/>
      <c r="BB4" s="270"/>
      <c r="BC4" s="270"/>
      <c r="BD4" s="270"/>
      <c r="BE4" s="270"/>
      <c r="BF4" s="270"/>
      <c r="BG4" s="270"/>
      <c r="BH4" s="270"/>
      <c r="BI4" s="270"/>
      <c r="BJ4" s="270"/>
      <c r="BK4" s="270"/>
      <c r="BL4" s="270"/>
      <c r="BM4" s="270"/>
      <c r="BN4" s="270"/>
      <c r="BO4" s="270"/>
      <c r="BP4" s="270"/>
      <c r="BQ4" s="270"/>
      <c r="BR4" s="270"/>
      <c r="BS4" s="270"/>
      <c r="BT4" s="270"/>
      <c r="BU4" s="270"/>
      <c r="BV4" s="270"/>
      <c r="BW4" s="270"/>
      <c r="BX4" s="270"/>
      <c r="BY4" s="270"/>
      <c r="BZ4" s="270"/>
      <c r="CA4" s="270"/>
      <c r="CB4" s="270"/>
      <c r="CC4" s="270"/>
      <c r="CD4" s="270"/>
      <c r="CE4" s="270"/>
      <c r="CF4" s="270"/>
      <c r="CG4" s="270"/>
      <c r="CH4" s="270"/>
      <c r="CI4" s="270"/>
      <c r="CJ4" s="270"/>
      <c r="CK4" s="270"/>
      <c r="CL4" s="270"/>
      <c r="CM4" s="270"/>
      <c r="CN4" s="270"/>
      <c r="CO4" s="270"/>
      <c r="CP4" s="270"/>
      <c r="CQ4" s="270"/>
      <c r="CR4" s="270"/>
      <c r="CS4" s="270"/>
      <c r="CT4" s="270"/>
      <c r="CU4" s="270"/>
      <c r="CV4" s="270"/>
      <c r="CW4" s="270"/>
      <c r="CX4" s="270"/>
      <c r="CY4" s="270"/>
      <c r="CZ4" s="270"/>
      <c r="DA4" s="270"/>
      <c r="DB4" s="270"/>
      <c r="DC4" s="270"/>
      <c r="DD4" s="270"/>
      <c r="DE4" s="270"/>
      <c r="DF4" s="270"/>
      <c r="DG4" s="270"/>
      <c r="DH4" s="270"/>
      <c r="DI4" s="270"/>
      <c r="DJ4" s="270"/>
      <c r="DK4" s="270"/>
      <c r="DL4" s="270"/>
      <c r="DM4" s="270"/>
      <c r="DN4" s="270"/>
      <c r="DO4" s="270"/>
      <c r="DP4" s="270"/>
      <c r="DQ4" s="270"/>
      <c r="DR4" s="270"/>
      <c r="DS4" s="270"/>
      <c r="DT4" s="270"/>
      <c r="DU4" s="270"/>
      <c r="DV4" s="270"/>
      <c r="DW4" s="270"/>
      <c r="DX4" s="270"/>
      <c r="DY4" s="270"/>
      <c r="DZ4" s="270"/>
      <c r="EA4" s="270"/>
      <c r="EB4" s="270"/>
      <c r="EC4" s="270"/>
      <c r="ED4" s="270"/>
      <c r="EE4" s="270"/>
      <c r="EF4" s="270"/>
      <c r="EG4" s="270"/>
      <c r="EH4" s="270"/>
      <c r="EI4" s="270"/>
      <c r="EJ4" s="271"/>
      <c r="EK4" s="299"/>
      <c r="EL4" s="300"/>
      <c r="EM4" s="301"/>
      <c r="EN4" s="302"/>
      <c r="EO4" s="303"/>
      <c r="EP4" s="275">
        <v>8</v>
      </c>
      <c r="EQ4" s="275">
        <v>0</v>
      </c>
      <c r="ER4" s="275">
        <v>1</v>
      </c>
      <c r="ES4" s="275">
        <v>2</v>
      </c>
      <c r="ET4" s="275">
        <v>0</v>
      </c>
      <c r="EU4" s="275">
        <v>1</v>
      </c>
      <c r="EV4" s="276">
        <v>12</v>
      </c>
      <c r="EW4" s="277"/>
      <c r="EX4" s="278">
        <v>0</v>
      </c>
      <c r="EY4" s="279">
        <v>67.48</v>
      </c>
      <c r="EZ4" s="280">
        <v>0</v>
      </c>
      <c r="FA4" s="280">
        <v>0</v>
      </c>
      <c r="FB4" s="279">
        <v>0</v>
      </c>
      <c r="FC4" s="304">
        <v>0</v>
      </c>
      <c r="FD4" s="282">
        <v>0</v>
      </c>
      <c r="FE4" s="305"/>
      <c r="FF4" s="306"/>
      <c r="FG4" s="306"/>
      <c r="FH4" s="306"/>
      <c r="FI4" s="306"/>
      <c r="FJ4" s="306"/>
      <c r="FK4" s="306"/>
      <c r="FL4" s="306"/>
      <c r="FM4" s="306"/>
      <c r="FN4" s="306"/>
      <c r="FO4" s="306"/>
      <c r="FP4" s="306"/>
      <c r="FQ4" s="306"/>
      <c r="FR4" s="306"/>
      <c r="FS4" s="306"/>
      <c r="FT4" s="306"/>
      <c r="FU4" s="306"/>
      <c r="FV4" s="306"/>
      <c r="FW4" s="306"/>
      <c r="FX4" s="306"/>
      <c r="FY4" s="306"/>
      <c r="FZ4" s="306"/>
      <c r="GA4" s="306"/>
      <c r="GB4" s="306"/>
      <c r="GC4" s="306"/>
      <c r="GD4" s="306"/>
      <c r="GE4" s="306"/>
      <c r="GF4" s="306"/>
      <c r="GG4" s="306"/>
      <c r="GH4" s="306"/>
      <c r="GI4" s="306"/>
      <c r="GJ4" s="306"/>
      <c r="GK4" s="307"/>
      <c r="GL4" s="286">
        <v>0</v>
      </c>
      <c r="GM4" s="287"/>
      <c r="GN4" s="288"/>
      <c r="GO4" s="288"/>
      <c r="GP4" s="288"/>
      <c r="GQ4" s="288"/>
      <c r="GR4" s="288"/>
      <c r="GS4" s="288"/>
      <c r="GT4" s="288"/>
      <c r="GU4" s="288"/>
      <c r="GV4" s="288"/>
      <c r="GW4" s="288"/>
      <c r="GX4" s="288"/>
      <c r="GY4" s="288"/>
      <c r="GZ4" s="288"/>
      <c r="HA4" s="288"/>
      <c r="HB4" s="288"/>
      <c r="HC4" s="288"/>
      <c r="HD4" s="288"/>
      <c r="HE4" s="288"/>
      <c r="HF4" s="288"/>
      <c r="HG4" s="288"/>
      <c r="HH4" s="288"/>
      <c r="HI4" s="288"/>
      <c r="HJ4" s="288"/>
      <c r="HK4" s="288"/>
      <c r="HL4" s="288"/>
      <c r="HM4" s="288"/>
      <c r="HN4" s="288"/>
      <c r="HO4" s="288"/>
      <c r="HP4" s="288"/>
      <c r="HQ4" s="289"/>
      <c r="HR4" s="289"/>
      <c r="HS4" s="289"/>
      <c r="HT4" s="289"/>
      <c r="HU4" s="289"/>
      <c r="HV4" s="289"/>
      <c r="HW4" s="305"/>
      <c r="HX4" s="289"/>
      <c r="HY4" s="290">
        <v>0</v>
      </c>
      <c r="HZ4" s="290">
        <v>0</v>
      </c>
      <c r="IA4" s="290">
        <v>0</v>
      </c>
      <c r="IB4" s="289"/>
      <c r="IC4" s="289"/>
    </row>
    <row r="5" spans="1:237" s="291" customFormat="1" ht="22.5" customHeight="1" x14ac:dyDescent="0.25">
      <c r="A5" s="292" t="s">
        <v>175</v>
      </c>
      <c r="B5" s="293" t="s">
        <v>176</v>
      </c>
      <c r="C5" s="308" t="s">
        <v>174</v>
      </c>
      <c r="D5" s="295" t="s">
        <v>123</v>
      </c>
      <c r="E5" s="295" t="s">
        <v>177</v>
      </c>
      <c r="F5" s="309" t="s">
        <v>124</v>
      </c>
      <c r="G5" s="309" t="s">
        <v>125</v>
      </c>
      <c r="H5" s="297" t="s">
        <v>126</v>
      </c>
      <c r="I5" s="263" t="s">
        <v>178</v>
      </c>
      <c r="J5" s="298" t="s">
        <v>179</v>
      </c>
      <c r="K5" s="310" t="s">
        <v>131</v>
      </c>
      <c r="L5" s="266">
        <v>0</v>
      </c>
      <c r="M5" s="266">
        <v>0</v>
      </c>
      <c r="N5" s="267"/>
      <c r="O5" s="268" t="s">
        <v>128</v>
      </c>
      <c r="P5" s="269" t="s">
        <v>129</v>
      </c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0"/>
      <c r="AV5" s="270"/>
      <c r="AW5" s="270"/>
      <c r="AX5" s="270"/>
      <c r="AY5" s="270"/>
      <c r="AZ5" s="270"/>
      <c r="BA5" s="270"/>
      <c r="BB5" s="270"/>
      <c r="BC5" s="270"/>
      <c r="BD5" s="270"/>
      <c r="BE5" s="270"/>
      <c r="BF5" s="270"/>
      <c r="BG5" s="270"/>
      <c r="BH5" s="270"/>
      <c r="BI5" s="270"/>
      <c r="BJ5" s="270"/>
      <c r="BK5" s="270"/>
      <c r="BL5" s="270"/>
      <c r="BM5" s="270"/>
      <c r="BN5" s="270"/>
      <c r="BO5" s="270"/>
      <c r="BP5" s="270"/>
      <c r="BQ5" s="270"/>
      <c r="BR5" s="270"/>
      <c r="BS5" s="270"/>
      <c r="BT5" s="270"/>
      <c r="BU5" s="270"/>
      <c r="BV5" s="270"/>
      <c r="BW5" s="270"/>
      <c r="BX5" s="270"/>
      <c r="BY5" s="270"/>
      <c r="BZ5" s="270"/>
      <c r="CA5" s="270"/>
      <c r="CB5" s="270"/>
      <c r="CC5" s="270"/>
      <c r="CD5" s="270"/>
      <c r="CE5" s="270"/>
      <c r="CF5" s="270"/>
      <c r="CG5" s="270"/>
      <c r="CH5" s="270"/>
      <c r="CI5" s="270"/>
      <c r="CJ5" s="270"/>
      <c r="CK5" s="270"/>
      <c r="CL5" s="270"/>
      <c r="CM5" s="270"/>
      <c r="CN5" s="270"/>
      <c r="CO5" s="270"/>
      <c r="CP5" s="270"/>
      <c r="CQ5" s="270"/>
      <c r="CR5" s="270"/>
      <c r="CS5" s="270"/>
      <c r="CT5" s="270"/>
      <c r="CU5" s="270"/>
      <c r="CV5" s="270"/>
      <c r="CW5" s="270"/>
      <c r="CX5" s="270"/>
      <c r="CY5" s="270"/>
      <c r="CZ5" s="270"/>
      <c r="DA5" s="270"/>
      <c r="DB5" s="270"/>
      <c r="DC5" s="270"/>
      <c r="DD5" s="270"/>
      <c r="DE5" s="270"/>
      <c r="DF5" s="270"/>
      <c r="DG5" s="270"/>
      <c r="DH5" s="270"/>
      <c r="DI5" s="270"/>
      <c r="DJ5" s="270"/>
      <c r="DK5" s="270"/>
      <c r="DL5" s="270"/>
      <c r="DM5" s="270"/>
      <c r="DN5" s="270"/>
      <c r="DO5" s="270"/>
      <c r="DP5" s="270"/>
      <c r="DQ5" s="270"/>
      <c r="DR5" s="270"/>
      <c r="DS5" s="270"/>
      <c r="DT5" s="270"/>
      <c r="DU5" s="270"/>
      <c r="DV5" s="270"/>
      <c r="DW5" s="270"/>
      <c r="DX5" s="270"/>
      <c r="DY5" s="270"/>
      <c r="DZ5" s="270"/>
      <c r="EA5" s="270"/>
      <c r="EB5" s="270"/>
      <c r="EC5" s="270"/>
      <c r="ED5" s="270"/>
      <c r="EE5" s="270"/>
      <c r="EF5" s="270"/>
      <c r="EG5" s="270"/>
      <c r="EH5" s="270"/>
      <c r="EI5" s="270"/>
      <c r="EJ5" s="271"/>
      <c r="EK5" s="299"/>
      <c r="EL5" s="300"/>
      <c r="EM5" s="301"/>
      <c r="EN5" s="302"/>
      <c r="EO5" s="303"/>
      <c r="EP5" s="275">
        <v>0</v>
      </c>
      <c r="EQ5" s="275">
        <v>0</v>
      </c>
      <c r="ER5" s="275">
        <v>0</v>
      </c>
      <c r="ES5" s="275">
        <v>0</v>
      </c>
      <c r="ET5" s="275">
        <v>0</v>
      </c>
      <c r="EU5" s="275">
        <v>0</v>
      </c>
      <c r="EV5" s="276">
        <v>0</v>
      </c>
      <c r="EW5" s="304"/>
      <c r="EX5" s="278">
        <v>0</v>
      </c>
      <c r="EY5" s="279">
        <v>0</v>
      </c>
      <c r="EZ5" s="280">
        <v>0</v>
      </c>
      <c r="FA5" s="280">
        <v>0</v>
      </c>
      <c r="FB5" s="279">
        <v>0</v>
      </c>
      <c r="FC5" s="304">
        <v>0</v>
      </c>
      <c r="FD5" s="282">
        <v>0</v>
      </c>
      <c r="FE5" s="305"/>
      <c r="FF5" s="311"/>
      <c r="FG5" s="311"/>
      <c r="FH5" s="311"/>
      <c r="FI5" s="311"/>
      <c r="FJ5" s="311"/>
      <c r="FK5" s="311"/>
      <c r="FL5" s="311"/>
      <c r="FM5" s="311"/>
      <c r="FN5" s="311"/>
      <c r="FO5" s="311"/>
      <c r="FP5" s="311"/>
      <c r="FQ5" s="311"/>
      <c r="FR5" s="311"/>
      <c r="FS5" s="311"/>
      <c r="FT5" s="311"/>
      <c r="FU5" s="311"/>
      <c r="FV5" s="311"/>
      <c r="FW5" s="311"/>
      <c r="FX5" s="311"/>
      <c r="FY5" s="311"/>
      <c r="FZ5" s="311"/>
      <c r="GA5" s="311"/>
      <c r="GB5" s="311"/>
      <c r="GC5" s="311"/>
      <c r="GD5" s="311"/>
      <c r="GE5" s="311"/>
      <c r="GF5" s="311"/>
      <c r="GG5" s="311"/>
      <c r="GH5" s="311"/>
      <c r="GI5" s="311"/>
      <c r="GJ5" s="311"/>
      <c r="GK5" s="307"/>
      <c r="GL5" s="286">
        <v>0</v>
      </c>
      <c r="GM5" s="287"/>
      <c r="GN5" s="288"/>
      <c r="GO5" s="288"/>
      <c r="GP5" s="288"/>
      <c r="GQ5" s="288"/>
      <c r="GR5" s="288"/>
      <c r="GS5" s="288"/>
      <c r="GT5" s="288"/>
      <c r="GU5" s="288"/>
      <c r="GV5" s="288"/>
      <c r="GW5" s="288"/>
      <c r="GX5" s="288"/>
      <c r="GY5" s="288"/>
      <c r="GZ5" s="288"/>
      <c r="HA5" s="288"/>
      <c r="HB5" s="288"/>
      <c r="HC5" s="288"/>
      <c r="HD5" s="288"/>
      <c r="HE5" s="288"/>
      <c r="HF5" s="288"/>
      <c r="HG5" s="288"/>
      <c r="HH5" s="288"/>
      <c r="HI5" s="288"/>
      <c r="HJ5" s="288"/>
      <c r="HK5" s="288"/>
      <c r="HL5" s="288"/>
      <c r="HM5" s="288"/>
      <c r="HN5" s="288"/>
      <c r="HO5" s="288"/>
      <c r="HP5" s="288"/>
      <c r="HQ5" s="289"/>
      <c r="HR5" s="289"/>
      <c r="HS5" s="289"/>
      <c r="HT5" s="289"/>
      <c r="HU5" s="289"/>
      <c r="HV5" s="289"/>
      <c r="HW5" s="305"/>
      <c r="HX5" s="289"/>
      <c r="HY5" s="290">
        <v>0</v>
      </c>
      <c r="HZ5" s="290">
        <v>0</v>
      </c>
      <c r="IA5" s="290">
        <v>0</v>
      </c>
      <c r="IB5" s="289"/>
      <c r="IC5" s="289"/>
    </row>
    <row r="6" spans="1:237" s="291" customFormat="1" ht="22.5" customHeight="1" x14ac:dyDescent="0.25">
      <c r="A6" s="292" t="s">
        <v>175</v>
      </c>
      <c r="B6" s="293" t="s">
        <v>176</v>
      </c>
      <c r="C6" s="308" t="s">
        <v>174</v>
      </c>
      <c r="D6" s="295" t="s">
        <v>123</v>
      </c>
      <c r="E6" s="295" t="s">
        <v>177</v>
      </c>
      <c r="F6" s="309" t="s">
        <v>124</v>
      </c>
      <c r="G6" s="309" t="s">
        <v>125</v>
      </c>
      <c r="H6" s="297" t="s">
        <v>126</v>
      </c>
      <c r="I6" s="263" t="s">
        <v>178</v>
      </c>
      <c r="J6" s="298" t="s">
        <v>179</v>
      </c>
      <c r="K6" s="310" t="s">
        <v>132</v>
      </c>
      <c r="L6" s="266">
        <v>0</v>
      </c>
      <c r="M6" s="266">
        <v>0</v>
      </c>
      <c r="N6" s="267"/>
      <c r="O6" s="268" t="s">
        <v>128</v>
      </c>
      <c r="P6" s="269" t="s">
        <v>129</v>
      </c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0"/>
      <c r="AD6" s="270"/>
      <c r="AE6" s="270"/>
      <c r="AF6" s="270"/>
      <c r="AG6" s="270"/>
      <c r="AH6" s="270"/>
      <c r="AI6" s="270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0"/>
      <c r="AU6" s="270"/>
      <c r="AV6" s="270"/>
      <c r="AW6" s="270"/>
      <c r="AX6" s="270"/>
      <c r="AY6" s="270"/>
      <c r="AZ6" s="270"/>
      <c r="BA6" s="270"/>
      <c r="BB6" s="270"/>
      <c r="BC6" s="270"/>
      <c r="BD6" s="270"/>
      <c r="BE6" s="270"/>
      <c r="BF6" s="270"/>
      <c r="BG6" s="270"/>
      <c r="BH6" s="270"/>
      <c r="BI6" s="270"/>
      <c r="BJ6" s="270"/>
      <c r="BK6" s="270"/>
      <c r="BL6" s="270"/>
      <c r="BM6" s="270"/>
      <c r="BN6" s="270"/>
      <c r="BO6" s="270"/>
      <c r="BP6" s="270"/>
      <c r="BQ6" s="270"/>
      <c r="BR6" s="270"/>
      <c r="BS6" s="270"/>
      <c r="BT6" s="270"/>
      <c r="BU6" s="270"/>
      <c r="BV6" s="270"/>
      <c r="BW6" s="270"/>
      <c r="BX6" s="270"/>
      <c r="BY6" s="270"/>
      <c r="BZ6" s="270"/>
      <c r="CA6" s="270"/>
      <c r="CB6" s="270"/>
      <c r="CC6" s="270"/>
      <c r="CD6" s="270"/>
      <c r="CE6" s="270"/>
      <c r="CF6" s="270"/>
      <c r="CG6" s="270"/>
      <c r="CH6" s="270"/>
      <c r="CI6" s="270"/>
      <c r="CJ6" s="270"/>
      <c r="CK6" s="270"/>
      <c r="CL6" s="270"/>
      <c r="CM6" s="270"/>
      <c r="CN6" s="270"/>
      <c r="CO6" s="270"/>
      <c r="CP6" s="270"/>
      <c r="CQ6" s="270"/>
      <c r="CR6" s="270"/>
      <c r="CS6" s="270"/>
      <c r="CT6" s="270"/>
      <c r="CU6" s="270"/>
      <c r="CV6" s="270"/>
      <c r="CW6" s="270"/>
      <c r="CX6" s="270"/>
      <c r="CY6" s="270"/>
      <c r="CZ6" s="270"/>
      <c r="DA6" s="270"/>
      <c r="DB6" s="270"/>
      <c r="DC6" s="270"/>
      <c r="DD6" s="270"/>
      <c r="DE6" s="270"/>
      <c r="DF6" s="270"/>
      <c r="DG6" s="270"/>
      <c r="DH6" s="270"/>
      <c r="DI6" s="270"/>
      <c r="DJ6" s="270"/>
      <c r="DK6" s="270"/>
      <c r="DL6" s="270"/>
      <c r="DM6" s="270"/>
      <c r="DN6" s="270"/>
      <c r="DO6" s="270"/>
      <c r="DP6" s="270"/>
      <c r="DQ6" s="270"/>
      <c r="DR6" s="270"/>
      <c r="DS6" s="270"/>
      <c r="DT6" s="270"/>
      <c r="DU6" s="270"/>
      <c r="DV6" s="270"/>
      <c r="DW6" s="270"/>
      <c r="DX6" s="270"/>
      <c r="DY6" s="270"/>
      <c r="DZ6" s="270"/>
      <c r="EA6" s="270"/>
      <c r="EB6" s="270"/>
      <c r="EC6" s="270"/>
      <c r="ED6" s="270"/>
      <c r="EE6" s="270"/>
      <c r="EF6" s="270"/>
      <c r="EG6" s="270"/>
      <c r="EH6" s="270"/>
      <c r="EI6" s="270"/>
      <c r="EJ6" s="271"/>
      <c r="EK6" s="299"/>
      <c r="EL6" s="300"/>
      <c r="EM6" s="301"/>
      <c r="EN6" s="302"/>
      <c r="EO6" s="303"/>
      <c r="EP6" s="275">
        <v>0</v>
      </c>
      <c r="EQ6" s="275">
        <v>0</v>
      </c>
      <c r="ER6" s="275">
        <v>0</v>
      </c>
      <c r="ES6" s="275">
        <v>0</v>
      </c>
      <c r="ET6" s="275">
        <v>0</v>
      </c>
      <c r="EU6" s="275">
        <v>0</v>
      </c>
      <c r="EV6" s="276">
        <v>0</v>
      </c>
      <c r="EW6" s="312"/>
      <c r="EX6" s="278">
        <v>0</v>
      </c>
      <c r="EY6" s="279">
        <v>0</v>
      </c>
      <c r="EZ6" s="280">
        <v>0</v>
      </c>
      <c r="FA6" s="280">
        <v>0</v>
      </c>
      <c r="FB6" s="279">
        <v>0</v>
      </c>
      <c r="FC6" s="304">
        <v>0</v>
      </c>
      <c r="FD6" s="282">
        <v>0</v>
      </c>
      <c r="FE6" s="305"/>
      <c r="FF6" s="313"/>
      <c r="FG6" s="313"/>
      <c r="FH6" s="313"/>
      <c r="FI6" s="313"/>
      <c r="FJ6" s="313"/>
      <c r="FK6" s="313"/>
      <c r="FL6" s="313"/>
      <c r="FM6" s="313"/>
      <c r="FN6" s="313"/>
      <c r="FO6" s="313"/>
      <c r="FP6" s="313"/>
      <c r="FQ6" s="313"/>
      <c r="FR6" s="313"/>
      <c r="FS6" s="313"/>
      <c r="FT6" s="313"/>
      <c r="FU6" s="313"/>
      <c r="FV6" s="313"/>
      <c r="FW6" s="313"/>
      <c r="FX6" s="313"/>
      <c r="FY6" s="313"/>
      <c r="FZ6" s="313"/>
      <c r="GA6" s="313"/>
      <c r="GB6" s="313"/>
      <c r="GC6" s="313"/>
      <c r="GD6" s="313"/>
      <c r="GE6" s="313"/>
      <c r="GF6" s="313"/>
      <c r="GG6" s="313"/>
      <c r="GH6" s="313"/>
      <c r="GI6" s="313"/>
      <c r="GJ6" s="313"/>
      <c r="GK6" s="314"/>
      <c r="GL6" s="286">
        <v>0</v>
      </c>
      <c r="GM6" s="287"/>
      <c r="GN6" s="288"/>
      <c r="GO6" s="288"/>
      <c r="GP6" s="288"/>
      <c r="GQ6" s="288"/>
      <c r="GR6" s="288"/>
      <c r="GS6" s="288"/>
      <c r="GT6" s="288"/>
      <c r="GU6" s="288"/>
      <c r="GV6" s="288"/>
      <c r="GW6" s="288"/>
      <c r="GX6" s="288"/>
      <c r="GY6" s="288"/>
      <c r="GZ6" s="288"/>
      <c r="HA6" s="288"/>
      <c r="HB6" s="288"/>
      <c r="HC6" s="288"/>
      <c r="HD6" s="288"/>
      <c r="HE6" s="288"/>
      <c r="HF6" s="288"/>
      <c r="HG6" s="288"/>
      <c r="HH6" s="288"/>
      <c r="HI6" s="288"/>
      <c r="HJ6" s="288"/>
      <c r="HK6" s="288"/>
      <c r="HL6" s="288"/>
      <c r="HM6" s="288"/>
      <c r="HN6" s="288"/>
      <c r="HO6" s="288"/>
      <c r="HP6" s="288"/>
      <c r="HQ6" s="289"/>
      <c r="HR6" s="315"/>
      <c r="HS6" s="315"/>
      <c r="HT6" s="315"/>
      <c r="HU6" s="315"/>
      <c r="HV6" s="315"/>
      <c r="HW6" s="305"/>
      <c r="HX6" s="315"/>
      <c r="HY6" s="290">
        <v>0</v>
      </c>
      <c r="HZ6" s="290">
        <v>0</v>
      </c>
      <c r="IA6" s="290">
        <v>0</v>
      </c>
      <c r="IB6" s="315"/>
      <c r="IC6" s="315"/>
    </row>
    <row r="7" spans="1:237" s="291" customFormat="1" ht="22.5" customHeight="1" thickBot="1" x14ac:dyDescent="0.3">
      <c r="A7" s="316" t="s">
        <v>175</v>
      </c>
      <c r="B7" s="317" t="s">
        <v>176</v>
      </c>
      <c r="C7" s="318" t="s">
        <v>174</v>
      </c>
      <c r="D7" s="319" t="s">
        <v>123</v>
      </c>
      <c r="E7" s="319" t="s">
        <v>177</v>
      </c>
      <c r="F7" s="320" t="s">
        <v>124</v>
      </c>
      <c r="G7" s="320" t="s">
        <v>125</v>
      </c>
      <c r="H7" s="321" t="s">
        <v>126</v>
      </c>
      <c r="I7" s="322" t="s">
        <v>178</v>
      </c>
      <c r="J7" s="298" t="s">
        <v>179</v>
      </c>
      <c r="K7" s="323" t="s">
        <v>133</v>
      </c>
      <c r="L7" s="266">
        <v>0</v>
      </c>
      <c r="M7" s="266">
        <v>0</v>
      </c>
      <c r="N7" s="267"/>
      <c r="O7" s="268" t="s">
        <v>128</v>
      </c>
      <c r="P7" s="269" t="s">
        <v>129</v>
      </c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0"/>
      <c r="AV7" s="270"/>
      <c r="AW7" s="270"/>
      <c r="AX7" s="270"/>
      <c r="AY7" s="270"/>
      <c r="AZ7" s="270"/>
      <c r="BA7" s="270"/>
      <c r="BB7" s="270"/>
      <c r="BC7" s="270"/>
      <c r="BD7" s="270"/>
      <c r="BE7" s="270"/>
      <c r="BF7" s="270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70"/>
      <c r="BS7" s="270"/>
      <c r="BT7" s="270"/>
      <c r="BU7" s="270"/>
      <c r="BV7" s="270"/>
      <c r="BW7" s="270"/>
      <c r="BX7" s="270"/>
      <c r="BY7" s="270"/>
      <c r="BZ7" s="270"/>
      <c r="CA7" s="270"/>
      <c r="CB7" s="270"/>
      <c r="CC7" s="270"/>
      <c r="CD7" s="270"/>
      <c r="CE7" s="270"/>
      <c r="CF7" s="270"/>
      <c r="CG7" s="270"/>
      <c r="CH7" s="270"/>
      <c r="CI7" s="270"/>
      <c r="CJ7" s="270"/>
      <c r="CK7" s="270"/>
      <c r="CL7" s="270"/>
      <c r="CM7" s="270"/>
      <c r="CN7" s="270"/>
      <c r="CO7" s="270"/>
      <c r="CP7" s="270"/>
      <c r="CQ7" s="270"/>
      <c r="CR7" s="270"/>
      <c r="CS7" s="270"/>
      <c r="CT7" s="270"/>
      <c r="CU7" s="270"/>
      <c r="CV7" s="270"/>
      <c r="CW7" s="270"/>
      <c r="CX7" s="270"/>
      <c r="CY7" s="270"/>
      <c r="CZ7" s="270"/>
      <c r="DA7" s="270"/>
      <c r="DB7" s="270"/>
      <c r="DC7" s="270"/>
      <c r="DD7" s="270"/>
      <c r="DE7" s="270"/>
      <c r="DF7" s="270"/>
      <c r="DG7" s="270"/>
      <c r="DH7" s="270"/>
      <c r="DI7" s="270"/>
      <c r="DJ7" s="270"/>
      <c r="DK7" s="270"/>
      <c r="DL7" s="270"/>
      <c r="DM7" s="270"/>
      <c r="DN7" s="270"/>
      <c r="DO7" s="270"/>
      <c r="DP7" s="270"/>
      <c r="DQ7" s="270"/>
      <c r="DR7" s="270"/>
      <c r="DS7" s="270"/>
      <c r="DT7" s="270"/>
      <c r="DU7" s="270"/>
      <c r="DV7" s="270"/>
      <c r="DW7" s="270"/>
      <c r="DX7" s="270"/>
      <c r="DY7" s="270"/>
      <c r="DZ7" s="270"/>
      <c r="EA7" s="270"/>
      <c r="EB7" s="270"/>
      <c r="EC7" s="270"/>
      <c r="ED7" s="270"/>
      <c r="EE7" s="270"/>
      <c r="EF7" s="270"/>
      <c r="EG7" s="270"/>
      <c r="EH7" s="270"/>
      <c r="EI7" s="270"/>
      <c r="EJ7" s="271"/>
      <c r="EK7" s="324"/>
      <c r="EL7" s="325"/>
      <c r="EM7" s="326"/>
      <c r="EN7" s="327"/>
      <c r="EO7" s="327"/>
      <c r="EP7" s="328">
        <v>0</v>
      </c>
      <c r="EQ7" s="328">
        <v>0</v>
      </c>
      <c r="ER7" s="328">
        <v>0</v>
      </c>
      <c r="ES7" s="328">
        <v>0</v>
      </c>
      <c r="ET7" s="328">
        <v>0</v>
      </c>
      <c r="EU7" s="328">
        <v>0</v>
      </c>
      <c r="EV7" s="276">
        <v>0</v>
      </c>
      <c r="EW7" s="329"/>
      <c r="EX7" s="330">
        <v>0</v>
      </c>
      <c r="EY7" s="331">
        <v>0</v>
      </c>
      <c r="EZ7" s="332">
        <v>0</v>
      </c>
      <c r="FA7" s="332">
        <v>0</v>
      </c>
      <c r="FB7" s="331">
        <v>0</v>
      </c>
      <c r="FC7" s="333">
        <v>0</v>
      </c>
      <c r="FD7" s="282">
        <v>0</v>
      </c>
      <c r="FE7" s="334"/>
      <c r="FF7" s="335">
        <v>0</v>
      </c>
      <c r="FG7" s="335">
        <v>0</v>
      </c>
      <c r="FH7" s="335">
        <v>0</v>
      </c>
      <c r="FI7" s="335">
        <v>0</v>
      </c>
      <c r="FJ7" s="335">
        <v>0</v>
      </c>
      <c r="FK7" s="335">
        <v>0</v>
      </c>
      <c r="FL7" s="335">
        <v>0</v>
      </c>
      <c r="FM7" s="335">
        <v>0</v>
      </c>
      <c r="FN7" s="335">
        <v>0</v>
      </c>
      <c r="FO7" s="335">
        <v>0</v>
      </c>
      <c r="FP7" s="335">
        <v>0</v>
      </c>
      <c r="FQ7" s="335">
        <v>0</v>
      </c>
      <c r="FR7" s="335">
        <v>0</v>
      </c>
      <c r="FS7" s="335">
        <v>0</v>
      </c>
      <c r="FT7" s="335">
        <v>0</v>
      </c>
      <c r="FU7" s="335">
        <v>0</v>
      </c>
      <c r="FV7" s="335">
        <v>0</v>
      </c>
      <c r="FW7" s="335">
        <v>0</v>
      </c>
      <c r="FX7" s="335">
        <v>0</v>
      </c>
      <c r="FY7" s="335">
        <v>0</v>
      </c>
      <c r="FZ7" s="335">
        <v>0</v>
      </c>
      <c r="GA7" s="335">
        <v>0</v>
      </c>
      <c r="GB7" s="335">
        <v>0</v>
      </c>
      <c r="GC7" s="335">
        <v>0</v>
      </c>
      <c r="GD7" s="335">
        <v>0</v>
      </c>
      <c r="GE7" s="335">
        <v>0</v>
      </c>
      <c r="GF7" s="335">
        <v>0</v>
      </c>
      <c r="GG7" s="335">
        <v>0</v>
      </c>
      <c r="GH7" s="335">
        <v>0</v>
      </c>
      <c r="GI7" s="335">
        <v>0</v>
      </c>
      <c r="GJ7" s="335">
        <v>0</v>
      </c>
      <c r="GK7" s="336"/>
      <c r="GL7" s="286">
        <v>0</v>
      </c>
      <c r="GM7" s="287"/>
      <c r="GN7" s="337"/>
      <c r="GO7" s="337"/>
      <c r="GP7" s="337"/>
      <c r="GQ7" s="337"/>
      <c r="GR7" s="337"/>
      <c r="GS7" s="337"/>
      <c r="GT7" s="337"/>
      <c r="GU7" s="337"/>
      <c r="GV7" s="337"/>
      <c r="GW7" s="337"/>
      <c r="GX7" s="337"/>
      <c r="GY7" s="337"/>
      <c r="GZ7" s="337"/>
      <c r="HA7" s="337"/>
      <c r="HB7" s="337"/>
      <c r="HC7" s="337"/>
      <c r="HD7" s="337"/>
      <c r="HE7" s="337"/>
      <c r="HF7" s="337"/>
      <c r="HG7" s="337"/>
      <c r="HH7" s="337"/>
      <c r="HI7" s="337"/>
      <c r="HJ7" s="337"/>
      <c r="HK7" s="337"/>
      <c r="HL7" s="337"/>
      <c r="HM7" s="337"/>
      <c r="HN7" s="337"/>
      <c r="HO7" s="337"/>
      <c r="HP7" s="338"/>
      <c r="HQ7" s="289"/>
      <c r="HW7" s="334"/>
      <c r="HY7" s="290">
        <v>0</v>
      </c>
      <c r="HZ7" s="290">
        <v>0</v>
      </c>
      <c r="IA7" s="290">
        <v>0</v>
      </c>
    </row>
  </sheetData>
  <mergeCells count="31">
    <mergeCell ref="EG1:EJ1"/>
    <mergeCell ref="DI1:DL1"/>
    <mergeCell ref="DM1:DP1"/>
    <mergeCell ref="DQ1:DT1"/>
    <mergeCell ref="DU1:DX1"/>
    <mergeCell ref="DY1:EB1"/>
    <mergeCell ref="EC1:EF1"/>
    <mergeCell ref="CK1:CN1"/>
    <mergeCell ref="CO1:CR1"/>
    <mergeCell ref="CS1:CV1"/>
    <mergeCell ref="CW1:CZ1"/>
    <mergeCell ref="DA1:DD1"/>
    <mergeCell ref="DE1:DH1"/>
    <mergeCell ref="BM1:BP1"/>
    <mergeCell ref="BQ1:BT1"/>
    <mergeCell ref="BU1:BX1"/>
    <mergeCell ref="BY1:CB1"/>
    <mergeCell ref="CC1:CF1"/>
    <mergeCell ref="CG1:CJ1"/>
    <mergeCell ref="AO1:AR1"/>
    <mergeCell ref="AS1:AV1"/>
    <mergeCell ref="AW1:AZ1"/>
    <mergeCell ref="BA1:BD1"/>
    <mergeCell ref="BE1:BH1"/>
    <mergeCell ref="BI1:BL1"/>
    <mergeCell ref="Q1:T1"/>
    <mergeCell ref="U1:X1"/>
    <mergeCell ref="Y1:AB1"/>
    <mergeCell ref="AC1:AF1"/>
    <mergeCell ref="AG1:AJ1"/>
    <mergeCell ref="AK1:AN1"/>
  </mergeCells>
  <conditionalFormatting sqref="J3:J7">
    <cfRule type="cellIs" dxfId="3" priority="2" operator="equal">
      <formula>"CRECHE"</formula>
    </cfRule>
    <cfRule type="cellIs" dxfId="2" priority="3" operator="equal">
      <formula>"ADAPTADO"</formula>
    </cfRule>
  </conditionalFormatting>
  <conditionalFormatting sqref="EW3:EW7">
    <cfRule type="cellIs" dxfId="1" priority="4" operator="greaterThan">
      <formula>0</formula>
    </cfRule>
  </conditionalFormatting>
  <conditionalFormatting sqref="EW2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"/>
  <sheetViews>
    <sheetView workbookViewId="0">
      <selection activeCell="A9" sqref="A9:H22"/>
    </sheetView>
  </sheetViews>
  <sheetFormatPr defaultRowHeight="12.75" x14ac:dyDescent="0.2"/>
  <cols>
    <col min="2" max="3" width="9.140625" customWidth="1"/>
    <col min="8" max="8" width="9.14062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VALORES ANTIGOS</vt:lpstr>
      <vt:lpstr>Plan1</vt:lpstr>
      <vt:lpstr>novos valores maio 2025</vt:lpstr>
      <vt:lpstr>Planilha1</vt:lpstr>
      <vt:lpstr>Plan3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2024-05-10T13:10:54Z</cp:lastPrinted>
  <dcterms:created xsi:type="dcterms:W3CDTF">2019-02-08T16:49:11Z</dcterms:created>
  <dcterms:modified xsi:type="dcterms:W3CDTF">2026-06-10T19:19:59Z</dcterms:modified>
</cp:coreProperties>
</file>